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1_PARAMS" sheetId="2" state="visible" r:id="rId2"/>
    <sheet name="2_AGENT_REGISTRY" sheetId="3" state="visible" r:id="rId3"/>
    <sheet name="3_WORKFLOW_MAP" sheetId="4" state="visible" r:id="rId4"/>
    <sheet name="4_REVIEW_GATES" sheetId="5" state="visible" r:id="rId5"/>
    <sheet name="5_RISK_REGISTER" sheetId="6" state="visible" r:id="rId6"/>
    <sheet name="6_KPI_DASHBOARD" sheetId="7" state="visible" r:id="rId7"/>
    <sheet name="7_ROADMAP" sheetId="8" state="visible" r:id="rId8"/>
    <sheet name="8_CHANGE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blMASTERReadme" displayName="tblMASTERReadme" ref="A4:D8" headerRowCount="1">
  <autoFilter ref="A4:D8"/>
  <tableColumns count="4">
    <tableColumn id="1" name="#"/>
    <tableColumn id="2" name="Topic"/>
    <tableColumn id="3" name="Detail"/>
    <tableColumn id="4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aramsBankMarketingMaster" displayName="tblParamsBankMarketingMaster" ref="A4:C9" headerRowCount="1">
  <autoFilter ref="A4:C9"/>
  <tableColumns count="3">
    <tableColumn id="1" name="KEY"/>
    <tableColumn id="2" name="VALUE"/>
    <tableColumn id="3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BankMarketingAgentRegistry" displayName="tblBankMarketingAgentRegistry" ref="A4:J10" headerRowCount="1">
  <autoFilter ref="A4:J10"/>
  <tableColumns count="10">
    <tableColumn id="1" name="AGENT_ID"/>
    <tableColumn id="2" name="SLUG"/>
    <tableColumn id="3" name="NAME"/>
    <tableColumn id="4" name="TYPE"/>
    <tableColumn id="5" name="PRIORITY"/>
    <tableColumn id="6" name="SLA_HOURS"/>
    <tableColumn id="7" name="OWNER"/>
    <tableColumn id="8" name="STATUS"/>
    <tableColumn id="9" name="PRIMARY_GATES"/>
    <tableColumn id="10" name="MISS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BankMarketingWorkflowMap" displayName="tblBankMarketingWorkflowMap" ref="A4:H10" headerRowCount="1">
  <autoFilter ref="A4:H10"/>
  <tableColumns count="8">
    <tableColumn id="1" name="STEP"/>
    <tableColumn id="2" name="PHASE"/>
    <tableColumn id="3" name="OWNER"/>
    <tableColumn id="4" name="INPUT"/>
    <tableColumn id="5" name="OUTPUT"/>
    <tableColumn id="6" name="HITL"/>
    <tableColumn id="7" name="SYSTEM_OF_RECORD"/>
    <tableColumn id="8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BankMarketingMasterGates" displayName="tblBankMarketingMasterGates" ref="A4:G14" headerRowCount="1">
  <autoFilter ref="A4:G14"/>
  <tableColumns count="7">
    <tableColumn id="1" name="GATE_ID"/>
    <tableColumn id="2" name="LABEL"/>
    <tableColumn id="3" name="SEVERITY"/>
    <tableColumn id="4" name="BLOCKING"/>
    <tableColumn id="5" name="APPLIES_TO"/>
    <tableColumn id="6" name="SOURCE_REF"/>
    <tableColumn id="7" name="CONTRO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BankMarketingRiskRegister" displayName="tblBankMarketingRiskRegister" ref="A4:G10" headerRowCount="1">
  <autoFilter ref="A4:G10"/>
  <tableColumns count="7">
    <tableColumn id="1" name="RISK_ID"/>
    <tableColumn id="2" name="RISK"/>
    <tableColumn id="3" name="IMPACT"/>
    <tableColumn id="4" name="LIKELIHOOD"/>
    <tableColumn id="5" name="SCORE"/>
    <tableColumn id="6" name="MITIGATION"/>
    <tableColumn id="7" name="OWN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BankMarketingKpiDashboard" displayName="tblBankMarketingKpiDashboard" ref="A4:D9" headerRowCount="1">
  <autoFilter ref="A4:D9"/>
  <tableColumns count="4">
    <tableColumn id="1" name="KPI"/>
    <tableColumn id="2" name="VALUE"/>
    <tableColumn id="3" name="SOURCE"/>
    <tableColumn id="4" name="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BankMarketingRoadmap" displayName="tblBankMarketingRoadmap" ref="A4:F9" headerRowCount="1">
  <autoFilter ref="A4:F9"/>
  <tableColumns count="6">
    <tableColumn id="1" name="SPRINT"/>
    <tableColumn id="2" name="OBJECTIVE"/>
    <tableColumn id="3" name="DELIVERABLE"/>
    <tableColumn id="4" name="OWNER"/>
    <tableColumn id="5" name="STATUS"/>
    <tableColumn id="6" name="ACCEPTAN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ankMarketingChangelog" displayName="tblBankMarketingChangelog" ref="A4:E5" headerRowCount="1">
  <autoFilter ref="A4:E5"/>
  <tableColumns count="5">
    <tableColumn id="1" name="VERSION"/>
    <tableColumn id="2" name="DATE"/>
    <tableColumn id="3" name="CHANGE"/>
    <tableColumn id="4" name="AUTHOR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94" customWidth="1" min="3" max="3"/>
    <col width="18" customWidth="1" min="4" max="4"/>
  </cols>
  <sheetData>
    <row r="1" ht="38" customHeight="1">
      <c r="A1" s="1" t="inlineStr">
        <is>
          <t>NEURAL / BANQUE / MARKETING - MASTER</t>
        </is>
      </c>
    </row>
    <row r="2" ht="24" customHeight="1">
      <c r="A2" s="2" t="inlineStr">
        <is>
          <t>Portfolio master workbook for Banque Marketing agents</t>
        </is>
      </c>
    </row>
    <row r="4" ht="32" customHeight="1">
      <c r="A4" s="3" t="inlineStr">
        <is>
          <t>#</t>
        </is>
      </c>
      <c r="B4" s="3" t="inlineStr">
        <is>
          <t>Topic</t>
        </is>
      </c>
      <c r="C4" s="3" t="inlineStr">
        <is>
          <t>Detail</t>
        </is>
      </c>
      <c r="D4" s="3" t="inlineStr">
        <is>
          <t>Status</t>
        </is>
      </c>
    </row>
    <row r="5">
      <c r="A5" s="4" t="n">
        <v>1</v>
      </c>
      <c r="B5" s="4" t="inlineStr">
        <is>
          <t>Scope</t>
        </is>
      </c>
      <c r="C5" s="4" t="inlineStr">
        <is>
          <t>Four MVP agents plus two reserved services.</t>
        </is>
      </c>
      <c r="D5" s="4" t="inlineStr">
        <is>
          <t>synthetic</t>
        </is>
      </c>
    </row>
    <row r="6">
      <c r="A6" s="5" t="n">
        <v>2</v>
      </c>
      <c r="B6" s="5" t="inlineStr">
        <is>
          <t>Architecture</t>
        </is>
      </c>
      <c r="C6" s="5" t="inlineStr">
        <is>
          <t>Excel-first foundations, then future site exposure.</t>
        </is>
      </c>
      <c r="D6" s="5" t="inlineStr">
        <is>
          <t>synthetic</t>
        </is>
      </c>
    </row>
    <row r="7">
      <c r="A7" s="4" t="n">
        <v>3</v>
      </c>
      <c r="B7" s="4" t="inlineStr">
        <is>
          <t>Safety</t>
        </is>
      </c>
      <c r="C7" s="4" t="inlineStr">
        <is>
          <t>No personalized financial advice, no real client data.</t>
        </is>
      </c>
      <c r="D7" s="4" t="inlineStr">
        <is>
          <t>synthetic</t>
        </is>
      </c>
    </row>
    <row r="8">
      <c r="A8" s="5" t="n">
        <v>4</v>
      </c>
      <c r="B8" s="5" t="inlineStr">
        <is>
          <t>Isolation</t>
        </is>
      </c>
      <c r="C8" s="5" t="inlineStr">
        <is>
          <t>Does not depend on bank-comms, luxe-comms, aero-comms or insurance-supply-chain workbooks.</t>
        </is>
      </c>
      <c r="D8" s="5" t="inlineStr">
        <is>
          <t>synthetic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80" customWidth="1" min="3" max="3"/>
  </cols>
  <sheetData>
    <row r="1" ht="38" customHeight="1">
      <c r="A1" s="1" t="inlineStr">
        <is>
          <t>PARAMS</t>
        </is>
      </c>
    </row>
    <row r="2" ht="24" customHeight="1">
      <c r="A2" s="2" t="inlineStr">
        <is>
          <t>Workbook parameters consumed by later sync/parsers</t>
        </is>
      </c>
    </row>
    <row r="4" ht="32" customHeight="1">
      <c r="A4" s="3" t="inlineStr">
        <is>
          <t>KEY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BRANCH</t>
        </is>
      </c>
      <c r="B5" s="4" t="inlineStr">
        <is>
          <t>Banque - Marketing</t>
        </is>
      </c>
      <c r="C5" s="4" t="inlineStr"/>
    </row>
    <row r="6">
      <c r="A6" s="5" t="inlineStr">
        <is>
          <t>REF_DATE</t>
        </is>
      </c>
      <c r="B6" s="6" t="n">
        <v>46137</v>
      </c>
      <c r="C6" s="5" t="inlineStr"/>
    </row>
    <row r="7">
      <c r="A7" s="4" t="inlineStr">
        <is>
          <t>AGENT_RANGE</t>
        </is>
      </c>
      <c r="B7" s="4" t="inlineStr">
        <is>
          <t>AG-BM001..AG-BM006</t>
        </is>
      </c>
      <c r="C7" s="4" t="inlineStr">
        <is>
          <t>AG-BM005 and AG-BM006 are reserved services.</t>
        </is>
      </c>
    </row>
    <row r="8">
      <c r="A8" s="5" t="inlineStr">
        <is>
          <t>MVP_GATES</t>
        </is>
      </c>
      <c r="B8" s="5" t="inlineStr">
        <is>
          <t>GATE-AMF-ACPR-CLEAR-NOT-MISLEADING,GATE-RISK-BENEFIT-BALANCE,GATE-SOURCE-ACTIVE,GATE-NUM-VALIDATED,GATE-MIFID-TARGET-MARKET,GATE-PRIIPS-KID-CONSISTENCY,GATE-MICA-CRYPTO-MARKETING,GATE-GDPR-CONSENT-PROFILING,GATE-AI-ACT-DISCLOSURE,GATE-HITL-COMPLIANCE</t>
        </is>
      </c>
      <c r="C8" s="5" t="inlineStr"/>
    </row>
    <row r="9">
      <c r="A9" s="4" t="inlineStr">
        <is>
          <t>OUTPUT_FOLDER</t>
        </is>
      </c>
      <c r="B9" s="4" t="inlineStr">
        <is>
          <t>apps/neural/data/bank-marketing</t>
        </is>
      </c>
      <c r="C9" s="4" t="inlineStr"/>
    </row>
  </sheetData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8" customWidth="1" min="3" max="3"/>
    <col width="14" customWidth="1" min="4" max="4"/>
    <col width="12" customWidth="1" min="5" max="5"/>
    <col width="12" customWidth="1" min="6" max="6"/>
    <col width="24" customWidth="1" min="7" max="7"/>
    <col width="14" customWidth="1" min="8" max="8"/>
    <col width="64" customWidth="1" min="9" max="9"/>
    <col width="92" customWidth="1" min="10" max="10"/>
  </cols>
  <sheetData>
    <row r="1" ht="38" customHeight="1">
      <c r="A1" s="1" t="inlineStr">
        <is>
          <t>AGENT REGISTRY</t>
        </is>
      </c>
    </row>
    <row r="2" ht="24" customHeight="1">
      <c r="A2" s="2" t="inlineStr">
        <is>
          <t>Agents, reserved services and implementation status</t>
        </is>
      </c>
    </row>
    <row r="4" ht="32" customHeight="1">
      <c r="A4" s="3" t="inlineStr">
        <is>
          <t>AGENT_ID</t>
        </is>
      </c>
      <c r="B4" s="3" t="inlineStr">
        <is>
          <t>SLUG</t>
        </is>
      </c>
      <c r="C4" s="3" t="inlineStr">
        <is>
          <t>NAME</t>
        </is>
      </c>
      <c r="D4" s="3" t="inlineStr">
        <is>
          <t>TYPE</t>
        </is>
      </c>
      <c r="E4" s="3" t="inlineStr">
        <is>
          <t>PRIORITY</t>
        </is>
      </c>
      <c r="F4" s="3" t="inlineStr">
        <is>
          <t>SLA_HOURS</t>
        </is>
      </c>
      <c r="G4" s="3" t="inlineStr">
        <is>
          <t>OWNER</t>
        </is>
      </c>
      <c r="H4" s="3" t="inlineStr">
        <is>
          <t>STATUS</t>
        </is>
      </c>
      <c r="I4" s="3" t="inlineStr">
        <is>
          <t>PRIMARY_GATES</t>
        </is>
      </c>
      <c r="J4" s="3" t="inlineStr">
        <is>
          <t>MISSION</t>
        </is>
      </c>
    </row>
    <row r="5">
      <c r="A5" s="4" t="inlineStr">
        <is>
          <t>AG-BM001</t>
        </is>
      </c>
      <c r="B5" s="4" t="inlineStr">
        <is>
          <t>bank-marketing-compliance-guard</t>
        </is>
      </c>
      <c r="C5" s="4" t="inlineStr">
        <is>
          <t>BankMarketingComplianceGuard</t>
        </is>
      </c>
      <c r="D5" s="4" t="inlineStr">
        <is>
          <t>agent</t>
        </is>
      </c>
      <c r="E5" s="4" t="inlineStr">
        <is>
          <t>MVP</t>
        </is>
      </c>
      <c r="F5" s="4" t="n">
        <v>24</v>
      </c>
      <c r="G5" s="4" t="inlineStr">
        <is>
          <t>Marketing Compliance</t>
        </is>
      </c>
      <c r="H5" s="4" t="inlineStr">
        <is>
          <t>demo</t>
        </is>
      </c>
      <c r="I5" s="4" t="inlineStr">
        <is>
          <t>GATE-AMF-ACPR-CLEAR-NOT-MISLEADING,GATE-RISK-BENEFIT-BALANCE,GATE-NUM-VALIDATED</t>
        </is>
      </c>
      <c r="J5" s="4" t="inlineStr">
        <is>
          <t>Audit banking, savings and credit marketing against AMF/ACPR advertising expectations.</t>
        </is>
      </c>
    </row>
    <row r="6">
      <c r="A6" s="5" t="inlineStr">
        <is>
          <t>AG-BM002</t>
        </is>
      </c>
      <c r="B6" s="5" t="inlineStr">
        <is>
          <t>fin-literacy-content</t>
        </is>
      </c>
      <c r="C6" s="5" t="inlineStr">
        <is>
          <t>FinLiteracyContent</t>
        </is>
      </c>
      <c r="D6" s="5" t="inlineStr">
        <is>
          <t>agent</t>
        </is>
      </c>
      <c r="E6" s="5" t="inlineStr">
        <is>
          <t>MVP</t>
        </is>
      </c>
      <c r="F6" s="5" t="n">
        <v>24</v>
      </c>
      <c r="G6" s="5" t="inlineStr">
        <is>
          <t>Education + Brand</t>
        </is>
      </c>
      <c r="H6" s="5" t="inlineStr">
        <is>
          <t>demo</t>
        </is>
      </c>
      <c r="I6" s="5" t="inlineStr">
        <is>
          <t>GATE-SOURCE-ACTIVE,GATE-NUM-VALIDATED,GATE-HITL-COMPLIANCE</t>
        </is>
      </c>
      <c r="J6" s="5" t="inlineStr">
        <is>
          <t>Produce educational content without hidden personalized advice.</t>
        </is>
      </c>
    </row>
    <row r="7">
      <c r="A7" s="4" t="inlineStr">
        <is>
          <t>AG-BM003</t>
        </is>
      </c>
      <c r="B7" s="4" t="inlineStr">
        <is>
          <t>segmented-bank-marketing</t>
        </is>
      </c>
      <c r="C7" s="4" t="inlineStr">
        <is>
          <t>SegmentedBankMarketing</t>
        </is>
      </c>
      <c r="D7" s="4" t="inlineStr">
        <is>
          <t>agent</t>
        </is>
      </c>
      <c r="E7" s="4" t="inlineStr">
        <is>
          <t>MVP</t>
        </is>
      </c>
      <c r="F7" s="4" t="n">
        <v>12</v>
      </c>
      <c r="G7" s="4" t="inlineStr">
        <is>
          <t>CRM Marketing + DPO</t>
        </is>
      </c>
      <c r="H7" s="4" t="inlineStr">
        <is>
          <t>demo</t>
        </is>
      </c>
      <c r="I7" s="4" t="inlineStr">
        <is>
          <t>GATE-GDPR-CONSENT-PROFILING,GATE-AI-ACT-DISCLOSURE,GATE-HITL-COMPLIANCE</t>
        </is>
      </c>
      <c r="J7" s="4" t="inlineStr">
        <is>
          <t>Adapt marketing by segment while preserving consent, fairness and explainability.</t>
        </is>
      </c>
    </row>
    <row r="8">
      <c r="A8" s="5" t="inlineStr">
        <is>
          <t>AG-BM004</t>
        </is>
      </c>
      <c r="B8" s="5" t="inlineStr">
        <is>
          <t>mifid-product-marketing-guard</t>
        </is>
      </c>
      <c r="C8" s="5" t="inlineStr">
        <is>
          <t>MiFIDProductMarketingGuard</t>
        </is>
      </c>
      <c r="D8" s="5" t="inlineStr">
        <is>
          <t>agent</t>
        </is>
      </c>
      <c r="E8" s="5" t="inlineStr">
        <is>
          <t>MVP</t>
        </is>
      </c>
      <c r="F8" s="5" t="n">
        <v>24</v>
      </c>
      <c r="G8" s="5" t="inlineStr">
        <is>
          <t>Investment Compliance</t>
        </is>
      </c>
      <c r="H8" s="5" t="inlineStr">
        <is>
          <t>demo</t>
        </is>
      </c>
      <c r="I8" s="5" t="inlineStr">
        <is>
          <t>GATE-MIFID-TARGET-MARKET,GATE-PRIIPS-KID-CONSISTENCY,GATE-MICA-CRYPTO-MARKETING</t>
        </is>
      </c>
      <c r="J8" s="5" t="inlineStr">
        <is>
          <t>Check investment, complex-product and crypto-asset marketing consistency.</t>
        </is>
      </c>
    </row>
    <row r="9">
      <c r="A9" s="4" t="inlineStr">
        <is>
          <t>AG-BM005</t>
        </is>
      </c>
      <c r="B9" s="4" t="inlineStr">
        <is>
          <t>reg-watch-evidence-bank-mktg</t>
        </is>
      </c>
      <c r="C9" s="4" t="inlineStr">
        <is>
          <t>RegWatchEvidenceBankMktg</t>
        </is>
      </c>
      <c r="D9" s="4" t="inlineStr">
        <is>
          <t>service</t>
        </is>
      </c>
      <c r="E9" s="4" t="inlineStr">
        <is>
          <t>MVP</t>
        </is>
      </c>
      <c r="F9" s="4" t="inlineStr"/>
      <c r="G9" s="4" t="inlineStr">
        <is>
          <t>Compliance Ops</t>
        </is>
      </c>
      <c r="H9" s="4" t="inlineStr">
        <is>
          <t>planned</t>
        </is>
      </c>
      <c r="I9" s="4" t="inlineStr">
        <is>
          <t>GATE-SOURCE-ACTIVE</t>
        </is>
      </c>
      <c r="J9" s="4" t="inlineStr">
        <is>
          <t>Reserved service for AMF, ACPR, ESMA, EBA, EUR-Lex and CNIL watch.</t>
        </is>
      </c>
    </row>
    <row r="10">
      <c r="A10" s="5" t="inlineStr">
        <is>
          <t>AG-BM006</t>
        </is>
      </c>
      <c r="B10" s="5" t="inlineStr">
        <is>
          <t>consent-ai-dora-guard</t>
        </is>
      </c>
      <c r="C10" s="5" t="inlineStr">
        <is>
          <t>ConsentAIDoraGuard</t>
        </is>
      </c>
      <c r="D10" s="5" t="inlineStr">
        <is>
          <t>service</t>
        </is>
      </c>
      <c r="E10" s="5" t="inlineStr">
        <is>
          <t>MVP</t>
        </is>
      </c>
      <c r="F10" s="5" t="inlineStr"/>
      <c r="G10" s="5" t="inlineStr">
        <is>
          <t>DPO + Risk</t>
        </is>
      </c>
      <c r="H10" s="5" t="inlineStr">
        <is>
          <t>planned</t>
        </is>
      </c>
      <c r="I10" s="5" t="inlineStr">
        <is>
          <t>GATE-GDPR-CONSENT-PROFILING,GATE-AI-ACT-DISCLOSURE</t>
        </is>
      </c>
      <c r="J10" s="5" t="inlineStr">
        <is>
          <t>Reserved service for consent, AI disclosure, audit trail and DORA dependencies.</t>
        </is>
      </c>
    </row>
  </sheetData>
  <mergeCells count="2">
    <mergeCell ref="A1:J1"/>
    <mergeCell ref="A2:J2"/>
  </mergeCells>
  <dataValidations count="2">
    <dataValidation sqref="E5:E10" showDropDown="0" showInputMessage="0" showErrorMessage="0" allowBlank="1" errorTitle="Invalid entry" error="Value outside list" type="list">
      <formula1>"MVP,V1,V2"</formula1>
    </dataValidation>
    <dataValidation sqref="H5:H10" showDropDown="0" showInputMessage="0" showErrorMessage="0" allowBlank="1" errorTitle="Invalid entry" error="Value outside list" type="list">
      <formula1>"planned,demo,live"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38" customWidth="1" min="4" max="4"/>
    <col width="42" customWidth="1" min="5" max="5"/>
    <col width="12" customWidth="1" min="6" max="6"/>
    <col width="30" customWidth="1" min="7" max="7"/>
    <col width="88" customWidth="1" min="8" max="8"/>
  </cols>
  <sheetData>
    <row r="1" ht="38" customHeight="1">
      <c r="A1" s="1" t="inlineStr">
        <is>
          <t>WORKFLOW MAP</t>
        </is>
      </c>
    </row>
    <row r="2" ht="24" customHeight="1">
      <c r="A2" s="2" t="inlineStr">
        <is>
          <t>From campaign brief to compliant marketing output</t>
        </is>
      </c>
    </row>
    <row r="4" ht="32" customHeight="1">
      <c r="A4" s="3" t="inlineStr">
        <is>
          <t>STEP</t>
        </is>
      </c>
      <c r="B4" s="3" t="inlineStr">
        <is>
          <t>PHASE</t>
        </is>
      </c>
      <c r="C4" s="3" t="inlineStr">
        <is>
          <t>OWNER</t>
        </is>
      </c>
      <c r="D4" s="3" t="inlineStr">
        <is>
          <t>INPUT</t>
        </is>
      </c>
      <c r="E4" s="3" t="inlineStr">
        <is>
          <t>OUTPUT</t>
        </is>
      </c>
      <c r="F4" s="3" t="inlineStr">
        <is>
          <t>HITL</t>
        </is>
      </c>
      <c r="G4" s="3" t="inlineStr">
        <is>
          <t>SYSTEM_OF_RECORD</t>
        </is>
      </c>
      <c r="H4" s="3" t="inlineStr">
        <is>
          <t>NOTE</t>
        </is>
      </c>
    </row>
    <row r="5">
      <c r="A5" s="4" t="n">
        <v>1</v>
      </c>
      <c r="B5" s="4" t="inlineStr">
        <is>
          <t>BRIEF</t>
        </is>
      </c>
      <c r="C5" s="4" t="inlineStr">
        <is>
          <t>Marketing</t>
        </is>
      </c>
      <c r="D5" s="4" t="inlineStr">
        <is>
          <t>Campaign brief, product, channel</t>
        </is>
      </c>
      <c r="E5" s="4" t="inlineStr">
        <is>
          <t>Normalized scenario id</t>
        </is>
      </c>
      <c r="F5" s="4" t="inlineStr">
        <is>
          <t>NO</t>
        </is>
      </c>
      <c r="G5" s="4" t="inlineStr">
        <is>
          <t>Campaign planner</t>
        </is>
      </c>
      <c r="H5" s="4" t="inlineStr">
        <is>
          <t>Portfolio workbook uses synthetic scenarios only.</t>
        </is>
      </c>
    </row>
    <row r="6">
      <c r="A6" s="5" t="n">
        <v>2</v>
      </c>
      <c r="B6" s="5" t="inlineStr">
        <is>
          <t>EVIDENCE</t>
        </is>
      </c>
      <c r="C6" s="5" t="inlineStr">
        <is>
          <t>AG-BM005</t>
        </is>
      </c>
      <c r="D6" s="5" t="inlineStr">
        <is>
          <t>Source ids and rule ids</t>
        </is>
      </c>
      <c r="E6" s="5" t="inlineStr">
        <is>
          <t>Evidence pack</t>
        </is>
      </c>
      <c r="F6" s="5" t="inlineStr">
        <is>
          <t>NO</t>
        </is>
      </c>
      <c r="G6" s="5" t="inlineStr">
        <is>
          <t>Evidence vault</t>
        </is>
      </c>
      <c r="H6" s="5" t="inlineStr">
        <is>
          <t>Resolve official sources before generation.</t>
        </is>
      </c>
    </row>
    <row r="7">
      <c r="A7" s="4" t="n">
        <v>3</v>
      </c>
      <c r="B7" s="4" t="inlineStr">
        <is>
          <t>COPY AUDIT</t>
        </is>
      </c>
      <c r="C7" s="4" t="inlineStr">
        <is>
          <t>AG-BM001</t>
        </is>
      </c>
      <c r="D7" s="4" t="inlineStr">
        <is>
          <t>Copy, claims, numbers</t>
        </is>
      </c>
      <c r="E7" s="4" t="inlineStr">
        <is>
          <t>Pass/review/block verdict</t>
        </is>
      </c>
      <c r="F7" s="4" t="inlineStr">
        <is>
          <t>YES</t>
        </is>
      </c>
      <c r="G7" s="4" t="inlineStr">
        <is>
          <t>Compliance queue</t>
        </is>
      </c>
      <c r="H7" s="4" t="inlineStr">
        <is>
          <t>AMF/ACPR clear-not-misleading gate applies.</t>
        </is>
      </c>
    </row>
    <row r="8">
      <c r="A8" s="5" t="n">
        <v>4</v>
      </c>
      <c r="B8" s="5" t="inlineStr">
        <is>
          <t>EDUCATION</t>
        </is>
      </c>
      <c r="C8" s="5" t="inlineStr">
        <is>
          <t>AG-BM002</t>
        </is>
      </c>
      <c r="D8" s="5" t="inlineStr">
        <is>
          <t>Topic and audience</t>
        </is>
      </c>
      <c r="E8" s="5" t="inlineStr">
        <is>
          <t>Pedagogical content</t>
        </is>
      </c>
      <c r="F8" s="5" t="inlineStr">
        <is>
          <t>YES</t>
        </is>
      </c>
      <c r="G8" s="5" t="inlineStr">
        <is>
          <t>CMS</t>
        </is>
      </c>
      <c r="H8" s="5" t="inlineStr">
        <is>
          <t>No personalized financial advice.</t>
        </is>
      </c>
    </row>
    <row r="9">
      <c r="A9" s="4" t="n">
        <v>5</v>
      </c>
      <c r="B9" s="4" t="inlineStr">
        <is>
          <t>SEGMENTATION</t>
        </is>
      </c>
      <c r="C9" s="4" t="inlineStr">
        <is>
          <t>AG-BM003</t>
        </is>
      </c>
      <c r="D9" s="4" t="inlineStr">
        <is>
          <t>Segment, channel, consent</t>
        </is>
      </c>
      <c r="E9" s="4" t="inlineStr">
        <is>
          <t>Adapted campaign</t>
        </is>
      </c>
      <c r="F9" s="4" t="inlineStr">
        <is>
          <t>YES</t>
        </is>
      </c>
      <c r="G9" s="4" t="inlineStr">
        <is>
          <t>CRM</t>
        </is>
      </c>
      <c r="H9" s="4" t="inlineStr">
        <is>
          <t>Consent and profiling checks run before copy.</t>
        </is>
      </c>
    </row>
    <row r="10">
      <c r="A10" s="5" t="n">
        <v>6</v>
      </c>
      <c r="B10" s="5" t="inlineStr">
        <is>
          <t>INVESTMENT</t>
        </is>
      </c>
      <c r="C10" s="5" t="inlineStr">
        <is>
          <t>AG-BM004</t>
        </is>
      </c>
      <c r="D10" s="5" t="inlineStr">
        <is>
          <t>Product doc, KID, white paper</t>
        </is>
      </c>
      <c r="E10" s="5" t="inlineStr">
        <is>
          <t>MiFID/PRIIPs/MiCA verdict</t>
        </is>
      </c>
      <c r="F10" s="5" t="inlineStr">
        <is>
          <t>YES</t>
        </is>
      </c>
      <c r="G10" s="5" t="inlineStr">
        <is>
          <t>Investment compliance</t>
        </is>
      </c>
      <c r="H10" s="5" t="inlineStr">
        <is>
          <t>Retail distribution restrictions can block.</t>
        </is>
      </c>
    </row>
  </sheetData>
  <mergeCells count="2">
    <mergeCell ref="A2:H2"/>
    <mergeCell ref="A1:H1"/>
  </mergeCells>
  <dataValidations count="1">
    <dataValidation sqref="F5:F10" showDropDown="0" showInputMessage="0" showErrorMessage="0" allowBlank="1" errorTitle="Invalid entry" error="Value outside list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4" customWidth="1" min="3" max="3"/>
    <col width="12" customWidth="1" min="4" max="4"/>
    <col width="34" customWidth="1" min="5" max="5"/>
    <col width="28" customWidth="1" min="6" max="6"/>
    <col width="88" customWidth="1" min="7" max="7"/>
  </cols>
  <sheetData>
    <row r="1" ht="38" customHeight="1">
      <c r="A1" s="1" t="inlineStr">
        <is>
          <t>REVIEW GATES</t>
        </is>
      </c>
    </row>
    <row r="2" ht="24" customHeight="1">
      <c r="A2" s="2" t="inlineStr">
        <is>
          <t>Master view of MVP deterministic gates</t>
        </is>
      </c>
    </row>
    <row r="4" ht="32" customHeight="1">
      <c r="A4" s="3" t="inlineStr">
        <is>
          <t>GATE_ID</t>
        </is>
      </c>
      <c r="B4" s="3" t="inlineStr">
        <is>
          <t>LABEL</t>
        </is>
      </c>
      <c r="C4" s="3" t="inlineStr">
        <is>
          <t>SEVERITY</t>
        </is>
      </c>
      <c r="D4" s="3" t="inlineStr">
        <is>
          <t>BLOCKING</t>
        </is>
      </c>
      <c r="E4" s="3" t="inlineStr">
        <is>
          <t>APPLIES_TO</t>
        </is>
      </c>
      <c r="F4" s="3" t="inlineStr">
        <is>
          <t>SOURCE_REF</t>
        </is>
      </c>
      <c r="G4" s="3" t="inlineStr">
        <is>
          <t>CONTROL</t>
        </is>
      </c>
    </row>
    <row r="5">
      <c r="A5" s="4" t="inlineStr">
        <is>
          <t>GATE-AMF-ACPR-CLEAR-NOT-MISLEADING</t>
        </is>
      </c>
      <c r="B5" s="4" t="inlineStr">
        <is>
          <t>Clear, accurate and non-misleading communication</t>
        </is>
      </c>
      <c r="C5" s="4" t="inlineStr">
        <is>
          <t>CRITICAL</t>
        </is>
      </c>
      <c r="D5" s="4" t="inlineStr">
        <is>
          <t>YES</t>
        </is>
      </c>
      <c r="E5" s="4" t="inlineStr">
        <is>
          <t>AG-BM001,AG-BM004</t>
        </is>
      </c>
      <c r="F5" s="4" t="inlineStr">
        <is>
          <t>SRC-AMF-ACPR-PUB-001</t>
        </is>
      </c>
      <c r="G5" s="4" t="inlineStr">
        <is>
          <t>Block ambiguous, exaggerated or visually imbalanced messages.</t>
        </is>
      </c>
    </row>
    <row r="6">
      <c r="A6" s="5" t="inlineStr">
        <is>
          <t>GATE-RISK-BENEFIT-BALANCE</t>
        </is>
      </c>
      <c r="B6" s="5" t="inlineStr">
        <is>
          <t>Risk and benefit balance</t>
        </is>
      </c>
      <c r="C6" s="5" t="inlineStr">
        <is>
          <t>CRITICAL</t>
        </is>
      </c>
      <c r="D6" s="5" t="inlineStr">
        <is>
          <t>YES</t>
        </is>
      </c>
      <c r="E6" s="5" t="inlineStr">
        <is>
          <t>AG-BM001,AG-BM004</t>
        </is>
      </c>
      <c r="F6" s="5" t="inlineStr">
        <is>
          <t>SRC-AMF-ACPR-PUB-001</t>
        </is>
      </c>
      <c r="G6" s="5" t="inlineStr">
        <is>
          <t>Block one-sided benefit claims.</t>
        </is>
      </c>
    </row>
    <row r="7">
      <c r="A7" s="4" t="inlineStr">
        <is>
          <t>GATE-SOURCE-ACTIVE</t>
        </is>
      </c>
      <c r="B7" s="4" t="inlineStr">
        <is>
          <t>Source evidence active</t>
        </is>
      </c>
      <c r="C7" s="4" t="inlineStr">
        <is>
          <t>HIGH</t>
        </is>
      </c>
      <c r="D7" s="4" t="inlineStr">
        <is>
          <t>YES</t>
        </is>
      </c>
      <c r="E7" s="4" t="inlineStr">
        <is>
          <t>all</t>
        </is>
      </c>
      <c r="F7" s="4" t="inlineStr">
        <is>
          <t>2_SOURCEBOOK</t>
        </is>
      </c>
      <c r="G7" s="4" t="inlineStr">
        <is>
          <t>Block stale or missing regulatory evidence.</t>
        </is>
      </c>
    </row>
    <row r="8">
      <c r="A8" s="5" t="inlineStr">
        <is>
          <t>GATE-NUM-VALIDATED</t>
        </is>
      </c>
      <c r="B8" s="5" t="inlineStr">
        <is>
          <t>Numbers validated and dated</t>
        </is>
      </c>
      <c r="C8" s="5" t="inlineStr">
        <is>
          <t>HIGH</t>
        </is>
      </c>
      <c r="D8" s="5" t="inlineStr">
        <is>
          <t>YES</t>
        </is>
      </c>
      <c r="E8" s="5" t="inlineStr">
        <is>
          <t>all</t>
        </is>
      </c>
      <c r="F8" s="5" t="inlineStr">
        <is>
          <t>SRC-AMF-ACPR-PUB-001</t>
        </is>
      </c>
      <c r="G8" s="5" t="inlineStr">
        <is>
          <t>Block unsupported rates, performance or savings figures.</t>
        </is>
      </c>
    </row>
    <row r="9">
      <c r="A9" s="4" t="inlineStr">
        <is>
          <t>GATE-MIFID-TARGET-MARKET</t>
        </is>
      </c>
      <c r="B9" s="4" t="inlineStr">
        <is>
          <t>MiFID target market consistency</t>
        </is>
      </c>
      <c r="C9" s="4" t="inlineStr">
        <is>
          <t>CRITICAL</t>
        </is>
      </c>
      <c r="D9" s="4" t="inlineStr">
        <is>
          <t>YES</t>
        </is>
      </c>
      <c r="E9" s="4" t="inlineStr">
        <is>
          <t>AG-BM004</t>
        </is>
      </c>
      <c r="F9" s="4" t="inlineStr">
        <is>
          <t>SRC-ESMA-MIFID-001</t>
        </is>
      </c>
      <c r="G9" s="4" t="inlineStr">
        <is>
          <t>Block incompatible retail targeting.</t>
        </is>
      </c>
    </row>
    <row r="10">
      <c r="A10" s="5" t="inlineStr">
        <is>
          <t>GATE-PRIIPS-KID-CONSISTENCY</t>
        </is>
      </c>
      <c r="B10" s="5" t="inlineStr">
        <is>
          <t>PRIIPs KID consistency</t>
        </is>
      </c>
      <c r="C10" s="5" t="inlineStr">
        <is>
          <t>CRITICAL</t>
        </is>
      </c>
      <c r="D10" s="5" t="inlineStr">
        <is>
          <t>YES</t>
        </is>
      </c>
      <c r="E10" s="5" t="inlineStr">
        <is>
          <t>AG-BM004</t>
        </is>
      </c>
      <c r="F10" s="5" t="inlineStr">
        <is>
          <t>SRC-EU-PRIIPS-001</t>
        </is>
      </c>
      <c r="G10" s="5" t="inlineStr">
        <is>
          <t>Block contradictions with KID.</t>
        </is>
      </c>
    </row>
    <row r="11">
      <c r="A11" s="4" t="inlineStr">
        <is>
          <t>GATE-MICA-CRYPTO-MARKETING</t>
        </is>
      </c>
      <c r="B11" s="4" t="inlineStr">
        <is>
          <t>MiCA crypto marketing requirements</t>
        </is>
      </c>
      <c r="C11" s="4" t="inlineStr">
        <is>
          <t>CRITICAL</t>
        </is>
      </c>
      <c r="D11" s="4" t="inlineStr">
        <is>
          <t>YES</t>
        </is>
      </c>
      <c r="E11" s="4" t="inlineStr">
        <is>
          <t>AG-BM004</t>
        </is>
      </c>
      <c r="F11" s="4" t="inlineStr">
        <is>
          <t>SRC-EU-MICA-001</t>
        </is>
      </c>
      <c r="G11" s="4" t="inlineStr">
        <is>
          <t>Block missing white paper consistency or required notice.</t>
        </is>
      </c>
    </row>
    <row r="12">
      <c r="A12" s="5" t="inlineStr">
        <is>
          <t>GATE-GDPR-CONSENT-PROFILING</t>
        </is>
      </c>
      <c r="B12" s="5" t="inlineStr">
        <is>
          <t>GDPR consent and profiling basis</t>
        </is>
      </c>
      <c r="C12" s="5" t="inlineStr">
        <is>
          <t>CRITICAL</t>
        </is>
      </c>
      <c r="D12" s="5" t="inlineStr">
        <is>
          <t>YES</t>
        </is>
      </c>
      <c r="E12" s="5" t="inlineStr">
        <is>
          <t>AG-BM003,AG-BM006</t>
        </is>
      </c>
      <c r="F12" s="5" t="inlineStr">
        <is>
          <t>SRC-CNIL-PROF-001</t>
        </is>
      </c>
      <c r="G12" s="5" t="inlineStr">
        <is>
          <t>Block consentless profiling for marketing.</t>
        </is>
      </c>
    </row>
    <row r="13">
      <c r="A13" s="4" t="inlineStr">
        <is>
          <t>GATE-AI-ACT-DISCLOSURE</t>
        </is>
      </c>
      <c r="B13" s="4" t="inlineStr">
        <is>
          <t>AI Act transparency disclosure</t>
        </is>
      </c>
      <c r="C13" s="4" t="inlineStr">
        <is>
          <t>HIGH</t>
        </is>
      </c>
      <c r="D13" s="4" t="inlineStr">
        <is>
          <t>YES</t>
        </is>
      </c>
      <c r="E13" s="4" t="inlineStr">
        <is>
          <t>AG-BM003,AG-BM006</t>
        </is>
      </c>
      <c r="F13" s="4" t="inlineStr">
        <is>
          <t>SRC-EU-AIACT-001</t>
        </is>
      </c>
      <c r="G13" s="4" t="inlineStr">
        <is>
          <t>Block missing AI disclosure when applicable.</t>
        </is>
      </c>
    </row>
    <row r="14">
      <c r="A14" s="5" t="inlineStr">
        <is>
          <t>GATE-HITL-COMPLIANCE</t>
        </is>
      </c>
      <c r="B14" s="5" t="inlineStr">
        <is>
          <t>Human compliance approval</t>
        </is>
      </c>
      <c r="C14" s="5" t="inlineStr">
        <is>
          <t>CRITICAL</t>
        </is>
      </c>
      <c r="D14" s="5" t="inlineStr">
        <is>
          <t>YES</t>
        </is>
      </c>
      <c r="E14" s="5" t="inlineStr">
        <is>
          <t>all</t>
        </is>
      </c>
      <c r="F14" s="5" t="inlineStr">
        <is>
          <t>internal</t>
        </is>
      </c>
      <c r="G14" s="5" t="inlineStr">
        <is>
          <t>Block final publication without named approver.</t>
        </is>
      </c>
    </row>
  </sheetData>
  <mergeCells count="2">
    <mergeCell ref="A2:G2"/>
    <mergeCell ref="A1:G1"/>
  </mergeCells>
  <dataValidations count="1">
    <dataValidation sqref="D5:D14" showDropDown="0" showInputMessage="0" showErrorMessage="0" allowBlank="1" errorTitle="Invalid entry" error="Value outside list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2" customWidth="1" min="3" max="3"/>
    <col width="14" customWidth="1" min="4" max="4"/>
    <col width="12" customWidth="1" min="5" max="5"/>
    <col width="82" customWidth="1" min="6" max="6"/>
    <col width="24" customWidth="1" min="7" max="7"/>
  </cols>
  <sheetData>
    <row r="1" ht="38" customHeight="1">
      <c r="A1" s="1" t="inlineStr">
        <is>
          <t>RISK REGISTER</t>
        </is>
      </c>
    </row>
    <row r="2" ht="24" customHeight="1">
      <c r="A2" s="2" t="inlineStr">
        <is>
          <t>Portfolio risk register and mitigation plan</t>
        </is>
      </c>
    </row>
    <row r="4" ht="32" customHeight="1">
      <c r="A4" s="3" t="inlineStr">
        <is>
          <t>RISK_ID</t>
        </is>
      </c>
      <c r="B4" s="3" t="inlineStr">
        <is>
          <t>RISK</t>
        </is>
      </c>
      <c r="C4" s="3" t="inlineStr">
        <is>
          <t>IMPACT</t>
        </is>
      </c>
      <c r="D4" s="3" t="inlineStr">
        <is>
          <t>LIKELIHOOD</t>
        </is>
      </c>
      <c r="E4" s="3" t="inlineStr">
        <is>
          <t>SCORE</t>
        </is>
      </c>
      <c r="F4" s="3" t="inlineStr">
        <is>
          <t>MITIGATION</t>
        </is>
      </c>
      <c r="G4" s="3" t="inlineStr">
        <is>
          <t>OWNER</t>
        </is>
      </c>
    </row>
    <row r="5">
      <c r="A5" s="4" t="inlineStr">
        <is>
          <t>RISK-BM-001</t>
        </is>
      </c>
      <c r="B5" s="4" t="inlineStr">
        <is>
          <t>Marketing message is misleading or unbalanced</t>
        </is>
      </c>
      <c r="C5" s="4" t="n">
        <v>5</v>
      </c>
      <c r="D5" s="4" t="n">
        <v>3</v>
      </c>
      <c r="E5" s="4">
        <f>C5*D5</f>
        <v/>
      </c>
      <c r="F5" s="4" t="inlineStr">
        <is>
          <t>AMF/ACPR gates and redline output</t>
        </is>
      </c>
      <c r="G5" s="4" t="inlineStr">
        <is>
          <t>Compliance</t>
        </is>
      </c>
    </row>
    <row r="6">
      <c r="A6" s="5" t="inlineStr">
        <is>
          <t>RISK-BM-002</t>
        </is>
      </c>
      <c r="B6" s="5" t="inlineStr">
        <is>
          <t>Educational content becomes personalized advice</t>
        </is>
      </c>
      <c r="C6" s="5" t="n">
        <v>4</v>
      </c>
      <c r="D6" s="5" t="n">
        <v>3</v>
      </c>
      <c r="E6" s="5">
        <f>C6*D6</f>
        <v/>
      </c>
      <c r="F6" s="5" t="inlineStr">
        <is>
          <t>Education disclaimer and HITL compliance</t>
        </is>
      </c>
      <c r="G6" s="5" t="inlineStr">
        <is>
          <t>Education + Legal</t>
        </is>
      </c>
    </row>
    <row r="7">
      <c r="A7" s="4" t="inlineStr">
        <is>
          <t>RISK-BM-003</t>
        </is>
      </c>
      <c r="B7" s="4" t="inlineStr">
        <is>
          <t>CRM segmentation uses profiling without valid basis</t>
        </is>
      </c>
      <c r="C7" s="4" t="n">
        <v>5</v>
      </c>
      <c r="D7" s="4" t="n">
        <v>3</v>
      </c>
      <c r="E7" s="4">
        <f>C7*D7</f>
        <v/>
      </c>
      <c r="F7" s="4" t="inlineStr">
        <is>
          <t>Consent/profiling gate and DPO review</t>
        </is>
      </c>
      <c r="G7" s="4" t="inlineStr">
        <is>
          <t>DPO</t>
        </is>
      </c>
    </row>
    <row r="8">
      <c r="A8" s="5" t="inlineStr">
        <is>
          <t>RISK-BM-004</t>
        </is>
      </c>
      <c r="B8" s="5" t="inlineStr">
        <is>
          <t>Investment campaign targets incompatible client group</t>
        </is>
      </c>
      <c r="C8" s="5" t="n">
        <v>5</v>
      </c>
      <c r="D8" s="5" t="n">
        <v>2</v>
      </c>
      <c r="E8" s="5">
        <f>C8*D8</f>
        <v/>
      </c>
      <c r="F8" s="5" t="inlineStr">
        <is>
          <t>MiFID target-market gate</t>
        </is>
      </c>
      <c r="G8" s="5" t="inlineStr">
        <is>
          <t>Investment Compliance</t>
        </is>
      </c>
    </row>
    <row r="9">
      <c r="A9" s="4" t="inlineStr">
        <is>
          <t>RISK-BM-005</t>
        </is>
      </c>
      <c r="B9" s="4" t="inlineStr">
        <is>
          <t>Crypto marketing omits MiCA notice or white paper consistency</t>
        </is>
      </c>
      <c r="C9" s="4" t="n">
        <v>5</v>
      </c>
      <c r="D9" s="4" t="n">
        <v>2</v>
      </c>
      <c r="E9" s="4">
        <f>C9*D9</f>
        <v/>
      </c>
      <c r="F9" s="4" t="inlineStr">
        <is>
          <t>MiCA gate and source evidence</t>
        </is>
      </c>
      <c r="G9" s="4" t="inlineStr">
        <is>
          <t>Crypto Compliance</t>
        </is>
      </c>
    </row>
    <row r="10">
      <c r="A10" s="5" t="inlineStr">
        <is>
          <t>RISK-BM-006</t>
        </is>
      </c>
      <c r="B10" s="5" t="inlineStr">
        <is>
          <t>AI-generated campaign lacks disclosure after applicability date</t>
        </is>
      </c>
      <c r="C10" s="5" t="n">
        <v>4</v>
      </c>
      <c r="D10" s="5" t="n">
        <v>3</v>
      </c>
      <c r="E10" s="5">
        <f>C10*D10</f>
        <v/>
      </c>
      <c r="F10" s="5" t="inlineStr">
        <is>
          <t>AI Act disclosure gate</t>
        </is>
      </c>
      <c r="G10" s="5" t="inlineStr">
        <is>
          <t>DPO + Marketing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54" customWidth="1" min="3" max="3"/>
    <col width="18" customWidth="1" min="4" max="4"/>
  </cols>
  <sheetData>
    <row r="1" ht="38" customHeight="1">
      <c r="A1" s="1" t="inlineStr">
        <is>
          <t>KPI DASHBOARD</t>
        </is>
      </c>
    </row>
    <row r="2" ht="24" customHeight="1">
      <c r="A2" s="2" t="inlineStr">
        <is>
          <t>Roll-up formulas for recruiter demo</t>
        </is>
      </c>
    </row>
    <row r="4" ht="32" customHeight="1">
      <c r="A4" s="3" t="inlineStr">
        <is>
          <t>KPI</t>
        </is>
      </c>
      <c r="B4" s="3" t="inlineStr">
        <is>
          <t>VALUE</t>
        </is>
      </c>
      <c r="C4" s="3" t="inlineStr">
        <is>
          <t>SOURCE</t>
        </is>
      </c>
      <c r="D4" s="3" t="inlineStr">
        <is>
          <t>STATUS</t>
        </is>
      </c>
    </row>
    <row r="5">
      <c r="A5" s="4" t="inlineStr">
        <is>
          <t>Public agents</t>
        </is>
      </c>
      <c r="B5" s="4">
        <f>COUNTIF('2_AGENT_REGISTRY'!D:D,"agent")</f>
        <v/>
      </c>
      <c r="C5" s="4" t="inlineStr">
        <is>
          <t>2_AGENT_REGISTRY</t>
        </is>
      </c>
      <c r="D5" s="4" t="inlineStr">
        <is>
          <t>OK</t>
        </is>
      </c>
    </row>
    <row r="6">
      <c r="A6" s="5" t="inlineStr">
        <is>
          <t>Reserved services</t>
        </is>
      </c>
      <c r="B6" s="5">
        <f>COUNTIF('2_AGENT_REGISTRY'!D:D,"service")</f>
        <v/>
      </c>
      <c r="C6" s="5" t="inlineStr">
        <is>
          <t>2_AGENT_REGISTRY</t>
        </is>
      </c>
      <c r="D6" s="5" t="inlineStr">
        <is>
          <t>OK</t>
        </is>
      </c>
    </row>
    <row r="7">
      <c r="A7" s="4" t="inlineStr">
        <is>
          <t>MVP gates</t>
        </is>
      </c>
      <c r="B7" s="4">
        <f>COUNTA('4_REVIEW_GATES'!A5:A50)</f>
        <v/>
      </c>
      <c r="C7" s="4" t="inlineStr">
        <is>
          <t>4_REVIEW_GATES</t>
        </is>
      </c>
      <c r="D7" s="4" t="inlineStr">
        <is>
          <t>OK</t>
        </is>
      </c>
    </row>
    <row r="8">
      <c r="A8" s="5" t="inlineStr">
        <is>
          <t>Blocking gates</t>
        </is>
      </c>
      <c r="B8" s="5">
        <f>COUNTIF('4_REVIEW_GATES'!D:D,"YES")</f>
        <v/>
      </c>
      <c r="C8" s="5" t="inlineStr">
        <is>
          <t>4_REVIEW_GATES</t>
        </is>
      </c>
      <c r="D8" s="5" t="inlineStr">
        <is>
          <t>OK</t>
        </is>
      </c>
    </row>
    <row r="9">
      <c r="A9" s="4" t="inlineStr">
        <is>
          <t>Risk score total</t>
        </is>
      </c>
      <c r="B9" s="4">
        <f>SUM('5_RISK_REGISTER'!E5:E20)</f>
        <v/>
      </c>
      <c r="C9" s="4" t="inlineStr">
        <is>
          <t>5_RISK_REGISTER</t>
        </is>
      </c>
      <c r="D9" s="4" t="inlineStr">
        <is>
          <t>OK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8" customWidth="1" min="3" max="3"/>
    <col width="22" customWidth="1" min="4" max="4"/>
    <col width="16" customWidth="1" min="5" max="5"/>
    <col width="78" customWidth="1" min="6" max="6"/>
  </cols>
  <sheetData>
    <row r="1" ht="38" customHeight="1">
      <c r="A1" s="1" t="inlineStr">
        <is>
          <t>ROADMAP</t>
        </is>
      </c>
    </row>
    <row r="2" ht="24" customHeight="1">
      <c r="A2" s="2" t="inlineStr">
        <is>
          <t>Excel foundations before site integration</t>
        </is>
      </c>
    </row>
    <row r="4" ht="32" customHeight="1">
      <c r="A4" s="3" t="inlineStr">
        <is>
          <t>SPRINT</t>
        </is>
      </c>
      <c r="B4" s="3" t="inlineStr">
        <is>
          <t>OBJECTIVE</t>
        </is>
      </c>
      <c r="C4" s="3" t="inlineStr">
        <is>
          <t>DELIVERABLE</t>
        </is>
      </c>
      <c r="D4" s="3" t="inlineStr">
        <is>
          <t>OWNER</t>
        </is>
      </c>
      <c r="E4" s="3" t="inlineStr">
        <is>
          <t>STATUS</t>
        </is>
      </c>
      <c r="F4" s="3" t="inlineStr">
        <is>
          <t>ACCEPTANCE</t>
        </is>
      </c>
    </row>
    <row r="5">
      <c r="A5" s="4" t="inlineStr">
        <is>
          <t>Sprint 0</t>
        </is>
      </c>
      <c r="B5" s="4" t="inlineStr">
        <is>
          <t>Excel foundations</t>
        </is>
      </c>
      <c r="C5" s="4" t="inlineStr">
        <is>
          <t>6 workbooks + verifier</t>
        </is>
      </c>
      <c r="D5" s="4" t="inlineStr">
        <is>
          <t>Product</t>
        </is>
      </c>
      <c r="E5" s="4" t="inlineStr">
        <is>
          <t>DONE</t>
        </is>
      </c>
      <c r="F5" s="4" t="inlineStr">
        <is>
          <t>Generation and verification pass locally.</t>
        </is>
      </c>
    </row>
    <row r="6">
      <c r="A6" s="5" t="inlineStr">
        <is>
          <t>Sprint 1</t>
        </is>
      </c>
      <c r="B6" s="5" t="inlineStr">
        <is>
          <t>Portfolio review</t>
        </is>
      </c>
      <c r="C6" s="5" t="inlineStr">
        <is>
          <t>Recruiter-ready workbook pack</t>
        </is>
      </c>
      <c r="D6" s="5" t="inlineStr">
        <is>
          <t>Product</t>
        </is>
      </c>
      <c r="E6" s="5" t="inlineStr">
        <is>
          <t>NEXT</t>
        </is>
      </c>
      <c r="F6" s="5" t="inlineStr">
        <is>
          <t>Tables, formulas and synthetic scenarios are explainable.</t>
        </is>
      </c>
    </row>
    <row r="7">
      <c r="A7" s="4" t="inlineStr">
        <is>
          <t>Sprint 2</t>
        </is>
      </c>
      <c r="B7" s="4" t="inlineStr">
        <is>
          <t>Content sync</t>
        </is>
      </c>
      <c r="C7" s="4" t="inlineStr">
        <is>
          <t>content/bank-marketing JSON + sync script</t>
        </is>
      </c>
      <c r="D7" s="4" t="inlineStr">
        <is>
          <t>Engineering</t>
        </is>
      </c>
      <c r="E7" s="4" t="inlineStr">
        <is>
          <t>PLANNED</t>
        </is>
      </c>
      <c r="F7" s="4" t="inlineStr">
        <is>
          <t>Only after Excel foundations are approved.</t>
        </is>
      </c>
    </row>
    <row r="8">
      <c r="A8" s="5" t="inlineStr">
        <is>
          <t>Sprint 3</t>
        </is>
      </c>
      <c r="B8" s="5" t="inlineStr">
        <is>
          <t>NEURAL site page</t>
        </is>
      </c>
      <c r="C8" s="5" t="inlineStr">
        <is>
          <t>Banque Marketing console</t>
        </is>
      </c>
      <c r="D8" s="5" t="inlineStr">
        <is>
          <t>Frontend</t>
        </is>
      </c>
      <c r="E8" s="5" t="inlineStr">
        <is>
          <t>PLANNED</t>
        </is>
      </c>
      <c r="F8" s="5" t="inlineStr">
        <is>
          <t>Page mirrors Excel agents and scenarios.</t>
        </is>
      </c>
    </row>
    <row r="9">
      <c r="A9" s="4" t="inlineStr">
        <is>
          <t>Sprint 4</t>
        </is>
      </c>
      <c r="B9" s="4" t="inlineStr">
        <is>
          <t>Live agents</t>
        </is>
      </c>
      <c r="C9" s="4" t="inlineStr">
        <is>
          <t>Interactive audit/redline demos</t>
        </is>
      </c>
      <c r="D9" s="4" t="inlineStr">
        <is>
          <t>AI Engineering</t>
        </is>
      </c>
      <c r="E9" s="4" t="inlineStr">
        <is>
          <t>PLANNED</t>
        </is>
      </c>
      <c r="F9" s="4" t="inlineStr">
        <is>
          <t>HITL and evidence gates remain visible.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98" customWidth="1" min="3" max="3"/>
    <col width="20" customWidth="1" min="4" max="4"/>
    <col width="16" customWidth="1" min="5" max="5"/>
  </cols>
  <sheetData>
    <row r="1" ht="38" customHeight="1">
      <c r="A1" s="1" t="inlineStr">
        <is>
          <t>CHANGELOG</t>
        </is>
      </c>
    </row>
    <row r="2" ht="24" customHeight="1">
      <c r="A2" s="2" t="inlineStr">
        <is>
          <t>Portfolio build log</t>
        </is>
      </c>
    </row>
    <row r="4" ht="32" customHeight="1">
      <c r="A4" s="3" t="inlineStr">
        <is>
          <t>VERSION</t>
        </is>
      </c>
      <c r="B4" s="3" t="inlineStr">
        <is>
          <t>DATE</t>
        </is>
      </c>
      <c r="C4" s="3" t="inlineStr">
        <is>
          <t>CHANGE</t>
        </is>
      </c>
      <c r="D4" s="3" t="inlineStr">
        <is>
          <t>AUTHOR</t>
        </is>
      </c>
      <c r="E4" s="3" t="inlineStr">
        <is>
          <t>STATUS</t>
        </is>
      </c>
    </row>
    <row r="5">
      <c r="A5" s="4" t="inlineStr">
        <is>
          <t>v0.1</t>
        </is>
      </c>
      <c r="B5" s="7" t="n">
        <v>46137</v>
      </c>
      <c r="C5" s="4" t="inlineStr">
        <is>
          <t>Initial Banque Marketing foundations: AMF/ACPR advertising, financial education, segmentation, MiFID/PRIIPs/MiCA, GDPR, AI Act and DORA.</t>
        </is>
      </c>
      <c r="D5" s="4" t="inlineStr">
        <is>
          <t>NEURAL</t>
        </is>
      </c>
      <c r="E5" s="4" t="inlineStr">
        <is>
          <t>DRAFT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NEURAL</dc:creator>
  <dc:title>NEURAL Banque Marketing Master</dc:title>
  <dc:description>Synthetic portfolio workbook generated for NEURAL Banque Marketing.</dc:description>
  <dc:subject>Agent registry and workflow architecture</dc:subject>
  <dcterms:created xsi:type="dcterms:W3CDTF">2026-04-25T15:17:14Z</dcterms:created>
  <dcterms:modified xsi:type="dcterms:W3CDTF">2026-04-25T15:17:14Z</dcterms:modified>
  <cp:category>Banque - Marketing</cp:category>
</cp:coreProperties>
</file>