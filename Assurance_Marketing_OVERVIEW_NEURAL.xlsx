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README" sheetId="1" state="visible" r:id="rId3"/>
    <sheet name="1_Agents_Synthese" sheetId="2" state="visible" r:id="rId4"/>
    <sheet name="2_Pipeline_Orchestration" sheetId="3" state="visible" r:id="rId5"/>
    <sheet name="3_Reglementation_Cross" sheetId="4" state="visible" r:id="rId6"/>
    <sheet name="4_KPIs_Consolides" sheetId="5" state="visible" r:id="rId7"/>
    <sheet name="5_Roadmap" sheetId="6" state="visible" r:id="rId8"/>
    <sheet name="6_Pricing_R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<sst xmlns="http://schemas.openxmlformats.org/spreadsheetml/2006/main" count="443" uniqueCount="347">
  <si>
    <t xml:space="preserve">NEURAL · Assurances/Marketing — OVERVIEW : Synthèse de la branche 4 agents</t>
  </si>
  <si>
    <t xml:space="preserve">Vue consolidée des 4 agents NEURAL pour assureurs, courtiers, mutuelles et comparateurs</t>
  </si>
  <si>
    <t xml:space="preserve">VISION DE LA BRANCHE</t>
  </si>
  <si>
    <t xml:space="preserve">Promesse</t>
  </si>
  <si>
    <t xml:space="preserve">Automatiser la conformité réglementaire et l'optimisation rédactionnelle des contenus assurance — du contrat au pitch comparateur, en passant par les guides de prévention.</t>
  </si>
  <si>
    <t xml:space="preserve">Marché cible</t>
  </si>
  <si>
    <t xml:space="preserve">200+ assureurs en France (FFSA + Roam) | 22 000 courtiers (CSCA) | 8 comparateurs majeurs (LesFurets, Assurland, etc.) | 50+ mutuelles (Mutualité Française)</t>
  </si>
  <si>
    <t xml:space="preserve">Pain point #1</t>
  </si>
  <si>
    <t xml:space="preserve">Les services compliance et marketing assurance fonctionnent en silos. Les communications passent en compliance APRÈS rédaction, ce qui génère 30-40% de retours et allonge le time-to-market de 3 à 6 semaines.</t>
  </si>
  <si>
    <t xml:space="preserve">Pain point #2</t>
  </si>
  <si>
    <t xml:space="preserve">L'arrivée de l'AI Act (août 2026) + Acte délégué clarté contractuelle (2025) + DSA pour comparateurs (2024) crée une charge réglementaire impossible à absorber par les équipes humaines existantes.</t>
  </si>
  <si>
    <t xml:space="preserve">Différenciation</t>
  </si>
  <si>
    <t xml:space="preserve">NEURAL pré-calcule les verdicts compliance en amont (DDA, RGPD, DSA) — ce qui transforme la compliance d'un goulot d'étranglement en une garantie en temps réel.</t>
  </si>
  <si>
    <t xml:space="preserve">Volumétrie cible</t>
  </si>
  <si>
    <t xml:space="preserve">À 12 mois : 5-8 clients pilotes (assureurs/courtiers) | À 24 mois : 25-35 clients | À 36 mois : 80-100 clients (incluant SaaS self-service)</t>
  </si>
  <si>
    <t xml:space="preserve">LES 4 AGENTS — BLOC SYNTHÈSE</t>
  </si>
  <si>
    <t xml:space="preserve">Ordre</t>
  </si>
  <si>
    <t xml:space="preserve">Agent</t>
  </si>
  <si>
    <t xml:space="preserve">Rôle</t>
  </si>
  <si>
    <t xml:space="preserve">Réglementation cœur</t>
  </si>
  <si>
    <t xml:space="preserve">Confidence v1</t>
  </si>
  <si>
    <t xml:space="preserve">InsurSimplifier</t>
  </si>
  <si>
    <t xml:space="preserve">Simplification rédactionnelle des clauses d'assurance</t>
  </si>
  <si>
    <t xml:space="preserve">Acte délégué clarté contractuelle 2025 — UE 2024/879</t>
  </si>
  <si>
    <t xml:space="preserve">92%</t>
  </si>
  <si>
    <t xml:space="preserve">DDA_MarketingGuard</t>
  </si>
  <si>
    <t xml:space="preserve">Audit conformité DDA des communications marketing avant diffusion</t>
  </si>
  <si>
    <t xml:space="preserve">DDA UE 2016/97 + Code des assurances L.521 + ACPR Reco 2024-R-01</t>
  </si>
  <si>
    <t xml:space="preserve">88%</t>
  </si>
  <si>
    <t xml:space="preserve">MultiChannelInsur</t>
  </si>
  <si>
    <t xml:space="preserve">Adaptation discours assurance par canal de distribution</t>
  </si>
  <si>
    <t xml:space="preserve">DDA + DSA art. 22-26 + DMA art. 6-7 + AI Act art. 50</t>
  </si>
  <si>
    <t xml:space="preserve">90%</t>
  </si>
  <si>
    <t xml:space="preserve">PreventionContent</t>
  </si>
  <si>
    <t xml:space="preserve">Audit ClaimGuard + génération contenu prévention conforme RGPD</t>
  </si>
  <si>
    <t xml:space="preserve">RGPD art. 9 + art. 22 + Code des assurances L.113-8/9 + Code conso L.121-1</t>
  </si>
  <si>
    <t xml:space="preserve">86%</t>
  </si>
  <si>
    <t xml:space="preserve">MODE D'EMPLOI DES ONGLETS</t>
  </si>
  <si>
    <t xml:space="preserve">0_README</t>
  </si>
  <si>
    <t xml:space="preserve">Ce guide — vision, marché, synthèse 4 agents</t>
  </si>
  <si>
    <t xml:space="preserve">1_Agents_Synthese</t>
  </si>
  <si>
    <t xml:space="preserve">Fiche détaillée par agent : input/output/KPIs/déclencheurs/durée/validations humaines</t>
  </si>
  <si>
    <t xml:space="preserve">2_Pipeline_Orchestration</t>
  </si>
  <si>
    <t xml:space="preserve">Scénarios d'enchaînement réels : 'Lancement nouveau MRH' (4 étapes) + 'Refonte santé senior' (4 étapes)</t>
  </si>
  <si>
    <t xml:space="preserve">3_Reglementation_Cross</t>
  </si>
  <si>
    <t xml:space="preserve">Matrice 9 réglementations × 4 agents — qui est cœur, indirect, non applicable</t>
  </si>
  <si>
    <t xml:space="preserve">4_KPIs_Consolides</t>
  </si>
  <si>
    <t xml:space="preserve">12 KPIs cross-agents — valeur v1 + cible v2 + écart</t>
  </si>
  <si>
    <t xml:space="preserve">5_Roadmap</t>
  </si>
  <si>
    <t xml:space="preserve">6 phases de déploiement — POC → SaaS self-service (36 mois)</t>
  </si>
  <si>
    <t xml:space="preserve">6_Pricing_ROI</t>
  </si>
  <si>
    <t xml:space="preserve">5 forfaits + calcul ROI client : économie mensuelle vs prix mensuel</t>
  </si>
  <si>
    <t xml:space="preserve">NEURAL · OVERVIEW — 1_Agents_Synthese : Fiche détaillée par agent</t>
  </si>
  <si>
    <t xml:space="preserve">Input, output, KPIs, déclencheurs, validation humaine — pour chaque agent de la branche</t>
  </si>
  <si>
    <t xml:space="preserve">Input</t>
  </si>
  <si>
    <t xml:space="preserve">Output</t>
  </si>
  <si>
    <t xml:space="preserve">KPI principal</t>
  </si>
  <si>
    <t xml:space="preserve">KPI secondaire</t>
  </si>
  <si>
    <t xml:space="preserve">Trigger</t>
  </si>
  <si>
    <t xml:space="preserve">Durée traitement</t>
  </si>
  <si>
    <t xml:space="preserve">Validation humaine requise</t>
  </si>
  <si>
    <t xml:space="preserve">Texte brut clause CGU/CGV/IPID/notice</t>
  </si>
  <si>
    <t xml:space="preserve">Version vulgarisée niveau B1-B2 + score Flesch + glossaire termes techniques</t>
  </si>
  <si>
    <t xml:space="preserve">Score Flesch FR (Kandel-Moles) — cible &gt; 50 (lisible)</t>
  </si>
  <si>
    <t xml:space="preserve">% termes techniques avec définition glossaire — cible &gt; 90%</t>
  </si>
  <si>
    <t xml:space="preserve">Manuel ou batch sur catalogue produits</t>
  </si>
  <si>
    <t xml:space="preserve">30s par clause — 5 min par contrat complet</t>
  </si>
  <si>
    <t xml:space="preserve">Validation juridique avant publication contractuelle</t>
  </si>
  <si>
    <t xml:space="preserve">Communication marketing (email, post, brochure, mailing, comparateur)</t>
  </si>
  <si>
    <t xml:space="preserve">Verdict OK/WARN/KO sur 12 points DDA + redlines + score conformité + décision diffusion</t>
  </si>
  <si>
    <t xml:space="preserve">Score conformité (% OK + 0.5×WARN) / 12 — cible &gt; 80% pour DIFFUSION OK</t>
  </si>
  <si>
    <t xml:space="preserve">Nb KO bloquants — cible 0 par communication</t>
  </si>
  <si>
    <t xml:space="preserve">Pré-publication automatique via webhook CMS / DAM</t>
  </si>
  <si>
    <t xml:space="preserve">10s par communication — 1 min par campagne complète</t>
  </si>
  <si>
    <t xml:space="preserve">Compliance officer pour validation finale + ACPR si campagne nationale</t>
  </si>
  <si>
    <t xml:space="preserve">Brief commercial source + canal cible (agent / courtier / direct / comparateur)</t>
  </si>
  <si>
    <t xml:space="preserve">Variante optimisée canal + mentions légales adaptées + score adaptation</t>
  </si>
  <si>
    <t xml:space="preserve">Score adaptation canal (registre + mentions) — cible &gt; 90 par variante</t>
  </si>
  <si>
    <t xml:space="preserve">Score conformité DDA + DSA/DMA (comparateur uniquement) — cible &gt; 85</t>
  </si>
  <si>
    <t xml:space="preserve">Workflow marketing — input brief, génération 4 variantes simultanées</t>
  </si>
  <si>
    <t xml:space="preserve">45s par brief × 4 canaux — 3 min par campagne 3 produits</t>
  </si>
  <si>
    <t xml:space="preserve">Validation directrice marketing + DPO si comparateur (DSA)</t>
  </si>
  <si>
    <t xml:space="preserve">Contenu prévention brut (route / santé / habitation) + métadonnées collecte données</t>
  </si>
  <si>
    <t xml:space="preserve">Findings ClaimGuard + audit RGPD art. 9 + version optimisée + registre traitements</t>
  </si>
  <si>
    <t xml:space="preserve">Score ClaimGuard avant/après — gain moyen cible &gt; +50 pts</t>
  </si>
  <si>
    <t xml:space="preserve">Score RGPD avant/après — gain moyen cible &gt; +50 pts</t>
  </si>
  <si>
    <t xml:space="preserve">Pré-diffusion via CMS prévention + revue annuelle automatique</t>
  </si>
  <si>
    <t xml:space="preserve">1 min par contenu — 8 min par campagne complète multi-domaines</t>
  </si>
  <si>
    <t xml:space="preserve">DPO + DPIA pour traitements art. 9 + juriste si refonte produit</t>
  </si>
  <si>
    <t xml:space="preserve">NEURAL · OVERVIEW — 2_Pipeline_Orchestration : Scénarios d'enchaînement multi-agents</t>
  </si>
  <si>
    <t xml:space="preserve">Comment les 4 agents s'orchestrent dans des cas réels — handoffs entre agents et services</t>
  </si>
  <si>
    <t xml:space="preserve">Scénario</t>
  </si>
  <si>
    <t xml:space="preserve">Étape</t>
  </si>
  <si>
    <t xml:space="preserve">Action</t>
  </si>
  <si>
    <t xml:space="preserve">Source input</t>
  </si>
  <si>
    <t xml:space="preserve">Destinataire output</t>
  </si>
  <si>
    <t xml:space="preserve">Lancement nouveau produit MRH</t>
  </si>
  <si>
    <t xml:space="preserve">Étape 1</t>
  </si>
  <si>
    <t xml:space="preserve">Vulgarisation des CGV + IPID du nouveau produit MRH Premium</t>
  </si>
  <si>
    <t xml:space="preserve">Service produit (juriste + actuaire)</t>
  </si>
  <si>
    <t xml:space="preserve">Service marketing + service formation réseau</t>
  </si>
  <si>
    <t xml:space="preserve">Étape 2</t>
  </si>
  <si>
    <t xml:space="preserve">Génération de 4 variantes communication (agent / courtier / direct / comparateur) à partir du brief produit simplifié</t>
  </si>
  <si>
    <t xml:space="preserve">Sortie InsurSimplifier + brief commercial</t>
  </si>
  <si>
    <t xml:space="preserve">Service marketing par canal</t>
  </si>
  <si>
    <t xml:space="preserve">Étape 3</t>
  </si>
  <si>
    <t xml:space="preserve">Audit conformité DDA des 4 variantes avant diffusion</t>
  </si>
  <si>
    <t xml:space="preserve">Sortie MultiChannelInsur</t>
  </si>
  <si>
    <t xml:space="preserve">Service compliance + retour aux marketeurs si KO</t>
  </si>
  <si>
    <t xml:space="preserve">Étape 4</t>
  </si>
  <si>
    <t xml:space="preserve">Génération du guide prévention habitation associé au lancement (ClaimGuard + RGPD)</t>
  </si>
  <si>
    <t xml:space="preserve">Brief prévention + métadonnées collecte données</t>
  </si>
  <si>
    <t xml:space="preserve">Newsletter prévention + espace client</t>
  </si>
  <si>
    <t xml:space="preserve">Refonte campagne santé senior</t>
  </si>
  <si>
    <t xml:space="preserve">Audit RGPD du questionnaire santé existant + détection findings claim avoidance</t>
  </si>
  <si>
    <t xml:space="preserve">Contenus en production</t>
  </si>
  <si>
    <t xml:space="preserve">DPO + équipe marketing santé</t>
  </si>
  <si>
    <t xml:space="preserve">Vulgarisation des clauses contractuelles santé liées aux dépistages</t>
  </si>
  <si>
    <t xml:space="preserve">CGV produit santé senior</t>
  </si>
  <si>
    <t xml:space="preserve">Équipe marketing santé</t>
  </si>
  <si>
    <t xml:space="preserve">Variantes par canal — agent général + direct (pas de courtier ni comparateur sur santé senior)</t>
  </si>
  <si>
    <t xml:space="preserve">Sortie InsurSimplifier + brief refonte</t>
  </si>
  <si>
    <t xml:space="preserve">Marketing canal</t>
  </si>
  <si>
    <t xml:space="preserve">Audit final avant diffusion campagne</t>
  </si>
  <si>
    <t xml:space="preserve">Sorties MultiChannelInsur + PreventionContent</t>
  </si>
  <si>
    <t xml:space="preserve">Direction marketing — Go/No-Go diffusion</t>
  </si>
  <si>
    <t xml:space="preserve">GAINS D'ORCHESTRATION VS USAGE INDIVIDUEL</t>
  </si>
  <si>
    <t xml:space="preserve">Time-to-market lancement produit</t>
  </si>
  <si>
    <t xml:space="preserve">Avant orchestration</t>
  </si>
  <si>
    <t xml:space="preserve">6-9 semaines (allers-retours compliance + marketing)</t>
  </si>
  <si>
    <t xml:space="preserve">Avec orchestration NEURAL</t>
  </si>
  <si>
    <t xml:space="preserve">2-3 semaines (pré-validation à chaque étape)</t>
  </si>
  <si>
    <t xml:space="preserve">Cohérence cross-canal</t>
  </si>
  <si>
    <t xml:space="preserve">Inégale — chaque équipe canal travaille en silo</t>
  </si>
  <si>
    <t xml:space="preserve">Garantie — brief source unique, déclinaison contrôlée</t>
  </si>
  <si>
    <t xml:space="preserve">Traçabilité réglementaire</t>
  </si>
  <si>
    <t xml:space="preserve">Manuelle — preuves dispersées dans plusieurs services</t>
  </si>
  <si>
    <t xml:space="preserve">Automatisée — registre unique + journaux d'audit par agent</t>
  </si>
  <si>
    <t xml:space="preserve">NEURAL · OVERVIEW — 3_Reglementation_Cross : Matrice 9 réglementations × 4 agents</t>
  </si>
  <si>
    <t xml:space="preserve">Pour chaque réglementation : quel agent la traite (Cœur), la touche (Indirect), ne s'y applique pas</t>
  </si>
  <si>
    <t xml:space="preserve">Réglementation</t>
  </si>
  <si>
    <t xml:space="preserve">Référence légale</t>
  </si>
  <si>
    <t xml:space="preserve">Criticité</t>
  </si>
  <si>
    <t xml:space="preserve">DDA — Directive Distribution Assurance</t>
  </si>
  <si>
    <t xml:space="preserve">UE 2016/97 + Code des assurances L.521</t>
  </si>
  <si>
    <t xml:space="preserve">Indirect — clarté CGV/IPID</t>
  </si>
  <si>
    <t xml:space="preserve">Cœur — 12 points checklist</t>
  </si>
  <si>
    <t xml:space="preserve">Cœur — adaptation par canal</t>
  </si>
  <si>
    <t xml:space="preserve">Indirect — pas de claim avoidance</t>
  </si>
  <si>
    <t xml:space="preserve">BLOQUANT</t>
  </si>
  <si>
    <t xml:space="preserve">Acte délégué clarté contractuelle</t>
  </si>
  <si>
    <t xml:space="preserve">UE 2024/879 (applicable 2025)</t>
  </si>
  <si>
    <t xml:space="preserve">Cœur — score Flesch + vulgarisation</t>
  </si>
  <si>
    <t xml:space="preserve">Indirect — vérifie clarté comm.</t>
  </si>
  <si>
    <t xml:space="preserve">Indirect — clarté par canal</t>
  </si>
  <si>
    <t xml:space="preserve">Faible</t>
  </si>
  <si>
    <t xml:space="preserve">DSA — Digital Services Act</t>
  </si>
  <si>
    <t xml:space="preserve">UE 2022/2065 art. 22-26</t>
  </si>
  <si>
    <t xml:space="preserve">Non applicable</t>
  </si>
  <si>
    <t xml:space="preserve">Cas comparateur uniquement</t>
  </si>
  <si>
    <t xml:space="preserve">Cœur sur canal comparateur</t>
  </si>
  <si>
    <t xml:space="preserve">Indirect — publicité prévention</t>
  </si>
  <si>
    <t xml:space="preserve">BLOQUANT (comparateurs)</t>
  </si>
  <si>
    <t xml:space="preserve">DMA — Digital Markets Act</t>
  </si>
  <si>
    <t xml:space="preserve">UE 2022/1925 art. 6-7</t>
  </si>
  <si>
    <t xml:space="preserve">Indirect comparateur</t>
  </si>
  <si>
    <t xml:space="preserve">Cœur si gatekeeper</t>
  </si>
  <si>
    <t xml:space="preserve">Conditionnel</t>
  </si>
  <si>
    <t xml:space="preserve">AI Act — Règlement IA UE</t>
  </si>
  <si>
    <t xml:space="preserve">UE 2024/1689 art. 50 (août 2026)</t>
  </si>
  <si>
    <t xml:space="preserve">Disclosure si IA utilisée publiquement</t>
  </si>
  <si>
    <t xml:space="preserve">Disclosure scoring IA</t>
  </si>
  <si>
    <t xml:space="preserve">Disclosure si comparateur scoring</t>
  </si>
  <si>
    <t xml:space="preserve">Disclosure si scoring prévention auto</t>
  </si>
  <si>
    <t xml:space="preserve">BLOQUANT (août 2026)</t>
  </si>
  <si>
    <t xml:space="preserve">RGPD</t>
  </si>
  <si>
    <t xml:space="preserve">UE 2016/679 art. 6, 9, 22, 30, 35</t>
  </si>
  <si>
    <t xml:space="preserve">Faible — pas de DCP traitées</t>
  </si>
  <si>
    <t xml:space="preserve">Faible — analyse comm. publiques</t>
  </si>
  <si>
    <t xml:space="preserve">Modéré — segments cible</t>
  </si>
  <si>
    <t xml:space="preserve">Cœur — données santé art. 9</t>
  </si>
  <si>
    <t xml:space="preserve">ACPR — Recommandation publicité</t>
  </si>
  <si>
    <t xml:space="preserve">ACPR Reco 2024-R-01</t>
  </si>
  <si>
    <t xml:space="preserve">Indirect — clarté</t>
  </si>
  <si>
    <t xml:space="preserve">Cœur</t>
  </si>
  <si>
    <t xml:space="preserve">Indirect — pratiques commerciales</t>
  </si>
  <si>
    <t xml:space="preserve">Code de la consommation</t>
  </si>
  <si>
    <t xml:space="preserve">L.121-1 (pratique trompeuse)</t>
  </si>
  <si>
    <t xml:space="preserve">Indirect — pas de tromperie clarté</t>
  </si>
  <si>
    <t xml:space="preserve">Cœur — détection trompeur</t>
  </si>
  <si>
    <t xml:space="preserve">Cœur — par canal</t>
  </si>
  <si>
    <t xml:space="preserve">Cœur — claim avoidance</t>
  </si>
  <si>
    <t xml:space="preserve">Loi Lemoine (résiliation infra-annuelle)</t>
  </si>
  <si>
    <t xml:space="preserve">Loi 2022-270</t>
  </si>
  <si>
    <t xml:space="preserve">À mentionner dans CGV santé</t>
  </si>
  <si>
    <t xml:space="preserve">Vérifie mention dans comm. santé</t>
  </si>
  <si>
    <t xml:space="preserve">Mention par canal</t>
  </si>
  <si>
    <t xml:space="preserve">Indirect</t>
  </si>
  <si>
    <t xml:space="preserve">Important (santé)</t>
  </si>
  <si>
    <t xml:space="preserve">LÉGENDE</t>
  </si>
  <si>
    <t xml:space="preserve">L'agent est principalement conçu pour traiter cette réglementation</t>
  </si>
  <si>
    <t xml:space="preserve">Indirect / Modéré</t>
  </si>
  <si>
    <t xml:space="preserve">L'agent touche cette réglementation comme effet secondaire</t>
  </si>
  <si>
    <t xml:space="preserve">Disclosure</t>
  </si>
  <si>
    <t xml:space="preserve">L'agent doit ajouter une mention de disclosure (AI Act)</t>
  </si>
  <si>
    <t xml:space="preserve">Faible / Non applicable</t>
  </si>
  <si>
    <t xml:space="preserve">L'agent n'est pas concerné</t>
  </si>
  <si>
    <t xml:space="preserve">Toute non-conformité empêche la mise en production</t>
  </si>
  <si>
    <t xml:space="preserve">Conditionnel / Important</t>
  </si>
  <si>
    <t xml:space="preserve">Sanction possible mais non systématique</t>
  </si>
  <si>
    <t xml:space="preserve">NEURAL · OVERVIEW — 4_KPIs_Consolides : 12 KPIs cross-agents v1 → cible v2</t>
  </si>
  <si>
    <t xml:space="preserve">3 KPIs par agent — valeur observée v1 + cible v2 + écart à combler</t>
  </si>
  <si>
    <t xml:space="preserve">KPI</t>
  </si>
  <si>
    <t xml:space="preserve">Valeur v1 (observée)</t>
  </si>
  <si>
    <t xml:space="preserve">Cible v2 (objectif)</t>
  </si>
  <si>
    <t xml:space="preserve">Écart</t>
  </si>
  <si>
    <t xml:space="preserve">Unité</t>
  </si>
  <si>
    <t xml:space="preserve">Statut</t>
  </si>
  <si>
    <t xml:space="preserve">Score Flesch FR</t>
  </si>
  <si>
    <t xml:space="preserve">points</t>
  </si>
  <si>
    <t xml:space="preserve">À PROGRESSER</t>
  </si>
  <si>
    <t xml:space="preserve">% glossaire</t>
  </si>
  <si>
    <t xml:space="preserve">%</t>
  </si>
  <si>
    <t xml:space="preserve">Réduction longueur clause</t>
  </si>
  <si>
    <t xml:space="preserve">Score conformité moyen</t>
  </si>
  <si>
    <t xml:space="preserve">% comm. DIFFUSION OK 1er passage</t>
  </si>
  <si>
    <t xml:space="preserve">Faux positifs verdict KO</t>
  </si>
  <si>
    <t xml:space="preserve">✓ ATTEINT</t>
  </si>
  <si>
    <t xml:space="preserve">Score adaptation canal moyen</t>
  </si>
  <si>
    <t xml:space="preserve">Score conformité DSA comparateur</t>
  </si>
  <si>
    <t xml:space="preserve">% variantes PRÊT (8/12)</t>
  </si>
  <si>
    <t xml:space="preserve">Gain ClaimGuard moyen</t>
  </si>
  <si>
    <t xml:space="preserve">+ pts</t>
  </si>
  <si>
    <t xml:space="preserve">Gain RGPD moyen</t>
  </si>
  <si>
    <t xml:space="preserve">% findings KO détectés</t>
  </si>
  <si>
    <t xml:space="preserve">STATISTIQUES AGRÉGÉES — Calculées par formule</t>
  </si>
  <si>
    <t xml:space="preserve">Nb KPIs total</t>
  </si>
  <si>
    <t xml:space="preserve">Nb KPIs déjà atteints</t>
  </si>
  <si>
    <t xml:space="preserve">Nb KPIs à progresser</t>
  </si>
  <si>
    <t xml:space="preserve">Écart moyen v1→v2</t>
  </si>
  <si>
    <t xml:space="preserve">NEURAL · OVERVIEW — 5_Roadmap : Déploiement par phases (POC → SaaS)</t>
  </si>
  <si>
    <t xml:space="preserve">6 phases sur 36 mois — du POC sur 5 produits au SaaS multi-tenant self-service</t>
  </si>
  <si>
    <t xml:space="preserve">Phase</t>
  </si>
  <si>
    <t xml:space="preserve">Durée</t>
  </si>
  <si>
    <t xml:space="preserve">Agents intégrés</t>
  </si>
  <si>
    <t xml:space="preserve">Livrable principal</t>
  </si>
  <si>
    <t xml:space="preserve">Phase 0 — POC</t>
  </si>
  <si>
    <t xml:space="preserve">Sprint 1-2 (4 semaines)</t>
  </si>
  <si>
    <t xml:space="preserve">POC sur 5 produits assurance, démo prospect</t>
  </si>
  <si>
    <t xml:space="preserve">Démo Excel disponible (livrée 04/2026)</t>
  </si>
  <si>
    <t xml:space="preserve">Phase 1 — Pilote</t>
  </si>
  <si>
    <t xml:space="preserve">Sprint 3-6 (8 semaines)</t>
  </si>
  <si>
    <t xml:space="preserve">InsurSimplifier + DDA_MarketingGuard</t>
  </si>
  <si>
    <t xml:space="preserve">Pilote chez 1 client assureur — 50 communications auditées</t>
  </si>
  <si>
    <t xml:space="preserve">Phase 2 — MVP</t>
  </si>
  <si>
    <t xml:space="preserve">Sprint 7-12 (12 semaines)</t>
  </si>
  <si>
    <t xml:space="preserve">+ MultiChannelInsur</t>
  </si>
  <si>
    <t xml:space="preserve">Déploiement sur 3 canaux + intégration CMS client</t>
  </si>
  <si>
    <t xml:space="preserve">Phase 3 — V1</t>
  </si>
  <si>
    <t xml:space="preserve">Sprint 13-20 (16 semaines)</t>
  </si>
  <si>
    <t xml:space="preserve">+ PreventionContent + RGPD audit</t>
  </si>
  <si>
    <t xml:space="preserve">Suite complète 4 agents + DPIA + registre traitements</t>
  </si>
  <si>
    <t xml:space="preserve">Phase 4 — Scale</t>
  </si>
  <si>
    <t xml:space="preserve">Sprint 21-28 (16 semaines)</t>
  </si>
  <si>
    <t xml:space="preserve">Tous + extension multi-langues</t>
  </si>
  <si>
    <t xml:space="preserve">Multi-tenant, FR + EN + DE, intégration ERP/CRM</t>
  </si>
  <si>
    <t xml:space="preserve">Roadmap</t>
  </si>
  <si>
    <t xml:space="preserve">Phase 5 — Self-service</t>
  </si>
  <si>
    <t xml:space="preserve">Sprint 29-36 (16 semaines)</t>
  </si>
  <si>
    <t xml:space="preserve">Tous + portail self-service</t>
  </si>
  <si>
    <t xml:space="preserve">Plateforme SaaS — assureurs/courtiers en autonomie</t>
  </si>
  <si>
    <t xml:space="preserve">Vision</t>
  </si>
  <si>
    <t xml:space="preserve">DÉPENDANCES CRITIQUES PAR PHASE</t>
  </si>
  <si>
    <t xml:space="preserve">Aucune — démo Excel auto-portée</t>
  </si>
  <si>
    <t xml:space="preserve">Signature 1 client pilote + intégration API CMS du client</t>
  </si>
  <si>
    <t xml:space="preserve">Validation pilote + recrutement 1 ingénieur ML + 1 juriste assurance</t>
  </si>
  <si>
    <t xml:space="preserve">Recrutement DPO + 2 ingénieurs ML + DPIA validée par CNIL</t>
  </si>
  <si>
    <t xml:space="preserve">Levée Série A (~3-5 M€) + 8-10 recrutements + clients EN/DE</t>
  </si>
  <si>
    <t xml:space="preserve">Phase 5 — SaaS</t>
  </si>
  <si>
    <t xml:space="preserve">Plateforme multi-tenant + équipe support 24/7 + certifications ISO 27001</t>
  </si>
  <si>
    <t xml:space="preserve">NEURAL · OVERVIEW — 6_Pricing_ROI : Forfaits + retour sur investissement client</t>
  </si>
  <si>
    <t xml:space="preserve">5 forfaits du Découverte au On-premise + calcul ROI client (forfait Suite complète)</t>
  </si>
  <si>
    <t xml:space="preserve">FORFAITS NEURAL — BRANCHE ASSURANCES/MARKETING</t>
  </si>
  <si>
    <t xml:space="preserve">Forfait</t>
  </si>
  <si>
    <t xml:space="preserve">Agents inclus</t>
  </si>
  <si>
    <t xml:space="preserve">Volume mensuel</t>
  </si>
  <si>
    <t xml:space="preserve">Prix mensuel (€)</t>
  </si>
  <si>
    <t xml:space="preserve">Prix annuel (€)</t>
  </si>
  <si>
    <t xml:space="preserve">Support</t>
  </si>
  <si>
    <t xml:space="preserve">Découverte</t>
  </si>
  <si>
    <t xml:space="preserve">InsurSimplifier seul</t>
  </si>
  <si>
    <t xml:space="preserve">100 clauses / mois</t>
  </si>
  <si>
    <t xml:space="preserve">Email — 48h</t>
  </si>
  <si>
    <t xml:space="preserve">Marketing Compliance</t>
  </si>
  <si>
    <t xml:space="preserve">DDA_MarketingGuard + MultiChannelInsur</t>
  </si>
  <si>
    <t xml:space="preserve">300 communications / mois</t>
  </si>
  <si>
    <t xml:space="preserve">Email + chat — 24h</t>
  </si>
  <si>
    <t xml:space="preserve">Suite complète</t>
  </si>
  <si>
    <t xml:space="preserve">Les 4 agents</t>
  </si>
  <si>
    <t xml:space="preserve">1000 actes / mois (clauses + comm + prévention)</t>
  </si>
  <si>
    <t xml:space="preserve">Email + chat + visio — 4h ouvrées</t>
  </si>
  <si>
    <t xml:space="preserve">Enterprise</t>
  </si>
  <si>
    <t xml:space="preserve">Suite + intégration sur-mesure</t>
  </si>
  <si>
    <t xml:space="preserve">Volume illimité + SLA 99.5%</t>
  </si>
  <si>
    <t xml:space="preserve">Account manager dédié + DPO partenaire</t>
  </si>
  <si>
    <t xml:space="preserve">On-premise</t>
  </si>
  <si>
    <t xml:space="preserve">Suite déployée chez le client</t>
  </si>
  <si>
    <t xml:space="preserve">Selon infra client</t>
  </si>
  <si>
    <t xml:space="preserve">Account manager + ingénieur dédié</t>
  </si>
  <si>
    <t xml:space="preserve">ROI CLIENT — FORFAIT SUITE COMPLÈTE (BUSINESS CASE)</t>
  </si>
  <si>
    <t xml:space="preserve">Métrique</t>
  </si>
  <si>
    <t xml:space="preserve">Valeur</t>
  </si>
  <si>
    <t xml:space="preserve">Source / hypothèse</t>
  </si>
  <si>
    <t xml:space="preserve">Coût annuel équivalent compliance officer (FTE)</t>
  </si>
  <si>
    <t xml:space="preserve">€/an</t>
  </si>
  <si>
    <t xml:space="preserve">INSEE 2024 — cadre conformité finance</t>
  </si>
  <si>
    <t xml:space="preserve">Coût annuel rédacteur juridique senior (FTE)</t>
  </si>
  <si>
    <t xml:space="preserve">INSEE 2024 — juriste assurance</t>
  </si>
  <si>
    <t xml:space="preserve">Coût annuel agence comm. spécialisée assurance</t>
  </si>
  <si>
    <t xml:space="preserve">Estimation marché 2024</t>
  </si>
  <si>
    <t xml:space="preserve">Heures économisées par mois (forfait Suite complète)</t>
  </si>
  <si>
    <t xml:space="preserve">h/mois</t>
  </si>
  <si>
    <t xml:space="preserve">Estimation NEURAL — 1000 actes × 20 min en moyenne</t>
  </si>
  <si>
    <t xml:space="preserve">Coût horaire interne moyen (chargé)</t>
  </si>
  <si>
    <t xml:space="preserve">€/h</t>
  </si>
  <si>
    <t xml:space="preserve">Estimation NEURAL</t>
  </si>
  <si>
    <t xml:space="preserve">Économie mensuelle estimée (forfait Suite)</t>
  </si>
  <si>
    <t xml:space="preserve">€/mois</t>
  </si>
  <si>
    <t xml:space="preserve">320h × 85€/h</t>
  </si>
  <si>
    <t xml:space="preserve">Prix forfait Suite complète</t>
  </si>
  <si>
    <t xml:space="preserve">Pricing NEURAL ci-dessus</t>
  </si>
  <si>
    <t xml:space="preserve">Marge brute mensuelle pour le client</t>
  </si>
  <si>
    <t xml:space="preserve">Économie - prix</t>
  </si>
  <si>
    <t xml:space="preserve">ROI annuel client (forfait Suite)</t>
  </si>
  <si>
    <t xml:space="preserve">20400 × 12</t>
  </si>
  <si>
    <t xml:space="preserve">Taux d'amende ACPR évitée (publicité non conforme)</t>
  </si>
  <si>
    <t xml:space="preserve">% CA</t>
  </si>
  <si>
    <t xml:space="preserve">DDA art. 33 — sanctions</t>
  </si>
  <si>
    <t xml:space="preserve">SYNTHÈSE PITCH PROSPECT</t>
  </si>
  <si>
    <t xml:space="preserve">Promesse chiffrée</t>
  </si>
  <si>
    <t xml:space="preserve">Pour 6 800 €/mois (forfait Suite), un assureur économise environ 27 200 €/mois en équivalent FTE compliance + rédaction juridique = ROI mensuel × 4.</t>
  </si>
  <si>
    <t xml:space="preserve">Risque évité</t>
  </si>
  <si>
    <t xml:space="preserve">Une seule amende ACPR pour publicité non conforme peut atteindre 5% du CA — pour un assureur à 100 M€ de CA, l'exposition est de 5 M€. NEURAL prévient ce risque pour 82 k€/an.</t>
  </si>
  <si>
    <t xml:space="preserve">Time-to-market</t>
  </si>
  <si>
    <t xml:space="preserve">Le délai entre brief produit et campagne lancée passe de 6-9 semaines à 2-3 semaines — avantage compétitif majeur sur un marché où les comparateurs réagissent en jours.</t>
  </si>
  <si>
    <t xml:space="preserve">Qualité homogène</t>
  </si>
  <si>
    <t xml:space="preserve">Garantie d'une cohérence cross-canal (agent / courtier / direct / comparateur) impossible à atteindre avec des équipes en silo.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</si>
</sst>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,\€"/>
    <numFmt numFmtId="166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E0824"/>
      <name val="Arial"/>
      <family val="0"/>
      <charset val="1"/>
    </font>
    <font>
      <sz val="10"/>
      <color rgb="FF0E082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D97706"/>
      <name val="Arial"/>
      <family val="0"/>
      <charset val="1"/>
    </font>
    <font>
      <b val="true"/>
      <sz val="10"/>
      <color rgb="FF3730A3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7C3AED"/>
        <bgColor rgb="FF3730A3"/>
      </patternFill>
    </fill>
    <fill>
      <patternFill patternType="solid">
        <fgColor rgb="FF1E1242"/>
        <bgColor rgb="FF0E0824"/>
      </patternFill>
    </fill>
    <fill>
      <patternFill patternType="solid">
        <fgColor rgb="FF0F766E"/>
        <bgColor rgb="FF008080"/>
      </patternFill>
    </fill>
    <fill>
      <patternFill patternType="solid">
        <fgColor rgb="FFB91C1C"/>
        <bgColor rgb="FFDC2626"/>
      </patternFill>
    </fill>
    <fill>
      <patternFill patternType="solid">
        <fgColor rgb="FF1E40AF"/>
        <bgColor rgb="FF3730A3"/>
      </patternFill>
    </fill>
    <fill>
      <patternFill patternType="solid">
        <fgColor rgb="FFDCFCE7"/>
        <bgColor rgb="FFF3F4F6"/>
      </patternFill>
    </fill>
    <fill>
      <patternFill patternType="solid">
        <fgColor rgb="FFEAE6F5"/>
        <bgColor rgb="FFE0E7FF"/>
      </patternFill>
    </fill>
    <fill>
      <patternFill patternType="solid">
        <fgColor rgb="FFFEF3C7"/>
        <bgColor rgb="FFFEE2E2"/>
      </patternFill>
    </fill>
    <fill>
      <patternFill patternType="solid">
        <fgColor rgb="FFC7D2FE"/>
        <bgColor rgb="FFDDD6FE"/>
      </patternFill>
    </fill>
    <fill>
      <patternFill patternType="solid">
        <fgColor rgb="FFFEE2E2"/>
        <bgColor rgb="FFEAE6F5"/>
      </patternFill>
    </fill>
    <fill>
      <patternFill patternType="solid">
        <fgColor rgb="FFF3F4F6"/>
        <bgColor rgb="FFFFFFFF"/>
      </patternFill>
    </fill>
    <fill>
      <patternFill patternType="solid">
        <fgColor rgb="FFDDD6FE"/>
        <bgColor rgb="FFC7D2FE"/>
      </patternFill>
    </fill>
    <fill>
      <patternFill patternType="solid">
        <fgColor rgb="FFE0E7FF"/>
        <bgColor rgb="FFEAE6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E0824"/>
      <rgbColor rgb="FF808000"/>
      <rgbColor rgb="FF800080"/>
      <rgbColor rgb="FF0F766E"/>
      <rgbColor rgb="FFCCCCCC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3F4F6"/>
      <rgbColor rgb="FFEAE6F5"/>
      <rgbColor rgb="FFDDD6FE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1E40AF"/>
      <rgbColor rgb="FF16A34A"/>
      <rgbColor rgb="FF003300"/>
      <rgbColor rgb="FF475569"/>
      <rgbColor rgb="FFB91C1C"/>
      <rgbColor rgb="FF993366"/>
      <rgbColor rgb="FF3730A3"/>
      <rgbColor rgb="FF1E1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8" min="6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4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49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49.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49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49.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</row>
    <row r="11" customFormat="false" ht="9.75" hidden="false" customHeight="true" outlineLevel="0" collapsed="false"/>
    <row r="12" customFormat="false" ht="24" hidden="false" customHeight="true" outlineLevel="0" collapsed="false">
      <c r="A12" s="3" t="s">
        <v>15</v>
      </c>
      <c r="B12" s="3"/>
      <c r="C12" s="3"/>
      <c r="D12" s="3"/>
      <c r="E12" s="3"/>
      <c r="F12" s="3"/>
      <c r="G12" s="3"/>
      <c r="H12" s="3"/>
    </row>
    <row r="13" customFormat="false" ht="27.75" hidden="false" customHeight="true" outlineLevel="0" collapsed="false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</row>
    <row r="14" customFormat="false" ht="39.75" hidden="false" customHeight="true" outlineLevel="0" collapsed="false">
      <c r="A14" s="7" t="n">
        <v>1</v>
      </c>
      <c r="B14" s="8" t="s">
        <v>21</v>
      </c>
      <c r="C14" s="9" t="s">
        <v>22</v>
      </c>
      <c r="D14" s="9" t="s">
        <v>23</v>
      </c>
      <c r="E14" s="10" t="s">
        <v>24</v>
      </c>
    </row>
    <row r="15" customFormat="false" ht="39.75" hidden="false" customHeight="true" outlineLevel="0" collapsed="false">
      <c r="A15" s="7" t="n">
        <v>2</v>
      </c>
      <c r="B15" s="11" t="s">
        <v>25</v>
      </c>
      <c r="C15" s="9" t="s">
        <v>26</v>
      </c>
      <c r="D15" s="9" t="s">
        <v>27</v>
      </c>
      <c r="E15" s="10" t="s">
        <v>28</v>
      </c>
    </row>
    <row r="16" customFormat="false" ht="39.75" hidden="false" customHeight="true" outlineLevel="0" collapsed="false">
      <c r="A16" s="7" t="n">
        <v>3</v>
      </c>
      <c r="B16" s="12" t="s">
        <v>29</v>
      </c>
      <c r="C16" s="9" t="s">
        <v>30</v>
      </c>
      <c r="D16" s="9" t="s">
        <v>31</v>
      </c>
      <c r="E16" s="10" t="s">
        <v>32</v>
      </c>
    </row>
    <row r="17" customFormat="false" ht="39.75" hidden="false" customHeight="true" outlineLevel="0" collapsed="false">
      <c r="A17" s="7" t="n">
        <v>4</v>
      </c>
      <c r="B17" s="13" t="s">
        <v>33</v>
      </c>
      <c r="C17" s="9" t="s">
        <v>34</v>
      </c>
      <c r="D17" s="9" t="s">
        <v>35</v>
      </c>
      <c r="E17" s="10" t="s">
        <v>36</v>
      </c>
    </row>
    <row r="18" customFormat="false" ht="9.75" hidden="false" customHeight="true" outlineLevel="0" collapsed="false"/>
    <row r="19" customFormat="false" ht="24" hidden="false" customHeight="true" outlineLevel="0" collapsed="false">
      <c r="A19" s="3" t="s">
        <v>37</v>
      </c>
      <c r="B19" s="3"/>
      <c r="C19" s="3"/>
      <c r="D19" s="3"/>
      <c r="E19" s="3"/>
      <c r="F19" s="3"/>
      <c r="G19" s="3"/>
      <c r="H19" s="3"/>
    </row>
    <row r="20" customFormat="false" ht="21.75" hidden="false" customHeight="true" outlineLevel="0" collapsed="false">
      <c r="A20" s="14" t="s">
        <v>38</v>
      </c>
      <c r="B20" s="15" t="s">
        <v>39</v>
      </c>
      <c r="C20" s="15"/>
      <c r="D20" s="15"/>
      <c r="E20" s="15"/>
      <c r="F20" s="15"/>
      <c r="G20" s="15"/>
      <c r="H20" s="15"/>
    </row>
    <row r="21" customFormat="false" ht="21.75" hidden="false" customHeight="true" outlineLevel="0" collapsed="false">
      <c r="A21" s="14" t="s">
        <v>40</v>
      </c>
      <c r="B21" s="15" t="s">
        <v>41</v>
      </c>
      <c r="C21" s="15"/>
      <c r="D21" s="15"/>
      <c r="E21" s="15"/>
      <c r="F21" s="15"/>
      <c r="G21" s="15"/>
      <c r="H21" s="15"/>
    </row>
    <row r="22" customFormat="false" ht="21.75" hidden="false" customHeight="true" outlineLevel="0" collapsed="false">
      <c r="A22" s="14" t="s">
        <v>42</v>
      </c>
      <c r="B22" s="15" t="s">
        <v>43</v>
      </c>
      <c r="C22" s="15"/>
      <c r="D22" s="15"/>
      <c r="E22" s="15"/>
      <c r="F22" s="15"/>
      <c r="G22" s="15"/>
      <c r="H22" s="15"/>
    </row>
    <row r="23" customFormat="false" ht="21.75" hidden="false" customHeight="true" outlineLevel="0" collapsed="false">
      <c r="A23" s="14" t="s">
        <v>44</v>
      </c>
      <c r="B23" s="15" t="s">
        <v>45</v>
      </c>
      <c r="C23" s="15"/>
      <c r="D23" s="15"/>
      <c r="E23" s="15"/>
      <c r="F23" s="15"/>
      <c r="G23" s="15"/>
      <c r="H23" s="15"/>
    </row>
    <row r="24" customFormat="false" ht="21.75" hidden="false" customHeight="true" outlineLevel="0" collapsed="false">
      <c r="A24" s="14" t="s">
        <v>46</v>
      </c>
      <c r="B24" s="15" t="s">
        <v>47</v>
      </c>
      <c r="C24" s="15"/>
      <c r="D24" s="15"/>
      <c r="E24" s="15"/>
      <c r="F24" s="15"/>
      <c r="G24" s="15"/>
      <c r="H24" s="15"/>
    </row>
    <row r="25" customFormat="false" ht="21.75" hidden="false" customHeight="true" outlineLevel="0" collapsed="false">
      <c r="A25" s="14" t="s">
        <v>48</v>
      </c>
      <c r="B25" s="15" t="s">
        <v>49</v>
      </c>
      <c r="C25" s="15"/>
      <c r="D25" s="15"/>
      <c r="E25" s="15"/>
      <c r="F25" s="15"/>
      <c r="G25" s="15"/>
      <c r="H25" s="15"/>
    </row>
    <row r="26" customFormat="false" ht="21.75" hidden="false" customHeight="true" outlineLevel="0" collapsed="false">
      <c r="A26" s="14" t="s">
        <v>50</v>
      </c>
      <c r="B26" s="15" t="s">
        <v>51</v>
      </c>
      <c r="C26" s="15"/>
      <c r="D26" s="15"/>
      <c r="E26" s="15"/>
      <c r="F26" s="15"/>
      <c r="G26" s="15"/>
      <c r="H26" s="15"/>
    </row>
  </sheetData>
  <mergeCells count="18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2:H12"/>
    <mergeCell ref="A19:H19"/>
    <mergeCell ref="B20:H20"/>
    <mergeCell ref="B21:H21"/>
    <mergeCell ref="B22:H22"/>
    <mergeCell ref="B23:H23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6" min="5" style="0" width="28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</v>
      </c>
      <c r="B4" s="6" t="s">
        <v>18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20</v>
      </c>
      <c r="J4" s="6" t="s">
        <v>60</v>
      </c>
    </row>
    <row r="5" customFormat="false" ht="120" hidden="false" customHeight="true" outlineLevel="0" collapsed="false">
      <c r="A5" s="16" t="s">
        <v>21</v>
      </c>
      <c r="B5" s="17" t="s">
        <v>22</v>
      </c>
      <c r="C5" s="17" t="s">
        <v>61</v>
      </c>
      <c r="D5" s="17" t="s">
        <v>62</v>
      </c>
      <c r="E5" s="17" t="s">
        <v>63</v>
      </c>
      <c r="F5" s="17" t="s">
        <v>64</v>
      </c>
      <c r="G5" s="17" t="s">
        <v>65</v>
      </c>
      <c r="H5" s="17" t="s">
        <v>66</v>
      </c>
      <c r="I5" s="18" t="s">
        <v>24</v>
      </c>
      <c r="J5" s="17" t="s">
        <v>67</v>
      </c>
    </row>
    <row r="6" customFormat="false" ht="120" hidden="false" customHeight="true" outlineLevel="0" collapsed="false">
      <c r="A6" s="19" t="s">
        <v>25</v>
      </c>
      <c r="B6" s="20" t="s">
        <v>26</v>
      </c>
      <c r="C6" s="20" t="s">
        <v>68</v>
      </c>
      <c r="D6" s="20" t="s">
        <v>69</v>
      </c>
      <c r="E6" s="20" t="s">
        <v>70</v>
      </c>
      <c r="F6" s="20" t="s">
        <v>71</v>
      </c>
      <c r="G6" s="20" t="s">
        <v>72</v>
      </c>
      <c r="H6" s="20" t="s">
        <v>73</v>
      </c>
      <c r="I6" s="21" t="s">
        <v>28</v>
      </c>
      <c r="J6" s="20" t="s">
        <v>74</v>
      </c>
    </row>
    <row r="7" customFormat="false" ht="120" hidden="false" customHeight="true" outlineLevel="0" collapsed="false">
      <c r="A7" s="22" t="s">
        <v>29</v>
      </c>
      <c r="B7" s="17" t="s">
        <v>30</v>
      </c>
      <c r="C7" s="17" t="s">
        <v>75</v>
      </c>
      <c r="D7" s="17" t="s">
        <v>76</v>
      </c>
      <c r="E7" s="17" t="s">
        <v>77</v>
      </c>
      <c r="F7" s="17" t="s">
        <v>78</v>
      </c>
      <c r="G7" s="17" t="s">
        <v>79</v>
      </c>
      <c r="H7" s="17" t="s">
        <v>80</v>
      </c>
      <c r="I7" s="18" t="s">
        <v>32</v>
      </c>
      <c r="J7" s="17" t="s">
        <v>81</v>
      </c>
    </row>
    <row r="8" customFormat="false" ht="120" hidden="false" customHeight="true" outlineLevel="0" collapsed="false">
      <c r="A8" s="23" t="s">
        <v>33</v>
      </c>
      <c r="B8" s="20" t="s">
        <v>34</v>
      </c>
      <c r="C8" s="20" t="s">
        <v>82</v>
      </c>
      <c r="D8" s="20" t="s">
        <v>83</v>
      </c>
      <c r="E8" s="20" t="s">
        <v>84</v>
      </c>
      <c r="F8" s="20" t="s">
        <v>85</v>
      </c>
      <c r="G8" s="20" t="s">
        <v>86</v>
      </c>
      <c r="H8" s="20" t="s">
        <v>87</v>
      </c>
      <c r="I8" s="21" t="s">
        <v>36</v>
      </c>
      <c r="J8" s="20" t="s">
        <v>88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6" min="5" style="0" width="30"/>
  </cols>
  <sheetData>
    <row r="1" customFormat="false" ht="36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91</v>
      </c>
      <c r="B4" s="6" t="s">
        <v>92</v>
      </c>
      <c r="C4" s="6" t="s">
        <v>17</v>
      </c>
      <c r="D4" s="6" t="s">
        <v>93</v>
      </c>
      <c r="E4" s="6" t="s">
        <v>94</v>
      </c>
      <c r="F4" s="6" t="s">
        <v>95</v>
      </c>
    </row>
    <row r="5" customFormat="false" ht="69.75" hidden="false" customHeight="true" outlineLevel="0" collapsed="false">
      <c r="A5" s="24" t="s">
        <v>96</v>
      </c>
      <c r="B5" s="25" t="s">
        <v>97</v>
      </c>
      <c r="C5" s="26" t="s">
        <v>21</v>
      </c>
      <c r="D5" s="17" t="s">
        <v>98</v>
      </c>
      <c r="E5" s="17" t="s">
        <v>99</v>
      </c>
      <c r="F5" s="17" t="s">
        <v>100</v>
      </c>
    </row>
    <row r="6" customFormat="false" ht="69.75" hidden="false" customHeight="true" outlineLevel="0" collapsed="false">
      <c r="A6" s="17"/>
      <c r="B6" s="25" t="s">
        <v>101</v>
      </c>
      <c r="C6" s="27" t="s">
        <v>29</v>
      </c>
      <c r="D6" s="17" t="s">
        <v>102</v>
      </c>
      <c r="E6" s="17" t="s">
        <v>103</v>
      </c>
      <c r="F6" s="17" t="s">
        <v>104</v>
      </c>
    </row>
    <row r="7" customFormat="false" ht="69.75" hidden="false" customHeight="true" outlineLevel="0" collapsed="false">
      <c r="A7" s="17"/>
      <c r="B7" s="25" t="s">
        <v>105</v>
      </c>
      <c r="C7" s="28" t="s">
        <v>25</v>
      </c>
      <c r="D7" s="17" t="s">
        <v>106</v>
      </c>
      <c r="E7" s="17" t="s">
        <v>107</v>
      </c>
      <c r="F7" s="17" t="s">
        <v>108</v>
      </c>
    </row>
    <row r="8" customFormat="false" ht="69.75" hidden="false" customHeight="true" outlineLevel="0" collapsed="false">
      <c r="A8" s="17"/>
      <c r="B8" s="25" t="s">
        <v>109</v>
      </c>
      <c r="C8" s="29" t="s">
        <v>33</v>
      </c>
      <c r="D8" s="17" t="s">
        <v>110</v>
      </c>
      <c r="E8" s="17" t="s">
        <v>111</v>
      </c>
      <c r="F8" s="17" t="s">
        <v>112</v>
      </c>
    </row>
    <row r="9" customFormat="false" ht="69.75" hidden="false" customHeight="true" outlineLevel="0" collapsed="false">
      <c r="A9" s="24" t="s">
        <v>113</v>
      </c>
      <c r="B9" s="25" t="s">
        <v>97</v>
      </c>
      <c r="C9" s="29" t="s">
        <v>33</v>
      </c>
      <c r="D9" s="17" t="s">
        <v>114</v>
      </c>
      <c r="E9" s="17" t="s">
        <v>115</v>
      </c>
      <c r="F9" s="17" t="s">
        <v>116</v>
      </c>
    </row>
    <row r="10" customFormat="false" ht="69.75" hidden="false" customHeight="true" outlineLevel="0" collapsed="false">
      <c r="A10" s="17"/>
      <c r="B10" s="25" t="s">
        <v>101</v>
      </c>
      <c r="C10" s="26" t="s">
        <v>21</v>
      </c>
      <c r="D10" s="17" t="s">
        <v>117</v>
      </c>
      <c r="E10" s="17" t="s">
        <v>118</v>
      </c>
      <c r="F10" s="17" t="s">
        <v>119</v>
      </c>
    </row>
    <row r="11" customFormat="false" ht="69.75" hidden="false" customHeight="true" outlineLevel="0" collapsed="false">
      <c r="A11" s="17"/>
      <c r="B11" s="25" t="s">
        <v>105</v>
      </c>
      <c r="C11" s="27" t="s">
        <v>29</v>
      </c>
      <c r="D11" s="17" t="s">
        <v>120</v>
      </c>
      <c r="E11" s="17" t="s">
        <v>121</v>
      </c>
      <c r="F11" s="17" t="s">
        <v>122</v>
      </c>
    </row>
    <row r="12" customFormat="false" ht="69.75" hidden="false" customHeight="true" outlineLevel="0" collapsed="false">
      <c r="A12" s="17"/>
      <c r="B12" s="25" t="s">
        <v>109</v>
      </c>
      <c r="C12" s="28" t="s">
        <v>25</v>
      </c>
      <c r="D12" s="17" t="s">
        <v>123</v>
      </c>
      <c r="E12" s="17" t="s">
        <v>124</v>
      </c>
      <c r="F12" s="17" t="s">
        <v>125</v>
      </c>
    </row>
    <row r="13" customFormat="false" ht="9.75" hidden="false" customHeight="true" outlineLevel="0" collapsed="false"/>
    <row r="14" customFormat="false" ht="24" hidden="false" customHeight="true" outlineLevel="0" collapsed="false">
      <c r="A14" s="3" t="s">
        <v>126</v>
      </c>
      <c r="B14" s="3"/>
      <c r="C14" s="3"/>
      <c r="D14" s="3"/>
      <c r="E14" s="3"/>
      <c r="F14" s="3"/>
      <c r="G14" s="3"/>
      <c r="H14" s="3"/>
    </row>
    <row r="15" customFormat="false" ht="30" hidden="false" customHeight="true" outlineLevel="0" collapsed="false">
      <c r="A15" s="4" t="s">
        <v>127</v>
      </c>
      <c r="B15" s="30" t="s">
        <v>128</v>
      </c>
      <c r="C15" s="5" t="s">
        <v>129</v>
      </c>
      <c r="D15" s="5"/>
      <c r="E15" s="5"/>
      <c r="F15" s="5"/>
    </row>
    <row r="16" customFormat="false" ht="30" hidden="false" customHeight="true" outlineLevel="0" collapsed="false">
      <c r="A16" s="31" t="s">
        <v>127</v>
      </c>
      <c r="B16" s="32" t="s">
        <v>130</v>
      </c>
      <c r="C16" s="33" t="s">
        <v>131</v>
      </c>
      <c r="D16" s="33"/>
      <c r="E16" s="33"/>
      <c r="F16" s="33"/>
    </row>
    <row r="17" customFormat="false" ht="30" hidden="false" customHeight="true" outlineLevel="0" collapsed="false">
      <c r="A17" s="4" t="s">
        <v>132</v>
      </c>
      <c r="B17" s="30" t="s">
        <v>128</v>
      </c>
      <c r="C17" s="5" t="s">
        <v>133</v>
      </c>
      <c r="D17" s="5"/>
      <c r="E17" s="5"/>
      <c r="F17" s="5"/>
    </row>
    <row r="18" customFormat="false" ht="30" hidden="false" customHeight="true" outlineLevel="0" collapsed="false">
      <c r="A18" s="31" t="s">
        <v>132</v>
      </c>
      <c r="B18" s="32" t="s">
        <v>130</v>
      </c>
      <c r="C18" s="33" t="s">
        <v>134</v>
      </c>
      <c r="D18" s="33"/>
      <c r="E18" s="33"/>
      <c r="F18" s="33"/>
    </row>
    <row r="19" customFormat="false" ht="30" hidden="false" customHeight="true" outlineLevel="0" collapsed="false">
      <c r="A19" s="4" t="s">
        <v>135</v>
      </c>
      <c r="B19" s="30" t="s">
        <v>128</v>
      </c>
      <c r="C19" s="5" t="s">
        <v>136</v>
      </c>
      <c r="D19" s="5"/>
      <c r="E19" s="5"/>
      <c r="F19" s="5"/>
    </row>
    <row r="20" customFormat="false" ht="30" hidden="false" customHeight="true" outlineLevel="0" collapsed="false">
      <c r="A20" s="31" t="s">
        <v>135</v>
      </c>
      <c r="B20" s="32" t="s">
        <v>130</v>
      </c>
      <c r="C20" s="33" t="s">
        <v>137</v>
      </c>
      <c r="D20" s="33"/>
      <c r="E20" s="33"/>
      <c r="F20" s="33"/>
    </row>
  </sheetData>
  <mergeCells count="9">
    <mergeCell ref="A1:H1"/>
    <mergeCell ref="A2:H2"/>
    <mergeCell ref="A14:H14"/>
    <mergeCell ref="C15:F15"/>
    <mergeCell ref="C16:F16"/>
    <mergeCell ref="C17:F17"/>
    <mergeCell ref="C18:F18"/>
    <mergeCell ref="C19:F19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6" min="4" style="0" width="26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140</v>
      </c>
      <c r="B4" s="6" t="s">
        <v>141</v>
      </c>
      <c r="C4" s="34" t="s">
        <v>21</v>
      </c>
      <c r="D4" s="35" t="s">
        <v>25</v>
      </c>
      <c r="E4" s="36" t="s">
        <v>29</v>
      </c>
      <c r="F4" s="37" t="s">
        <v>33</v>
      </c>
      <c r="G4" s="6" t="s">
        <v>142</v>
      </c>
    </row>
    <row r="5" customFormat="false" ht="49.5" hidden="false" customHeight="true" outlineLevel="0" collapsed="false">
      <c r="A5" s="17" t="s">
        <v>143</v>
      </c>
      <c r="B5" s="17" t="s">
        <v>144</v>
      </c>
      <c r="C5" s="38" t="s">
        <v>145</v>
      </c>
      <c r="D5" s="39" t="s">
        <v>146</v>
      </c>
      <c r="E5" s="39" t="s">
        <v>147</v>
      </c>
      <c r="F5" s="38" t="s">
        <v>148</v>
      </c>
      <c r="G5" s="40" t="s">
        <v>149</v>
      </c>
    </row>
    <row r="6" customFormat="false" ht="49.5" hidden="false" customHeight="true" outlineLevel="0" collapsed="false">
      <c r="A6" s="20" t="s">
        <v>150</v>
      </c>
      <c r="B6" s="20" t="s">
        <v>151</v>
      </c>
      <c r="C6" s="39" t="s">
        <v>152</v>
      </c>
      <c r="D6" s="38" t="s">
        <v>153</v>
      </c>
      <c r="E6" s="38" t="s">
        <v>154</v>
      </c>
      <c r="F6" s="41" t="s">
        <v>155</v>
      </c>
      <c r="G6" s="40" t="s">
        <v>149</v>
      </c>
    </row>
    <row r="7" customFormat="false" ht="49.5" hidden="false" customHeight="true" outlineLevel="0" collapsed="false">
      <c r="A7" s="17" t="s">
        <v>156</v>
      </c>
      <c r="B7" s="17" t="s">
        <v>157</v>
      </c>
      <c r="C7" s="41" t="s">
        <v>158</v>
      </c>
      <c r="D7" s="17" t="s">
        <v>159</v>
      </c>
      <c r="E7" s="39" t="s">
        <v>160</v>
      </c>
      <c r="F7" s="38" t="s">
        <v>161</v>
      </c>
      <c r="G7" s="40" t="s">
        <v>162</v>
      </c>
    </row>
    <row r="8" customFormat="false" ht="49.5" hidden="false" customHeight="true" outlineLevel="0" collapsed="false">
      <c r="A8" s="20" t="s">
        <v>163</v>
      </c>
      <c r="B8" s="20" t="s">
        <v>164</v>
      </c>
      <c r="C8" s="41" t="s">
        <v>158</v>
      </c>
      <c r="D8" s="38" t="s">
        <v>165</v>
      </c>
      <c r="E8" s="39" t="s">
        <v>166</v>
      </c>
      <c r="F8" s="41" t="s">
        <v>158</v>
      </c>
      <c r="G8" s="42" t="s">
        <v>167</v>
      </c>
    </row>
    <row r="9" customFormat="false" ht="49.5" hidden="false" customHeight="true" outlineLevel="0" collapsed="false">
      <c r="A9" s="17" t="s">
        <v>168</v>
      </c>
      <c r="B9" s="17" t="s">
        <v>169</v>
      </c>
      <c r="C9" s="43" t="s">
        <v>170</v>
      </c>
      <c r="D9" s="43" t="s">
        <v>171</v>
      </c>
      <c r="E9" s="43" t="s">
        <v>172</v>
      </c>
      <c r="F9" s="43" t="s">
        <v>173</v>
      </c>
      <c r="G9" s="40" t="s">
        <v>174</v>
      </c>
    </row>
    <row r="10" customFormat="false" ht="49.5" hidden="false" customHeight="true" outlineLevel="0" collapsed="false">
      <c r="A10" s="20" t="s">
        <v>175</v>
      </c>
      <c r="B10" s="20" t="s">
        <v>176</v>
      </c>
      <c r="C10" s="41" t="s">
        <v>177</v>
      </c>
      <c r="D10" s="41" t="s">
        <v>178</v>
      </c>
      <c r="E10" s="38" t="s">
        <v>179</v>
      </c>
      <c r="F10" s="39" t="s">
        <v>180</v>
      </c>
      <c r="G10" s="40" t="s">
        <v>149</v>
      </c>
    </row>
    <row r="11" customFormat="false" ht="49.5" hidden="false" customHeight="true" outlineLevel="0" collapsed="false">
      <c r="A11" s="17" t="s">
        <v>181</v>
      </c>
      <c r="B11" s="17" t="s">
        <v>182</v>
      </c>
      <c r="C11" s="38" t="s">
        <v>183</v>
      </c>
      <c r="D11" s="39" t="s">
        <v>184</v>
      </c>
      <c r="E11" s="39" t="s">
        <v>184</v>
      </c>
      <c r="F11" s="38" t="s">
        <v>185</v>
      </c>
      <c r="G11" s="40" t="s">
        <v>149</v>
      </c>
    </row>
    <row r="12" customFormat="false" ht="49.5" hidden="false" customHeight="true" outlineLevel="0" collapsed="false">
      <c r="A12" s="20" t="s">
        <v>186</v>
      </c>
      <c r="B12" s="20" t="s">
        <v>187</v>
      </c>
      <c r="C12" s="38" t="s">
        <v>188</v>
      </c>
      <c r="D12" s="39" t="s">
        <v>189</v>
      </c>
      <c r="E12" s="39" t="s">
        <v>190</v>
      </c>
      <c r="F12" s="39" t="s">
        <v>191</v>
      </c>
      <c r="G12" s="40" t="s">
        <v>149</v>
      </c>
    </row>
    <row r="13" customFormat="false" ht="49.5" hidden="false" customHeight="true" outlineLevel="0" collapsed="false">
      <c r="A13" s="17" t="s">
        <v>192</v>
      </c>
      <c r="B13" s="17" t="s">
        <v>193</v>
      </c>
      <c r="C13" s="17" t="s">
        <v>194</v>
      </c>
      <c r="D13" s="17" t="s">
        <v>195</v>
      </c>
      <c r="E13" s="17" t="s">
        <v>196</v>
      </c>
      <c r="F13" s="38" t="s">
        <v>197</v>
      </c>
      <c r="G13" s="42" t="s">
        <v>198</v>
      </c>
    </row>
    <row r="15" customFormat="false" ht="9.75" hidden="false" customHeight="true" outlineLevel="0" collapsed="false"/>
    <row r="16" customFormat="false" ht="24" hidden="false" customHeight="true" outlineLevel="0" collapsed="false">
      <c r="A16" s="3" t="s">
        <v>199</v>
      </c>
      <c r="B16" s="3"/>
      <c r="C16" s="3"/>
      <c r="D16" s="3"/>
      <c r="E16" s="3"/>
      <c r="F16" s="3"/>
      <c r="G16" s="3"/>
      <c r="H16" s="3"/>
    </row>
    <row r="17" customFormat="false" ht="24" hidden="false" customHeight="true" outlineLevel="0" collapsed="false">
      <c r="A17" s="44" t="s">
        <v>184</v>
      </c>
      <c r="B17" s="45" t="s">
        <v>200</v>
      </c>
      <c r="C17" s="45"/>
      <c r="D17" s="45"/>
      <c r="E17" s="45"/>
      <c r="F17" s="45"/>
      <c r="G17" s="45"/>
    </row>
    <row r="18" customFormat="false" ht="24" hidden="false" customHeight="true" outlineLevel="0" collapsed="false">
      <c r="A18" s="21" t="s">
        <v>201</v>
      </c>
      <c r="B18" s="45" t="s">
        <v>202</v>
      </c>
      <c r="C18" s="45"/>
      <c r="D18" s="45"/>
      <c r="E18" s="45"/>
      <c r="F18" s="45"/>
      <c r="G18" s="45"/>
    </row>
    <row r="19" customFormat="false" ht="24" hidden="false" customHeight="true" outlineLevel="0" collapsed="false">
      <c r="A19" s="46" t="s">
        <v>203</v>
      </c>
      <c r="B19" s="45" t="s">
        <v>204</v>
      </c>
      <c r="C19" s="45"/>
      <c r="D19" s="45"/>
      <c r="E19" s="45"/>
      <c r="F19" s="45"/>
      <c r="G19" s="45"/>
    </row>
    <row r="20" customFormat="false" ht="24" hidden="false" customHeight="true" outlineLevel="0" collapsed="false">
      <c r="A20" s="47" t="s">
        <v>205</v>
      </c>
      <c r="B20" s="45" t="s">
        <v>206</v>
      </c>
      <c r="C20" s="45"/>
      <c r="D20" s="45"/>
      <c r="E20" s="45"/>
      <c r="F20" s="45"/>
      <c r="G20" s="45"/>
    </row>
    <row r="21" customFormat="false" ht="24" hidden="false" customHeight="true" outlineLevel="0" collapsed="false">
      <c r="A21" s="48" t="s">
        <v>149</v>
      </c>
      <c r="B21" s="45" t="s">
        <v>207</v>
      </c>
      <c r="C21" s="45"/>
      <c r="D21" s="45"/>
      <c r="E21" s="45"/>
      <c r="F21" s="45"/>
      <c r="G21" s="45"/>
    </row>
    <row r="22" customFormat="false" ht="24" hidden="false" customHeight="true" outlineLevel="0" collapsed="false">
      <c r="A22" s="21" t="s">
        <v>208</v>
      </c>
      <c r="B22" s="45" t="s">
        <v>209</v>
      </c>
      <c r="C22" s="45"/>
      <c r="D22" s="45"/>
      <c r="E22" s="45"/>
      <c r="F22" s="45"/>
      <c r="G22" s="45"/>
    </row>
  </sheetData>
  <mergeCells count="9">
    <mergeCell ref="A1:H1"/>
    <mergeCell ref="A2:H2"/>
    <mergeCell ref="A16:H16"/>
    <mergeCell ref="B17:G17"/>
    <mergeCell ref="B18:G18"/>
    <mergeCell ref="B19:G19"/>
    <mergeCell ref="B20:G20"/>
    <mergeCell ref="B21:G21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6" min="5" style="0" width="14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</v>
      </c>
      <c r="B4" s="6" t="s">
        <v>212</v>
      </c>
      <c r="C4" s="6" t="s">
        <v>213</v>
      </c>
      <c r="D4" s="6" t="s">
        <v>214</v>
      </c>
      <c r="E4" s="6" t="s">
        <v>215</v>
      </c>
      <c r="F4" s="6" t="s">
        <v>216</v>
      </c>
      <c r="G4" s="6" t="s">
        <v>217</v>
      </c>
    </row>
    <row r="5" customFormat="false" ht="25.5" hidden="false" customHeight="true" outlineLevel="0" collapsed="false">
      <c r="A5" s="26" t="s">
        <v>21</v>
      </c>
      <c r="B5" s="17" t="s">
        <v>218</v>
      </c>
      <c r="C5" s="25" t="n">
        <v>60</v>
      </c>
      <c r="D5" s="25" t="n">
        <v>65</v>
      </c>
      <c r="E5" s="49" t="n">
        <f aca="false">D5-C5</f>
        <v>5</v>
      </c>
      <c r="F5" s="7" t="s">
        <v>219</v>
      </c>
      <c r="G5" s="21" t="s">
        <v>220</v>
      </c>
    </row>
    <row r="6" customFormat="false" ht="25.5" hidden="false" customHeight="true" outlineLevel="0" collapsed="false">
      <c r="A6" s="26" t="s">
        <v>21</v>
      </c>
      <c r="B6" s="20" t="s">
        <v>221</v>
      </c>
      <c r="C6" s="50" t="n">
        <v>92</v>
      </c>
      <c r="D6" s="50" t="n">
        <v>96</v>
      </c>
      <c r="E6" s="51" t="n">
        <f aca="false">D6-C6</f>
        <v>4</v>
      </c>
      <c r="F6" s="52" t="s">
        <v>222</v>
      </c>
      <c r="G6" s="21" t="s">
        <v>220</v>
      </c>
    </row>
    <row r="7" customFormat="false" ht="25.5" hidden="false" customHeight="true" outlineLevel="0" collapsed="false">
      <c r="A7" s="26" t="s">
        <v>21</v>
      </c>
      <c r="B7" s="17" t="s">
        <v>223</v>
      </c>
      <c r="C7" s="25" t="n">
        <v>35</v>
      </c>
      <c r="D7" s="25" t="n">
        <v>45</v>
      </c>
      <c r="E7" s="49" t="n">
        <f aca="false">D7-C7</f>
        <v>10</v>
      </c>
      <c r="F7" s="7" t="s">
        <v>222</v>
      </c>
      <c r="G7" s="21" t="s">
        <v>220</v>
      </c>
    </row>
    <row r="8" customFormat="false" ht="25.5" hidden="false" customHeight="true" outlineLevel="0" collapsed="false">
      <c r="A8" s="28" t="s">
        <v>25</v>
      </c>
      <c r="B8" s="20" t="s">
        <v>224</v>
      </c>
      <c r="C8" s="50" t="n">
        <v>78</v>
      </c>
      <c r="D8" s="50" t="n">
        <v>88</v>
      </c>
      <c r="E8" s="51" t="n">
        <f aca="false">D8-C8</f>
        <v>10</v>
      </c>
      <c r="F8" s="52" t="s">
        <v>222</v>
      </c>
      <c r="G8" s="21" t="s">
        <v>220</v>
      </c>
    </row>
    <row r="9" customFormat="false" ht="25.5" hidden="false" customHeight="true" outlineLevel="0" collapsed="false">
      <c r="A9" s="28" t="s">
        <v>25</v>
      </c>
      <c r="B9" s="17" t="s">
        <v>225</v>
      </c>
      <c r="C9" s="25" t="n">
        <v>42</v>
      </c>
      <c r="D9" s="25" t="n">
        <v>65</v>
      </c>
      <c r="E9" s="49" t="n">
        <f aca="false">D9-C9</f>
        <v>23</v>
      </c>
      <c r="F9" s="7" t="s">
        <v>222</v>
      </c>
      <c r="G9" s="21" t="s">
        <v>220</v>
      </c>
    </row>
    <row r="10" customFormat="false" ht="25.5" hidden="false" customHeight="true" outlineLevel="0" collapsed="false">
      <c r="A10" s="28" t="s">
        <v>25</v>
      </c>
      <c r="B10" s="20" t="s">
        <v>226</v>
      </c>
      <c r="C10" s="50" t="n">
        <v>8</v>
      </c>
      <c r="D10" s="50" t="n">
        <v>4</v>
      </c>
      <c r="E10" s="51" t="n">
        <f aca="false">D10-C10</f>
        <v>-4</v>
      </c>
      <c r="F10" s="52" t="s">
        <v>222</v>
      </c>
      <c r="G10" s="18" t="s">
        <v>227</v>
      </c>
    </row>
    <row r="11" customFormat="false" ht="25.5" hidden="false" customHeight="true" outlineLevel="0" collapsed="false">
      <c r="A11" s="27" t="s">
        <v>29</v>
      </c>
      <c r="B11" s="17" t="s">
        <v>228</v>
      </c>
      <c r="C11" s="25" t="n">
        <v>91</v>
      </c>
      <c r="D11" s="25" t="n">
        <v>94</v>
      </c>
      <c r="E11" s="49" t="n">
        <f aca="false">D11-C11</f>
        <v>3</v>
      </c>
      <c r="F11" s="7" t="s">
        <v>219</v>
      </c>
      <c r="G11" s="21" t="s">
        <v>220</v>
      </c>
    </row>
    <row r="12" customFormat="false" ht="25.5" hidden="false" customHeight="true" outlineLevel="0" collapsed="false">
      <c r="A12" s="27" t="s">
        <v>29</v>
      </c>
      <c r="B12" s="20" t="s">
        <v>229</v>
      </c>
      <c r="C12" s="50" t="n">
        <v>97</v>
      </c>
      <c r="D12" s="50" t="n">
        <v>99</v>
      </c>
      <c r="E12" s="51" t="n">
        <f aca="false">D12-C12</f>
        <v>2</v>
      </c>
      <c r="F12" s="52" t="s">
        <v>219</v>
      </c>
      <c r="G12" s="21" t="s">
        <v>220</v>
      </c>
    </row>
    <row r="13" customFormat="false" ht="25.5" hidden="false" customHeight="true" outlineLevel="0" collapsed="false">
      <c r="A13" s="27" t="s">
        <v>29</v>
      </c>
      <c r="B13" s="17" t="s">
        <v>230</v>
      </c>
      <c r="C13" s="25" t="n">
        <v>67</v>
      </c>
      <c r="D13" s="25" t="n">
        <v>85</v>
      </c>
      <c r="E13" s="49" t="n">
        <f aca="false">D13-C13</f>
        <v>18</v>
      </c>
      <c r="F13" s="7" t="s">
        <v>222</v>
      </c>
      <c r="G13" s="21" t="s">
        <v>220</v>
      </c>
    </row>
    <row r="14" customFormat="false" ht="25.5" hidden="false" customHeight="true" outlineLevel="0" collapsed="false">
      <c r="A14" s="29" t="s">
        <v>33</v>
      </c>
      <c r="B14" s="20" t="s">
        <v>231</v>
      </c>
      <c r="C14" s="50" t="n">
        <v>58</v>
      </c>
      <c r="D14" s="50" t="n">
        <v>65</v>
      </c>
      <c r="E14" s="51" t="n">
        <f aca="false">D14-C14</f>
        <v>7</v>
      </c>
      <c r="F14" s="52" t="s">
        <v>232</v>
      </c>
      <c r="G14" s="21" t="s">
        <v>220</v>
      </c>
    </row>
    <row r="15" customFormat="false" ht="25.5" hidden="false" customHeight="true" outlineLevel="0" collapsed="false">
      <c r="A15" s="29" t="s">
        <v>33</v>
      </c>
      <c r="B15" s="17" t="s">
        <v>233</v>
      </c>
      <c r="C15" s="25" t="n">
        <v>54</v>
      </c>
      <c r="D15" s="25" t="n">
        <v>65</v>
      </c>
      <c r="E15" s="49" t="n">
        <f aca="false">D15-C15</f>
        <v>11</v>
      </c>
      <c r="F15" s="7" t="s">
        <v>232</v>
      </c>
      <c r="G15" s="21" t="s">
        <v>220</v>
      </c>
    </row>
    <row r="16" customFormat="false" ht="25.5" hidden="false" customHeight="true" outlineLevel="0" collapsed="false">
      <c r="A16" s="29" t="s">
        <v>33</v>
      </c>
      <c r="B16" s="20" t="s">
        <v>234</v>
      </c>
      <c r="C16" s="50" t="n">
        <v>95</v>
      </c>
      <c r="D16" s="50" t="n">
        <v>98</v>
      </c>
      <c r="E16" s="51" t="n">
        <f aca="false">D16-C16</f>
        <v>3</v>
      </c>
      <c r="F16" s="52" t="s">
        <v>222</v>
      </c>
      <c r="G16" s="21" t="s">
        <v>220</v>
      </c>
    </row>
    <row r="17" customFormat="false" ht="9.75" hidden="false" customHeight="true" outlineLevel="0" collapsed="false"/>
    <row r="18" customFormat="false" ht="24" hidden="false" customHeight="true" outlineLevel="0" collapsed="false">
      <c r="A18" s="3" t="s">
        <v>235</v>
      </c>
      <c r="B18" s="3"/>
      <c r="C18" s="3"/>
      <c r="D18" s="3"/>
      <c r="E18" s="3"/>
      <c r="F18" s="3"/>
      <c r="G18" s="3"/>
      <c r="H18" s="3"/>
    </row>
    <row r="19" customFormat="false" ht="21.75" hidden="false" customHeight="true" outlineLevel="0" collapsed="false">
      <c r="A19" s="4" t="s">
        <v>236</v>
      </c>
      <c r="B19" s="49" t="n">
        <f aca="false">COUNTA(B5:B16)</f>
        <v>12</v>
      </c>
    </row>
    <row r="20" customFormat="false" ht="21.75" hidden="false" customHeight="true" outlineLevel="0" collapsed="false">
      <c r="A20" s="4" t="s">
        <v>237</v>
      </c>
      <c r="B20" s="49" t="n">
        <f aca="false">COUNTIF(G5:G16,"*ATTEINT*")</f>
        <v>1</v>
      </c>
    </row>
    <row r="21" customFormat="false" ht="21.75" hidden="false" customHeight="true" outlineLevel="0" collapsed="false">
      <c r="A21" s="4" t="s">
        <v>238</v>
      </c>
      <c r="B21" s="49" t="n">
        <f aca="false">COUNTIF(G5:G16,"*PROGRESSER*")</f>
        <v>11</v>
      </c>
    </row>
    <row r="22" customFormat="false" ht="21.75" hidden="false" customHeight="true" outlineLevel="0" collapsed="false">
      <c r="A22" s="4" t="s">
        <v>239</v>
      </c>
      <c r="B22" s="49" t="n">
        <f aca="false">AVERAGE(E5:E16)</f>
        <v>7.66666666666667</v>
      </c>
    </row>
  </sheetData>
  <mergeCells count="3">
    <mergeCell ref="A1:H1"/>
    <mergeCell ref="A2:H2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28"/>
  </cols>
  <sheetData>
    <row r="1" customFormat="false" ht="36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242</v>
      </c>
      <c r="B4" s="6" t="s">
        <v>243</v>
      </c>
      <c r="C4" s="6" t="s">
        <v>244</v>
      </c>
      <c r="D4" s="6" t="s">
        <v>245</v>
      </c>
      <c r="E4" s="6" t="s">
        <v>217</v>
      </c>
    </row>
    <row r="5" customFormat="false" ht="54.75" hidden="false" customHeight="true" outlineLevel="0" collapsed="false">
      <c r="A5" s="53" t="s">
        <v>246</v>
      </c>
      <c r="B5" s="17" t="s">
        <v>247</v>
      </c>
      <c r="C5" s="17" t="s">
        <v>21</v>
      </c>
      <c r="D5" s="17" t="s">
        <v>248</v>
      </c>
      <c r="E5" s="54" t="s">
        <v>249</v>
      </c>
    </row>
    <row r="6" customFormat="false" ht="54.75" hidden="false" customHeight="true" outlineLevel="0" collapsed="false">
      <c r="A6" s="55" t="s">
        <v>250</v>
      </c>
      <c r="B6" s="20" t="s">
        <v>251</v>
      </c>
      <c r="C6" s="20" t="s">
        <v>252</v>
      </c>
      <c r="D6" s="20" t="s">
        <v>253</v>
      </c>
      <c r="E6" s="54" t="s">
        <v>249</v>
      </c>
    </row>
    <row r="7" customFormat="false" ht="54.75" hidden="false" customHeight="true" outlineLevel="0" collapsed="false">
      <c r="A7" s="53" t="s">
        <v>254</v>
      </c>
      <c r="B7" s="17" t="s">
        <v>255</v>
      </c>
      <c r="C7" s="17" t="s">
        <v>256</v>
      </c>
      <c r="D7" s="17" t="s">
        <v>257</v>
      </c>
      <c r="E7" s="54" t="s">
        <v>249</v>
      </c>
    </row>
    <row r="8" customFormat="false" ht="54.75" hidden="false" customHeight="true" outlineLevel="0" collapsed="false">
      <c r="A8" s="55" t="s">
        <v>258</v>
      </c>
      <c r="B8" s="20" t="s">
        <v>259</v>
      </c>
      <c r="C8" s="20" t="s">
        <v>260</v>
      </c>
      <c r="D8" s="20" t="s">
        <v>261</v>
      </c>
      <c r="E8" s="54" t="s">
        <v>249</v>
      </c>
    </row>
    <row r="9" customFormat="false" ht="54.75" hidden="false" customHeight="true" outlineLevel="0" collapsed="false">
      <c r="A9" s="53" t="s">
        <v>262</v>
      </c>
      <c r="B9" s="17" t="s">
        <v>263</v>
      </c>
      <c r="C9" s="17" t="s">
        <v>264</v>
      </c>
      <c r="D9" s="17" t="s">
        <v>265</v>
      </c>
      <c r="E9" s="56" t="s">
        <v>266</v>
      </c>
    </row>
    <row r="10" customFormat="false" ht="54.75" hidden="false" customHeight="true" outlineLevel="0" collapsed="false">
      <c r="A10" s="55" t="s">
        <v>267</v>
      </c>
      <c r="B10" s="20" t="s">
        <v>268</v>
      </c>
      <c r="C10" s="20" t="s">
        <v>269</v>
      </c>
      <c r="D10" s="20" t="s">
        <v>270</v>
      </c>
      <c r="E10" s="57" t="s">
        <v>271</v>
      </c>
    </row>
    <row r="11" customFormat="false" ht="9.75" hidden="false" customHeight="true" outlineLevel="0" collapsed="false"/>
    <row r="12" customFormat="false" ht="24" hidden="false" customHeight="true" outlineLevel="0" collapsed="false">
      <c r="A12" s="3" t="s">
        <v>272</v>
      </c>
      <c r="B12" s="3"/>
      <c r="C12" s="3"/>
      <c r="D12" s="3"/>
      <c r="E12" s="3"/>
      <c r="F12" s="3"/>
      <c r="G12" s="3"/>
      <c r="H12" s="3"/>
    </row>
    <row r="13" customFormat="false" ht="27.75" hidden="false" customHeight="true" outlineLevel="0" collapsed="false">
      <c r="A13" s="4" t="s">
        <v>246</v>
      </c>
      <c r="B13" s="58" t="s">
        <v>273</v>
      </c>
      <c r="C13" s="58"/>
      <c r="D13" s="58"/>
      <c r="E13" s="58"/>
    </row>
    <row r="14" customFormat="false" ht="27.75" hidden="false" customHeight="true" outlineLevel="0" collapsed="false">
      <c r="A14" s="31" t="s">
        <v>250</v>
      </c>
      <c r="B14" s="59" t="s">
        <v>274</v>
      </c>
      <c r="C14" s="59"/>
      <c r="D14" s="59"/>
      <c r="E14" s="59"/>
    </row>
    <row r="15" customFormat="false" ht="27.75" hidden="false" customHeight="true" outlineLevel="0" collapsed="false">
      <c r="A15" s="4" t="s">
        <v>254</v>
      </c>
      <c r="B15" s="58" t="s">
        <v>275</v>
      </c>
      <c r="C15" s="58"/>
      <c r="D15" s="58"/>
      <c r="E15" s="58"/>
    </row>
    <row r="16" customFormat="false" ht="27.75" hidden="false" customHeight="true" outlineLevel="0" collapsed="false">
      <c r="A16" s="31" t="s">
        <v>258</v>
      </c>
      <c r="B16" s="59" t="s">
        <v>276</v>
      </c>
      <c r="C16" s="59"/>
      <c r="D16" s="59"/>
      <c r="E16" s="59"/>
    </row>
    <row r="17" customFormat="false" ht="27.75" hidden="false" customHeight="true" outlineLevel="0" collapsed="false">
      <c r="A17" s="4" t="s">
        <v>262</v>
      </c>
      <c r="B17" s="58" t="s">
        <v>277</v>
      </c>
      <c r="C17" s="58"/>
      <c r="D17" s="58"/>
      <c r="E17" s="58"/>
    </row>
    <row r="18" customFormat="false" ht="27.75" hidden="false" customHeight="true" outlineLevel="0" collapsed="false">
      <c r="A18" s="31" t="s">
        <v>278</v>
      </c>
      <c r="B18" s="59" t="s">
        <v>279</v>
      </c>
      <c r="C18" s="59"/>
      <c r="D18" s="59"/>
      <c r="E18" s="59"/>
    </row>
  </sheetData>
  <mergeCells count="9">
    <mergeCell ref="A1:H1"/>
    <mergeCell ref="A2:H2"/>
    <mergeCell ref="A12:H12"/>
    <mergeCell ref="B13:E13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280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281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282</v>
      </c>
      <c r="B4" s="3"/>
      <c r="C4" s="3"/>
      <c r="D4" s="3"/>
      <c r="E4" s="3"/>
      <c r="F4" s="3"/>
      <c r="G4" s="3"/>
      <c r="H4" s="3"/>
    </row>
    <row r="5" customFormat="false" ht="31.5" hidden="false" customHeight="true" outlineLevel="0" collapsed="false">
      <c r="A5" s="6" t="s">
        <v>283</v>
      </c>
      <c r="B5" s="6" t="s">
        <v>284</v>
      </c>
      <c r="C5" s="6" t="s">
        <v>285</v>
      </c>
      <c r="D5" s="6" t="s">
        <v>286</v>
      </c>
      <c r="E5" s="6" t="s">
        <v>287</v>
      </c>
      <c r="F5" s="6" t="s">
        <v>288</v>
      </c>
    </row>
    <row r="6" customFormat="false" ht="42" hidden="false" customHeight="true" outlineLevel="0" collapsed="false">
      <c r="A6" s="53" t="s">
        <v>289</v>
      </c>
      <c r="B6" s="17" t="s">
        <v>290</v>
      </c>
      <c r="C6" s="17" t="s">
        <v>291</v>
      </c>
      <c r="D6" s="60" t="n">
        <v>1200</v>
      </c>
      <c r="E6" s="60" t="n">
        <v>13200</v>
      </c>
      <c r="F6" s="17" t="s">
        <v>292</v>
      </c>
    </row>
    <row r="7" customFormat="false" ht="42" hidden="false" customHeight="true" outlineLevel="0" collapsed="false">
      <c r="A7" s="55" t="s">
        <v>293</v>
      </c>
      <c r="B7" s="20" t="s">
        <v>294</v>
      </c>
      <c r="C7" s="20" t="s">
        <v>295</v>
      </c>
      <c r="D7" s="61" t="n">
        <v>3500</v>
      </c>
      <c r="E7" s="61" t="n">
        <v>38500</v>
      </c>
      <c r="F7" s="20" t="s">
        <v>296</v>
      </c>
    </row>
    <row r="8" customFormat="false" ht="42" hidden="false" customHeight="true" outlineLevel="0" collapsed="false">
      <c r="A8" s="53" t="s">
        <v>297</v>
      </c>
      <c r="B8" s="17" t="s">
        <v>298</v>
      </c>
      <c r="C8" s="17" t="s">
        <v>299</v>
      </c>
      <c r="D8" s="60" t="n">
        <v>6800</v>
      </c>
      <c r="E8" s="60" t="n">
        <v>74800</v>
      </c>
      <c r="F8" s="17" t="s">
        <v>300</v>
      </c>
    </row>
    <row r="9" customFormat="false" ht="42" hidden="false" customHeight="true" outlineLevel="0" collapsed="false">
      <c r="A9" s="55" t="s">
        <v>301</v>
      </c>
      <c r="B9" s="20" t="s">
        <v>302</v>
      </c>
      <c r="C9" s="20" t="s">
        <v>303</v>
      </c>
      <c r="D9" s="61" t="n">
        <v>14500</v>
      </c>
      <c r="E9" s="61" t="n">
        <v>159500</v>
      </c>
      <c r="F9" s="20" t="s">
        <v>304</v>
      </c>
    </row>
    <row r="10" customFormat="false" ht="42" hidden="false" customHeight="true" outlineLevel="0" collapsed="false">
      <c r="A10" s="53" t="s">
        <v>305</v>
      </c>
      <c r="B10" s="17" t="s">
        <v>306</v>
      </c>
      <c r="C10" s="17" t="s">
        <v>307</v>
      </c>
      <c r="D10" s="60" t="n">
        <v>22000</v>
      </c>
      <c r="E10" s="60" t="n">
        <v>242000</v>
      </c>
      <c r="F10" s="17" t="s">
        <v>308</v>
      </c>
    </row>
    <row r="11" customFormat="false" ht="9.75" hidden="false" customHeight="true" outlineLevel="0" collapsed="false"/>
    <row r="12" customFormat="false" ht="24" hidden="false" customHeight="true" outlineLevel="0" collapsed="false">
      <c r="A12" s="3" t="s">
        <v>309</v>
      </c>
      <c r="B12" s="3"/>
      <c r="C12" s="3"/>
      <c r="D12" s="3"/>
      <c r="E12" s="3"/>
      <c r="F12" s="3"/>
      <c r="G12" s="3"/>
      <c r="H12" s="3"/>
    </row>
    <row r="13" customFormat="false" ht="31.5" hidden="false" customHeight="true" outlineLevel="0" collapsed="false">
      <c r="A13" s="6" t="s">
        <v>310</v>
      </c>
      <c r="B13" s="6" t="s">
        <v>311</v>
      </c>
      <c r="C13" s="6" t="s">
        <v>216</v>
      </c>
      <c r="D13" s="6" t="s">
        <v>312</v>
      </c>
    </row>
    <row r="14" customFormat="false" ht="27.75" hidden="false" customHeight="true" outlineLevel="0" collapsed="false">
      <c r="A14" s="17" t="s">
        <v>313</v>
      </c>
      <c r="B14" s="62" t="n">
        <v>95000</v>
      </c>
      <c r="C14" s="17" t="s">
        <v>314</v>
      </c>
      <c r="D14" s="17" t="s">
        <v>315</v>
      </c>
    </row>
    <row r="15" customFormat="false" ht="27.75" hidden="false" customHeight="true" outlineLevel="0" collapsed="false">
      <c r="A15" s="20" t="s">
        <v>316</v>
      </c>
      <c r="B15" s="63" t="n">
        <v>78000</v>
      </c>
      <c r="C15" s="20" t="s">
        <v>314</v>
      </c>
      <c r="D15" s="20" t="s">
        <v>317</v>
      </c>
    </row>
    <row r="16" customFormat="false" ht="27.75" hidden="false" customHeight="true" outlineLevel="0" collapsed="false">
      <c r="A16" s="17" t="s">
        <v>318</v>
      </c>
      <c r="B16" s="62" t="n">
        <v>280000</v>
      </c>
      <c r="C16" s="17" t="s">
        <v>314</v>
      </c>
      <c r="D16" s="17" t="s">
        <v>319</v>
      </c>
    </row>
    <row r="17" customFormat="false" ht="27.75" hidden="false" customHeight="true" outlineLevel="0" collapsed="false">
      <c r="A17" s="20" t="s">
        <v>320</v>
      </c>
      <c r="B17" s="64" t="n">
        <v>320</v>
      </c>
      <c r="C17" s="20" t="s">
        <v>321</v>
      </c>
      <c r="D17" s="20" t="s">
        <v>322</v>
      </c>
    </row>
    <row r="18" customFormat="false" ht="27.75" hidden="false" customHeight="true" outlineLevel="0" collapsed="false">
      <c r="A18" s="17" t="s">
        <v>323</v>
      </c>
      <c r="B18" s="62" t="n">
        <v>85</v>
      </c>
      <c r="C18" s="17" t="s">
        <v>324</v>
      </c>
      <c r="D18" s="17" t="s">
        <v>325</v>
      </c>
    </row>
    <row r="19" customFormat="false" ht="27.75" hidden="false" customHeight="true" outlineLevel="0" collapsed="false">
      <c r="A19" s="54" t="s">
        <v>326</v>
      </c>
      <c r="B19" s="65" t="n">
        <v>27200</v>
      </c>
      <c r="C19" s="54" t="s">
        <v>327</v>
      </c>
      <c r="D19" s="54" t="s">
        <v>328</v>
      </c>
    </row>
    <row r="20" customFormat="false" ht="27.75" hidden="false" customHeight="true" outlineLevel="0" collapsed="false">
      <c r="A20" s="17" t="s">
        <v>329</v>
      </c>
      <c r="B20" s="62" t="n">
        <v>6800</v>
      </c>
      <c r="C20" s="17" t="s">
        <v>327</v>
      </c>
      <c r="D20" s="17" t="s">
        <v>330</v>
      </c>
    </row>
    <row r="21" customFormat="false" ht="27.75" hidden="false" customHeight="true" outlineLevel="0" collapsed="false">
      <c r="A21" s="54" t="s">
        <v>331</v>
      </c>
      <c r="B21" s="65" t="n">
        <v>20400</v>
      </c>
      <c r="C21" s="54" t="s">
        <v>327</v>
      </c>
      <c r="D21" s="54" t="s">
        <v>332</v>
      </c>
    </row>
    <row r="22" customFormat="false" ht="27.75" hidden="false" customHeight="true" outlineLevel="0" collapsed="false">
      <c r="A22" s="54" t="s">
        <v>333</v>
      </c>
      <c r="B22" s="65" t="n">
        <v>244800</v>
      </c>
      <c r="C22" s="54" t="s">
        <v>314</v>
      </c>
      <c r="D22" s="54" t="s">
        <v>334</v>
      </c>
    </row>
    <row r="23" customFormat="false" ht="27.75" hidden="false" customHeight="true" outlineLevel="0" collapsed="false">
      <c r="A23" s="20" t="s">
        <v>335</v>
      </c>
      <c r="B23" s="66" t="n">
        <v>5</v>
      </c>
      <c r="C23" s="20" t="s">
        <v>336</v>
      </c>
      <c r="D23" s="20" t="s">
        <v>337</v>
      </c>
    </row>
    <row r="24" customFormat="false" ht="9.75" hidden="false" customHeight="true" outlineLevel="0" collapsed="false"/>
    <row r="25" customFormat="false" ht="24" hidden="false" customHeight="true" outlineLevel="0" collapsed="false">
      <c r="A25" s="3" t="s">
        <v>338</v>
      </c>
      <c r="B25" s="3"/>
      <c r="C25" s="3"/>
      <c r="D25" s="3"/>
      <c r="E25" s="3"/>
      <c r="F25" s="3"/>
      <c r="G25" s="3"/>
      <c r="H25" s="3"/>
    </row>
    <row r="26" customFormat="false" ht="49.5" hidden="false" customHeight="true" outlineLevel="0" collapsed="false">
      <c r="A26" s="4" t="s">
        <v>339</v>
      </c>
      <c r="B26" s="5" t="s">
        <v>340</v>
      </c>
      <c r="C26" s="5"/>
      <c r="D26" s="5"/>
      <c r="E26" s="5"/>
      <c r="F26" s="5"/>
    </row>
    <row r="27" customFormat="false" ht="49.5" hidden="false" customHeight="true" outlineLevel="0" collapsed="false">
      <c r="A27" s="31" t="s">
        <v>341</v>
      </c>
      <c r="B27" s="33" t="s">
        <v>342</v>
      </c>
      <c r="C27" s="33"/>
      <c r="D27" s="33"/>
      <c r="E27" s="33"/>
      <c r="F27" s="33"/>
    </row>
    <row r="28" customFormat="false" ht="49.5" hidden="false" customHeight="true" outlineLevel="0" collapsed="false">
      <c r="A28" s="4" t="s">
        <v>343</v>
      </c>
      <c r="B28" s="5" t="s">
        <v>344</v>
      </c>
      <c r="C28" s="5"/>
      <c r="D28" s="5"/>
      <c r="E28" s="5"/>
      <c r="F28" s="5"/>
    </row>
    <row r="29" customFormat="false" ht="49.5" hidden="false" customHeight="true" outlineLevel="0" collapsed="false">
      <c r="A29" s="31" t="s">
        <v>345</v>
      </c>
      <c r="B29" s="33" t="s">
        <v>346</v>
      </c>
      <c r="C29" s="33"/>
      <c r="D29" s="33"/>
      <c r="E29" s="33"/>
      <c r="F29" s="33"/>
    </row>
  </sheetData>
  <mergeCells count="9">
    <mergeCell ref="A1:H1"/>
    <mergeCell ref="A2:H2"/>
    <mergeCell ref="A4:H4"/>
    <mergeCell ref="A12:H12"/>
    <mergeCell ref="A25:H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2026-04-25T00:21:25Z</dcterms:created>
  <dc:creator>openpyxl</dc:creator>
  <dc:description/>
  <dc:language>fr-FR</dc:language>
  <cp:lastModifiedBy/>
  <dcterms:modified xsi:type="dcterms:W3CDTF">2026-04-25T00:21:25Z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