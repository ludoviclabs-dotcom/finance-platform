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README" sheetId="1" state="visible" r:id="rId3"/>
    <sheet name="1_Agents_Synthese" sheetId="2" state="visible" r:id="rId4"/>
    <sheet name="2_Pipeline_Orchestration" sheetId="3" state="visible" r:id="rId5"/>
    <sheet name="3_Reglementation_Cross" sheetId="4" state="visible" r:id="rId6"/>
    <sheet name="4_KPIs_Consolides" sheetId="5" state="visible" r:id="rId7"/>
    <sheet name="5_Roadmap" sheetId="6" state="visible" r:id="rId8"/>
    <sheet name="6_Pricing_R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<sst xmlns="http://schemas.openxmlformats.org/spreadsheetml/2006/main" count="327" uniqueCount="281">
  <si>
    <t xml:space="preserve">Aero / Marketing — OVERVIEW NEURAL — Synthèse cross-agents</t>
  </si>
  <si>
    <t xml:space="preserve">NEURAL — Branche Aéronautique / Marketing — Date de réf. : 25/04/2026</t>
  </si>
  <si>
    <t xml:space="preserve">Périmètre</t>
  </si>
  <si>
    <t xml:space="preserve">Branche Aéronautique / Marketing : 4 agents publics (AeroTechContent, DefenseCommsGuard, AeroEventAI, AeroSustainabilityComms) + 2 services réservés (AeroRegWatch_Marketing, AeroEvidenceGuard_Marketing).</t>
  </si>
  <si>
    <t xml:space="preserve">Distinction</t>
  </si>
  <si>
    <t xml:space="preserve">Cette branche couvre le marketing B2B aéro (white papers, RFP, salons, communications environnementales). DISTINCTE de la branche aero-comms (Communications &amp; Affaires publiques corporate) déjà entamée mais non publiée — à porter ultérieurement.</t>
  </si>
  <si>
    <t xml:space="preserve">Pitch</t>
  </si>
  <si>
    <t xml:space="preserve">Audit déterministe + redlines + score conformité auto. Aucun verdict KO sans citation de base légale. AI Act art. 50 disclosure intégrée dans les 4 agents (applicable août 2026). Validation humaine obligatoire — aucune autopublication.</t>
  </si>
  <si>
    <t xml:space="preserve">Cibles recruteur</t>
  </si>
  <si>
    <t xml:space="preserve">Airbus, Safran, Thales, Dassault, Naval Group, Daher, Liebherr Aerospace, MBDA, Latécoère, équipementiers EU défense + cabinets conseil aéro.</t>
  </si>
  <si>
    <t xml:space="preserve">Onglets</t>
  </si>
  <si>
    <t xml:space="preserve">1_Agents_Synthese (4 agents) | 2_Pipeline_Orchestration (2 scénarios × 4-3 étapes) | 3_Reglementation_Cross (12 régs) | 4_KPIs_Consolides (12 KPI) | 5_Roadmap (6 phases) | 6_Pricing_ROI (5 personas).</t>
  </si>
  <si>
    <t xml:space="preserve">Workbooks branche</t>
  </si>
  <si>
    <t xml:space="preserve">AeroTechContent_NEURAL.xlsx + DefenseCommsGuard_NEURAL.xlsx + AeroEventAI_NEURAL.xlsx + AeroSustainabilityComms_NEURAL.xlsx + Aero_Marketing_OVERVIEW_NEURAL.xlsx (ce fichier).</t>
  </si>
  <si>
    <t xml:space="preserve">Statut</t>
  </si>
  <si>
    <t xml:space="preserve">Phase 1 livrée. Démo recruteur : cas synthétiques, aucun client réel, aucun programme classifié.</t>
  </si>
  <si>
    <t xml:space="preserve">Disclaimer</t>
  </si>
  <si>
    <t xml:space="preserve">Outil indicatif. Ne remplace pas DDTC, BIS, DGA, DGAC, OFAC, DGCCRF, EASA, juriste défense, compliance officer export-control, responsable ESG signataire CSRD ni bureau d'études signataire. Toute diffusion finale doit être validée humainement.</t>
  </si>
  <si>
    <t xml:space="preserve">Synthèse 4 agents — branche Aéro/Marketing</t>
  </si>
  <si>
    <t xml:space="preserve">Mission, input, output, KPIs principaux, déclencheurs, durée traitement, validation humaine, règle clé.</t>
  </si>
  <si>
    <t xml:space="preserve">Agent</t>
  </si>
  <si>
    <t xml:space="preserve">#</t>
  </si>
  <si>
    <t xml:space="preserve">Rôle</t>
  </si>
  <si>
    <t xml:space="preserve">Input</t>
  </si>
  <si>
    <t xml:space="preserve">Output</t>
  </si>
  <si>
    <t xml:space="preserve">KPI principal</t>
  </si>
  <si>
    <t xml:space="preserve">KPI secondaire</t>
  </si>
  <si>
    <t xml:space="preserve">Trigger</t>
  </si>
  <si>
    <t xml:space="preserve">Confiance v1 %</t>
  </si>
  <si>
    <t xml:space="preserve">Validation humaine</t>
  </si>
  <si>
    <t xml:space="preserve">Règle clé</t>
  </si>
  <si>
    <t xml:space="preserve">AeroTechContent</t>
  </si>
  <si>
    <t xml:space="preserve">Audit qualité contenus aéro B2B technique avant diffusion</t>
  </si>
  <si>
    <t xml:space="preserve">White paper, fiche technique, RFP/RFI, brochure salon</t>
  </si>
  <si>
    <t xml:space="preserve">Verdict OK/WARN/KO sur 10 règles + redlines + score qualité + décision diffusion</t>
  </si>
  <si>
    <t xml:space="preserve">Score qualité (% OK + 0.5×WARN) / 10 — cible &gt; 80% pour DIFFUSION OK</t>
  </si>
  <si>
    <t xml:space="preserve">Nb chiffres techniques sourcés vs total — cible 100%</t>
  </si>
  <si>
    <t xml:space="preserve">Pré-diffusion via webhook CMS / DAM / outil RFP</t>
  </si>
  <si>
    <t xml:space="preserve">Bureau d'études signataire + DirCom + DPO si données prospects</t>
  </si>
  <si>
    <t xml:space="preserve">AI Act art. 50 + Code défense L.2335-1 + Green Claims Directive</t>
  </si>
  <si>
    <t xml:space="preserve">DefenseCommsGuard</t>
  </si>
  <si>
    <t xml:space="preserve">Audit export-control + sanctions des communications marketing</t>
  </si>
  <si>
    <t xml:space="preserve">Toute communication B2B (email, presse, social, brochure, webinaire)</t>
  </si>
  <si>
    <t xml:space="preserve">Verdict 12 règles ITAR/EAR/EU/FR/sanctions + redlines + décision diffusion</t>
  </si>
  <si>
    <t xml:space="preserve">Nb KO bloquants — cible 0</t>
  </si>
  <si>
    <t xml:space="preserve">Score conformité — cible &gt; 85% (sujet sensible)</t>
  </si>
  <si>
    <t xml:space="preserve">Pré-diffusion automatique + scan inbox commercial (MailGuard)</t>
  </si>
  <si>
    <t xml:space="preserve">Compliance officer export-control habilité + juriste défense + DDTC/BIS pour licence</t>
  </si>
  <si>
    <t xml:space="preserve">ITAR US 22 CFR 120-130 + EAR 15 CFR 730-774 + Code défense L.2335-1 + OFAC SDN</t>
  </si>
  <si>
    <t xml:space="preserve">AeroEventAI</t>
  </si>
  <si>
    <t xml:space="preserve">Génération + audit packs événementiels salons aéro/défense 2026</t>
  </si>
  <si>
    <t xml:space="preserve">Brief commercial + salon cible (Farnborough, ILA, Eurosatory, MEBAA)</t>
  </si>
  <si>
    <t xml:space="preserve">Pack complet : brief presse + 5 posts social + talking points VIP + plan diffusion</t>
  </si>
  <si>
    <t xml:space="preserve">Score adaptation pack (tonalité ASD + AI Act + multi-langue) — cible &gt; 85%</t>
  </si>
  <si>
    <t xml:space="preserve">Nb redlines par pack — cible &lt; 5</t>
  </si>
  <si>
    <t xml:space="preserve">Workflow événementiel — brief → 4 variantes salon en parallèle</t>
  </si>
  <si>
    <t xml:space="preserve">DirCom + responsable événementiel + traducteur professionnel pour multi-langue</t>
  </si>
  <si>
    <t xml:space="preserve">ASD Charter mars 2025 + AI Act art. 50 + ITAR/EAR awareness</t>
  </si>
  <si>
    <t xml:space="preserve">AeroSustainabilityComms</t>
  </si>
  <si>
    <t xml:space="preserve">Audit anti-greenwashing claims SAF/H2/électrique/eVTOL/compensation</t>
  </si>
  <si>
    <t xml:space="preserve">Campagne, communiqué, page web, brochure, fiche avec claims environnementaux</t>
  </si>
  <si>
    <t xml:space="preserve">Verdict 11 règles greenwashing + redlines + scoring risque DGCCRF/CMA/EASA</t>
  </si>
  <si>
    <t xml:space="preserve">Score conformité Green Claims — cible &gt; 80%</t>
  </si>
  <si>
    <t xml:space="preserve">Nb claims sans LCA évidence — cible 0</t>
  </si>
  <si>
    <t xml:space="preserve">Pré-publication CMS + revue annuelle rapport CSRD ESRS E1</t>
  </si>
  <si>
    <t xml:space="preserve">Responsable ESG signataire CSRD + bureau d'études LCA tiers + juriste consommation</t>
  </si>
  <si>
    <t xml:space="preserve">EU Green Claims Directive 2024 + ReFuelEU Aviation 2023/2405 + CSRD ESRS E1 + EASA Decision 2024/015</t>
  </si>
  <si>
    <t xml:space="preserve">Pipeline orchestration — 3 scénarios cross-agents</t>
  </si>
  <si>
    <t xml:space="preserve">Enchaînements typiques : white paper, pack salon, RFP DGA/NATO. Cohérence cross-agents.</t>
  </si>
  <si>
    <t xml:space="preserve">Scénario</t>
  </si>
  <si>
    <t xml:space="preserve">Étape</t>
  </si>
  <si>
    <t xml:space="preserve">Action</t>
  </si>
  <si>
    <t xml:space="preserve">Input source</t>
  </si>
  <si>
    <t xml:space="preserve">Output destination</t>
  </si>
  <si>
    <t xml:space="preserve">Lancement white paper + campagne digitale propulsion hybride</t>
  </si>
  <si>
    <t xml:space="preserve">Audit qualité du white paper : sources actives, chiffres validés, mention DGA si applicable, AI disclosure</t>
  </si>
  <si>
    <t xml:space="preserve">Bureau d'études + équipe contenu</t>
  </si>
  <si>
    <t xml:space="preserve">Marketing digital + responsable contenu</t>
  </si>
  <si>
    <t xml:space="preserve">Audit greenwashing des claims environnementaux : SAF certification, périmètre LCA, cohérence CSRD ESRS E1</t>
  </si>
  <si>
    <t xml:space="preserve">White paper validé par AeroTechContent</t>
  </si>
  <si>
    <t xml:space="preserve">Responsable ESG + DGCCRF si campagne grand public</t>
  </si>
  <si>
    <t xml:space="preserve">Vérification finale : pas d'info dual-use, pas de programme défense classifié</t>
  </si>
  <si>
    <t xml:space="preserve">Sortie AeroTechContent + AeroSustainabilityComms</t>
  </si>
  <si>
    <t xml:space="preserve">Compliance officer — Go / No-Go diffusion</t>
  </si>
  <si>
    <t xml:space="preserve">Pack salon Farnborough 2026 multi-format</t>
  </si>
  <si>
    <t xml:space="preserve">Génération du pack événementiel : brief presse + 5 posts + talking points + plan diffusion multi-langue (EN/FR/DE)</t>
  </si>
  <si>
    <t xml:space="preserve">Brief commercial + thématique salon</t>
  </si>
  <si>
    <t xml:space="preserve">Équipe événementiel + DirCom</t>
  </si>
  <si>
    <t xml:space="preserve">Audit export-control de tous les contenus du pack avant impression brochures + envoi presse</t>
  </si>
  <si>
    <t xml:space="preserve">Sortie AeroEventAI</t>
  </si>
  <si>
    <t xml:space="preserve">Compliance officer + juriste export</t>
  </si>
  <si>
    <t xml:space="preserve">Audit greenwashing si claims SAF/H2 dans communications salon — cohérence avec CSRD</t>
  </si>
  <si>
    <t xml:space="preserve">Brief presse + brochures</t>
  </si>
  <si>
    <t xml:space="preserve">Responsable ESG + DirCom</t>
  </si>
  <si>
    <t xml:space="preserve">Vérification finale chiffres techniques fiches produits + RFP-ready packaging</t>
  </si>
  <si>
    <t xml:space="preserve">Tous outputs précédents</t>
  </si>
  <si>
    <t xml:space="preserve">DirCom + équipe presse</t>
  </si>
  <si>
    <t xml:space="preserve">Réponse RFP DGA / RFI NATO programme drone</t>
  </si>
  <si>
    <t xml:space="preserve">Pré-screening export-control : ITAR Cat. VIII/XV, EAR ECCN 9A610/9A619, EU dual-use Reg. 2021/821, FR LMG L.2335-1, OFAC + EU sanctions</t>
  </si>
  <si>
    <t xml:space="preserve">Brief réponse RFP + spécifications matériel</t>
  </si>
  <si>
    <t xml:space="preserve">Compliance officer — Go / No-Go avant rédaction</t>
  </si>
  <si>
    <t xml:space="preserve">Audit qualité de la réponse RFP : sources actives, chiffres validés DGA-MOA / NCIA, mentions EDF/EDIP/EDIRPA, AI disclosure</t>
  </si>
  <si>
    <t xml:space="preserve">Brief Go from DefenseCommsGuard + draft technique</t>
  </si>
  <si>
    <t xml:space="preserve">Bureau d'études signataire + DirCom</t>
  </si>
  <si>
    <t xml:space="preserve">Régulations cross-agents — 12 régulations majeures</t>
  </si>
  <si>
    <t xml:space="preserve">ITAR + EAR + EU dual-use + FR LMG + sanctions + AI Act + Green Claims + CSRD + ASD + NIS2 + EDIP + EASA Decision 2024/015.</t>
  </si>
  <si>
    <t xml:space="preserve">Régulation</t>
  </si>
  <si>
    <t xml:space="preserve">Référence</t>
  </si>
  <si>
    <t xml:space="preserve">Criticité</t>
  </si>
  <si>
    <t xml:space="preserve">ITAR — International Traffic in Arms Regulations</t>
  </si>
  <si>
    <t xml:space="preserve">US 22 CFR 120-130 (revision janv 2026)</t>
  </si>
  <si>
    <t xml:space="preserve">Indirect — flag export-aware</t>
  </si>
  <si>
    <t xml:space="preserve">Cœur — Cat. VIII (aircraft), Cat. XV (spacecraft)</t>
  </si>
  <si>
    <t xml:space="preserve">Indirect — pas d'info ITAR sur salons publics</t>
  </si>
  <si>
    <t xml:space="preserve">Non applicable</t>
  </si>
  <si>
    <t xml:space="preserve">BLOQUANT</t>
  </si>
  <si>
    <t xml:space="preserve">EAR — Export Administration Regulations</t>
  </si>
  <si>
    <t xml:space="preserve">US 15 CFR 730-774 (Entity List mars 2026 + FDPR drones 2025)</t>
  </si>
  <si>
    <t xml:space="preserve">Indirect</t>
  </si>
  <si>
    <t xml:space="preserve">Cœur — ECCN 9A610/9A619, FDPR</t>
  </si>
  <si>
    <t xml:space="preserve">EU Dual-Use Reg. 2021/821</t>
  </si>
  <si>
    <t xml:space="preserve">Annexe I (radars, optronique, propulsion, cyber)</t>
  </si>
  <si>
    <t xml:space="preserve">Indirect — flag dual-use</t>
  </si>
  <si>
    <t xml:space="preserve">Cœur — annexe I systématique</t>
  </si>
  <si>
    <t xml:space="preserve">Code de la défense FR L.2335-1 LMG</t>
  </si>
  <si>
    <t xml:space="preserve">Arrêté LMG 27/06/2012 + LPM 2024-2030 (Loi 2023-703)</t>
  </si>
  <si>
    <t xml:space="preserve">Cœur — AT/IDP/AGI</t>
  </si>
  <si>
    <t xml:space="preserve">Indirect — flag programmes défense FR</t>
  </si>
  <si>
    <t xml:space="preserve">Sanctions OFAC SDN List + EU sanctions packages</t>
  </si>
  <si>
    <t xml:space="preserve">OFAC SDN (mars 2026) + EU 16e paquet Russie (fév 2026)</t>
  </si>
  <si>
    <t xml:space="preserve">Cœur — screening systématique</t>
  </si>
  <si>
    <t xml:space="preserve">Indirect — invités webinaires/salons</t>
  </si>
  <si>
    <t xml:space="preserve">EU AI Act — UE 2024/1689 art. 50</t>
  </si>
  <si>
    <t xml:space="preserve">Applicable 02/08/2026</t>
  </si>
  <si>
    <t xml:space="preserve">Cœur — disclosure IA contenus générés</t>
  </si>
  <si>
    <t xml:space="preserve">Cœur — disclosure scoring IA screening</t>
  </si>
  <si>
    <t xml:space="preserve">Cœur — disclosure IA briefs/posts/talking points</t>
  </si>
  <si>
    <t xml:space="preserve">Cœur — disclosure IA audit greenwashing</t>
  </si>
  <si>
    <t xml:space="preserve">BLOQUANT (août 2026)</t>
  </si>
  <si>
    <t xml:space="preserve">EU Green Claims Directive 2024</t>
  </si>
  <si>
    <t xml:space="preserve">Transposition 2026 + ReFuelEU 2023/2405</t>
  </si>
  <si>
    <t xml:space="preserve">Indirect — claims SAF/H2 dans contenus tech</t>
  </si>
  <si>
    <t xml:space="preserve">Indirect — claims salon</t>
  </si>
  <si>
    <t xml:space="preserve">Cœur — audit systématique</t>
  </si>
  <si>
    <t xml:space="preserve">BLOQUANT (DGCCRF FR)</t>
  </si>
  <si>
    <t xml:space="preserve">CSRD ESRS E1 Climate change</t>
  </si>
  <si>
    <t xml:space="preserve">Directive UE 2022/2464 (obligatoire 2025 grandes entreprises)</t>
  </si>
  <si>
    <t xml:space="preserve">Indirect — citation CSRD si applicable</t>
  </si>
  <si>
    <t xml:space="preserve">Indirect — communication ESG salon</t>
  </si>
  <si>
    <t xml:space="preserve">Cœur — cohérence claim ↔ rapport CSRD</t>
  </si>
  <si>
    <t xml:space="preserve">ASD Europe Responsible Defence Comms Charter</t>
  </si>
  <si>
    <t xml:space="preserve">Charte mars 2025 (post-Ukraine)</t>
  </si>
  <si>
    <t xml:space="preserve">Cœur — tonalité contenus défense</t>
  </si>
  <si>
    <t xml:space="preserve">Cœur — règle D12</t>
  </si>
  <si>
    <t xml:space="preserve">Cœur — règle E01</t>
  </si>
  <si>
    <t xml:space="preserve">Faible</t>
  </si>
  <si>
    <t xml:space="preserve">Volontaire (mais critique réputationnel)</t>
  </si>
  <si>
    <t xml:space="preserve">NIS2 + DORA (cyber + résilience)</t>
  </si>
  <si>
    <t xml:space="preserve">Décret FR 2024-1308 + DORA Reg. UE 2022/2554 (applicable 17/01/2025)</t>
  </si>
  <si>
    <t xml:space="preserve">Cœur — règle R06 mention cyber</t>
  </si>
  <si>
    <t xml:space="preserve">BLOQUANT systèmes critiques</t>
  </si>
  <si>
    <t xml:space="preserve">EDIP + EDF + EDIRPA + ASAP (financement EU défense)</t>
  </si>
  <si>
    <t xml:space="preserve">Reg. UE 2025/588 EDIP + EU Defence Industrial Strategy</t>
  </si>
  <si>
    <t xml:space="preserve">Cœur — règle R09 mention financement</t>
  </si>
  <si>
    <t xml:space="preserve">Cœur — communication programmes EU</t>
  </si>
  <si>
    <t xml:space="preserve">Conditionnel (si subv. EU)</t>
  </si>
  <si>
    <t xml:space="preserve">EASA Decision 2024/015 (claims environnementaux aviation)</t>
  </si>
  <si>
    <t xml:space="preserve">Encadrement « carbon neutral flight » et claims ESG</t>
  </si>
  <si>
    <t xml:space="preserve">Cœur — règle G03</t>
  </si>
  <si>
    <t xml:space="preserve">BLOQUANT (EASA)</t>
  </si>
  <si>
    <t xml:space="preserve">KPIs consolidés — 12 indicateurs cross-agents</t>
  </si>
  <si>
    <t xml:space="preserve">Comparaison v1 actuel / v1 cible / v2 cible. Calcul auto des gains.</t>
  </si>
  <si>
    <t xml:space="preserve">ID</t>
  </si>
  <si>
    <t xml:space="preserve">KPI</t>
  </si>
  <si>
    <t xml:space="preserve">Unité</t>
  </si>
  <si>
    <t xml:space="preserve">v1 actuel</t>
  </si>
  <si>
    <t xml:space="preserve">v1 cible</t>
  </si>
  <si>
    <t xml:space="preserve">v2 cible</t>
  </si>
  <si>
    <t xml:space="preserve">Gain v1→v1c</t>
  </si>
  <si>
    <t xml:space="preserve">Gain v1c→v2</t>
  </si>
  <si>
    <t xml:space="preserve">K01</t>
  </si>
  <si>
    <t xml:space="preserve">Score conformité moyen (4 agents)</t>
  </si>
  <si>
    <t xml:space="preserve">%</t>
  </si>
  <si>
    <t xml:space="preserve">K02</t>
  </si>
  <si>
    <t xml:space="preserve">Nb KO bloquants par campagne</t>
  </si>
  <si>
    <t xml:space="preserve">nb</t>
  </si>
  <si>
    <t xml:space="preserve">K03</t>
  </si>
  <si>
    <t xml:space="preserve">% communications validées 1er passage</t>
  </si>
  <si>
    <t xml:space="preserve">K04</t>
  </si>
  <si>
    <t xml:space="preserve">Temps audit moyen / communication</t>
  </si>
  <si>
    <t xml:space="preserve">secondes</t>
  </si>
  <si>
    <t xml:space="preserve">K05</t>
  </si>
  <si>
    <t xml:space="preserve">Nb redlines générées / audit (moyenne)</t>
  </si>
  <si>
    <t xml:space="preserve">K06</t>
  </si>
  <si>
    <t xml:space="preserve">% disclosure IA AI Act art. 50 conforme</t>
  </si>
  <si>
    <t xml:space="preserve">K07</t>
  </si>
  <si>
    <t xml:space="preserve">Nb sanctions screening / mois</t>
  </si>
  <si>
    <t xml:space="preserve">K08</t>
  </si>
  <si>
    <t xml:space="preserve">% claims greenwashing détectés</t>
  </si>
  <si>
    <t xml:space="preserve">K09</t>
  </si>
  <si>
    <t xml:space="preserve">ROI client (économie heures compliance)</t>
  </si>
  <si>
    <t xml:space="preserve">K€/mois</t>
  </si>
  <si>
    <t xml:space="preserve">K10</t>
  </si>
  <si>
    <t xml:space="preserve">Confiance verdict (validation HITL)</t>
  </si>
  <si>
    <t xml:space="preserve">K11</t>
  </si>
  <si>
    <t xml:space="preserve">Couverture salons annuelle (packs)</t>
  </si>
  <si>
    <t xml:space="preserve">salons</t>
  </si>
  <si>
    <t xml:space="preserve">K12</t>
  </si>
  <si>
    <t xml:space="preserve">Time-to-pitch (idée → diffusion validée)</t>
  </si>
  <si>
    <t xml:space="preserve">jours</t>
  </si>
  <si>
    <t xml:space="preserve">Roadmap branche Aéro/Marketing — 6 phases</t>
  </si>
  <si>
    <t xml:space="preserve">Phase 1 livrée Q1 2026 (5 Excel). Phase 2 portage Next.js Q2. Pilote Q3. v2 production fin 2026/2027.</t>
  </si>
  <si>
    <t xml:space="preserve">Phase</t>
  </si>
  <si>
    <t xml:space="preserve">Horizon</t>
  </si>
  <si>
    <t xml:space="preserve">Scope</t>
  </si>
  <si>
    <t xml:space="preserve">Livrable</t>
  </si>
  <si>
    <t xml:space="preserve">Phase 1 — POC interne</t>
  </si>
  <si>
    <t xml:space="preserve">Q1 2026 (en cours)</t>
  </si>
  <si>
    <t xml:space="preserve">5 Excel auditables + démo recruteur</t>
  </si>
  <si>
    <t xml:space="preserve">AeroTechContent_NEURAL.xlsx + DefenseCommsGuard_NEURAL.xlsx + AeroEventAI_NEURAL.xlsx + AeroSustainabilityComms_NEURAL.xlsx + Aero_Marketing_OVERVIEW_NEURAL.xlsx</t>
  </si>
  <si>
    <t xml:space="preserve">EN COURS</t>
  </si>
  <si>
    <t xml:space="preserve">Phase 2 — Portage UI</t>
  </si>
  <si>
    <t xml:space="preserve">Q2 2026</t>
  </si>
  <si>
    <t xml:space="preserve">Page Next.js /secteurs/aeronautique/marketing + catalogue TS + page hub /secteurs/aeronautique</t>
  </si>
  <si>
    <t xml:space="preserve">Site NEURAL avec branche aéro/marketing déployée Vercel</t>
  </si>
  <si>
    <t xml:space="preserve">PRÉVU</t>
  </si>
  <si>
    <t xml:space="preserve">Phase 3 — Pilote client</t>
  </si>
  <si>
    <t xml:space="preserve">Q3 2026</t>
  </si>
  <si>
    <t xml:space="preserve">1-2 clients équipementiers / défense FR — POC 3 mois sur 1 agent</t>
  </si>
  <si>
    <t xml:space="preserve">Démonstration ROI + retours clients + ajustements v1.5</t>
  </si>
  <si>
    <t xml:space="preserve">Phase 4 — v2 production</t>
  </si>
  <si>
    <t xml:space="preserve">Q4 2026 - Q1 2027</t>
  </si>
  <si>
    <t xml:space="preserve">API connectées (OFAC, EU sanctions, ICVCM, ISCC EU) + dashboard SaaS</t>
  </si>
  <si>
    <t xml:space="preserve">Plateforme SaaS avec connecteurs runtime + multi-tenant</t>
  </si>
  <si>
    <t xml:space="preserve">DESIGN</t>
  </si>
  <si>
    <t xml:space="preserve">Phase 5 — Couverture salons 2027</t>
  </si>
  <si>
    <t xml:space="preserve">Q2 2027 (Bourget)</t>
  </si>
  <si>
    <t xml:space="preserve">Pack événementiel pré-Bourget Paris 2027 (juin) + Farnborough non bisannuel UK</t>
  </si>
  <si>
    <t xml:space="preserve">AeroEventAI v2 avec génération automatique 8 salons</t>
  </si>
  <si>
    <t xml:space="preserve">Phase 6 — International</t>
  </si>
  <si>
    <t xml:space="preserve">Q4 2027</t>
  </si>
  <si>
    <t xml:space="preserve">Extension US (DDTC OFAC), UK (OFSI), DE (BAFA), AU (AUKUS)</t>
  </si>
  <si>
    <t xml:space="preserve">Couverture export-control multi-juridictions</t>
  </si>
  <si>
    <t xml:space="preserve">ROADMAP</t>
  </si>
  <si>
    <t xml:space="preserve">Pricing &amp; ROI — 5 personas cibles</t>
  </si>
  <si>
    <t xml:space="preserve">Forfaits mensuels indicatifs. ROI calculé sur économie heures compliance + risque sanction évité.</t>
  </si>
  <si>
    <t xml:space="preserve">Persona</t>
  </si>
  <si>
    <t xml:space="preserve">Exemples cibles (publics)</t>
  </si>
  <si>
    <t xml:space="preserve">Agents inclus</t>
  </si>
  <si>
    <t xml:space="preserve">Forfait €/mois</t>
  </si>
  <si>
    <t xml:space="preserve">Scope mensuel</t>
  </si>
  <si>
    <t xml:space="preserve">ROI estimé</t>
  </si>
  <si>
    <t xml:space="preserve">Équipementier civil ETI</t>
  </si>
  <si>
    <t xml:space="preserve">Daher, Liebherr Aerospace, Latécoère</t>
  </si>
  <si>
    <t xml:space="preserve">AeroTechContent + AeroSustainabilityComms</t>
  </si>
  <si>
    <t xml:space="preserve">Audit white papers + claims SAF/électrique. ~50 contenus/mois. 2 salons / an.</t>
  </si>
  <si>
    <t xml:space="preserve">Économie 14 K€/mois (heures compliance + marketing) — ROI x 3.1</t>
  </si>
  <si>
    <t xml:space="preserve">Équipementier défense</t>
  </si>
  <si>
    <t xml:space="preserve">Sous-traitants Thales, Safran Defence, MBDA</t>
  </si>
  <si>
    <t xml:space="preserve">DefenseCommsGuard + AeroTechContent</t>
  </si>
  <si>
    <t xml:space="preserve">Audit export-control 100% communications. Réponses RFP DGA/NATO. ~200 comms/mois.</t>
  </si>
  <si>
    <t xml:space="preserve">Économie 26 K€/mois (compliance officer + risque sanction évité) — ROI x 3.1</t>
  </si>
  <si>
    <t xml:space="preserve">Compagnie eVTOL / régional électrique</t>
  </si>
  <si>
    <t xml:space="preserve">Joby Europe, Archer, Volocopter (si redressement OK)</t>
  </si>
  <si>
    <t xml:space="preserve">AeroSustainabilityComms + AeroEventAI</t>
  </si>
  <si>
    <t xml:space="preserve">Audit greenwashing + packs salons (CES, ILA, MEBAA). Communications grand public sensibles DGCCRF.</t>
  </si>
  <si>
    <t xml:space="preserve">Économie 16 K€/mois + évitement sanction DGCCRF (4% CA) — ROI x 3.1</t>
  </si>
  <si>
    <t xml:space="preserve">Grand groupe aéro (Top 5)</t>
  </si>
  <si>
    <t xml:space="preserve">Airbus, Safran, Thales, Dassault, Naval Group</t>
  </si>
  <si>
    <t xml:space="preserve">Suite complète 4 agents + AeroRegWatch_Marketing + AeroEvidenceGuard_Marketing</t>
  </si>
  <si>
    <t xml:space="preserve">Couverture totale comms marketing + défense + ESG + événementiel. ~2000 comms/mois. 8 salons/an.</t>
  </si>
  <si>
    <t xml:space="preserve">Économie 75 K€/mois (équipes compliance/marketing/ESG) + sécurité juridique — ROI x 3.4</t>
  </si>
  <si>
    <t xml:space="preserve">Cabinet conseil aéro</t>
  </si>
  <si>
    <t xml:space="preserve">Roland Berger Aviation, Oliver Wyman, Bain Aerospace</t>
  </si>
  <si>
    <t xml:space="preserve">API access + white-label</t>
  </si>
  <si>
    <t xml:space="preserve">Accès API pour audits clients. Volume 100 audits/mois inclus. Marque blanche.</t>
  </si>
  <si>
    <t xml:space="preserve">Marge nette 60% sur revente client — ROI x 5+</t>
  </si>
  <si>
    <t xml:space="preserve">Synthèse</t>
  </si>
  <si>
    <t xml:space="preserve">Forfait moyen</t>
  </si>
  <si>
    <t xml:space="preserve">Total mensuel cumulé</t>
  </si>
  <si>
    <t xml:space="preserve">Total annuel cumulé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</si>
</sst>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,\€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0E0824"/>
      <name val="Arial"/>
      <family val="0"/>
      <charset val="1"/>
    </font>
    <font>
      <sz val="10"/>
      <color rgb="FF0E082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AE6F5"/>
        <bgColor rgb="FFFEE2E2"/>
      </patternFill>
    </fill>
    <fill>
      <patternFill patternType="solid">
        <fgColor rgb="FF1E1242"/>
        <bgColor rgb="FF0E0824"/>
      </patternFill>
    </fill>
    <fill>
      <patternFill patternType="solid">
        <fgColor rgb="FF1E40AF"/>
        <bgColor rgb="FF003366"/>
      </patternFill>
    </fill>
    <fill>
      <patternFill patternType="solid">
        <fgColor rgb="FFB91C1C"/>
        <bgColor rgb="FFDC2626"/>
      </patternFill>
    </fill>
    <fill>
      <patternFill patternType="solid">
        <fgColor rgb="FF059669"/>
        <bgColor rgb="FF16A34A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EAE6F5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E0824"/>
      <rgbColor rgb="FF808000"/>
      <rgbColor rgb="FF800080"/>
      <rgbColor rgb="FF059669"/>
      <rgbColor rgb="FFCCCCCC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6F5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003366"/>
      <rgbColor rgb="FF16A34A"/>
      <rgbColor rgb="FF003300"/>
      <rgbColor rgb="FF333300"/>
      <rgbColor rgb="FFB91C1C"/>
      <rgbColor rgb="FF993366"/>
      <rgbColor rgb="FF1E40AF"/>
      <rgbColor rgb="FF1E1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36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55.5" hidden="false" customHeight="true" outlineLevel="0" collapsed="false">
      <c r="A5" s="3" t="s">
        <v>4</v>
      </c>
      <c r="B5" s="4" t="s">
        <v>5</v>
      </c>
    </row>
    <row r="6" customFormat="false" ht="55.5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39.75" hidden="false" customHeight="true" outlineLevel="0" collapsed="false">
      <c r="A10" s="3" t="s">
        <v>14</v>
      </c>
      <c r="B10" s="4" t="s">
        <v>15</v>
      </c>
    </row>
    <row r="11" customFormat="false" ht="55.5" hidden="false" customHeight="true" outlineLevel="0" collapsed="false">
      <c r="A11" s="3" t="s">
        <v>16</v>
      </c>
      <c r="B11" s="4" t="s">
        <v>17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7" min="6" style="0" width="3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6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</row>
    <row r="5" customFormat="false" ht="109.5" hidden="false" customHeight="true" outlineLevel="0" collapsed="false">
      <c r="A5" s="6" t="s">
        <v>31</v>
      </c>
      <c r="B5" s="4" t="n">
        <v>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n">
        <v>89</v>
      </c>
      <c r="J5" s="4" t="s">
        <v>38</v>
      </c>
      <c r="K5" s="4" t="s">
        <v>39</v>
      </c>
    </row>
    <row r="6" customFormat="false" ht="109.5" hidden="false" customHeight="true" outlineLevel="0" collapsed="false">
      <c r="A6" s="7" t="s">
        <v>40</v>
      </c>
      <c r="B6" s="8" t="n">
        <v>2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45</v>
      </c>
      <c r="H6" s="8" t="s">
        <v>46</v>
      </c>
      <c r="I6" s="8" t="n">
        <v>92</v>
      </c>
      <c r="J6" s="8" t="s">
        <v>47</v>
      </c>
      <c r="K6" s="8" t="s">
        <v>48</v>
      </c>
    </row>
    <row r="7" customFormat="false" ht="109.5" hidden="false" customHeight="true" outlineLevel="0" collapsed="false">
      <c r="A7" s="9" t="s">
        <v>49</v>
      </c>
      <c r="B7" s="4" t="n">
        <v>3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n">
        <v>87</v>
      </c>
      <c r="J7" s="4" t="s">
        <v>56</v>
      </c>
      <c r="K7" s="4" t="s">
        <v>57</v>
      </c>
    </row>
    <row r="8" customFormat="false" ht="109.5" hidden="false" customHeight="true" outlineLevel="0" collapsed="false">
      <c r="A8" s="10" t="s">
        <v>58</v>
      </c>
      <c r="B8" s="8" t="n">
        <v>4</v>
      </c>
      <c r="C8" s="8" t="s">
        <v>59</v>
      </c>
      <c r="D8" s="8" t="s">
        <v>60</v>
      </c>
      <c r="E8" s="8" t="s">
        <v>61</v>
      </c>
      <c r="F8" s="8" t="s">
        <v>62</v>
      </c>
      <c r="G8" s="8" t="s">
        <v>63</v>
      </c>
      <c r="H8" s="8" t="s">
        <v>64</v>
      </c>
      <c r="I8" s="8" t="n">
        <v>86</v>
      </c>
      <c r="J8" s="8" t="s">
        <v>65</v>
      </c>
      <c r="K8" s="8" t="s">
        <v>66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6" min="5" style="0" width="32"/>
  </cols>
  <sheetData>
    <row r="1" customFormat="false" ht="36" hidden="false" customHeight="true" outlineLevel="0" collapsed="false">
      <c r="A1" s="1" t="s">
        <v>67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68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5" t="s">
        <v>69</v>
      </c>
      <c r="B4" s="5" t="s">
        <v>70</v>
      </c>
      <c r="C4" s="5" t="s">
        <v>20</v>
      </c>
      <c r="D4" s="5" t="s">
        <v>71</v>
      </c>
      <c r="E4" s="5" t="s">
        <v>72</v>
      </c>
      <c r="F4" s="5" t="s">
        <v>73</v>
      </c>
    </row>
    <row r="5" customFormat="false" ht="69.75" hidden="false" customHeight="true" outlineLevel="0" collapsed="false">
      <c r="A5" s="4" t="s">
        <v>74</v>
      </c>
      <c r="B5" s="4" t="n">
        <v>1</v>
      </c>
      <c r="C5" s="11" t="s">
        <v>31</v>
      </c>
      <c r="D5" s="4" t="s">
        <v>75</v>
      </c>
      <c r="E5" s="4" t="s">
        <v>76</v>
      </c>
      <c r="F5" s="4" t="s">
        <v>77</v>
      </c>
    </row>
    <row r="6" customFormat="false" ht="69.75" hidden="false" customHeight="true" outlineLevel="0" collapsed="false">
      <c r="A6" s="4"/>
      <c r="B6" s="4" t="n">
        <v>2</v>
      </c>
      <c r="C6" s="12" t="s">
        <v>58</v>
      </c>
      <c r="D6" s="4" t="s">
        <v>78</v>
      </c>
      <c r="E6" s="4" t="s">
        <v>79</v>
      </c>
      <c r="F6" s="4" t="s">
        <v>80</v>
      </c>
    </row>
    <row r="7" customFormat="false" ht="69.75" hidden="false" customHeight="true" outlineLevel="0" collapsed="false">
      <c r="A7" s="4"/>
      <c r="B7" s="4" t="n">
        <v>3</v>
      </c>
      <c r="C7" s="13" t="s">
        <v>40</v>
      </c>
      <c r="D7" s="4" t="s">
        <v>81</v>
      </c>
      <c r="E7" s="4" t="s">
        <v>82</v>
      </c>
      <c r="F7" s="4" t="s">
        <v>83</v>
      </c>
    </row>
    <row r="8" customFormat="false" ht="69.75" hidden="false" customHeight="true" outlineLevel="0" collapsed="false">
      <c r="A8" s="4" t="s">
        <v>84</v>
      </c>
      <c r="B8" s="4" t="n">
        <v>1</v>
      </c>
      <c r="C8" s="14" t="s">
        <v>49</v>
      </c>
      <c r="D8" s="4" t="s">
        <v>85</v>
      </c>
      <c r="E8" s="4" t="s">
        <v>86</v>
      </c>
      <c r="F8" s="4" t="s">
        <v>87</v>
      </c>
    </row>
    <row r="9" customFormat="false" ht="69.75" hidden="false" customHeight="true" outlineLevel="0" collapsed="false">
      <c r="A9" s="4"/>
      <c r="B9" s="4" t="n">
        <v>2</v>
      </c>
      <c r="C9" s="13" t="s">
        <v>40</v>
      </c>
      <c r="D9" s="4" t="s">
        <v>88</v>
      </c>
      <c r="E9" s="4" t="s">
        <v>89</v>
      </c>
      <c r="F9" s="4" t="s">
        <v>90</v>
      </c>
    </row>
    <row r="10" customFormat="false" ht="69.75" hidden="false" customHeight="true" outlineLevel="0" collapsed="false">
      <c r="A10" s="4"/>
      <c r="B10" s="4" t="n">
        <v>3</v>
      </c>
      <c r="C10" s="12" t="s">
        <v>58</v>
      </c>
      <c r="D10" s="4" t="s">
        <v>91</v>
      </c>
      <c r="E10" s="4" t="s">
        <v>92</v>
      </c>
      <c r="F10" s="4" t="s">
        <v>93</v>
      </c>
    </row>
    <row r="11" customFormat="false" ht="69.75" hidden="false" customHeight="true" outlineLevel="0" collapsed="false">
      <c r="A11" s="4"/>
      <c r="B11" s="4" t="n">
        <v>4</v>
      </c>
      <c r="C11" s="11" t="s">
        <v>31</v>
      </c>
      <c r="D11" s="4" t="s">
        <v>94</v>
      </c>
      <c r="E11" s="4" t="s">
        <v>95</v>
      </c>
      <c r="F11" s="4" t="s">
        <v>96</v>
      </c>
    </row>
    <row r="12" customFormat="false" ht="69.75" hidden="false" customHeight="true" outlineLevel="0" collapsed="false">
      <c r="A12" s="4" t="s">
        <v>97</v>
      </c>
      <c r="B12" s="4" t="n">
        <v>1</v>
      </c>
      <c r="C12" s="13" t="s">
        <v>40</v>
      </c>
      <c r="D12" s="4" t="s">
        <v>98</v>
      </c>
      <c r="E12" s="4" t="s">
        <v>99</v>
      </c>
      <c r="F12" s="4" t="s">
        <v>100</v>
      </c>
    </row>
    <row r="13" customFormat="false" ht="69.75" hidden="false" customHeight="true" outlineLevel="0" collapsed="false">
      <c r="A13" s="4"/>
      <c r="B13" s="4" t="n">
        <v>2</v>
      </c>
      <c r="C13" s="11" t="s">
        <v>31</v>
      </c>
      <c r="D13" s="4" t="s">
        <v>101</v>
      </c>
      <c r="E13" s="4" t="s">
        <v>102</v>
      </c>
      <c r="F13" s="4" t="s">
        <v>103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7" min="3" style="0" width="22"/>
  </cols>
  <sheetData>
    <row r="1" customFormat="false" ht="36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5" t="s">
        <v>106</v>
      </c>
      <c r="B4" s="5" t="s">
        <v>107</v>
      </c>
      <c r="C4" s="5" t="s">
        <v>31</v>
      </c>
      <c r="D4" s="5" t="s">
        <v>40</v>
      </c>
      <c r="E4" s="5" t="s">
        <v>49</v>
      </c>
      <c r="F4" s="5" t="s">
        <v>58</v>
      </c>
      <c r="G4" s="5" t="s">
        <v>108</v>
      </c>
    </row>
    <row r="5" customFormat="false" ht="60" hidden="false" customHeight="true" outlineLevel="0" collapsed="false">
      <c r="A5" s="4" t="s">
        <v>109</v>
      </c>
      <c r="B5" s="4" t="s">
        <v>110</v>
      </c>
      <c r="C5" s="4" t="s">
        <v>111</v>
      </c>
      <c r="D5" s="15" t="s">
        <v>112</v>
      </c>
      <c r="E5" s="4" t="s">
        <v>113</v>
      </c>
      <c r="F5" s="4" t="s">
        <v>114</v>
      </c>
      <c r="G5" s="16" t="s">
        <v>115</v>
      </c>
    </row>
    <row r="6" customFormat="false" ht="60" hidden="false" customHeight="true" outlineLevel="0" collapsed="false">
      <c r="A6" s="8" t="s">
        <v>116</v>
      </c>
      <c r="B6" s="8" t="s">
        <v>117</v>
      </c>
      <c r="C6" s="8" t="s">
        <v>118</v>
      </c>
      <c r="D6" s="15" t="s">
        <v>119</v>
      </c>
      <c r="E6" s="8" t="s">
        <v>118</v>
      </c>
      <c r="F6" s="8" t="s">
        <v>114</v>
      </c>
      <c r="G6" s="16" t="s">
        <v>115</v>
      </c>
    </row>
    <row r="7" customFormat="false" ht="60" hidden="false" customHeight="true" outlineLevel="0" collapsed="false">
      <c r="A7" s="4" t="s">
        <v>120</v>
      </c>
      <c r="B7" s="4" t="s">
        <v>121</v>
      </c>
      <c r="C7" s="4" t="s">
        <v>122</v>
      </c>
      <c r="D7" s="15" t="s">
        <v>123</v>
      </c>
      <c r="E7" s="4" t="s">
        <v>118</v>
      </c>
      <c r="F7" s="4" t="s">
        <v>114</v>
      </c>
      <c r="G7" s="16" t="s">
        <v>115</v>
      </c>
    </row>
    <row r="8" customFormat="false" ht="60" hidden="false" customHeight="true" outlineLevel="0" collapsed="false">
      <c r="A8" s="8" t="s">
        <v>124</v>
      </c>
      <c r="B8" s="8" t="s">
        <v>125</v>
      </c>
      <c r="C8" s="8" t="s">
        <v>118</v>
      </c>
      <c r="D8" s="15" t="s">
        <v>126</v>
      </c>
      <c r="E8" s="8" t="s">
        <v>127</v>
      </c>
      <c r="F8" s="8" t="s">
        <v>114</v>
      </c>
      <c r="G8" s="16" t="s">
        <v>115</v>
      </c>
    </row>
    <row r="9" customFormat="false" ht="60" hidden="false" customHeight="true" outlineLevel="0" collapsed="false">
      <c r="A9" s="4" t="s">
        <v>128</v>
      </c>
      <c r="B9" s="4" t="s">
        <v>129</v>
      </c>
      <c r="C9" s="4" t="s">
        <v>118</v>
      </c>
      <c r="D9" s="15" t="s">
        <v>130</v>
      </c>
      <c r="E9" s="4" t="s">
        <v>131</v>
      </c>
      <c r="F9" s="4" t="s">
        <v>114</v>
      </c>
      <c r="G9" s="16" t="s">
        <v>115</v>
      </c>
    </row>
    <row r="10" customFormat="false" ht="60" hidden="false" customHeight="true" outlineLevel="0" collapsed="false">
      <c r="A10" s="8" t="s">
        <v>132</v>
      </c>
      <c r="B10" s="8" t="s">
        <v>133</v>
      </c>
      <c r="C10" s="15" t="s">
        <v>134</v>
      </c>
      <c r="D10" s="15" t="s">
        <v>135</v>
      </c>
      <c r="E10" s="15" t="s">
        <v>136</v>
      </c>
      <c r="F10" s="15" t="s">
        <v>137</v>
      </c>
      <c r="G10" s="16" t="s">
        <v>138</v>
      </c>
    </row>
    <row r="11" customFormat="false" ht="60" hidden="false" customHeight="true" outlineLevel="0" collapsed="false">
      <c r="A11" s="4" t="s">
        <v>139</v>
      </c>
      <c r="B11" s="4" t="s">
        <v>140</v>
      </c>
      <c r="C11" s="4" t="s">
        <v>141</v>
      </c>
      <c r="D11" s="4" t="s">
        <v>114</v>
      </c>
      <c r="E11" s="4" t="s">
        <v>142</v>
      </c>
      <c r="F11" s="15" t="s">
        <v>143</v>
      </c>
      <c r="G11" s="16" t="s">
        <v>144</v>
      </c>
    </row>
    <row r="12" customFormat="false" ht="60" hidden="false" customHeight="true" outlineLevel="0" collapsed="false">
      <c r="A12" s="8" t="s">
        <v>145</v>
      </c>
      <c r="B12" s="8" t="s">
        <v>146</v>
      </c>
      <c r="C12" s="8" t="s">
        <v>147</v>
      </c>
      <c r="D12" s="8" t="s">
        <v>114</v>
      </c>
      <c r="E12" s="8" t="s">
        <v>148</v>
      </c>
      <c r="F12" s="15" t="s">
        <v>149</v>
      </c>
      <c r="G12" s="16" t="s">
        <v>115</v>
      </c>
    </row>
    <row r="13" customFormat="false" ht="60" hidden="false" customHeight="true" outlineLevel="0" collapsed="false">
      <c r="A13" s="4" t="s">
        <v>150</v>
      </c>
      <c r="B13" s="4" t="s">
        <v>151</v>
      </c>
      <c r="C13" s="15" t="s">
        <v>152</v>
      </c>
      <c r="D13" s="15" t="s">
        <v>153</v>
      </c>
      <c r="E13" s="15" t="s">
        <v>154</v>
      </c>
      <c r="F13" s="4" t="s">
        <v>155</v>
      </c>
      <c r="G13" s="17" t="s">
        <v>156</v>
      </c>
    </row>
    <row r="14" customFormat="false" ht="60" hidden="false" customHeight="true" outlineLevel="0" collapsed="false">
      <c r="A14" s="8" t="s">
        <v>157</v>
      </c>
      <c r="B14" s="8" t="s">
        <v>158</v>
      </c>
      <c r="C14" s="15" t="s">
        <v>159</v>
      </c>
      <c r="D14" s="8" t="s">
        <v>118</v>
      </c>
      <c r="E14" s="8" t="s">
        <v>155</v>
      </c>
      <c r="F14" s="8" t="s">
        <v>114</v>
      </c>
      <c r="G14" s="16" t="s">
        <v>160</v>
      </c>
    </row>
    <row r="15" customFormat="false" ht="60" hidden="false" customHeight="true" outlineLevel="0" collapsed="false">
      <c r="A15" s="4" t="s">
        <v>161</v>
      </c>
      <c r="B15" s="4" t="s">
        <v>162</v>
      </c>
      <c r="C15" s="15" t="s">
        <v>163</v>
      </c>
      <c r="D15" s="4" t="s">
        <v>118</v>
      </c>
      <c r="E15" s="15" t="s">
        <v>164</v>
      </c>
      <c r="F15" s="4" t="s">
        <v>114</v>
      </c>
      <c r="G15" s="17" t="s">
        <v>165</v>
      </c>
    </row>
    <row r="16" customFormat="false" ht="60" hidden="false" customHeight="true" outlineLevel="0" collapsed="false">
      <c r="A16" s="8" t="s">
        <v>166</v>
      </c>
      <c r="B16" s="8" t="s">
        <v>167</v>
      </c>
      <c r="C16" s="8" t="s">
        <v>118</v>
      </c>
      <c r="D16" s="8" t="s">
        <v>114</v>
      </c>
      <c r="E16" s="8" t="s">
        <v>118</v>
      </c>
      <c r="F16" s="15" t="s">
        <v>168</v>
      </c>
      <c r="G16" s="16" t="s">
        <v>169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4"/>
  </cols>
  <sheetData>
    <row r="1" customFormat="false" ht="36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5" t="s">
        <v>172</v>
      </c>
      <c r="B4" s="5" t="s">
        <v>173</v>
      </c>
      <c r="C4" s="5" t="s">
        <v>174</v>
      </c>
      <c r="D4" s="5" t="s">
        <v>175</v>
      </c>
      <c r="E4" s="5" t="s">
        <v>176</v>
      </c>
      <c r="F4" s="5" t="s">
        <v>177</v>
      </c>
      <c r="G4" s="5" t="s">
        <v>178</v>
      </c>
      <c r="H4" s="5" t="s">
        <v>179</v>
      </c>
    </row>
    <row r="5" customFormat="false" ht="24" hidden="false" customHeight="true" outlineLevel="0" collapsed="false">
      <c r="A5" s="4" t="s">
        <v>180</v>
      </c>
      <c r="B5" s="4" t="s">
        <v>181</v>
      </c>
      <c r="C5" s="4" t="s">
        <v>182</v>
      </c>
      <c r="D5" s="18" t="n">
        <v>78</v>
      </c>
      <c r="E5" s="18" t="n">
        <v>85</v>
      </c>
      <c r="F5" s="18" t="n">
        <v>92</v>
      </c>
      <c r="G5" s="18" t="n">
        <f aca="false">E5-D5</f>
        <v>7</v>
      </c>
      <c r="H5" s="18" t="n">
        <f aca="false">F5-E5</f>
        <v>7</v>
      </c>
    </row>
    <row r="6" customFormat="false" ht="24" hidden="false" customHeight="true" outlineLevel="0" collapsed="false">
      <c r="A6" s="8" t="s">
        <v>183</v>
      </c>
      <c r="B6" s="8" t="s">
        <v>184</v>
      </c>
      <c r="C6" s="8" t="s">
        <v>185</v>
      </c>
      <c r="D6" s="19" t="n">
        <v>3</v>
      </c>
      <c r="E6" s="19" t="n">
        <v>0</v>
      </c>
      <c r="F6" s="19" t="n">
        <v>0</v>
      </c>
      <c r="G6" s="19" t="n">
        <f aca="false">E6-D6</f>
        <v>-3</v>
      </c>
      <c r="H6" s="19" t="n">
        <f aca="false">F6-E6</f>
        <v>0</v>
      </c>
    </row>
    <row r="7" customFormat="false" ht="24" hidden="false" customHeight="true" outlineLevel="0" collapsed="false">
      <c r="A7" s="4" t="s">
        <v>186</v>
      </c>
      <c r="B7" s="4" t="s">
        <v>187</v>
      </c>
      <c r="C7" s="4" t="s">
        <v>182</v>
      </c>
      <c r="D7" s="18" t="n">
        <v>35</v>
      </c>
      <c r="E7" s="18" t="n">
        <v>65</v>
      </c>
      <c r="F7" s="18" t="n">
        <v>85</v>
      </c>
      <c r="G7" s="18" t="n">
        <f aca="false">E7-D7</f>
        <v>30</v>
      </c>
      <c r="H7" s="18" t="n">
        <f aca="false">F7-E7</f>
        <v>20</v>
      </c>
    </row>
    <row r="8" customFormat="false" ht="24" hidden="false" customHeight="true" outlineLevel="0" collapsed="false">
      <c r="A8" s="8" t="s">
        <v>188</v>
      </c>
      <c r="B8" s="8" t="s">
        <v>189</v>
      </c>
      <c r="C8" s="8" t="s">
        <v>190</v>
      </c>
      <c r="D8" s="19" t="n">
        <v>90</v>
      </c>
      <c r="E8" s="19" t="n">
        <v>30</v>
      </c>
      <c r="F8" s="19" t="n">
        <v>15</v>
      </c>
      <c r="G8" s="19" t="n">
        <f aca="false">E8-D8</f>
        <v>-60</v>
      </c>
      <c r="H8" s="19" t="n">
        <f aca="false">F8-E8</f>
        <v>-15</v>
      </c>
    </row>
    <row r="9" customFormat="false" ht="24" hidden="false" customHeight="true" outlineLevel="0" collapsed="false">
      <c r="A9" s="4" t="s">
        <v>191</v>
      </c>
      <c r="B9" s="4" t="s">
        <v>192</v>
      </c>
      <c r="C9" s="4" t="s">
        <v>185</v>
      </c>
      <c r="D9" s="18" t="n">
        <v>5.2</v>
      </c>
      <c r="E9" s="18" t="n">
        <v>4</v>
      </c>
      <c r="F9" s="18" t="n">
        <v>3</v>
      </c>
      <c r="G9" s="18" t="n">
        <f aca="false">E9-D9</f>
        <v>-1.2</v>
      </c>
      <c r="H9" s="18" t="n">
        <f aca="false">F9-E9</f>
        <v>-1</v>
      </c>
    </row>
    <row r="10" customFormat="false" ht="24" hidden="false" customHeight="true" outlineLevel="0" collapsed="false">
      <c r="A10" s="8" t="s">
        <v>193</v>
      </c>
      <c r="B10" s="8" t="s">
        <v>194</v>
      </c>
      <c r="C10" s="8" t="s">
        <v>182</v>
      </c>
      <c r="D10" s="19" t="n">
        <v>8</v>
      </c>
      <c r="E10" s="19" t="n">
        <v>100</v>
      </c>
      <c r="F10" s="19" t="n">
        <v>100</v>
      </c>
      <c r="G10" s="19" t="n">
        <f aca="false">E10-D10</f>
        <v>92</v>
      </c>
      <c r="H10" s="19" t="n">
        <f aca="false">F10-E10</f>
        <v>0</v>
      </c>
    </row>
    <row r="11" customFormat="false" ht="24" hidden="false" customHeight="true" outlineLevel="0" collapsed="false">
      <c r="A11" s="4" t="s">
        <v>195</v>
      </c>
      <c r="B11" s="4" t="s">
        <v>196</v>
      </c>
      <c r="C11" s="4" t="s">
        <v>185</v>
      </c>
      <c r="D11" s="18" t="n">
        <v>0</v>
      </c>
      <c r="E11" s="18" t="n">
        <v>1500</v>
      </c>
      <c r="F11" s="18" t="n">
        <v>5000</v>
      </c>
      <c r="G11" s="18" t="n">
        <f aca="false">E11-D11</f>
        <v>1500</v>
      </c>
      <c r="H11" s="18" t="n">
        <f aca="false">F11-E11</f>
        <v>3500</v>
      </c>
    </row>
    <row r="12" customFormat="false" ht="24" hidden="false" customHeight="true" outlineLevel="0" collapsed="false">
      <c r="A12" s="8" t="s">
        <v>197</v>
      </c>
      <c r="B12" s="8" t="s">
        <v>198</v>
      </c>
      <c r="C12" s="8" t="s">
        <v>182</v>
      </c>
      <c r="D12" s="19" t="n">
        <v>0</v>
      </c>
      <c r="E12" s="19" t="n">
        <v>95</v>
      </c>
      <c r="F12" s="19" t="n">
        <v>99</v>
      </c>
      <c r="G12" s="19" t="n">
        <f aca="false">E12-D12</f>
        <v>95</v>
      </c>
      <c r="H12" s="19" t="n">
        <f aca="false">F12-E12</f>
        <v>4</v>
      </c>
    </row>
    <row r="13" customFormat="false" ht="24" hidden="false" customHeight="true" outlineLevel="0" collapsed="false">
      <c r="A13" s="4" t="s">
        <v>199</v>
      </c>
      <c r="B13" s="4" t="s">
        <v>200</v>
      </c>
      <c r="C13" s="4" t="s">
        <v>201</v>
      </c>
      <c r="D13" s="18" t="n">
        <v>0</v>
      </c>
      <c r="E13" s="18" t="n">
        <v>18</v>
      </c>
      <c r="F13" s="18" t="n">
        <v>32</v>
      </c>
      <c r="G13" s="18" t="n">
        <f aca="false">E13-D13</f>
        <v>18</v>
      </c>
      <c r="H13" s="18" t="n">
        <f aca="false">F13-E13</f>
        <v>14</v>
      </c>
    </row>
    <row r="14" customFormat="false" ht="24" hidden="false" customHeight="true" outlineLevel="0" collapsed="false">
      <c r="A14" s="8" t="s">
        <v>202</v>
      </c>
      <c r="B14" s="8" t="s">
        <v>203</v>
      </c>
      <c r="C14" s="8" t="s">
        <v>182</v>
      </c>
      <c r="D14" s="19" t="n">
        <v>88</v>
      </c>
      <c r="E14" s="19" t="n">
        <v>92</v>
      </c>
      <c r="F14" s="19" t="n">
        <v>96</v>
      </c>
      <c r="G14" s="19" t="n">
        <f aca="false">E14-D14</f>
        <v>4</v>
      </c>
      <c r="H14" s="19" t="n">
        <f aca="false">F14-E14</f>
        <v>4</v>
      </c>
    </row>
    <row r="15" customFormat="false" ht="24" hidden="false" customHeight="true" outlineLevel="0" collapsed="false">
      <c r="A15" s="4" t="s">
        <v>204</v>
      </c>
      <c r="B15" s="4" t="s">
        <v>205</v>
      </c>
      <c r="C15" s="4" t="s">
        <v>206</v>
      </c>
      <c r="D15" s="18" t="n">
        <v>4</v>
      </c>
      <c r="E15" s="18" t="n">
        <v>8</v>
      </c>
      <c r="F15" s="18" t="n">
        <v>15</v>
      </c>
      <c r="G15" s="18" t="n">
        <f aca="false">E15-D15</f>
        <v>4</v>
      </c>
      <c r="H15" s="18" t="n">
        <f aca="false">F15-E15</f>
        <v>7</v>
      </c>
    </row>
    <row r="16" customFormat="false" ht="24" hidden="false" customHeight="true" outlineLevel="0" collapsed="false">
      <c r="A16" s="8" t="s">
        <v>207</v>
      </c>
      <c r="B16" s="8" t="s">
        <v>208</v>
      </c>
      <c r="C16" s="8" t="s">
        <v>209</v>
      </c>
      <c r="D16" s="19" t="n">
        <v>14</v>
      </c>
      <c r="E16" s="19" t="n">
        <v>5</v>
      </c>
      <c r="F16" s="19" t="n">
        <v>2</v>
      </c>
      <c r="G16" s="19" t="n">
        <f aca="false">E16-D16</f>
        <v>-9</v>
      </c>
      <c r="H16" s="19" t="n">
        <f aca="false">F16-E16</f>
        <v>-3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36" hidden="false" customHeight="true" outlineLevel="0" collapsed="false">
      <c r="A1" s="1" t="s">
        <v>210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212</v>
      </c>
      <c r="B4" s="5" t="s">
        <v>213</v>
      </c>
      <c r="C4" s="5" t="s">
        <v>214</v>
      </c>
      <c r="D4" s="5" t="s">
        <v>215</v>
      </c>
      <c r="E4" s="5" t="s">
        <v>14</v>
      </c>
    </row>
    <row r="5" customFormat="false" ht="79.5" hidden="false" customHeight="true" outlineLevel="0" collapsed="false">
      <c r="A5" s="20" t="s">
        <v>216</v>
      </c>
      <c r="B5" s="4" t="s">
        <v>217</v>
      </c>
      <c r="C5" s="4" t="s">
        <v>218</v>
      </c>
      <c r="D5" s="4" t="s">
        <v>219</v>
      </c>
      <c r="E5" s="21" t="s">
        <v>220</v>
      </c>
    </row>
    <row r="6" customFormat="false" ht="79.5" hidden="false" customHeight="true" outlineLevel="0" collapsed="false">
      <c r="A6" s="3" t="s">
        <v>221</v>
      </c>
      <c r="B6" s="8" t="s">
        <v>222</v>
      </c>
      <c r="C6" s="8" t="s">
        <v>223</v>
      </c>
      <c r="D6" s="8" t="s">
        <v>224</v>
      </c>
      <c r="E6" s="22" t="s">
        <v>225</v>
      </c>
    </row>
    <row r="7" customFormat="false" ht="79.5" hidden="false" customHeight="true" outlineLevel="0" collapsed="false">
      <c r="A7" s="20" t="s">
        <v>226</v>
      </c>
      <c r="B7" s="4" t="s">
        <v>227</v>
      </c>
      <c r="C7" s="4" t="s">
        <v>228</v>
      </c>
      <c r="D7" s="4" t="s">
        <v>229</v>
      </c>
      <c r="E7" s="22" t="s">
        <v>225</v>
      </c>
    </row>
    <row r="8" customFormat="false" ht="79.5" hidden="false" customHeight="true" outlineLevel="0" collapsed="false">
      <c r="A8" s="3" t="s">
        <v>230</v>
      </c>
      <c r="B8" s="8" t="s">
        <v>231</v>
      </c>
      <c r="C8" s="8" t="s">
        <v>232</v>
      </c>
      <c r="D8" s="8" t="s">
        <v>233</v>
      </c>
      <c r="E8" s="23" t="s">
        <v>234</v>
      </c>
    </row>
    <row r="9" customFormat="false" ht="79.5" hidden="false" customHeight="true" outlineLevel="0" collapsed="false">
      <c r="A9" s="20" t="s">
        <v>235</v>
      </c>
      <c r="B9" s="4" t="s">
        <v>236</v>
      </c>
      <c r="C9" s="4" t="s">
        <v>237</v>
      </c>
      <c r="D9" s="4" t="s">
        <v>238</v>
      </c>
      <c r="E9" s="23" t="s">
        <v>234</v>
      </c>
    </row>
    <row r="10" customFormat="false" ht="79.5" hidden="false" customHeight="true" outlineLevel="0" collapsed="false">
      <c r="A10" s="3" t="s">
        <v>239</v>
      </c>
      <c r="B10" s="8" t="s">
        <v>240</v>
      </c>
      <c r="C10" s="8" t="s">
        <v>241</v>
      </c>
      <c r="D10" s="8" t="s">
        <v>242</v>
      </c>
      <c r="E10" s="23" t="s">
        <v>243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8"/>
    <col collapsed="false" customWidth="true" hidden="false" outlineLevel="0" max="4" min="4" style="0" width="14"/>
    <col collapsed="false" customWidth="true" hidden="false" outlineLevel="0" max="6" min="5" style="0" width="50"/>
  </cols>
  <sheetData>
    <row r="1" customFormat="false" ht="36" hidden="false" customHeight="true" outlineLevel="0" collapsed="false">
      <c r="A1" s="1" t="s">
        <v>244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245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5" t="s">
        <v>246</v>
      </c>
      <c r="B4" s="5" t="s">
        <v>247</v>
      </c>
      <c r="C4" s="5" t="s">
        <v>248</v>
      </c>
      <c r="D4" s="5" t="s">
        <v>249</v>
      </c>
      <c r="E4" s="5" t="s">
        <v>250</v>
      </c>
      <c r="F4" s="5" t="s">
        <v>251</v>
      </c>
    </row>
    <row r="5" customFormat="false" ht="79.5" hidden="false" customHeight="true" outlineLevel="0" collapsed="false">
      <c r="A5" s="4" t="s">
        <v>252</v>
      </c>
      <c r="B5" s="4" t="s">
        <v>253</v>
      </c>
      <c r="C5" s="4" t="s">
        <v>254</v>
      </c>
      <c r="D5" s="24" t="n">
        <v>4500</v>
      </c>
      <c r="E5" s="4" t="s">
        <v>255</v>
      </c>
      <c r="F5" s="4" t="s">
        <v>256</v>
      </c>
    </row>
    <row r="6" customFormat="false" ht="79.5" hidden="false" customHeight="true" outlineLevel="0" collapsed="false">
      <c r="A6" s="8" t="s">
        <v>257</v>
      </c>
      <c r="B6" s="8" t="s">
        <v>258</v>
      </c>
      <c r="C6" s="8" t="s">
        <v>259</v>
      </c>
      <c r="D6" s="25" t="n">
        <v>8500</v>
      </c>
      <c r="E6" s="8" t="s">
        <v>260</v>
      </c>
      <c r="F6" s="8" t="s">
        <v>261</v>
      </c>
    </row>
    <row r="7" customFormat="false" ht="79.5" hidden="false" customHeight="true" outlineLevel="0" collapsed="false">
      <c r="A7" s="4" t="s">
        <v>262</v>
      </c>
      <c r="B7" s="4" t="s">
        <v>263</v>
      </c>
      <c r="C7" s="4" t="s">
        <v>264</v>
      </c>
      <c r="D7" s="24" t="n">
        <v>5200</v>
      </c>
      <c r="E7" s="4" t="s">
        <v>265</v>
      </c>
      <c r="F7" s="4" t="s">
        <v>266</v>
      </c>
    </row>
    <row r="8" customFormat="false" ht="79.5" hidden="false" customHeight="true" outlineLevel="0" collapsed="false">
      <c r="A8" s="8" t="s">
        <v>267</v>
      </c>
      <c r="B8" s="8" t="s">
        <v>268</v>
      </c>
      <c r="C8" s="8" t="s">
        <v>269</v>
      </c>
      <c r="D8" s="25" t="n">
        <v>22000</v>
      </c>
      <c r="E8" s="8" t="s">
        <v>270</v>
      </c>
      <c r="F8" s="8" t="s">
        <v>271</v>
      </c>
    </row>
    <row r="9" customFormat="false" ht="79.5" hidden="false" customHeight="true" outlineLevel="0" collapsed="false">
      <c r="A9" s="4" t="s">
        <v>272</v>
      </c>
      <c r="B9" s="4" t="s">
        <v>273</v>
      </c>
      <c r="C9" s="4" t="s">
        <v>274</v>
      </c>
      <c r="D9" s="24" t="n">
        <v>3000</v>
      </c>
      <c r="E9" s="4" t="s">
        <v>275</v>
      </c>
      <c r="F9" s="4" t="s">
        <v>276</v>
      </c>
    </row>
    <row r="11" customFormat="false" ht="24" hidden="false" customHeight="true" outlineLevel="0" collapsed="false">
      <c r="A11" s="26" t="s">
        <v>277</v>
      </c>
      <c r="B11" s="26"/>
      <c r="C11" s="26"/>
      <c r="D11" s="26"/>
      <c r="E11" s="26"/>
      <c r="F11" s="26"/>
    </row>
    <row r="12" customFormat="false" ht="21.75" hidden="false" customHeight="true" outlineLevel="0" collapsed="false">
      <c r="A12" s="20" t="s">
        <v>278</v>
      </c>
      <c r="B12" s="4"/>
      <c r="C12" s="4"/>
      <c r="D12" s="24" t="n">
        <f aca="false">AVERAGE(D5:D9)</f>
        <v>8640</v>
      </c>
      <c r="E12" s="4"/>
      <c r="F12" s="4"/>
    </row>
    <row r="13" customFormat="false" ht="21.75" hidden="false" customHeight="true" outlineLevel="0" collapsed="false">
      <c r="A13" s="20" t="s">
        <v>279</v>
      </c>
      <c r="B13" s="4"/>
      <c r="C13" s="4"/>
      <c r="D13" s="24" t="n">
        <f aca="false">SUM(D5:D9)</f>
        <v>43200</v>
      </c>
      <c r="E13" s="4"/>
      <c r="F13" s="4"/>
    </row>
    <row r="14" customFormat="false" ht="21.75" hidden="false" customHeight="true" outlineLevel="0" collapsed="false">
      <c r="A14" s="20" t="s">
        <v>280</v>
      </c>
      <c r="B14" s="4"/>
      <c r="C14" s="4"/>
      <c r="D14" s="24" t="n">
        <f aca="false">SUM(D5:D9)*12</f>
        <v>518400</v>
      </c>
      <c r="E14" s="4"/>
      <c r="F14" s="4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2026-04-25T15:50:12Z</dcterms:created>
  <dc:creator>openpyxl</dc:creator>
  <dc:description/>
  <dc:language>fr-FR</dc:language>
  <cp:lastModifiedBy/>
  <dcterms:modified xsi:type="dcterms:W3CDTF">2026-04-25T15:50:12Z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