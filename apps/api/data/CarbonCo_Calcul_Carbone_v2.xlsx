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5.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comments/comment6.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omments/comment7.xml" ContentType="application/vnd.openxmlformats-officedocument.spreadsheetml.comments+xml"/>
  <Override PartName="/xl/worksheets/sheet21.xml" ContentType="application/vnd.openxmlformats-officedocument.spreadsheetml.worksheet+xml"/>
  <Override PartName="/xl/comments/comment8.xml" ContentType="application/vnd.openxmlformats-officedocument.spreadsheetml.comments+xml"/>
  <Override PartName="/xl/worksheets/sheet22.xml" ContentType="application/vnd.openxmlformats-officedocument.spreadsheetml.worksheet+xml"/>
  <Override PartName="/xl/comments/comment9.xml" ContentType="application/vnd.openxmlformats-officedocument.spreadsheetml.comments+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1.xml" ContentType="application/vnd.openxmlformats-officedocument.drawing+xml"/>
  <Override PartName="/xl/comments/comment10.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drawings/drawing2.xml" ContentType="application/vnd.openxmlformats-officedocument.drawing+xml"/>
  <Override PartName="/xl/worksheets/sheet4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500" firstSheet="0" activeTab="5" autoFilterDateGrouping="1"/>
  </bookViews>
  <sheets>
    <sheet name="Couverture" sheetId="1" state="visible" r:id="rId1"/>
    <sheet name="Sommaire" sheetId="2" state="visible" r:id="rId2"/>
    <sheet name="Guide" sheetId="3" state="visible" r:id="rId3"/>
    <sheet name="Notes_Methodologiques" sheetId="4" state="visible" r:id="rId4"/>
    <sheet name="Paramètres" sheetId="5" state="visible" r:id="rId5"/>
    <sheet name="Facteurs_Emission" sheetId="6" state="visible" r:id="rId6"/>
    <sheet name="Scope_1" sheetId="7" state="visible" r:id="rId7"/>
    <sheet name="Scope_2" sheetId="8" state="visible" r:id="rId8"/>
    <sheet name="Scope_3" sheetId="9" state="visible" r:id="rId9"/>
    <sheet name="Energie" sheetId="10" state="visible" r:id="rId10"/>
    <sheet name="Transport" sheetId="11" state="visible" r:id="rId11"/>
    <sheet name="Matieres_Premieres" sheetId="12" state="visible" r:id="rId12"/>
    <sheet name="Dechets" sheetId="13" state="visible" r:id="rId13"/>
    <sheet name="Eau" sheetId="14" state="visible" r:id="rId14"/>
    <sheet name="Synthese_GES" sheetId="15" state="visible" r:id="rId15"/>
    <sheet name="Intensite_Carbone" sheetId="16" state="visible" r:id="rId16"/>
    <sheet name="Trajectoire_SBTi" sheetId="17" state="visible" r:id="rId17"/>
    <sheet name="CBAM" sheetId="18" state="visible" r:id="rId18"/>
    <sheet name="Taxonomie" sheetId="19" state="visible" r:id="rId19"/>
    <sheet name="ESRS_E1" sheetId="20" state="visible" r:id="rId20"/>
    <sheet name="Incertitudes" sheetId="21" state="visible" r:id="rId21"/>
    <sheet name="Plan_Transition" sheetId="22" state="visible" r:id="rId22"/>
    <sheet name="Historique_5ans" sheetId="23" state="visible" r:id="rId23"/>
    <sheet name="_Controles_Qualite" sheetId="24" state="visible" r:id="rId24"/>
    <sheet name="Dashboard" sheetId="25" state="visible" r:id="rId25"/>
    <sheet name="Claude Log" sheetId="26" state="visible" r:id="rId26"/>
    <sheet name="01_PARAMÈTRES2" sheetId="27" state="visible" r:id="rId27"/>
    <sheet name="02_FACTEURS_ÉMISSION2" sheetId="28" state="visible" r:id="rId28"/>
    <sheet name="03_ÉNERGIE_BÂTIMENTS" sheetId="29" state="visible" r:id="rId29"/>
    <sheet name="04_TRANSPORT2" sheetId="30" state="visible" r:id="rId30"/>
    <sheet name="05_RESTAURATION" sheetId="31" state="visible" r:id="rId31"/>
    <sheet name="06_NOTES_DE_FRAIS" sheetId="32" state="visible" r:id="rId32"/>
    <sheet name="07_DÉCHETS2" sheetId="33" state="visible" r:id="rId33"/>
    <sheet name="08_SERVEURS_PHYSIQUES" sheetId="34" state="visible" r:id="rId34"/>
    <sheet name="09_INSTANCES_CLOUD" sheetId="35" state="visible" r:id="rId35"/>
    <sheet name="10_INVENTAIRE_SI" sheetId="36" state="visible" r:id="rId36"/>
    <sheet name="11_ÉQUIPEMENTS_BUREAU" sheetId="37" state="visible" r:id="rId37"/>
    <sheet name="12_USAGES_NUMÉRIQUES" sheetId="38" state="visible" r:id="rId38"/>
    <sheet name="13_MODÉLISATION_SERVICES" sheetId="39" state="visible" r:id="rId39"/>
    <sheet name="14_SYNTHÈSE_GLOBALE" sheetId="40" state="visible" r:id="rId40"/>
    <sheet name="_Manifest" sheetId="41" state="visible" r:id="rId41"/>
  </sheets>
  <definedNames>
    <definedName name="Annee_Reporting">"Paramètres!$B$7"</definedName>
    <definedName name="Bilan_Total">"Paramètres!$B$10"</definedName>
    <definedName name="Borne_Basse">"Incertitudes!$B$41"</definedName>
    <definedName name="Borne_Haute">"Incertitudes!$B$42"</definedName>
    <definedName name="CA_Total">"Paramètres!$B$9"</definedName>
    <definedName name="CapEx_Total">"Paramètres!$B$14"</definedName>
    <definedName name="ESRS_DataPoints_Auto">"ESRS_E1!$B$36"</definedName>
    <definedName name="ESRS_DataPoints_Completes">"ESRS_E1!$B$37"</definedName>
    <definedName name="ETP_Total">"Paramètres!$B$11"</definedName>
    <definedName name="GES_Grand_Total">"Synthese_GES!$C$47"</definedName>
    <definedName name="Incertitude_Totale_Abs">"Incertitudes!$B$39"</definedName>
    <definedName name="Incertitude_Totale_Pct">"Incertitudes!$E$35"</definedName>
    <definedName name="Intensite_CA">"Synthese_GES!$C$50"</definedName>
    <definedName name="Intensite_ETP">"Synthese_GES!$C$51"</definedName>
    <definedName name="Intensite_m2">"Synthese_GES!$C$52"</definedName>
    <definedName name="Methode_Consolidation">"Paramètres!$B$17"</definedName>
    <definedName name="Nb_Sites">"Paramètres!$B$13"</definedName>
    <definedName name="OpEx_Eligible_Taxo">"Paramètres!$B$15"</definedName>
    <definedName name="Part_ETS">"Paramètres!$B$22"</definedName>
    <definedName name="Part_Scope1">"Synthese_GES!$C$53"</definedName>
    <definedName name="Part_Scope2">"Synthese_GES!$C$54"</definedName>
    <definedName name="Part_Scope3">"Synthese_GES!$C$55"</definedName>
    <definedName name="Perimetre_Geo">"Paramètres!$B$18"</definedName>
    <definedName name="Periode_Reporting">"Paramètres!$B$8"</definedName>
    <definedName name="PT_CapEx_Decarb">"Plan_Transition!$C$42"</definedName>
    <definedName name="PT_Pct_CapEx_Aligne">"Plan_Transition!$C$44"</definedName>
    <definedName name="PT_Prix_Carbone">"Plan_Transition!$C$20"</definedName>
    <definedName name="PT_Total_Invest">"Plan_Transition!$D$16"</definedName>
    <definedName name="PT_Total_Reduction">"Plan_Transition!$F$16"</definedName>
    <definedName name="QC_Error_Count">"_Controles_Qualite!$F$5"</definedName>
    <definedName name="QC_OK_Count">"_Controles_Qualite!$B$5"</definedName>
    <definedName name="QC_Warn_Count">"_Controles_Qualite!$D$5"</definedName>
    <definedName name="Raison_Sociale">"Paramètres!$B$4"</definedName>
    <definedName name="SBTi_Annee_Baseline">"Trajectoire_SBTi!$B$4"</definedName>
    <definedName name="SBTi_Baseline_S12">"Trajectoire_SBTi!$B$5"</definedName>
    <definedName name="SBTi_Baseline_S3">"Trajectoire_SBTi!$B$6"</definedName>
    <definedName name="SBTi_Horizon">"Trajectoire_SBTi!$B$10"</definedName>
    <definedName name="SBTi_Taux_S12">"Trajectoire_SBTi!$B$8"</definedName>
    <definedName name="SBTi_Taux_S3">"Trajectoire_SBTi!$B$9"</definedName>
    <definedName name="Scope1_1A">"Synthese_GES!$C$6"</definedName>
    <definedName name="Scope1_1B">"Synthese_GES!$C$7"</definedName>
    <definedName name="Scope1_1C">"Synthese_GES!$C$8"</definedName>
    <definedName name="Scope1_1D">"Synthese_GES!$C$9"</definedName>
    <definedName name="Scope1_Total">"Synthese_GES!$C$10"</definedName>
    <definedName name="Scope12_LB_Total">"Synthese_GES!$C$37"</definedName>
    <definedName name="Scope2_LB_Chaleur">"Synthese_GES!$C$14"</definedName>
    <definedName name="Scope2_LB_Elec">"Synthese_GES!$C$13"</definedName>
    <definedName name="Scope2_LB_Total">"Synthese_GES!$C$15"</definedName>
    <definedName name="Scope2_MB_Total">"Synthese_GES!$C$17"</definedName>
    <definedName name="Scope3_Cat1">"Synthese_GES!$C$20"</definedName>
    <definedName name="Scope3_Cat10">"Synthese_GES!$C$29"</definedName>
    <definedName name="Scope3_Cat11">"Synthese_GES!$C$30"</definedName>
    <definedName name="Scope3_Cat12">"Synthese_GES!$C$31"</definedName>
    <definedName name="Scope3_Cat13">"Synthese_GES!$C$32"</definedName>
    <definedName name="Scope3_Cat14">"Synthese_GES!$C$33"</definedName>
    <definedName name="Scope3_Cat15">"Synthese_GES!$C$34"</definedName>
    <definedName name="Scope3_Cat2">"Synthese_GES!$C$21"</definedName>
    <definedName name="Scope3_Cat3">"Synthese_GES!$C$22"</definedName>
    <definedName name="Scope3_Cat4">"Synthese_GES!$C$23"</definedName>
    <definedName name="Scope3_Cat5">"Synthese_GES!$C$24"</definedName>
    <definedName name="Scope3_Cat6">"Synthese_GES!$C$25"</definedName>
    <definedName name="Scope3_Cat7">"Synthese_GES!$C$26"</definedName>
    <definedName name="Scope3_Cat8">"Synthese_GES!$C$27"</definedName>
    <definedName name="Scope3_Cat9">"Synthese_GES!$C$28"</definedName>
    <definedName name="Scope3_Total">"Synthese_GES!$C$35"</definedName>
    <definedName name="Secteur_Activite">"Paramètres!$B$6"</definedName>
    <definedName name="SIREN">"Paramètres!$B$5"</definedName>
    <definedName name="Surface_Total">"Paramètres!$B$12"</definedName>
    <definedName name="CC_Raison_Sociale">'Paramètres'!$B$4</definedName>
    <definedName name="CC_Annee_Reporting">'Paramètres'!$B$7</definedName>
    <definedName name="CC_CA_Net">'Paramètres'!$B$9</definedName>
    <definedName name="CC_ETP">'Paramètres'!$B$11</definedName>
    <definedName name="CC_Secteur_Activite">'Paramètres'!$B$6</definedName>
    <definedName name="CC_Secteur_NAF">'Paramètres'!$C$6</definedName>
    <definedName name="CC_Surface_Totale">'Paramètres'!$B$12</definedName>
    <definedName name="CC_CapEx_Total">'Paramètres'!$B$14</definedName>
    <definedName name="CC_OpEx_Eligible_Taxo">'Paramètres'!$B$15</definedName>
    <definedName name="CC_GES_Scope1">'Synthese_GES'!$C$10</definedName>
    <definedName name="CC_GES_Scope2_LB">'Synthese_GES'!$C$15</definedName>
    <definedName name="CC_GES_Scope2_MB">'Synthese_GES'!$C$17</definedName>
    <definedName name="CC_GES_Scope3">'Synthese_GES'!$C$35</definedName>
    <definedName name="CC_GES_Total_S123">'Synthese_GES'!$C$47</definedName>
    <definedName name="CC_Intensite_CA">'Synthese_GES'!$C$50</definedName>
    <definedName name="CC_Intensite_ETP">'Synthese_GES'!$C$51</definedName>
    <definedName name="CC_Part_Scope1">'Synthese_GES'!$C$53</definedName>
    <definedName name="CC_Part_Scope2">'Synthese_GES'!$C$54</definedName>
    <definedName name="CC_Part_Scope3">'Synthese_GES'!$C$55</definedName>
    <definedName name="CC_Conso_Energie_MWh">'Energie'!$E$19</definedName>
    <definedName name="CC_Part_ENR">'Energie'!$E$20</definedName>
    <definedName name="CC_Taxo_CA_Aligne">'Taxonomie'!$E$27</definedName>
    <definedName name="CC_Taxo_CapEx_Aligne">'Taxonomie'!$E$28</definedName>
    <definedName name="CC_Taxo_OpEx_Aligne">'Taxonomie'!$E$29</definedName>
    <definedName name="CC_CBAM_Cout_Estime">'CBAM'!$M$24</definedName>
    <definedName name="CC_SBTI_Annee_Baseline">'Trajectoire_SBTi'!$B$4</definedName>
    <definedName name="CC_SBTI_Baseline_S12">'Trajectoire_SBTi'!$B$5</definedName>
    <definedName name="CC_SBTI_Baseline_S3">'Trajectoire_SBTi'!$B$6</definedName>
    <definedName name="CC_SBTI_Taux_S12">'Trajectoire_SBTi'!$B$8</definedName>
    <definedName name="CC_SBTI_Taux_S3">'Trajectoire_SBTi'!$B$9</definedName>
    <definedName name="_xlnm._FilterDatabase" localSheetId="5" hidden="1">'Facteurs_Emission'!$A$3:$K$108</definedName>
  </definedNames>
  <calcPr calcId="191029" fullCalcOnLoad="1" iterateDelta="0.0001"/>
</workbook>
</file>

<file path=xl/styles.xml><?xml version="1.0" encoding="utf-8"?>
<styleSheet xmlns="http://schemas.openxmlformats.org/spreadsheetml/2006/main">
  <numFmts count="9">
    <numFmt numFmtId="164" formatCode="#,##0&quot; €&quot;"/>
    <numFmt numFmtId="165" formatCode="0.0000"/>
    <numFmt numFmtId="166" formatCode="#,##0.000"/>
    <numFmt numFmtId="167" formatCode="0.0%"/>
    <numFmt numFmtId="168" formatCode="#,##0.0"/>
    <numFmt numFmtId="169" formatCode="0.000"/>
    <numFmt numFmtId="170" formatCode="0.0"/>
    <numFmt numFmtId="171" formatCode="\+0.0%;\-0.0%;\-"/>
    <numFmt numFmtId="172" formatCode="0.000000"/>
  </numFmts>
  <fonts count="121">
    <font>
      <name val="Calibri"/>
      <charset val="1"/>
      <family val="2"/>
      <color theme="1"/>
      <sz val="11"/>
    </font>
    <font>
      <name val="Calibri"/>
      <charset val="1"/>
      <b val="1"/>
      <color rgb="FFFFFFFF"/>
      <sz val="14"/>
    </font>
    <font>
      <name val="Calibri"/>
      <charset val="1"/>
      <b val="1"/>
      <color rgb="FFFFFFFF"/>
      <sz val="11"/>
    </font>
    <font>
      <name val="Calibri"/>
      <charset val="1"/>
      <sz val="11"/>
    </font>
    <font>
      <name val="Calibri"/>
      <charset val="1"/>
      <i val="1"/>
      <color rgb="FFC62828"/>
      <sz val="11"/>
    </font>
    <font>
      <name val="Calibri"/>
      <charset val="1"/>
      <i val="1"/>
      <color rgb="FF1565C0"/>
      <sz val="11"/>
    </font>
    <font>
      <name val="Calibri"/>
      <charset val="1"/>
      <color rgb="FFFFFFFF"/>
      <sz val="11"/>
    </font>
    <font>
      <name val="Calibri"/>
      <charset val="1"/>
      <b val="1"/>
      <sz val="11"/>
    </font>
    <font>
      <name val="Calibri"/>
      <charset val="1"/>
      <i val="1"/>
      <sz val="10"/>
    </font>
    <font>
      <name val="Calibri"/>
      <charset val="1"/>
      <i val="1"/>
      <sz val="11"/>
    </font>
    <font>
      <name val="Calibri"/>
      <charset val="1"/>
      <b val="1"/>
      <color rgb="FFFFFFFF"/>
      <sz val="12"/>
    </font>
    <font>
      <name val="Cambria"/>
      <charset val="1"/>
      <b val="1"/>
      <color rgb="FFFFFFFF"/>
      <sz val="11"/>
    </font>
    <font>
      <name val="Cambria"/>
      <charset val="1"/>
      <b val="1"/>
      <sz val="11"/>
    </font>
    <font>
      <name val="Cambria"/>
      <charset val="1"/>
      <i val="1"/>
      <sz val="11"/>
    </font>
    <font>
      <name val="Cambria"/>
      <charset val="1"/>
      <b val="1"/>
      <color rgb="FFFFFFFF"/>
      <sz val="14"/>
    </font>
    <font>
      <name val="Calibri"/>
      <charset val="1"/>
      <b val="1"/>
      <color rgb="FFFFFFFF"/>
      <sz val="16"/>
    </font>
    <font>
      <name val="Calibri"/>
      <charset val="1"/>
      <family val="2"/>
      <b val="1"/>
      <color theme="1"/>
      <sz val="11"/>
    </font>
    <font>
      <name val="Calibri"/>
      <charset val="1"/>
      <family val="2"/>
      <b val="1"/>
      <color rgb="FFFFFFFF"/>
      <sz val="11"/>
    </font>
    <font>
      <name val="Calibri"/>
      <charset val="1"/>
      <family val="2"/>
      <color theme="10"/>
      <sz val="11"/>
      <u val="single"/>
    </font>
    <font>
      <name val="Calibri"/>
      <charset val="1"/>
      <family val="2"/>
      <b val="1"/>
      <color rgb="FFFFFFFF"/>
      <sz val="14"/>
    </font>
    <font>
      <name val="Calibri"/>
      <charset val="1"/>
      <family val="2"/>
      <i val="1"/>
      <color theme="1"/>
      <sz val="9"/>
    </font>
    <font>
      <name val="Calibri"/>
      <charset val="1"/>
      <family val="2"/>
      <i val="1"/>
      <color rgb="FF4472C4"/>
      <sz val="9"/>
    </font>
    <font>
      <name val="Calibri"/>
      <charset val="1"/>
      <family val="2"/>
      <b val="1"/>
      <color theme="1"/>
      <sz val="9"/>
    </font>
    <font>
      <name val="Calibri"/>
      <charset val="1"/>
      <family val="2"/>
      <b val="1"/>
      <color theme="1"/>
      <sz val="10"/>
    </font>
    <font>
      <name val="Calibri"/>
      <charset val="1"/>
      <family val="2"/>
      <color rgb="FF0000FF"/>
      <sz val="11"/>
    </font>
    <font>
      <name val="Calibri"/>
      <charset val="1"/>
      <family val="2"/>
      <color rgb="FF008000"/>
      <sz val="11"/>
    </font>
    <font>
      <name val="Calibri"/>
      <charset val="1"/>
      <family val="2"/>
      <color theme="1"/>
      <sz val="8"/>
    </font>
    <font>
      <name val="Calibri"/>
      <charset val="1"/>
      <family val="2"/>
      <i val="1"/>
      <color theme="1"/>
      <sz val="8"/>
    </font>
    <font>
      <name val="Calibri"/>
      <charset val="1"/>
      <family val="2"/>
      <b val="1"/>
      <color rgb="FF1F4E79"/>
      <sz val="12"/>
    </font>
    <font>
      <name val="Calibri"/>
      <charset val="1"/>
      <family val="2"/>
      <color theme="1"/>
      <sz val="9"/>
    </font>
    <font>
      <name val="Calibri"/>
      <charset val="1"/>
      <family val="2"/>
      <i val="1"/>
      <color rgb="FF808080"/>
      <sz val="8"/>
    </font>
    <font>
      <name val="Calibri"/>
      <charset val="1"/>
      <family val="2"/>
      <color theme="1"/>
      <sz val="10"/>
    </font>
    <font>
      <name val="Calibri"/>
      <charset val="1"/>
      <family val="2"/>
      <color rgb="FF000000"/>
      <sz val="11"/>
    </font>
    <font>
      <name val="Calibri"/>
      <charset val="1"/>
      <family val="2"/>
      <b val="1"/>
      <color rgb="FF7030A0"/>
      <sz val="11"/>
    </font>
    <font>
      <name val="Calibri"/>
      <charset val="1"/>
      <family val="2"/>
      <b val="1"/>
      <color rgb="FFFFFFFF"/>
      <sz val="13"/>
    </font>
    <font>
      <name val="Calibri"/>
      <charset val="1"/>
      <family val="2"/>
      <b val="1"/>
      <color rgb="FF008000"/>
      <sz val="11"/>
    </font>
    <font>
      <name val="Calibri"/>
      <charset val="1"/>
      <family val="2"/>
      <b val="1"/>
      <color rgb="FFFFFFFF"/>
      <sz val="10"/>
    </font>
    <font>
      <name val="Calibri"/>
      <charset val="1"/>
      <family val="2"/>
      <b val="1"/>
      <color rgb="FF0000FF"/>
      <sz val="11"/>
    </font>
    <font>
      <name val="Calibri"/>
      <charset val="1"/>
      <family val="2"/>
      <b val="1"/>
      <color rgb="FF000000"/>
      <sz val="11"/>
    </font>
    <font>
      <name val="Calibri"/>
      <charset val="1"/>
      <family val="2"/>
      <b val="1"/>
      <i val="1"/>
      <color theme="1"/>
      <sz val="11"/>
    </font>
    <font>
      <name val="Calibri"/>
      <charset val="1"/>
      <family val="2"/>
      <i val="1"/>
      <color rgb="FFC55A11"/>
      <sz val="9"/>
    </font>
    <font>
      <name val="Calibri"/>
      <charset val="1"/>
      <family val="2"/>
      <i val="1"/>
      <color rgb="FF4472C4"/>
      <sz val="11"/>
    </font>
    <font>
      <name val="Calibri"/>
      <charset val="1"/>
      <family val="2"/>
      <b val="1"/>
      <color rgb="FFFFFFFF"/>
      <sz val="20"/>
    </font>
    <font>
      <name val="Calibri"/>
      <charset val="1"/>
      <family val="2"/>
      <i val="1"/>
      <color rgb="FFFFFFFF"/>
      <sz val="10"/>
    </font>
    <font>
      <name val="Calibri"/>
      <charset val="1"/>
      <family val="2"/>
      <b val="1"/>
      <color rgb="FF1F4E79"/>
      <sz val="10"/>
    </font>
    <font>
      <name val="Calibri"/>
      <charset val="1"/>
      <family val="2"/>
      <color rgb="FF008000"/>
      <sz val="10"/>
    </font>
    <font>
      <name val="Calibri"/>
      <charset val="1"/>
      <family val="2"/>
      <color rgb="FF0000FF"/>
      <sz val="10"/>
    </font>
    <font>
      <name val="Calibri"/>
      <charset val="1"/>
      <family val="2"/>
      <color rgb="FF1F4E79"/>
      <sz val="10"/>
    </font>
    <font>
      <name val="Calibri"/>
      <charset val="1"/>
      <family val="2"/>
      <color rgb="FFBDD7EE"/>
      <sz val="9"/>
    </font>
    <font>
      <name val="Calibri"/>
      <charset val="1"/>
      <family val="2"/>
      <b val="1"/>
      <color rgb="FF1F4E79"/>
      <sz val="11"/>
    </font>
    <font>
      <name val="Calibri"/>
      <charset val="1"/>
      <family val="2"/>
      <b val="1"/>
      <color rgb="FF1F4E79"/>
      <sz val="16"/>
    </font>
    <font>
      <name val="Calibri"/>
      <charset val="1"/>
      <family val="2"/>
      <i val="1"/>
      <color rgb="FF4472C4"/>
      <sz val="10"/>
    </font>
    <font>
      <name val="Calibri"/>
      <charset val="1"/>
      <family val="2"/>
      <b val="1"/>
      <color rgb="FFFFFFFF"/>
      <sz val="9"/>
    </font>
    <font>
      <name val="Calibri"/>
      <charset val="1"/>
      <family val="2"/>
      <color theme="1"/>
      <sz val="13"/>
    </font>
    <font>
      <name val="Calibri"/>
      <charset val="1"/>
      <family val="2"/>
      <b val="1"/>
      <color rgb="FF0563C1"/>
      <sz val="10"/>
      <u val="single"/>
    </font>
    <font>
      <name val="Calibri"/>
      <charset val="1"/>
      <family val="2"/>
      <color rgb="FF404040"/>
      <sz val="9"/>
    </font>
    <font>
      <name val="Calibri"/>
      <charset val="1"/>
      <family val="2"/>
      <b val="1"/>
      <color rgb="FF1F4E79"/>
      <sz val="9"/>
    </font>
    <font>
      <name val="Calibri"/>
      <charset val="1"/>
      <family val="2"/>
      <i val="1"/>
      <color rgb="FF808080"/>
      <sz val="9"/>
    </font>
    <font>
      <name val="Calibri"/>
      <charset val="1"/>
      <family val="2"/>
      <b val="1"/>
      <color rgb="FFFFFFFF"/>
      <sz val="9"/>
      <u val="single"/>
    </font>
    <font>
      <name val="Calibri"/>
      <charset val="1"/>
      <family val="2"/>
      <i val="1"/>
      <color rgb="FFC00000"/>
      <sz val="9"/>
    </font>
    <font>
      <name val="Calibri"/>
      <charset val="1"/>
      <family val="2"/>
      <b val="1"/>
      <color rgb="FF2E7D32"/>
      <sz val="12"/>
    </font>
    <font>
      <name val="Calibri"/>
      <charset val="1"/>
      <family val="2"/>
      <b val="1"/>
      <color rgb="FF2E7D32"/>
      <sz val="14"/>
    </font>
    <font>
      <name val="Calibri"/>
      <charset val="1"/>
      <family val="2"/>
      <b val="1"/>
      <color rgb="FFE65100"/>
      <sz val="12"/>
    </font>
    <font>
      <name val="Calibri"/>
      <charset val="1"/>
      <family val="2"/>
      <b val="1"/>
      <color rgb="FFE65100"/>
      <sz val="14"/>
    </font>
    <font>
      <name val="Calibri"/>
      <charset val="1"/>
      <family val="2"/>
      <b val="1"/>
      <color rgb="FFC62828"/>
      <sz val="12"/>
    </font>
    <font>
      <name val="Calibri"/>
      <charset val="1"/>
      <family val="2"/>
      <b val="1"/>
      <color rgb="FFC62828"/>
      <sz val="14"/>
    </font>
    <font>
      <name val="Calibri"/>
      <charset val="1"/>
      <family val="2"/>
      <b val="1"/>
      <color rgb="FFC62828"/>
      <sz val="9"/>
    </font>
    <font>
      <name val="Calibri"/>
      <charset val="1"/>
      <family val="2"/>
      <b val="1"/>
      <color rgb="FFE65100"/>
      <sz val="9"/>
    </font>
    <font>
      <name val="Calibri"/>
      <charset val="1"/>
      <family val="2"/>
      <b val="1"/>
      <color rgb="FF1565C0"/>
      <sz val="9"/>
    </font>
    <font>
      <name val="Calibri"/>
      <charset val="1"/>
      <family val="2"/>
      <b val="1"/>
      <color theme="1"/>
      <sz val="8"/>
    </font>
    <font>
      <name val="Calibri"/>
      <charset val="1"/>
      <family val="2"/>
      <color rgb="FFFFFFFF"/>
      <sz val="9"/>
    </font>
    <font>
      <name val="Calibri"/>
      <charset val="1"/>
      <family val="2"/>
      <b val="1"/>
      <color rgb="FF1F4E79"/>
      <sz val="14"/>
    </font>
    <font>
      <name val="Calibri"/>
      <family val="2"/>
      <b val="1"/>
      <color theme="1"/>
      <sz val="9"/>
    </font>
    <font>
      <name val="Calibri"/>
      <family val="2"/>
      <i val="1"/>
      <color theme="1"/>
      <sz val="11"/>
    </font>
    <font>
      <name val="Calibri"/>
      <family val="2"/>
      <i val="1"/>
      <color theme="1"/>
      <sz val="10"/>
    </font>
    <font>
      <name val="Calibri"/>
      <family val="2"/>
      <b val="1"/>
      <color rgb="FFFFFFFF"/>
      <sz val="13"/>
    </font>
    <font>
      <name val="Calibri"/>
      <charset val="1"/>
      <family val="2"/>
      <b val="1"/>
      <color rgb="FFFFFFFF"/>
      <sz val="13"/>
      <u val="single"/>
    </font>
    <font>
      <name val="Calibri"/>
      <charset val="1"/>
      <family val="2"/>
      <b val="1"/>
      <color rgb="FF2E75B6"/>
      <sz val="11"/>
    </font>
    <font>
      <name val="Calibri"/>
      <charset val="1"/>
      <family val="2"/>
      <color rgb="FFE65100"/>
      <sz val="8"/>
    </font>
    <font>
      <name val="Calibri"/>
      <family val="2"/>
      <b val="1"/>
      <color rgb="FF1F4E79"/>
      <sz val="32"/>
    </font>
    <font>
      <name val="Calibri"/>
      <charset val="1"/>
      <family val="2"/>
      <color rgb="FF2E7D32"/>
      <sz val="11"/>
    </font>
    <font>
      <name val="Calibri"/>
      <charset val="1"/>
      <family val="2"/>
      <color rgb="FFE65100"/>
      <sz val="11"/>
    </font>
    <font>
      <name val="Calibri"/>
      <charset val="1"/>
      <family val="2"/>
      <color rgb="FFFFFFFF"/>
      <sz val="11"/>
    </font>
    <font>
      <name val="Calibri"/>
      <charset val="1"/>
      <family val="2"/>
      <color rgb="FF0000FF"/>
      <sz val="11"/>
      <u val="single"/>
    </font>
    <font>
      <name val="Calibri"/>
      <charset val="1"/>
      <family val="2"/>
      <i val="1"/>
      <color theme="1"/>
      <sz val="10"/>
    </font>
    <font>
      <name val="Calibri"/>
      <charset val="1"/>
      <family val="2"/>
      <b val="1"/>
      <color rgb="FFFFFFFF"/>
      <sz val="16"/>
    </font>
    <font>
      <name val="Calibri"/>
      <charset val="1"/>
      <family val="2"/>
      <b val="1"/>
      <color rgb="FFFFFFFF"/>
      <sz val="12"/>
    </font>
    <font>
      <name val="Calibri"/>
      <charset val="1"/>
      <family val="2"/>
      <b val="1"/>
      <color rgb="FF1A237E"/>
      <sz val="11"/>
    </font>
    <font>
      <name val="Calibri"/>
      <charset val="1"/>
      <family val="2"/>
      <color rgb="FF388E3C"/>
      <sz val="11"/>
    </font>
    <font>
      <name val="Calibri"/>
      <charset val="1"/>
      <family val="2"/>
      <color rgb="FFF57F17"/>
      <sz val="11"/>
    </font>
    <font>
      <name val="Calibri"/>
      <charset val="1"/>
      <family val="2"/>
      <color rgb="FFE53935"/>
      <sz val="11"/>
    </font>
    <font>
      <name val="Calibri"/>
      <charset val="1"/>
      <family val="2"/>
      <i val="1"/>
      <color rgb="FFE65100"/>
      <sz val="11"/>
    </font>
    <font>
      <name val="Calibri"/>
      <charset val="1"/>
      <family val="2"/>
      <b val="1"/>
      <color rgb="FFC62828"/>
      <sz val="11"/>
    </font>
    <font>
      <name val="Calibri"/>
      <charset val="1"/>
      <family val="2"/>
      <i val="1"/>
      <color rgb="FF1B5E20"/>
      <sz val="10"/>
    </font>
    <font>
      <name val="Calibri"/>
      <charset val="1"/>
      <family val="2"/>
      <i val="1"/>
      <color rgb="FF546E7A"/>
      <sz val="9"/>
    </font>
    <font>
      <name val="Calibri"/>
      <charset val="1"/>
      <family val="2"/>
      <color rgb="FF1A237E"/>
      <sz val="11"/>
    </font>
    <font>
      <name val="Calibri"/>
      <charset val="1"/>
      <family val="2"/>
      <i val="1"/>
      <color rgb="FF5C35C5"/>
      <sz val="9"/>
    </font>
    <font>
      <name val="Calibri"/>
      <charset val="1"/>
      <family val="2"/>
      <i val="1"/>
      <color rgb="FFE65100"/>
      <sz val="9"/>
    </font>
    <font>
      <name val="Calibri"/>
      <charset val="1"/>
      <family val="2"/>
      <i val="1"/>
      <color rgb="FF0D47A1"/>
      <sz val="10"/>
    </font>
    <font>
      <name val="Calibri"/>
      <charset val="1"/>
      <family val="2"/>
      <i val="1"/>
      <color rgb="FF546E7A"/>
      <sz val="8"/>
    </font>
    <font>
      <name val="Calibri"/>
      <charset val="1"/>
      <family val="2"/>
      <b val="1"/>
      <color rgb="FF0000FF"/>
      <sz val="14"/>
      <u val="single"/>
    </font>
    <font>
      <name val="Calibri"/>
      <charset val="1"/>
      <family val="2"/>
      <i val="1"/>
      <color rgb="FF1A237E"/>
      <sz val="10"/>
    </font>
    <font>
      <name val="Calibri"/>
      <charset val="1"/>
      <family val="2"/>
      <b val="1"/>
      <color rgb="FF2E7D32"/>
      <sz val="11"/>
    </font>
    <font>
      <name val="Calibri"/>
      <charset val="1"/>
      <family val="2"/>
      <i val="1"/>
      <color rgb="FF2E7D32"/>
      <sz val="9"/>
    </font>
    <font>
      <name val="Calibri"/>
      <charset val="1"/>
      <family val="2"/>
      <i val="1"/>
      <color rgb="FF4A148C"/>
      <sz val="9"/>
    </font>
    <font>
      <name val="Calibri"/>
      <charset val="1"/>
      <family val="2"/>
      <i val="1"/>
      <color rgb="FF5D4037"/>
      <sz val="9"/>
    </font>
    <font>
      <name val="Calibri"/>
      <charset val="1"/>
      <family val="2"/>
      <i val="1"/>
      <color rgb="FF006064"/>
      <sz val="9"/>
    </font>
    <font>
      <name val="Calibri"/>
      <charset val="1"/>
      <family val="2"/>
      <b val="1"/>
      <color rgb="FF0000FF"/>
      <sz val="13"/>
      <u val="single"/>
    </font>
    <font>
      <name val="Calibri"/>
      <charset val="1"/>
      <family val="2"/>
      <color rgb="FF1B5E20"/>
      <sz val="11"/>
    </font>
    <font>
      <name val="Calibri"/>
      <charset val="1"/>
      <family val="2"/>
      <i val="1"/>
      <color rgb="FF5C4033"/>
      <sz val="9"/>
    </font>
    <font>
      <name val="Calibri"/>
      <charset val="1"/>
      <family val="2"/>
      <b val="1"/>
      <i val="1"/>
      <color rgb="FF546E7A"/>
      <sz val="9"/>
    </font>
    <font>
      <name val="Calibri"/>
      <charset val="1"/>
      <family val="2"/>
      <b val="1"/>
      <color rgb="FF1B5E20"/>
      <sz val="11"/>
    </font>
    <font>
      <name val="Calibri"/>
      <charset val="1"/>
      <family val="2"/>
      <b val="1"/>
      <color rgb="FFE65100"/>
      <sz val="11"/>
    </font>
    <font>
      <name val="Calibri"/>
      <charset val="1"/>
      <family val="2"/>
      <b val="1"/>
      <color rgb="FFFFFFFF"/>
      <sz val="8"/>
    </font>
    <font>
      <name val="Calibri"/>
      <charset val="1"/>
      <family val="2"/>
      <color rgb="FF4A148C"/>
      <sz val="11"/>
    </font>
    <font>
      <name val="Calibri"/>
      <charset val="1"/>
      <family val="2"/>
      <color rgb="FFB71C1C"/>
      <sz val="11"/>
    </font>
    <font>
      <name val="Calibri"/>
      <charset val="1"/>
      <family val="2"/>
      <b val="1"/>
      <i val="1"/>
      <color theme="1"/>
      <sz val="9"/>
    </font>
    <font>
      <name val="Calibri"/>
      <charset val="1"/>
      <family val="2"/>
      <color rgb="FF9E9E9E"/>
      <sz val="11"/>
    </font>
    <font>
      <name val="Calibri"/>
      <charset val="1"/>
      <family val="2"/>
      <b val="1"/>
      <color rgb="FF0000FF"/>
      <sz val="10"/>
    </font>
    <font>
      <name val="Calibri"/>
      <charset val="1"/>
      <family val="2"/>
      <b val="1"/>
      <color rgb="FF1F4E79"/>
      <sz val="13"/>
    </font>
    <font>
      <name val="Calibri"/>
      <family val="2"/>
      <i val="1"/>
      <sz val="11"/>
    </font>
  </fonts>
  <fills count="88">
    <fill>
      <patternFill/>
    </fill>
    <fill>
      <patternFill patternType="gray125"/>
    </fill>
    <fill>
      <patternFill patternType="solid">
        <fgColor rgb="FF1B5E20"/>
        <bgColor rgb="FF333333"/>
      </patternFill>
    </fill>
    <fill>
      <patternFill patternType="solid">
        <fgColor rgb="FF0D47A1"/>
        <bgColor rgb="FF1565C0"/>
      </patternFill>
    </fill>
    <fill>
      <patternFill patternType="solid">
        <fgColor rgb="FF388E3C"/>
        <bgColor rgb="FF008080"/>
      </patternFill>
    </fill>
    <fill>
      <patternFill patternType="solid">
        <fgColor rgb="FFF5F5F5"/>
        <bgColor rgb="FFE8F5E9"/>
      </patternFill>
    </fill>
    <fill>
      <patternFill patternType="solid">
        <fgColor rgb="FFE8F5E9"/>
        <bgColor rgb="FFF5F5F5"/>
      </patternFill>
    </fill>
    <fill>
      <patternFill patternType="solid">
        <fgColor rgb="FFE65100"/>
        <bgColor rgb="FFC62828"/>
      </patternFill>
    </fill>
    <fill>
      <patternFill patternType="solid">
        <fgColor rgb="FFFFCDD2"/>
        <bgColor rgb="FFFFE0B2"/>
      </patternFill>
    </fill>
    <fill>
      <patternFill patternType="solid">
        <fgColor rgb="FFC8E6C9"/>
        <bgColor rgb="FFE0E0E0"/>
      </patternFill>
    </fill>
    <fill>
      <patternFill patternType="solid">
        <fgColor rgb="FFFFF9C4"/>
        <bgColor rgb="FFFFFF99"/>
      </patternFill>
    </fill>
    <fill>
      <patternFill patternType="solid">
        <fgColor rgb="FFFFE0B2"/>
        <bgColor rgb="FFFFCDD2"/>
      </patternFill>
    </fill>
    <fill>
      <patternFill patternType="solid">
        <fgColor rgb="FFC62828"/>
        <bgColor rgb="FF993366"/>
      </patternFill>
    </fill>
    <fill>
      <patternFill patternType="solid">
        <fgColor rgb="FFBBDEFB"/>
        <bgColor rgb="FFC8E6C9"/>
      </patternFill>
    </fill>
    <fill>
      <patternFill patternType="solid">
        <fgColor rgb="FF1565C0"/>
        <bgColor rgb="FF0D47A1"/>
      </patternFill>
    </fill>
    <fill>
      <patternFill patternType="solid">
        <fgColor rgb="FFF9A825"/>
        <bgColor rgb="FFFFCC00"/>
      </patternFill>
    </fill>
    <fill>
      <patternFill patternType="solid">
        <fgColor rgb="FF6A1B9A"/>
        <bgColor rgb="FF800080"/>
      </patternFill>
    </fill>
    <fill>
      <patternFill patternType="solid">
        <fgColor rgb="FFC8E6C9"/>
        <bgColor indexed="64"/>
      </patternFill>
    </fill>
    <fill>
      <patternFill patternType="solid">
        <fgColor rgb="FFFFCDD2"/>
        <bgColor indexed="64"/>
      </patternFill>
    </fill>
    <fill>
      <patternFill patternType="solid">
        <fgColor rgb="FF4472C4"/>
        <bgColor indexed="64"/>
      </patternFill>
    </fill>
    <fill>
      <patternFill patternType="solid">
        <fgColor rgb="FF1F4E79"/>
        <bgColor indexed="64"/>
      </patternFill>
    </fill>
    <fill>
      <patternFill patternType="solid">
        <fgColor rgb="FFD6E4F0"/>
        <bgColor indexed="64"/>
      </patternFill>
    </fill>
    <fill>
      <patternFill patternType="solid">
        <fgColor rgb="FFE2EFDA"/>
        <bgColor indexed="64"/>
      </patternFill>
    </fill>
    <fill>
      <patternFill patternType="solid">
        <fgColor rgb="FFD9E2F3"/>
        <bgColor indexed="64"/>
      </patternFill>
    </fill>
    <fill>
      <patternFill patternType="solid">
        <fgColor rgb="FFFCE4D6"/>
        <bgColor indexed="64"/>
      </patternFill>
    </fill>
    <fill>
      <patternFill patternType="solid">
        <fgColor rgb="FF375623"/>
        <bgColor indexed="64"/>
      </patternFill>
    </fill>
    <fill>
      <patternFill patternType="solid">
        <fgColor rgb="FFFFFF00"/>
        <bgColor indexed="64"/>
      </patternFill>
    </fill>
    <fill>
      <patternFill patternType="solid">
        <fgColor rgb="FFF2F2F2"/>
        <bgColor indexed="64"/>
      </patternFill>
    </fill>
    <fill>
      <patternFill patternType="solid">
        <fgColor rgb="FF2E75B6"/>
        <bgColor indexed="64"/>
      </patternFill>
    </fill>
    <fill>
      <patternFill patternType="solid">
        <fgColor rgb="FF548235"/>
        <bgColor indexed="64"/>
      </patternFill>
    </fill>
    <fill>
      <patternFill patternType="solid">
        <fgColor rgb="FFC00000"/>
        <bgColor indexed="64"/>
      </patternFill>
    </fill>
    <fill>
      <patternFill patternType="solid">
        <fgColor rgb="FFF8D7DA"/>
        <bgColor indexed="64"/>
      </patternFill>
    </fill>
    <fill>
      <patternFill patternType="solid">
        <fgColor rgb="FF7030A0"/>
        <bgColor indexed="64"/>
      </patternFill>
    </fill>
    <fill>
      <patternFill patternType="solid">
        <fgColor rgb="FFE8D5F0"/>
        <bgColor indexed="64"/>
      </patternFill>
    </fill>
    <fill>
      <patternFill patternType="solid">
        <fgColor rgb="FFBDD7EE"/>
        <bgColor indexed="64"/>
      </patternFill>
    </fill>
    <fill>
      <patternFill patternType="solid">
        <fgColor rgb="FFE8F0FE"/>
        <bgColor indexed="64"/>
      </patternFill>
    </fill>
    <fill>
      <patternFill patternType="solid">
        <fgColor rgb="FFC55A11"/>
        <bgColor indexed="64"/>
      </patternFill>
    </fill>
    <fill>
      <patternFill patternType="solid">
        <fgColor rgb="FFF8F9FA"/>
        <bgColor indexed="64"/>
      </patternFill>
    </fill>
    <fill>
      <patternFill patternType="solid">
        <fgColor rgb="FFEBF3FA"/>
        <bgColor indexed="64"/>
      </patternFill>
    </fill>
    <fill>
      <patternFill patternType="solid">
        <fgColor rgb="FFFFFFFF"/>
        <bgColor indexed="64"/>
      </patternFill>
    </fill>
    <fill>
      <patternFill patternType="solid">
        <fgColor rgb="FFE8F5E9"/>
        <bgColor indexed="64"/>
      </patternFill>
    </fill>
    <fill>
      <patternFill patternType="solid">
        <fgColor rgb="FFE3F2FD"/>
        <bgColor indexed="64"/>
      </patternFill>
    </fill>
    <fill>
      <patternFill patternType="solid">
        <fgColor rgb="FFFFF3E0"/>
        <bgColor indexed="64"/>
      </patternFill>
    </fill>
    <fill>
      <patternFill patternType="solid">
        <fgColor rgb="FFF3E5F5"/>
        <bgColor indexed="64"/>
      </patternFill>
    </fill>
    <fill>
      <patternFill patternType="solid">
        <fgColor rgb="FFFFEBEE"/>
        <bgColor indexed="64"/>
      </patternFill>
    </fill>
    <fill>
      <patternFill patternType="solid">
        <fgColor rgb="FFFFF8E1"/>
        <bgColor indexed="64"/>
      </patternFill>
    </fill>
    <fill>
      <patternFill patternType="solid">
        <fgColor rgb="FFE0F2F1"/>
        <bgColor indexed="64"/>
      </patternFill>
    </fill>
    <fill>
      <patternFill patternType="solid">
        <fgColor rgb="FF808080"/>
        <bgColor indexed="64"/>
      </patternFill>
    </fill>
    <fill>
      <patternFill patternType="solid">
        <fgColor rgb="FFF5F5F5"/>
        <bgColor indexed="64"/>
      </patternFill>
    </fill>
    <fill>
      <patternFill patternType="solid">
        <fgColor rgb="FFEBF3FB"/>
        <bgColor indexed="64"/>
      </patternFill>
    </fill>
    <fill>
      <patternFill patternType="solid">
        <fgColor rgb="FFEAD7F5"/>
        <bgColor indexed="64"/>
      </patternFill>
    </fill>
    <fill>
      <patternFill patternType="solid">
        <fgColor rgb="FFF5F8FF"/>
        <bgColor indexed="64"/>
      </patternFill>
    </fill>
    <fill>
      <patternFill patternType="solid">
        <fgColor rgb="FFFFF9C4"/>
        <bgColor indexed="64"/>
      </patternFill>
    </fill>
    <fill>
      <patternFill patternType="solid">
        <fgColor rgb="FF1B5E20"/>
        <bgColor indexed="64"/>
      </patternFill>
    </fill>
    <fill>
      <patternFill patternType="solid">
        <fgColor rgb="FF0D47A1"/>
        <bgColor indexed="64"/>
      </patternFill>
    </fill>
    <fill>
      <patternFill patternType="solid">
        <fgColor rgb="FF37474F"/>
        <bgColor indexed="64"/>
      </patternFill>
    </fill>
    <fill>
      <patternFill patternType="solid">
        <fgColor rgb="FFF9FBE7"/>
        <bgColor indexed="64"/>
      </patternFill>
    </fill>
    <fill>
      <patternFill patternType="solid">
        <fgColor rgb="FFF1F8E9"/>
        <bgColor indexed="64"/>
      </patternFill>
    </fill>
    <fill>
      <patternFill patternType="solid">
        <fgColor rgb="FFFFE0B2"/>
        <bgColor indexed="64"/>
      </patternFill>
    </fill>
    <fill>
      <patternFill patternType="solid">
        <fgColor rgb="FF4A148C"/>
        <bgColor indexed="64"/>
      </patternFill>
    </fill>
    <fill>
      <patternFill patternType="solid">
        <fgColor rgb="FF6A1B9A"/>
        <bgColor indexed="64"/>
      </patternFill>
    </fill>
    <fill>
      <patternFill patternType="solid">
        <fgColor rgb="FFEDE7F6"/>
        <bgColor indexed="64"/>
      </patternFill>
    </fill>
    <fill>
      <patternFill patternType="solid">
        <fgColor rgb="FFF57F17"/>
        <bgColor indexed="64"/>
      </patternFill>
    </fill>
    <fill>
      <patternFill patternType="solid">
        <fgColor rgb="FF263238"/>
        <bgColor indexed="64"/>
      </patternFill>
    </fill>
    <fill>
      <patternFill patternType="solid">
        <fgColor rgb="FFFCE4EC"/>
        <bgColor indexed="64"/>
      </patternFill>
    </fill>
    <fill>
      <patternFill patternType="solid">
        <fgColor rgb="FFE0F7FA"/>
        <bgColor indexed="64"/>
      </patternFill>
    </fill>
    <fill>
      <patternFill patternType="solid">
        <fgColor rgb="FFEFEBE9"/>
        <bgColor indexed="64"/>
      </patternFill>
    </fill>
    <fill>
      <patternFill patternType="solid">
        <fgColor rgb="FFE8EAF6"/>
        <bgColor indexed="64"/>
      </patternFill>
    </fill>
    <fill>
      <patternFill patternType="solid">
        <fgColor rgb="FFECEFF1"/>
        <bgColor indexed="64"/>
      </patternFill>
    </fill>
    <fill>
      <patternFill patternType="solid">
        <fgColor rgb="FF1565C0"/>
        <bgColor indexed="64"/>
      </patternFill>
    </fill>
    <fill>
      <patternFill patternType="solid">
        <fgColor rgb="FFE65100"/>
        <bgColor indexed="64"/>
      </patternFill>
    </fill>
    <fill>
      <patternFill patternType="solid">
        <fgColor rgb="FF00695C"/>
        <bgColor indexed="64"/>
      </patternFill>
    </fill>
    <fill>
      <patternFill patternType="solid">
        <fgColor rgb="FF2E7D32"/>
        <bgColor indexed="64"/>
      </patternFill>
    </fill>
    <fill>
      <patternFill patternType="solid">
        <fgColor rgb="FF1A237E"/>
        <bgColor indexed="64"/>
      </patternFill>
    </fill>
    <fill>
      <patternFill patternType="solid">
        <fgColor rgb="FFEEF2FF"/>
        <bgColor indexed="64"/>
      </patternFill>
    </fill>
    <fill>
      <patternFill patternType="solid">
        <fgColor rgb="FFFBE9E7"/>
        <bgColor indexed="64"/>
      </patternFill>
    </fill>
    <fill>
      <patternFill patternType="solid">
        <fgColor rgb="FF5D4037"/>
        <bgColor indexed="64"/>
      </patternFill>
    </fill>
    <fill>
      <patternFill patternType="solid">
        <fgColor rgb="FF006064"/>
        <bgColor indexed="64"/>
      </patternFill>
    </fill>
    <fill>
      <patternFill patternType="solid">
        <fgColor rgb="FFB71C1C"/>
        <bgColor indexed="64"/>
      </patternFill>
    </fill>
    <fill>
      <patternFill patternType="solid">
        <fgColor rgb="FF455A64"/>
        <bgColor indexed="64"/>
      </patternFill>
    </fill>
    <fill>
      <patternFill patternType="solid">
        <fgColor rgb="FFC62828"/>
        <bgColor indexed="64"/>
      </patternFill>
    </fill>
    <fill>
      <patternFill patternType="solid">
        <fgColor rgb="FFFFF5F5"/>
        <bgColor indexed="64"/>
      </patternFill>
    </fill>
    <fill>
      <patternFill patternType="solid">
        <fgColor rgb="FFE53935"/>
        <bgColor indexed="64"/>
      </patternFill>
    </fill>
    <fill>
      <patternFill patternType="solid">
        <fgColor rgb="FF01579B"/>
        <bgColor indexed="64"/>
      </patternFill>
    </fill>
    <fill>
      <patternFill patternType="solid">
        <fgColor rgb="FFEF6C00"/>
        <bgColor indexed="64"/>
      </patternFill>
    </fill>
    <fill>
      <patternFill patternType="solid">
        <fgColor rgb="FF1976D2"/>
        <bgColor indexed="64"/>
      </patternFill>
    </fill>
    <fill>
      <patternFill patternType="solid">
        <fgColor rgb="FFE0E0E0"/>
        <bgColor indexed="64"/>
      </patternFill>
    </fill>
    <fill>
      <patternFill patternType="solid">
        <fgColor theme="0" tint="-0.0499893185216834"/>
        <bgColor indexed="64"/>
      </patternFill>
    </fill>
  </fills>
  <borders count="5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top/>
      <bottom style="medium">
        <color auto="1"/>
      </bottom>
      <diagonal/>
    </border>
    <border>
      <left/>
      <right/>
      <top style="medium">
        <color auto="1"/>
      </top>
      <bottom/>
      <diagonal/>
    </border>
    <border>
      <left/>
      <right/>
      <top/>
      <bottom style="thin">
        <color rgb="FFD6D6D6"/>
      </bottom>
      <diagonal/>
    </border>
    <border>
      <left/>
      <right/>
      <top/>
      <bottom style="thin">
        <color rgb="FFBDBDBD"/>
      </bottom>
      <diagonal/>
    </border>
    <border>
      <left style="thin">
        <color auto="1"/>
      </left>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thin">
        <color auto="1"/>
      </top>
      <bottom/>
      <diagonal/>
    </border>
    <border>
      <left/>
      <right/>
      <top/>
      <bottom style="thin">
        <color rgb="FFD0D0D0"/>
      </bottom>
      <diagonal/>
    </border>
    <border>
      <left/>
      <right/>
      <top style="thin">
        <color rgb="FFD0D0D0"/>
      </top>
      <bottom style="thin">
        <color rgb="FFD0D0D0"/>
      </bottom>
      <diagonal/>
    </border>
    <border>
      <left/>
      <right/>
      <top style="thin">
        <color rgb="FFD0D0D0"/>
      </top>
      <bottom/>
      <diagonal/>
    </border>
    <border>
      <left/>
      <right style="thin">
        <color rgb="FFD0D0D0"/>
      </right>
      <top/>
      <bottom style="thin">
        <color rgb="FFD0D0D0"/>
      </bottom>
      <diagonal/>
    </border>
    <border>
      <left style="thin">
        <color rgb="FFD0D0D0"/>
      </left>
      <right style="thin">
        <color rgb="FFD0D0D0"/>
      </right>
      <top/>
      <bottom style="thin">
        <color rgb="FFD0D0D0"/>
      </bottom>
      <diagonal/>
    </border>
    <border>
      <left style="thin">
        <color rgb="FFD0D0D0"/>
      </left>
      <right/>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thin">
        <color rgb="FFD0D0D0"/>
      </left>
      <right/>
      <top style="thin">
        <color rgb="FFD0D0D0"/>
      </top>
      <bottom style="thin">
        <color rgb="FFD0D0D0"/>
      </bottom>
      <diagonal/>
    </border>
    <border>
      <left/>
      <right style="thin">
        <color rgb="FFD0D0D0"/>
      </right>
      <top style="thin">
        <color rgb="FFD0D0D0"/>
      </top>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
      <left style="thin">
        <color rgb="FFD0D0D0"/>
      </left>
      <right style="thin">
        <color rgb="FFD0D0D0"/>
      </right>
      <top style="thin">
        <color rgb="FFD0D0D0"/>
      </top>
      <bottom style="medium">
        <color auto="1"/>
      </bottom>
      <diagonal/>
    </border>
    <border>
      <left style="medium">
        <color auto="1"/>
      </left>
      <right style="thin">
        <color rgb="FFD0D0D0"/>
      </right>
      <top/>
      <bottom style="thin">
        <color rgb="FFD0D0D0"/>
      </bottom>
      <diagonal/>
    </border>
    <border>
      <left style="medium">
        <color auto="1"/>
      </left>
      <right style="thin">
        <color rgb="FFD0D0D0"/>
      </right>
      <top style="thin">
        <color rgb="FFD0D0D0"/>
      </top>
      <bottom style="thin">
        <color rgb="FFD0D0D0"/>
      </bottom>
      <diagonal/>
    </border>
    <border>
      <left style="medium">
        <color auto="1"/>
      </left>
      <right style="thin">
        <color rgb="FFD0D0D0"/>
      </right>
      <top style="thin">
        <color rgb="FFD0D0D0"/>
      </top>
      <bottom style="medium">
        <color auto="1"/>
      </bottom>
      <diagonal/>
    </border>
    <border>
      <left style="thin">
        <color rgb="FFD0D0D0"/>
      </left>
      <right style="medium">
        <color auto="1"/>
      </right>
      <top/>
      <bottom style="thin">
        <color rgb="FFD0D0D0"/>
      </bottom>
      <diagonal/>
    </border>
    <border>
      <left style="thin">
        <color rgb="FFD0D0D0"/>
      </left>
      <right style="medium">
        <color auto="1"/>
      </right>
      <top style="thin">
        <color rgb="FFD0D0D0"/>
      </top>
      <bottom style="thin">
        <color rgb="FFD0D0D0"/>
      </bottom>
      <diagonal/>
    </border>
    <border>
      <left style="thin">
        <color rgb="FFD0D0D0"/>
      </left>
      <right style="medium">
        <color auto="1"/>
      </right>
      <top style="thin">
        <color rgb="FFD0D0D0"/>
      </top>
      <bottom style="medium">
        <color auto="1"/>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style="thin">
        <color auto="1"/>
      </top>
      <bottom style="thin">
        <color auto="1"/>
      </bottom>
      <diagonal/>
    </border>
    <border>
      <left/>
      <right/>
      <top style="thin">
        <color auto="1"/>
      </top>
      <bottom/>
      <diagonal/>
    </border>
    <border>
      <left/>
      <right/>
      <top style="medium">
        <color indexed="64"/>
      </top>
      <bottom/>
      <diagonal/>
    </border>
    <border>
      <left/>
      <right style="thin">
        <color auto="1"/>
      </right>
      <top style="thin">
        <color auto="1"/>
      </top>
      <bottom/>
      <diagonal/>
    </border>
  </borders>
  <cellStyleXfs count="2">
    <xf numFmtId="0" fontId="0" fillId="0" borderId="0"/>
    <xf numFmtId="0" fontId="18" fillId="0" borderId="0"/>
  </cellStyleXfs>
  <cellXfs count="1097">
    <xf numFmtId="0" fontId="0" fillId="0" borderId="0" pivotButton="0" quotePrefix="0" xfId="0"/>
    <xf numFmtId="0" fontId="9" fillId="0" borderId="0" pivotButton="0" quotePrefix="0" xfId="0"/>
    <xf numFmtId="0" fontId="2" fillId="4" borderId="2" applyAlignment="1" pivotButton="0" quotePrefix="0" xfId="0">
      <alignment horizontal="center" vertical="center" wrapText="1"/>
    </xf>
    <xf numFmtId="0" fontId="0" fillId="0" borderId="2" pivotButton="0" quotePrefix="0" xfId="0"/>
    <xf numFmtId="0" fontId="0" fillId="5" borderId="2" pivotButton="0" quotePrefix="0" xfId="0"/>
    <xf numFmtId="0" fontId="5" fillId="0" borderId="2" pivotButton="0" quotePrefix="0" xfId="0"/>
    <xf numFmtId="0" fontId="0" fillId="6" borderId="2" pivotButton="0" quotePrefix="0" xfId="0"/>
    <xf numFmtId="0" fontId="6" fillId="7" borderId="2" pivotButton="0" quotePrefix="0" xfId="0"/>
    <xf numFmtId="0" fontId="0" fillId="8" borderId="2" pivotButton="0" quotePrefix="0" xfId="0"/>
    <xf numFmtId="0" fontId="0" fillId="9" borderId="2" pivotButton="0" quotePrefix="0" xfId="0"/>
    <xf numFmtId="0" fontId="0" fillId="10" borderId="2" pivotButton="0" quotePrefix="0" xfId="0"/>
    <xf numFmtId="0" fontId="0" fillId="11" borderId="2" pivotButton="0" quotePrefix="0" xfId="0"/>
    <xf numFmtId="0" fontId="7" fillId="0" borderId="0" pivotButton="0" quotePrefix="0" xfId="0"/>
    <xf numFmtId="0" fontId="3" fillId="5" borderId="2" applyAlignment="1" applyProtection="1" pivotButton="0" quotePrefix="0" xfId="0">
      <alignment vertical="center"/>
      <protection locked="0" hidden="0"/>
    </xf>
    <xf numFmtId="3" fontId="3" fillId="5" borderId="2" applyAlignment="1" applyProtection="1" pivotButton="0" quotePrefix="0" xfId="0">
      <alignment vertical="center"/>
      <protection locked="0" hidden="0"/>
    </xf>
    <xf numFmtId="164" fontId="3" fillId="5" borderId="2" applyAlignment="1" applyProtection="1" pivotButton="0" quotePrefix="0" xfId="0">
      <alignment vertical="center"/>
      <protection locked="0" hidden="0"/>
    </xf>
    <xf numFmtId="0" fontId="8" fillId="0" borderId="0" pivotButton="0" quotePrefix="0" xfId="0"/>
    <xf numFmtId="0" fontId="3" fillId="6" borderId="2" pivotButton="0" quotePrefix="0" xfId="0"/>
    <xf numFmtId="0" fontId="7" fillId="6" borderId="2" pivotButton="0" quotePrefix="0" xfId="0"/>
    <xf numFmtId="165" fontId="3" fillId="6" borderId="2" pivotButton="0" quotePrefix="0" xfId="0"/>
    <xf numFmtId="3" fontId="3" fillId="6" borderId="2" pivotButton="0" quotePrefix="0" xfId="0"/>
    <xf numFmtId="0" fontId="3" fillId="0" borderId="2" pivotButton="0" quotePrefix="0" xfId="0"/>
    <xf numFmtId="165" fontId="3" fillId="0" borderId="2" pivotButton="0" quotePrefix="0" xfId="0"/>
    <xf numFmtId="3" fontId="3" fillId="0" borderId="2" pivotButton="0" quotePrefix="0" xfId="0"/>
    <xf numFmtId="166" fontId="3" fillId="0" borderId="2" pivotButton="0" quotePrefix="0" xfId="0"/>
    <xf numFmtId="166" fontId="3" fillId="6" borderId="2" pivotButton="0" quotePrefix="0" xfId="0"/>
    <xf numFmtId="0" fontId="5" fillId="0" borderId="2" applyAlignment="1" pivotButton="0" quotePrefix="0" xfId="0">
      <alignment vertical="center"/>
    </xf>
    <xf numFmtId="165" fontId="5" fillId="0" borderId="2" applyAlignment="1" pivotButton="0" quotePrefix="0" xfId="0">
      <alignment vertical="center"/>
    </xf>
    <xf numFmtId="4" fontId="5" fillId="0" borderId="2" applyAlignment="1" pivotButton="0" quotePrefix="0" xfId="0">
      <alignment vertical="center"/>
    </xf>
    <xf numFmtId="4" fontId="7" fillId="6" borderId="2" pivotButton="0" quotePrefix="0" xfId="0"/>
    <xf numFmtId="166" fontId="5" fillId="0" borderId="2" applyAlignment="1" pivotButton="0" quotePrefix="0" xfId="0">
      <alignment vertical="center"/>
    </xf>
    <xf numFmtId="3" fontId="10" fillId="2" borderId="2" pivotButton="0" quotePrefix="0" xfId="0"/>
    <xf numFmtId="4" fontId="10" fillId="2" borderId="2" pivotButton="0" quotePrefix="0" xfId="0"/>
    <xf numFmtId="0" fontId="0" fillId="2" borderId="2" pivotButton="0" quotePrefix="0" xfId="0"/>
    <xf numFmtId="3" fontId="7" fillId="6" borderId="2" pivotButton="0" quotePrefix="0" xfId="0"/>
    <xf numFmtId="3" fontId="0" fillId="0" borderId="0" pivotButton="0" quotePrefix="0" xfId="0"/>
    <xf numFmtId="4" fontId="0" fillId="0" borderId="0" pivotButton="0" quotePrefix="0" xfId="0"/>
    <xf numFmtId="3" fontId="11" fillId="2" borderId="2" pivotButton="0" quotePrefix="0" xfId="0"/>
    <xf numFmtId="4" fontId="11" fillId="2" borderId="2" pivotButton="0" quotePrefix="0" xfId="0"/>
    <xf numFmtId="0" fontId="0" fillId="3" borderId="2" pivotButton="0" quotePrefix="0" xfId="0"/>
    <xf numFmtId="3" fontId="11" fillId="3" borderId="2" pivotButton="0" quotePrefix="0" xfId="0"/>
    <xf numFmtId="4" fontId="11" fillId="3" borderId="2" pivotButton="0" quotePrefix="0" xfId="0"/>
    <xf numFmtId="4" fontId="0" fillId="0" borderId="2" pivotButton="0" quotePrefix="0" xfId="0"/>
    <xf numFmtId="167" fontId="0" fillId="0" borderId="2" pivotButton="0" quotePrefix="0" xfId="0"/>
    <xf numFmtId="0" fontId="7" fillId="11" borderId="2" pivotButton="0" quotePrefix="0" xfId="0"/>
    <xf numFmtId="4" fontId="7" fillId="11" borderId="2" pivotButton="0" quotePrefix="0" xfId="0"/>
    <xf numFmtId="0" fontId="7" fillId="9" borderId="2" pivotButton="0" quotePrefix="0" xfId="0"/>
    <xf numFmtId="4" fontId="7" fillId="9" borderId="2" pivotButton="0" quotePrefix="0" xfId="0"/>
    <xf numFmtId="0" fontId="11" fillId="2" borderId="2" pivotButton="0" quotePrefix="0" xfId="0"/>
    <xf numFmtId="167" fontId="0" fillId="0" borderId="0" pivotButton="0" quotePrefix="0" xfId="0"/>
    <xf numFmtId="168" fontId="0" fillId="0" borderId="0" pivotButton="0" quotePrefix="0" xfId="0"/>
    <xf numFmtId="3" fontId="0" fillId="0" borderId="2" pivotButton="0" quotePrefix="0" xfId="0"/>
    <xf numFmtId="169" fontId="5" fillId="0" borderId="2" applyAlignment="1" pivotButton="0" quotePrefix="0" xfId="0">
      <alignment vertical="center"/>
    </xf>
    <xf numFmtId="2" fontId="0" fillId="0" borderId="2" pivotButton="0" quotePrefix="0" xfId="0"/>
    <xf numFmtId="164" fontId="7" fillId="6" borderId="2" pivotButton="0" quotePrefix="0" xfId="0"/>
    <xf numFmtId="3" fontId="5" fillId="0" borderId="2" applyAlignment="1" pivotButton="0" quotePrefix="0" xfId="0">
      <alignment vertical="center"/>
    </xf>
    <xf numFmtId="169" fontId="0" fillId="0" borderId="2" pivotButton="0" quotePrefix="0" xfId="0"/>
    <xf numFmtId="4" fontId="3" fillId="5" borderId="2" applyAlignment="1" applyProtection="1" pivotButton="0" quotePrefix="0" xfId="0">
      <alignment vertical="center"/>
      <protection locked="0" hidden="0"/>
    </xf>
    <xf numFmtId="0" fontId="0" fillId="4" borderId="2" pivotButton="0" quotePrefix="0" xfId="0"/>
    <xf numFmtId="2" fontId="3" fillId="5" borderId="2" applyAlignment="1" applyProtection="1" pivotButton="0" quotePrefix="0" xfId="0">
      <alignment vertical="center"/>
      <protection locked="0" hidden="0"/>
    </xf>
    <xf numFmtId="164" fontId="0" fillId="0" borderId="2" pivotButton="0" quotePrefix="0" xfId="0"/>
    <xf numFmtId="164" fontId="14" fillId="2" borderId="2" pivotButton="0" quotePrefix="0" xfId="0"/>
    <xf numFmtId="0" fontId="0" fillId="12" borderId="2" pivotButton="0" quotePrefix="0" xfId="0"/>
    <xf numFmtId="0" fontId="0" fillId="7" borderId="2" pivotButton="0" quotePrefix="0" xfId="0"/>
    <xf numFmtId="0" fontId="0" fillId="14" borderId="2" pivotButton="0" quotePrefix="0" xfId="0"/>
    <xf numFmtId="0" fontId="0" fillId="15" borderId="2" pivotButton="0" quotePrefix="0" xfId="0"/>
    <xf numFmtId="0" fontId="0" fillId="16" borderId="2" pivotButton="0" quotePrefix="0" xfId="0"/>
    <xf numFmtId="0" fontId="16" fillId="0" borderId="0" pivotButton="0" quotePrefix="0" xfId="0"/>
    <xf numFmtId="0" fontId="17" fillId="19" borderId="0" pivotButton="0" quotePrefix="0" xfId="0"/>
    <xf numFmtId="0" fontId="24" fillId="0" borderId="0" pivotButton="0" quotePrefix="0" xfId="0"/>
    <xf numFmtId="0" fontId="25" fillId="0" borderId="0" pivotButton="0" quotePrefix="0" xfId="0"/>
    <xf numFmtId="1" fontId="0" fillId="0" borderId="0" pivotButton="0" quotePrefix="0" xfId="0"/>
    <xf numFmtId="0" fontId="29" fillId="0" borderId="0" pivotButton="0" quotePrefix="0" xfId="0"/>
    <xf numFmtId="0" fontId="22" fillId="0" borderId="0" pivotButton="0" quotePrefix="0" xfId="0"/>
    <xf numFmtId="0" fontId="20" fillId="0" borderId="0" pivotButton="0" quotePrefix="0" xfId="0"/>
    <xf numFmtId="3" fontId="25" fillId="0" borderId="0" pivotButton="0" quotePrefix="0" xfId="0"/>
    <xf numFmtId="0" fontId="34" fillId="20" borderId="0" pivotButton="0" quotePrefix="0" xfId="0"/>
    <xf numFmtId="0" fontId="0" fillId="0" borderId="0" applyAlignment="1" pivotButton="0" quotePrefix="0" xfId="0">
      <alignment horizontal="center"/>
    </xf>
    <xf numFmtId="14" fontId="0" fillId="0" borderId="0" pivotButton="0" quotePrefix="0" xfId="0"/>
    <xf numFmtId="0" fontId="24" fillId="37" borderId="0" pivotButton="0" quotePrefix="0" xfId="0"/>
    <xf numFmtId="0" fontId="16" fillId="21" borderId="4" applyAlignment="1" pivotButton="0" quotePrefix="0" xfId="0">
      <alignment horizontal="center"/>
    </xf>
    <xf numFmtId="0" fontId="0" fillId="39" borderId="0" pivotButton="0" quotePrefix="0" xfId="0"/>
    <xf numFmtId="0" fontId="24" fillId="39" borderId="0" pivotButton="0" quotePrefix="0" xfId="0"/>
    <xf numFmtId="0" fontId="49" fillId="0" borderId="0" pivotButton="0" quotePrefix="0" xfId="0"/>
    <xf numFmtId="0" fontId="58" fillId="28" borderId="0" applyAlignment="1" pivotButton="0" quotePrefix="0" xfId="1">
      <alignment horizontal="center"/>
    </xf>
    <xf numFmtId="0" fontId="58" fillId="28" borderId="0" applyAlignment="1" pivotButton="0" quotePrefix="0" xfId="1">
      <alignment horizontal="center" vertical="center"/>
    </xf>
    <xf numFmtId="0" fontId="18" fillId="28" borderId="0" applyAlignment="1" pivotButton="0" quotePrefix="0" xfId="1">
      <alignment horizontal="center" vertical="center"/>
    </xf>
    <xf numFmtId="0" fontId="18" fillId="21" borderId="0" applyAlignment="1" pivotButton="0" quotePrefix="0" xfId="1">
      <alignment horizontal="center" vertical="center"/>
    </xf>
    <xf numFmtId="0" fontId="0" fillId="0" borderId="0" applyProtection="1" pivotButton="0" quotePrefix="0" xfId="0">
      <protection locked="0" hidden="0"/>
    </xf>
    <xf numFmtId="0" fontId="18" fillId="28" borderId="0" applyAlignment="1" applyProtection="1" pivotButton="0" quotePrefix="0" xfId="1">
      <alignment horizontal="center" vertical="center"/>
      <protection locked="0" hidden="0"/>
    </xf>
    <xf numFmtId="0" fontId="18" fillId="21" borderId="0" applyAlignment="1" applyProtection="1" pivotButton="0" quotePrefix="0" xfId="1">
      <alignment horizontal="center" vertical="center"/>
      <protection locked="0" hidden="0"/>
    </xf>
    <xf numFmtId="0" fontId="2" fillId="2" borderId="2" applyAlignment="1" applyProtection="1" pivotButton="0" quotePrefix="0" xfId="0">
      <alignment horizontal="center" vertical="center" wrapText="1"/>
      <protection locked="0" hidden="0"/>
    </xf>
    <xf numFmtId="0" fontId="0" fillId="0" borderId="2" applyProtection="1" pivotButton="0" quotePrefix="0" xfId="0">
      <protection locked="0" hidden="0"/>
    </xf>
    <xf numFmtId="170" fontId="0" fillId="0" borderId="2" applyProtection="1" pivotButton="0" quotePrefix="0" xfId="0">
      <protection locked="0" hidden="0"/>
    </xf>
    <xf numFmtId="0" fontId="7" fillId="8" borderId="2" applyProtection="1" pivotButton="0" quotePrefix="0" xfId="0">
      <protection locked="0" hidden="0"/>
    </xf>
    <xf numFmtId="0" fontId="12" fillId="8" borderId="2" applyProtection="1" pivotButton="0" quotePrefix="0" xfId="0">
      <protection locked="0" hidden="0"/>
    </xf>
    <xf numFmtId="0" fontId="7" fillId="11" borderId="2" applyProtection="1" pivotButton="0" quotePrefix="0" xfId="0">
      <protection locked="0" hidden="0"/>
    </xf>
    <xf numFmtId="0" fontId="12" fillId="11" borderId="2" applyProtection="1" pivotButton="0" quotePrefix="0" xfId="0">
      <protection locked="0" hidden="0"/>
    </xf>
    <xf numFmtId="0" fontId="7" fillId="13" borderId="2" applyProtection="1" pivotButton="0" quotePrefix="0" xfId="0">
      <protection locked="0" hidden="0"/>
    </xf>
    <xf numFmtId="0" fontId="12" fillId="13" borderId="2" applyProtection="1" pivotButton="0" quotePrefix="0" xfId="0">
      <protection locked="0" hidden="0"/>
    </xf>
    <xf numFmtId="0" fontId="0" fillId="4" borderId="2" applyProtection="1" pivotButton="0" quotePrefix="0" xfId="0">
      <protection locked="0" hidden="0"/>
    </xf>
    <xf numFmtId="0" fontId="11" fillId="4" borderId="2" applyProtection="1" pivotButton="0" quotePrefix="0" xfId="0">
      <protection locked="0" hidden="0"/>
    </xf>
    <xf numFmtId="0" fontId="0" fillId="2" borderId="2" applyProtection="1" pivotButton="0" quotePrefix="0" xfId="0">
      <protection locked="0" hidden="0"/>
    </xf>
    <xf numFmtId="0" fontId="10" fillId="2" borderId="2" applyProtection="1" pivotButton="0" quotePrefix="0" xfId="0">
      <protection locked="0" hidden="0"/>
    </xf>
    <xf numFmtId="168" fontId="0" fillId="0" borderId="0" applyProtection="1" pivotButton="0" quotePrefix="0" xfId="0">
      <protection locked="0" hidden="0"/>
    </xf>
    <xf numFmtId="4" fontId="7" fillId="8" borderId="2" pivotButton="0" quotePrefix="0" xfId="0"/>
    <xf numFmtId="167" fontId="7" fillId="8" borderId="2" pivotButton="0" quotePrefix="0" xfId="0"/>
    <xf numFmtId="4" fontId="7" fillId="13" borderId="2" pivotButton="0" quotePrefix="0" xfId="0"/>
    <xf numFmtId="4" fontId="11" fillId="4" borderId="2" pivotButton="0" quotePrefix="0" xfId="0"/>
    <xf numFmtId="0" fontId="2" fillId="4" borderId="2" applyAlignment="1" applyProtection="1" pivotButton="0" quotePrefix="0" xfId="0">
      <alignment horizontal="center" vertical="center" wrapText="1"/>
      <protection locked="0" hidden="0"/>
    </xf>
    <xf numFmtId="168" fontId="0" fillId="0" borderId="2" pivotButton="0" quotePrefix="0" xfId="0"/>
    <xf numFmtId="1" fontId="0" fillId="0" borderId="2" pivotButton="0" quotePrefix="0" xfId="0"/>
    <xf numFmtId="167" fontId="5" fillId="0" borderId="2" applyAlignment="1" pivotButton="0" quotePrefix="0" xfId="0">
      <alignment vertical="center"/>
    </xf>
    <xf numFmtId="168" fontId="5" fillId="0" borderId="2" applyAlignment="1" pivotButton="0" quotePrefix="0" xfId="0">
      <alignment vertical="center"/>
    </xf>
    <xf numFmtId="0" fontId="22" fillId="21" borderId="4" applyAlignment="1" applyProtection="1" pivotButton="0" quotePrefix="0" xfId="0">
      <alignment horizontal="center" vertical="center" wrapText="1"/>
      <protection locked="0" hidden="0"/>
    </xf>
    <xf numFmtId="0" fontId="23" fillId="22" borderId="0" applyProtection="1" pivotButton="0" quotePrefix="0" xfId="0">
      <protection locked="0" hidden="0"/>
    </xf>
    <xf numFmtId="0" fontId="16" fillId="22" borderId="0" applyProtection="1" pivotButton="0" quotePrefix="0" xfId="0">
      <protection locked="0" hidden="0"/>
    </xf>
    <xf numFmtId="1" fontId="0" fillId="0" borderId="0" applyAlignment="1" applyProtection="1" pivotButton="0" quotePrefix="0" xfId="0">
      <alignment horizontal="center"/>
      <protection locked="0" hidden="0"/>
    </xf>
    <xf numFmtId="170" fontId="24" fillId="0" borderId="0" applyProtection="1" pivotButton="0" quotePrefix="0" xfId="0">
      <protection locked="0" hidden="0"/>
    </xf>
    <xf numFmtId="170" fontId="0" fillId="0" borderId="0" applyProtection="1" pivotButton="0" quotePrefix="0" xfId="0">
      <protection locked="0" hidden="0"/>
    </xf>
    <xf numFmtId="3" fontId="0" fillId="0" borderId="0" applyProtection="1" pivotButton="0" quotePrefix="0" xfId="0">
      <protection locked="0" hidden="0"/>
    </xf>
    <xf numFmtId="0" fontId="27" fillId="0" borderId="0" applyProtection="1" pivotButton="0" quotePrefix="0" xfId="0">
      <protection locked="0" hidden="0"/>
    </xf>
    <xf numFmtId="1" fontId="16" fillId="22" borderId="0" applyAlignment="1" applyProtection="1" pivotButton="0" quotePrefix="0" xfId="0">
      <alignment horizontal="center"/>
      <protection locked="0" hidden="0"/>
    </xf>
    <xf numFmtId="170" fontId="16" fillId="22" borderId="0" applyProtection="1" pivotButton="0" quotePrefix="0" xfId="0">
      <protection locked="0" hidden="0"/>
    </xf>
    <xf numFmtId="0" fontId="23" fillId="23" borderId="0" applyProtection="1" pivotButton="0" quotePrefix="0" xfId="0">
      <protection locked="0" hidden="0"/>
    </xf>
    <xf numFmtId="1" fontId="16" fillId="23" borderId="0" applyAlignment="1" applyProtection="1" pivotButton="0" quotePrefix="0" xfId="0">
      <alignment horizontal="center"/>
      <protection locked="0" hidden="0"/>
    </xf>
    <xf numFmtId="170" fontId="16" fillId="23" borderId="0" applyProtection="1" pivotButton="0" quotePrefix="0" xfId="0">
      <protection locked="0" hidden="0"/>
    </xf>
    <xf numFmtId="168" fontId="16" fillId="23" borderId="0" applyProtection="1" pivotButton="0" quotePrefix="0" xfId="0">
      <protection locked="0" hidden="0"/>
    </xf>
    <xf numFmtId="3" fontId="16" fillId="23" borderId="0" applyProtection="1" pivotButton="0" quotePrefix="0" xfId="0">
      <protection locked="0" hidden="0"/>
    </xf>
    <xf numFmtId="0" fontId="16" fillId="23" borderId="0" applyProtection="1" pivotButton="0" quotePrefix="0" xfId="0">
      <protection locked="0" hidden="0"/>
    </xf>
    <xf numFmtId="0" fontId="23" fillId="24" borderId="0" applyProtection="1" pivotButton="0" quotePrefix="0" xfId="0">
      <protection locked="0" hidden="0"/>
    </xf>
    <xf numFmtId="1" fontId="16" fillId="24" borderId="0" applyAlignment="1" applyProtection="1" pivotButton="0" quotePrefix="0" xfId="0">
      <alignment horizontal="center"/>
      <protection locked="0" hidden="0"/>
    </xf>
    <xf numFmtId="170" fontId="16" fillId="24" borderId="0" applyProtection="1" pivotButton="0" quotePrefix="0" xfId="0">
      <protection locked="0" hidden="0"/>
    </xf>
    <xf numFmtId="168" fontId="16" fillId="24" borderId="0" applyProtection="1" pivotButton="0" quotePrefix="0" xfId="0">
      <protection locked="0" hidden="0"/>
    </xf>
    <xf numFmtId="3" fontId="16" fillId="24" borderId="0" applyProtection="1" pivotButton="0" quotePrefix="0" xfId="0">
      <protection locked="0" hidden="0"/>
    </xf>
    <xf numFmtId="0" fontId="16" fillId="24" borderId="0" applyProtection="1" pivotButton="0" quotePrefix="0" xfId="0">
      <protection locked="0" hidden="0"/>
    </xf>
    <xf numFmtId="0" fontId="17" fillId="25" borderId="0" applyProtection="1" pivotButton="0" quotePrefix="0" xfId="0">
      <protection locked="0" hidden="0"/>
    </xf>
    <xf numFmtId="0" fontId="31" fillId="0" borderId="0" applyProtection="1" pivotButton="0" quotePrefix="0" xfId="0">
      <protection locked="0" hidden="0"/>
    </xf>
    <xf numFmtId="0" fontId="23" fillId="26" borderId="0" applyProtection="1" pivotButton="0" quotePrefix="0" xfId="0">
      <protection locked="0" hidden="0"/>
    </xf>
    <xf numFmtId="0" fontId="0" fillId="26" borderId="0" applyProtection="1" pivotButton="0" quotePrefix="0" xfId="0">
      <protection locked="0" hidden="0"/>
    </xf>
    <xf numFmtId="0" fontId="23" fillId="27" borderId="0" applyProtection="1" pivotButton="0" quotePrefix="0" xfId="0">
      <protection locked="0" hidden="0"/>
    </xf>
    <xf numFmtId="0" fontId="0" fillId="27" borderId="0" applyProtection="1" pivotButton="0" quotePrefix="0" xfId="0">
      <protection locked="0" hidden="0"/>
    </xf>
    <xf numFmtId="0" fontId="20" fillId="0" borderId="0" applyProtection="1" pivotButton="0" quotePrefix="0" xfId="0">
      <protection locked="0" hidden="0"/>
    </xf>
    <xf numFmtId="0" fontId="22" fillId="0" borderId="0" applyProtection="1" pivotButton="0" quotePrefix="0" xfId="0">
      <protection locked="0" hidden="0"/>
    </xf>
    <xf numFmtId="0" fontId="30" fillId="0" borderId="0" applyProtection="1" pivotButton="0" quotePrefix="0" xfId="0">
      <protection locked="0" hidden="0"/>
    </xf>
    <xf numFmtId="170" fontId="0" fillId="0" borderId="0" pivotButton="0" quotePrefix="0" xfId="0"/>
    <xf numFmtId="168" fontId="25" fillId="0" borderId="0" pivotButton="0" quotePrefix="0" xfId="0"/>
    <xf numFmtId="170" fontId="16" fillId="22" borderId="0" pivotButton="0" quotePrefix="0" xfId="0"/>
    <xf numFmtId="168" fontId="16" fillId="22" borderId="0" pivotButton="0" quotePrefix="0" xfId="0"/>
    <xf numFmtId="3" fontId="16" fillId="22" borderId="0" pivotButton="0" quotePrefix="0" xfId="0"/>
    <xf numFmtId="170" fontId="16" fillId="23" borderId="0" pivotButton="0" quotePrefix="0" xfId="0"/>
    <xf numFmtId="168" fontId="16" fillId="23" borderId="0" pivotButton="0" quotePrefix="0" xfId="0"/>
    <xf numFmtId="3" fontId="16" fillId="23" borderId="0" pivotButton="0" quotePrefix="0" xfId="0"/>
    <xf numFmtId="170" fontId="16" fillId="24" borderId="0" pivotButton="0" quotePrefix="0" xfId="0"/>
    <xf numFmtId="168" fontId="16" fillId="24" borderId="0" pivotButton="0" quotePrefix="0" xfId="0"/>
    <xf numFmtId="3" fontId="16" fillId="24" borderId="0" pivotButton="0" quotePrefix="0" xfId="0"/>
    <xf numFmtId="170" fontId="17" fillId="25" borderId="0" pivotButton="0" quotePrefix="0" xfId="0"/>
    <xf numFmtId="168" fontId="17" fillId="25" borderId="0" pivotButton="0" quotePrefix="0" xfId="0"/>
    <xf numFmtId="3" fontId="17" fillId="25" borderId="0" pivotButton="0" quotePrefix="0" xfId="0"/>
    <xf numFmtId="3" fontId="16" fillId="0" borderId="0" pivotButton="0" quotePrefix="0" xfId="0"/>
    <xf numFmtId="170" fontId="16" fillId="0" borderId="0" pivotButton="0" quotePrefix="0" xfId="0"/>
    <xf numFmtId="0" fontId="28" fillId="26" borderId="0" pivotButton="0" quotePrefix="0" xfId="0"/>
    <xf numFmtId="3" fontId="24" fillId="0" borderId="0" applyProtection="1" pivotButton="0" quotePrefix="0" xfId="0">
      <protection locked="0" hidden="0"/>
    </xf>
    <xf numFmtId="168" fontId="24" fillId="0" borderId="0" applyProtection="1" pivotButton="0" quotePrefix="0" xfId="0">
      <protection locked="0" hidden="0"/>
    </xf>
    <xf numFmtId="0" fontId="24" fillId="0" borderId="0" applyProtection="1" pivotButton="0" quotePrefix="0" xfId="0">
      <protection locked="0" hidden="0"/>
    </xf>
    <xf numFmtId="0" fontId="16" fillId="21" borderId="0" applyProtection="1" pivotButton="0" quotePrefix="0" xfId="0">
      <protection locked="0" hidden="0"/>
    </xf>
    <xf numFmtId="0" fontId="16" fillId="22" borderId="3" applyProtection="1" pivotButton="0" quotePrefix="0" xfId="0">
      <protection locked="0" hidden="0"/>
    </xf>
    <xf numFmtId="0" fontId="22" fillId="31" borderId="0" applyAlignment="1" applyProtection="1" pivotButton="0" quotePrefix="0" xfId="0">
      <alignment horizontal="center" vertical="center" wrapText="1"/>
      <protection locked="0" hidden="0"/>
    </xf>
    <xf numFmtId="0" fontId="16" fillId="33" borderId="3" applyProtection="1" pivotButton="0" quotePrefix="0" xfId="0">
      <protection locked="0" hidden="0"/>
    </xf>
    <xf numFmtId="0" fontId="16" fillId="26" borderId="0" applyProtection="1" pivotButton="0" quotePrefix="0" xfId="0">
      <protection locked="0" hidden="0"/>
    </xf>
    <xf numFmtId="3" fontId="16" fillId="21" borderId="0" pivotButton="0" quotePrefix="0" xfId="0"/>
    <xf numFmtId="168" fontId="16" fillId="21" borderId="0" pivotButton="0" quotePrefix="0" xfId="0"/>
    <xf numFmtId="0" fontId="16" fillId="21" borderId="0" pivotButton="0" quotePrefix="0" xfId="0"/>
    <xf numFmtId="3" fontId="32" fillId="0" borderId="0" pivotButton="0" quotePrefix="0" xfId="0"/>
    <xf numFmtId="0" fontId="27" fillId="0" borderId="0" pivotButton="0" quotePrefix="0" xfId="0"/>
    <xf numFmtId="0" fontId="33" fillId="26" borderId="0" pivotButton="0" quotePrefix="0" xfId="0"/>
    <xf numFmtId="0" fontId="34" fillId="20" borderId="0" applyProtection="1" pivotButton="0" quotePrefix="0" xfId="0">
      <protection locked="0" hidden="0"/>
    </xf>
    <xf numFmtId="0" fontId="22" fillId="34" borderId="4" applyAlignment="1" applyProtection="1" pivotButton="0" quotePrefix="0" xfId="0">
      <alignment horizontal="center" vertical="center" wrapText="1"/>
      <protection locked="0" hidden="0"/>
    </xf>
    <xf numFmtId="0" fontId="16" fillId="0" borderId="0" applyProtection="1" pivotButton="0" quotePrefix="0" xfId="0">
      <protection locked="0" hidden="0"/>
    </xf>
    <xf numFmtId="0" fontId="36" fillId="20" borderId="0" applyProtection="1" pivotButton="0" quotePrefix="0" xfId="0">
      <protection locked="0" hidden="0"/>
    </xf>
    <xf numFmtId="0" fontId="0" fillId="20" borderId="0" applyProtection="1" pivotButton="0" quotePrefix="0" xfId="0">
      <protection locked="0" hidden="0"/>
    </xf>
    <xf numFmtId="3" fontId="0" fillId="35" borderId="0" applyProtection="1" pivotButton="0" quotePrefix="0" xfId="0">
      <protection locked="0" hidden="0"/>
    </xf>
    <xf numFmtId="0" fontId="0" fillId="35" borderId="0" applyProtection="1" pivotButton="0" quotePrefix="0" xfId="0">
      <protection locked="0" hidden="0"/>
    </xf>
    <xf numFmtId="0" fontId="39" fillId="0" borderId="0" applyProtection="1" pivotButton="0" quotePrefix="0" xfId="0">
      <protection locked="0" hidden="0"/>
    </xf>
    <xf numFmtId="2" fontId="24" fillId="0" borderId="0" applyProtection="1" pivotButton="0" quotePrefix="0" xfId="0">
      <protection locked="0" hidden="0"/>
    </xf>
    <xf numFmtId="0" fontId="16" fillId="24" borderId="3" applyProtection="1" pivotButton="0" quotePrefix="0" xfId="0">
      <protection locked="0" hidden="0"/>
    </xf>
    <xf numFmtId="1" fontId="35" fillId="0" borderId="0" applyAlignment="1" pivotButton="0" quotePrefix="0" xfId="0">
      <alignment horizontal="center"/>
    </xf>
    <xf numFmtId="1" fontId="35" fillId="34" borderId="0" applyAlignment="1" pivotButton="0" quotePrefix="0" xfId="0">
      <alignment horizontal="center"/>
    </xf>
    <xf numFmtId="3" fontId="25" fillId="35" borderId="0" pivotButton="0" quotePrefix="0" xfId="0"/>
    <xf numFmtId="171" fontId="0" fillId="0" borderId="0" pivotButton="0" quotePrefix="0" xfId="0"/>
    <xf numFmtId="3" fontId="38" fillId="22" borderId="0" pivotButton="0" quotePrefix="0" xfId="0"/>
    <xf numFmtId="3" fontId="16" fillId="35" borderId="0" pivotButton="0" quotePrefix="0" xfId="0"/>
    <xf numFmtId="171" fontId="16" fillId="22" borderId="0" pivotButton="0" quotePrefix="0" xfId="0"/>
    <xf numFmtId="0" fontId="16" fillId="22" borderId="0" applyAlignment="1" pivotButton="0" quotePrefix="0" xfId="0">
      <alignment horizontal="center"/>
    </xf>
    <xf numFmtId="2" fontId="25" fillId="35" borderId="0" pivotButton="0" quotePrefix="0" xfId="0"/>
    <xf numFmtId="168" fontId="25" fillId="35" borderId="0" pivotButton="0" quotePrefix="0" xfId="0"/>
    <xf numFmtId="0" fontId="58" fillId="28" borderId="0" applyAlignment="1" applyProtection="1" pivotButton="0" quotePrefix="0" xfId="1">
      <alignment horizontal="center"/>
      <protection locked="0" hidden="0"/>
    </xf>
    <xf numFmtId="0" fontId="17" fillId="20" borderId="0" applyProtection="1" pivotButton="0" quotePrefix="0" xfId="0">
      <protection locked="0" hidden="0"/>
    </xf>
    <xf numFmtId="0" fontId="60" fillId="0" borderId="0" applyProtection="1" pivotButton="0" quotePrefix="0" xfId="0">
      <protection locked="0" hidden="0"/>
    </xf>
    <xf numFmtId="0" fontId="62" fillId="0" borderId="0" applyProtection="1" pivotButton="0" quotePrefix="0" xfId="0">
      <protection locked="0" hidden="0"/>
    </xf>
    <xf numFmtId="0" fontId="64" fillId="0" borderId="0" applyProtection="1" pivotButton="0" quotePrefix="0" xfId="0">
      <protection locked="0" hidden="0"/>
    </xf>
    <xf numFmtId="0" fontId="29" fillId="0" borderId="0" applyProtection="1" pivotButton="0" quotePrefix="0" xfId="0">
      <protection locked="0" hidden="0"/>
    </xf>
    <xf numFmtId="0" fontId="66" fillId="18" borderId="0" applyAlignment="1" applyProtection="1" pivotButton="0" quotePrefix="0" xfId="0">
      <alignment horizontal="center"/>
      <protection locked="0" hidden="0"/>
    </xf>
    <xf numFmtId="0" fontId="26" fillId="0" borderId="0" applyProtection="1" pivotButton="0" quotePrefix="0" xfId="0">
      <protection locked="0" hidden="0"/>
    </xf>
    <xf numFmtId="0" fontId="22" fillId="37" borderId="0" applyProtection="1" pivotButton="0" quotePrefix="0" xfId="0">
      <protection locked="0" hidden="0"/>
    </xf>
    <xf numFmtId="0" fontId="29" fillId="37" borderId="0" applyProtection="1" pivotButton="0" quotePrefix="0" xfId="0">
      <protection locked="0" hidden="0"/>
    </xf>
    <xf numFmtId="0" fontId="27" fillId="37" borderId="0" applyProtection="1" pivotButton="0" quotePrefix="0" xfId="0">
      <protection locked="0" hidden="0"/>
    </xf>
    <xf numFmtId="0" fontId="66" fillId="37" borderId="0" applyAlignment="1" applyProtection="1" pivotButton="0" quotePrefix="0" xfId="0">
      <alignment horizontal="center"/>
      <protection locked="0" hidden="0"/>
    </xf>
    <xf numFmtId="0" fontId="26" fillId="37" borderId="0" applyProtection="1" pivotButton="0" quotePrefix="0" xfId="0">
      <protection locked="0" hidden="0"/>
    </xf>
    <xf numFmtId="0" fontId="67" fillId="37" borderId="0" applyAlignment="1" applyProtection="1" pivotButton="0" quotePrefix="0" xfId="0">
      <alignment horizontal="center"/>
      <protection locked="0" hidden="0"/>
    </xf>
    <xf numFmtId="0" fontId="67" fillId="42" borderId="0" applyAlignment="1" applyProtection="1" pivotButton="0" quotePrefix="0" xfId="0">
      <alignment horizontal="center"/>
      <protection locked="0" hidden="0"/>
    </xf>
    <xf numFmtId="0" fontId="68" fillId="41" borderId="0" applyAlignment="1" applyProtection="1" pivotButton="0" quotePrefix="0" xfId="0">
      <alignment horizontal="center"/>
      <protection locked="0" hidden="0"/>
    </xf>
    <xf numFmtId="0" fontId="68" fillId="37" borderId="0" applyAlignment="1" applyProtection="1" pivotButton="0" quotePrefix="0" xfId="0">
      <alignment horizontal="center"/>
      <protection locked="0" hidden="0"/>
    </xf>
    <xf numFmtId="0" fontId="61" fillId="0" borderId="0" pivotButton="0" quotePrefix="0" xfId="0"/>
    <xf numFmtId="0" fontId="63" fillId="0" borderId="0" pivotButton="0" quotePrefix="0" xfId="0"/>
    <xf numFmtId="0" fontId="65" fillId="0" borderId="0" pivotButton="0" quotePrefix="0" xfId="0"/>
    <xf numFmtId="0" fontId="29" fillId="0" borderId="0" applyAlignment="1" pivotButton="0" quotePrefix="0" xfId="0">
      <alignment horizontal="center"/>
    </xf>
    <xf numFmtId="0" fontId="22" fillId="0" borderId="0" applyAlignment="1" pivotButton="0" quotePrefix="0" xfId="0">
      <alignment horizontal="center"/>
    </xf>
    <xf numFmtId="0" fontId="29" fillId="37" borderId="0" applyAlignment="1" pivotButton="0" quotePrefix="0" xfId="0">
      <alignment horizontal="center"/>
    </xf>
    <xf numFmtId="0" fontId="22" fillId="37" borderId="0" applyAlignment="1" pivotButton="0" quotePrefix="0" xfId="0">
      <alignment horizontal="center"/>
    </xf>
    <xf numFmtId="0" fontId="70" fillId="2" borderId="2" applyAlignment="1" pivotButton="0" quotePrefix="0" xfId="0">
      <alignment horizontal="center"/>
    </xf>
    <xf numFmtId="0" fontId="70" fillId="12" borderId="2" applyAlignment="1" pivotButton="0" quotePrefix="0" xfId="0">
      <alignment horizontal="center"/>
    </xf>
    <xf numFmtId="0" fontId="70" fillId="7" borderId="2" applyAlignment="1" pivotButton="0" quotePrefix="0" xfId="0">
      <alignment horizontal="center"/>
    </xf>
    <xf numFmtId="0" fontId="70" fillId="3" borderId="2" applyAlignment="1" pivotButton="0" quotePrefix="0" xfId="0">
      <alignment horizontal="center"/>
    </xf>
    <xf numFmtId="0" fontId="70" fillId="4" borderId="2" applyAlignment="1" pivotButton="0" quotePrefix="0" xfId="0">
      <alignment horizontal="center"/>
    </xf>
    <xf numFmtId="0" fontId="70" fillId="14" borderId="2" applyAlignment="1" pivotButton="0" quotePrefix="0" xfId="0">
      <alignment horizontal="center"/>
    </xf>
    <xf numFmtId="0" fontId="70" fillId="15" borderId="2" applyAlignment="1" pivotButton="0" quotePrefix="0" xfId="0">
      <alignment horizontal="center"/>
    </xf>
    <xf numFmtId="0" fontId="72" fillId="21" borderId="4" applyAlignment="1" applyProtection="1" pivotButton="0" quotePrefix="0" xfId="0">
      <alignment horizontal="center" vertical="center" wrapText="1"/>
      <protection locked="0" hidden="0"/>
    </xf>
    <xf numFmtId="0" fontId="73" fillId="0" borderId="0" applyProtection="1" pivotButton="0" quotePrefix="0" xfId="0">
      <protection locked="0" hidden="0"/>
    </xf>
    <xf numFmtId="0" fontId="74" fillId="0" borderId="0" applyProtection="1" pivotButton="0" quotePrefix="0" xfId="0">
      <protection locked="0" hidden="0"/>
    </xf>
    <xf numFmtId="49" fontId="0" fillId="0" borderId="0" pivotButton="0" quotePrefix="0" xfId="0"/>
    <xf numFmtId="0" fontId="76" fillId="20" borderId="0" applyAlignment="1" pivotButton="0" quotePrefix="0" xfId="1">
      <alignment horizontal="center" vertical="center"/>
    </xf>
    <xf numFmtId="0" fontId="76" fillId="20" borderId="0" applyAlignment="1" applyProtection="1" pivotButton="0" quotePrefix="0" xfId="1">
      <alignment horizontal="center" vertical="center"/>
      <protection locked="0" hidden="0"/>
    </xf>
    <xf numFmtId="0" fontId="58" fillId="28" borderId="0" applyAlignment="1" applyProtection="1" pivotButton="0" quotePrefix="0" xfId="1">
      <alignment horizontal="center" vertical="center"/>
      <protection locked="0" hidden="0"/>
    </xf>
    <xf numFmtId="0" fontId="22" fillId="49" borderId="0" applyAlignment="1" pivotButton="0" quotePrefix="0" xfId="0">
      <alignment horizontal="center" wrapText="1"/>
    </xf>
    <xf numFmtId="0" fontId="22" fillId="22" borderId="0" applyAlignment="1" pivotButton="0" quotePrefix="0" xfId="0">
      <alignment horizontal="center" wrapText="1"/>
    </xf>
    <xf numFmtId="0" fontId="69" fillId="0" borderId="0" applyAlignment="1" pivotButton="0" quotePrefix="0" xfId="0">
      <alignment wrapText="1"/>
    </xf>
    <xf numFmtId="9" fontId="24" fillId="0" borderId="0" pivotButton="0" quotePrefix="0" xfId="0"/>
    <xf numFmtId="0" fontId="69" fillId="0" borderId="0" pivotButton="0" quotePrefix="0" xfId="0"/>
    <xf numFmtId="0" fontId="22" fillId="50" borderId="0" applyAlignment="1" pivotButton="0" quotePrefix="0" xfId="0">
      <alignment horizontal="center" wrapText="1"/>
    </xf>
    <xf numFmtId="0" fontId="37" fillId="0" borderId="0" pivotButton="0" quotePrefix="0" xfId="0"/>
    <xf numFmtId="9" fontId="37" fillId="0" borderId="0" pivotButton="0" quotePrefix="0" xfId="0"/>
    <xf numFmtId="0" fontId="22" fillId="24" borderId="0" applyAlignment="1" pivotButton="0" quotePrefix="0" xfId="0">
      <alignment horizontal="center" wrapText="1"/>
    </xf>
    <xf numFmtId="0" fontId="22" fillId="18" borderId="0" applyAlignment="1" pivotButton="0" quotePrefix="0" xfId="0">
      <alignment horizontal="center" wrapText="1"/>
    </xf>
    <xf numFmtId="0" fontId="52" fillId="28" borderId="0" applyAlignment="1" pivotButton="0" quotePrefix="0" xfId="0">
      <alignment horizontal="center"/>
    </xf>
    <xf numFmtId="0" fontId="77" fillId="0" borderId="0" applyAlignment="1" pivotButton="0" quotePrefix="0" xfId="0">
      <alignment horizontal="center"/>
    </xf>
    <xf numFmtId="0" fontId="22" fillId="21" borderId="3" applyAlignment="1" pivotButton="0" quotePrefix="0" xfId="0">
      <alignment horizontal="center"/>
    </xf>
    <xf numFmtId="0" fontId="0" fillId="48" borderId="0" pivotButton="0" quotePrefix="0" xfId="0"/>
    <xf numFmtId="0" fontId="0" fillId="37" borderId="0" applyProtection="1" pivotButton="0" quotePrefix="0" xfId="0">
      <protection locked="0" hidden="0"/>
    </xf>
    <xf numFmtId="0" fontId="44" fillId="38" borderId="0" applyAlignment="1" applyProtection="1" pivotButton="0" quotePrefix="0" xfId="0">
      <alignment horizontal="left" vertical="center"/>
      <protection locked="0" hidden="0"/>
    </xf>
    <xf numFmtId="0" fontId="44" fillId="39" borderId="0" applyAlignment="1" applyProtection="1" pivotButton="0" quotePrefix="0" xfId="0">
      <alignment horizontal="left" vertical="center"/>
      <protection locked="0" hidden="0"/>
    </xf>
    <xf numFmtId="0" fontId="46" fillId="39" borderId="0" applyAlignment="1" applyProtection="1" pivotButton="0" quotePrefix="0" xfId="0">
      <alignment horizontal="left" vertical="center"/>
      <protection locked="0" hidden="0"/>
    </xf>
    <xf numFmtId="0" fontId="46" fillId="38" borderId="0" applyAlignment="1" applyProtection="1" pivotButton="0" quotePrefix="0" xfId="0">
      <alignment horizontal="left" vertical="center"/>
      <protection locked="0" hidden="0"/>
    </xf>
    <xf numFmtId="0" fontId="45" fillId="38" borderId="0" applyAlignment="1" pivotButton="0" quotePrefix="0" xfId="0">
      <alignment horizontal="left" vertical="center"/>
    </xf>
    <xf numFmtId="0" fontId="45" fillId="39" borderId="0" applyAlignment="1" pivotButton="0" quotePrefix="0" xfId="0">
      <alignment horizontal="left" vertical="center"/>
    </xf>
    <xf numFmtId="1" fontId="45" fillId="38" borderId="0" applyAlignment="1" pivotButton="0" quotePrefix="0" xfId="0">
      <alignment horizontal="left" vertical="center"/>
    </xf>
    <xf numFmtId="14" fontId="45" fillId="38" borderId="0" applyAlignment="1" pivotButton="0" quotePrefix="0" xfId="0">
      <alignment horizontal="left" vertical="center"/>
    </xf>
    <xf numFmtId="0" fontId="52" fillId="20" borderId="4" applyAlignment="1" applyProtection="1" pivotButton="0" quotePrefix="0" xfId="0">
      <alignment horizontal="center" vertical="center"/>
      <protection locked="0" hidden="0"/>
    </xf>
    <xf numFmtId="0" fontId="53" fillId="39" borderId="0" applyAlignment="1" applyProtection="1" pivotButton="0" quotePrefix="0" xfId="0">
      <alignment horizontal="center" vertical="center"/>
      <protection locked="0" hidden="0"/>
    </xf>
    <xf numFmtId="0" fontId="54" fillId="39" borderId="0" applyAlignment="1" applyProtection="1" pivotButton="0" quotePrefix="0" xfId="1">
      <alignment vertical="center"/>
      <protection locked="0" hidden="0"/>
    </xf>
    <xf numFmtId="0" fontId="55" fillId="39" borderId="0" applyAlignment="1" applyProtection="1" pivotButton="0" quotePrefix="0" xfId="0">
      <alignment vertical="center"/>
      <protection locked="0" hidden="0"/>
    </xf>
    <xf numFmtId="0" fontId="56" fillId="40" borderId="0" applyAlignment="1" applyProtection="1" pivotButton="0" quotePrefix="0" xfId="0">
      <alignment horizontal="center" vertical="center"/>
      <protection locked="0" hidden="0"/>
    </xf>
    <xf numFmtId="0" fontId="29" fillId="39" borderId="0" applyAlignment="1" applyProtection="1" pivotButton="0" quotePrefix="0" xfId="0">
      <alignment horizontal="center" vertical="center"/>
      <protection locked="0" hidden="0"/>
    </xf>
    <xf numFmtId="0" fontId="53" fillId="38" borderId="0" applyAlignment="1" applyProtection="1" pivotButton="0" quotePrefix="0" xfId="0">
      <alignment horizontal="center" vertical="center"/>
      <protection locked="0" hidden="0"/>
    </xf>
    <xf numFmtId="0" fontId="54" fillId="38" borderId="0" applyAlignment="1" applyProtection="1" pivotButton="0" quotePrefix="0" xfId="1">
      <alignment vertical="center"/>
      <protection locked="0" hidden="0"/>
    </xf>
    <xf numFmtId="0" fontId="55" fillId="38" borderId="0" applyAlignment="1" applyProtection="1" pivotButton="0" quotePrefix="0" xfId="0">
      <alignment vertical="center"/>
      <protection locked="0" hidden="0"/>
    </xf>
    <xf numFmtId="0" fontId="29" fillId="38" borderId="0" applyAlignment="1" applyProtection="1" pivotButton="0" quotePrefix="0" xfId="0">
      <alignment horizontal="center" vertical="center"/>
      <protection locked="0" hidden="0"/>
    </xf>
    <xf numFmtId="0" fontId="56" fillId="41" borderId="0" applyAlignment="1" applyProtection="1" pivotButton="0" quotePrefix="0" xfId="0">
      <alignment horizontal="center" vertical="center"/>
      <protection locked="0" hidden="0"/>
    </xf>
    <xf numFmtId="0" fontId="78" fillId="38" borderId="0" applyAlignment="1" applyProtection="1" pivotButton="0" quotePrefix="0" xfId="0">
      <alignment horizontal="center" vertical="center"/>
      <protection locked="0" hidden="0"/>
    </xf>
    <xf numFmtId="0" fontId="56" fillId="42" borderId="0" applyAlignment="1" applyProtection="1" pivotButton="0" quotePrefix="0" xfId="0">
      <alignment horizontal="center" vertical="center"/>
      <protection locked="0" hidden="0"/>
    </xf>
    <xf numFmtId="0" fontId="56" fillId="43" borderId="0" applyAlignment="1" applyProtection="1" pivotButton="0" quotePrefix="0" xfId="0">
      <alignment horizontal="center" vertical="center"/>
      <protection locked="0" hidden="0"/>
    </xf>
    <xf numFmtId="0" fontId="56" fillId="44" borderId="0" applyAlignment="1" applyProtection="1" pivotButton="0" quotePrefix="0" xfId="0">
      <alignment horizontal="center" vertical="center"/>
      <protection locked="0" hidden="0"/>
    </xf>
    <xf numFmtId="0" fontId="56" fillId="45" borderId="0" applyAlignment="1" applyProtection="1" pivotButton="0" quotePrefix="0" xfId="0">
      <alignment horizontal="center" vertical="center"/>
      <protection locked="0" hidden="0"/>
    </xf>
    <xf numFmtId="0" fontId="56" fillId="46" borderId="0" applyAlignment="1" applyProtection="1" pivotButton="0" quotePrefix="0" xfId="0">
      <alignment horizontal="center" vertical="center"/>
      <protection locked="0" hidden="0"/>
    </xf>
    <xf numFmtId="0" fontId="69" fillId="39" borderId="0" applyAlignment="1" pivotButton="0" quotePrefix="0" xfId="0">
      <alignment horizontal="center" vertical="center"/>
    </xf>
    <xf numFmtId="0" fontId="3" fillId="5" borderId="18" applyAlignment="1" applyProtection="1" pivotButton="0" quotePrefix="0" xfId="0">
      <alignment vertical="center"/>
      <protection locked="0" hidden="0"/>
    </xf>
    <xf numFmtId="0" fontId="0" fillId="18" borderId="0" pivotButton="0" quotePrefix="0" xfId="0"/>
    <xf numFmtId="0" fontId="0" fillId="17" borderId="0" pivotButton="0" quotePrefix="0" xfId="0"/>
    <xf numFmtId="4" fontId="7" fillId="6" borderId="18" pivotButton="0" quotePrefix="0" xfId="0"/>
    <xf numFmtId="0" fontId="3" fillId="5" borderId="20" applyAlignment="1" applyProtection="1" pivotButton="0" quotePrefix="0" xfId="0">
      <alignment vertical="center"/>
      <protection locked="0" hidden="0"/>
    </xf>
    <xf numFmtId="0" fontId="7" fillId="6" borderId="19" pivotButton="0" quotePrefix="0" xfId="0"/>
    <xf numFmtId="0" fontId="0" fillId="52" borderId="0" pivotButton="0" quotePrefix="0" xfId="0"/>
    <xf numFmtId="0" fontId="17" fillId="53" borderId="0" pivotButton="0" quotePrefix="0" xfId="0"/>
    <xf numFmtId="0" fontId="83" fillId="28" borderId="0" applyAlignment="1" pivotButton="0" quotePrefix="0" xfId="0">
      <alignment horizontal="center"/>
    </xf>
    <xf numFmtId="0" fontId="83" fillId="21" borderId="0" applyAlignment="1" pivotButton="0" quotePrefix="0" xfId="0">
      <alignment horizontal="center"/>
    </xf>
    <xf numFmtId="0" fontId="17" fillId="55" borderId="0" pivotButton="0" quotePrefix="0" xfId="0"/>
    <xf numFmtId="0" fontId="36" fillId="55" borderId="0" pivotButton="0" quotePrefix="0" xfId="0"/>
    <xf numFmtId="0" fontId="0" fillId="56" borderId="0" pivotButton="0" quotePrefix="0" xfId="0"/>
    <xf numFmtId="172" fontId="0" fillId="56" borderId="0" pivotButton="0" quotePrefix="0" xfId="0"/>
    <xf numFmtId="172" fontId="0" fillId="39" borderId="0" pivotButton="0" quotePrefix="0" xfId="0"/>
    <xf numFmtId="172" fontId="0" fillId="0" borderId="0" pivotButton="0" quotePrefix="0" xfId="0"/>
    <xf numFmtId="1" fontId="0" fillId="56" borderId="0" pivotButton="0" quotePrefix="0" xfId="0"/>
    <xf numFmtId="1" fontId="0" fillId="39" borderId="0" pivotButton="0" quotePrefix="0" xfId="0"/>
    <xf numFmtId="0" fontId="0" fillId="57" borderId="0" pivotButton="0" quotePrefix="0" xfId="0"/>
    <xf numFmtId="0" fontId="16" fillId="17" borderId="0" pivotButton="0" quotePrefix="0" xfId="0"/>
    <xf numFmtId="0" fontId="0" fillId="45" borderId="0" pivotButton="0" quotePrefix="0" xfId="0"/>
    <xf numFmtId="0" fontId="0" fillId="41" borderId="0" pivotButton="0" quotePrefix="0" xfId="0"/>
    <xf numFmtId="0" fontId="0" fillId="40" borderId="0" pivotButton="0" quotePrefix="0" xfId="0"/>
    <xf numFmtId="0" fontId="0" fillId="53" borderId="0" pivotButton="0" quotePrefix="0" xfId="0"/>
    <xf numFmtId="4" fontId="0" fillId="39" borderId="0" pivotButton="0" quotePrefix="0" xfId="0"/>
    <xf numFmtId="4" fontId="0" fillId="57" borderId="0" pivotButton="0" quotePrefix="0" xfId="0"/>
    <xf numFmtId="4" fontId="0" fillId="45" borderId="0" pivotButton="0" quotePrefix="0" xfId="0"/>
    <xf numFmtId="4" fontId="0" fillId="41" borderId="0" pivotButton="0" quotePrefix="0" xfId="0"/>
    <xf numFmtId="4" fontId="0" fillId="40" borderId="0" pivotButton="0" quotePrefix="0" xfId="0"/>
    <xf numFmtId="4" fontId="0" fillId="53" borderId="0" pivotButton="0" quotePrefix="0" xfId="0"/>
    <xf numFmtId="4" fontId="17" fillId="53" borderId="0" pivotButton="0" quotePrefix="0" xfId="0"/>
    <xf numFmtId="0" fontId="0" fillId="42" borderId="0" pivotButton="0" quotePrefix="0" xfId="0"/>
    <xf numFmtId="166" fontId="0" fillId="39" borderId="0" pivotButton="0" quotePrefix="0" xfId="0"/>
    <xf numFmtId="166" fontId="0" fillId="42" borderId="0" pivotButton="0" quotePrefix="0" xfId="0"/>
    <xf numFmtId="166" fontId="0" fillId="41" borderId="0" pivotButton="0" quotePrefix="0" xfId="0"/>
    <xf numFmtId="0" fontId="16" fillId="40" borderId="0" pivotButton="0" quotePrefix="0" xfId="0"/>
    <xf numFmtId="166" fontId="0" fillId="40" borderId="0" pivotButton="0" quotePrefix="0" xfId="0"/>
    <xf numFmtId="0" fontId="17" fillId="59" borderId="0" pivotButton="0" quotePrefix="0" xfId="0"/>
    <xf numFmtId="0" fontId="0" fillId="43" borderId="0" pivotButton="0" quotePrefix="0" xfId="0"/>
    <xf numFmtId="0" fontId="0" fillId="59" borderId="0" pivotButton="0" quotePrefix="0" xfId="0"/>
    <xf numFmtId="0" fontId="16" fillId="39" borderId="0" pivotButton="0" quotePrefix="0" xfId="0"/>
    <xf numFmtId="0" fontId="16" fillId="43" borderId="0" pivotButton="0" quotePrefix="0" xfId="0"/>
    <xf numFmtId="0" fontId="0" fillId="61" borderId="0" pivotButton="0" quotePrefix="0" xfId="0"/>
    <xf numFmtId="167" fontId="0" fillId="39" borderId="0" pivotButton="0" quotePrefix="0" xfId="0"/>
    <xf numFmtId="167" fontId="0" fillId="40" borderId="0" pivotButton="0" quotePrefix="0" xfId="0"/>
    <xf numFmtId="0" fontId="16" fillId="41" borderId="0" pivotButton="0" quotePrefix="0" xfId="0"/>
    <xf numFmtId="0" fontId="0" fillId="63" borderId="0" pivotButton="0" quotePrefix="0" xfId="0"/>
    <xf numFmtId="0" fontId="17" fillId="63" borderId="0" pivotButton="0" quotePrefix="0" xfId="0"/>
    <xf numFmtId="0" fontId="36" fillId="63" borderId="0" pivotButton="0" quotePrefix="0" xfId="0"/>
    <xf numFmtId="172" fontId="36" fillId="63" borderId="0" pivotButton="0" quotePrefix="0" xfId="0"/>
    <xf numFmtId="0" fontId="87" fillId="39" borderId="0" pivotButton="0" quotePrefix="0" xfId="0"/>
    <xf numFmtId="172" fontId="80" fillId="39" borderId="0" pivotButton="0" quotePrefix="0" xfId="0"/>
    <xf numFmtId="172" fontId="0" fillId="41" borderId="0" pivotButton="0" quotePrefix="0" xfId="0"/>
    <xf numFmtId="0" fontId="87" fillId="41" borderId="0" pivotButton="0" quotePrefix="0" xfId="0"/>
    <xf numFmtId="172" fontId="80" fillId="41" borderId="0" pivotButton="0" quotePrefix="0" xfId="0"/>
    <xf numFmtId="172" fontId="0" fillId="45" borderId="0" pivotButton="0" quotePrefix="0" xfId="0"/>
    <xf numFmtId="0" fontId="87" fillId="45" borderId="0" pivotButton="0" quotePrefix="0" xfId="0"/>
    <xf numFmtId="172" fontId="80" fillId="45" borderId="0" pivotButton="0" quotePrefix="0" xfId="0"/>
    <xf numFmtId="172" fontId="88" fillId="39" borderId="0" pivotButton="0" quotePrefix="0" xfId="0"/>
    <xf numFmtId="172" fontId="88" fillId="45" borderId="0" pivotButton="0" quotePrefix="0" xfId="0"/>
    <xf numFmtId="172" fontId="0" fillId="57" borderId="0" pivotButton="0" quotePrefix="0" xfId="0"/>
    <xf numFmtId="0" fontId="87" fillId="57" borderId="0" pivotButton="0" quotePrefix="0" xfId="0"/>
    <xf numFmtId="172" fontId="80" fillId="57" borderId="0" pivotButton="0" quotePrefix="0" xfId="0"/>
    <xf numFmtId="172" fontId="88" fillId="57" borderId="0" pivotButton="0" quotePrefix="0" xfId="0"/>
    <xf numFmtId="172" fontId="89" fillId="57" borderId="0" pivotButton="0" quotePrefix="0" xfId="0"/>
    <xf numFmtId="172" fontId="0" fillId="40" borderId="0" pivotButton="0" quotePrefix="0" xfId="0"/>
    <xf numFmtId="0" fontId="87" fillId="40" borderId="0" pivotButton="0" quotePrefix="0" xfId="0"/>
    <xf numFmtId="172" fontId="80" fillId="40" borderId="0" pivotButton="0" quotePrefix="0" xfId="0"/>
    <xf numFmtId="172" fontId="0" fillId="42" borderId="0" pivotButton="0" quotePrefix="0" xfId="0"/>
    <xf numFmtId="0" fontId="87" fillId="42" borderId="0" pivotButton="0" quotePrefix="0" xfId="0"/>
    <xf numFmtId="172" fontId="88" fillId="42" borderId="0" pivotButton="0" quotePrefix="0" xfId="0"/>
    <xf numFmtId="172" fontId="0" fillId="43" borderId="0" pivotButton="0" quotePrefix="0" xfId="0"/>
    <xf numFmtId="0" fontId="87" fillId="43" borderId="0" pivotButton="0" quotePrefix="0" xfId="0"/>
    <xf numFmtId="172" fontId="88" fillId="43" borderId="0" pivotButton="0" quotePrefix="0" xfId="0"/>
    <xf numFmtId="172" fontId="89" fillId="43" borderId="0" pivotButton="0" quotePrefix="0" xfId="0"/>
    <xf numFmtId="172" fontId="90" fillId="39" borderId="0" pivotButton="0" quotePrefix="0" xfId="0"/>
    <xf numFmtId="0" fontId="0" fillId="64" borderId="0" pivotButton="0" quotePrefix="0" xfId="0"/>
    <xf numFmtId="172" fontId="0" fillId="64" borderId="0" pivotButton="0" quotePrefix="0" xfId="0"/>
    <xf numFmtId="0" fontId="87" fillId="64" borderId="0" pivotButton="0" quotePrefix="0" xfId="0"/>
    <xf numFmtId="172" fontId="90" fillId="64" borderId="0" pivotButton="0" quotePrefix="0" xfId="0"/>
    <xf numFmtId="172" fontId="0" fillId="52" borderId="0" pivotButton="0" quotePrefix="0" xfId="0"/>
    <xf numFmtId="0" fontId="91" fillId="52" borderId="0" pivotButton="0" quotePrefix="0" xfId="0"/>
    <xf numFmtId="172" fontId="91" fillId="52" borderId="0" pivotButton="0" quotePrefix="0" xfId="0"/>
    <xf numFmtId="172" fontId="0" fillId="61" borderId="0" pivotButton="0" quotePrefix="0" xfId="0"/>
    <xf numFmtId="0" fontId="87" fillId="61" borderId="0" pivotButton="0" quotePrefix="0" xfId="0"/>
    <xf numFmtId="172" fontId="88" fillId="61" borderId="0" pivotButton="0" quotePrefix="0" xfId="0"/>
    <xf numFmtId="0" fontId="0" fillId="65" borderId="0" pivotButton="0" quotePrefix="0" xfId="0"/>
    <xf numFmtId="172" fontId="0" fillId="65" borderId="0" pivotButton="0" quotePrefix="0" xfId="0"/>
    <xf numFmtId="0" fontId="16" fillId="65" borderId="0" pivotButton="0" quotePrefix="0" xfId="0"/>
    <xf numFmtId="0" fontId="87" fillId="65" borderId="0" pivotButton="0" quotePrefix="0" xfId="0"/>
    <xf numFmtId="172" fontId="80" fillId="65" borderId="0" pivotButton="0" quotePrefix="0" xfId="0"/>
    <xf numFmtId="0" fontId="0" fillId="66" borderId="0" pivotButton="0" quotePrefix="0" xfId="0"/>
    <xf numFmtId="172" fontId="0" fillId="66" borderId="0" pivotButton="0" quotePrefix="0" xfId="0"/>
    <xf numFmtId="0" fontId="16" fillId="66" borderId="0" pivotButton="0" quotePrefix="0" xfId="0"/>
    <xf numFmtId="0" fontId="87" fillId="66" borderId="0" pivotButton="0" quotePrefix="0" xfId="0"/>
    <xf numFmtId="172" fontId="80" fillId="66" borderId="0" pivotButton="0" quotePrefix="0" xfId="0"/>
    <xf numFmtId="172" fontId="88" fillId="66" borderId="0" pivotButton="0" quotePrefix="0" xfId="0"/>
    <xf numFmtId="0" fontId="0" fillId="67" borderId="0" pivotButton="0" quotePrefix="0" xfId="0"/>
    <xf numFmtId="172" fontId="0" fillId="67" borderId="0" pivotButton="0" quotePrefix="0" xfId="0"/>
    <xf numFmtId="0" fontId="16" fillId="67" borderId="0" pivotButton="0" quotePrefix="0" xfId="0"/>
    <xf numFmtId="0" fontId="87" fillId="67" borderId="0" pivotButton="0" quotePrefix="0" xfId="0"/>
    <xf numFmtId="172" fontId="88" fillId="67" borderId="0" pivotButton="0" quotePrefix="0" xfId="0"/>
    <xf numFmtId="172" fontId="88" fillId="40" borderId="0" pivotButton="0" quotePrefix="0" xfId="0"/>
    <xf numFmtId="0" fontId="88" fillId="40" borderId="0" pivotButton="0" quotePrefix="0" xfId="0"/>
    <xf numFmtId="0" fontId="89" fillId="39" borderId="0" pivotButton="0" quotePrefix="0" xfId="0"/>
    <xf numFmtId="0" fontId="80" fillId="40" borderId="0" pivotButton="0" quotePrefix="0" xfId="0"/>
    <xf numFmtId="0" fontId="80" fillId="39" borderId="0" pivotButton="0" quotePrefix="0" xfId="0"/>
    <xf numFmtId="0" fontId="88" fillId="39" borderId="0" pivotButton="0" quotePrefix="0" xfId="0"/>
    <xf numFmtId="0" fontId="89" fillId="40" borderId="0" pivotButton="0" quotePrefix="0" xfId="0"/>
    <xf numFmtId="0" fontId="87" fillId="56" borderId="0" pivotButton="0" quotePrefix="0" xfId="0"/>
    <xf numFmtId="0" fontId="88" fillId="56" borderId="0" pivotButton="0" quotePrefix="0" xfId="0"/>
    <xf numFmtId="0" fontId="80" fillId="56" borderId="0" pivotButton="0" quotePrefix="0" xfId="0"/>
    <xf numFmtId="0" fontId="0" fillId="46" borderId="0" pivotButton="0" quotePrefix="0" xfId="0"/>
    <xf numFmtId="0" fontId="87" fillId="46" borderId="0" pivotButton="0" quotePrefix="0" xfId="0"/>
    <xf numFmtId="0" fontId="80" fillId="46" borderId="0" pivotButton="0" quotePrefix="0" xfId="0"/>
    <xf numFmtId="172" fontId="0" fillId="39" borderId="0" applyAlignment="1" pivotButton="0" quotePrefix="0" xfId="0">
      <alignment horizontal="right"/>
    </xf>
    <xf numFmtId="172" fontId="0" fillId="41" borderId="0" applyAlignment="1" pivotButton="0" quotePrefix="0" xfId="0">
      <alignment horizontal="right"/>
    </xf>
    <xf numFmtId="172" fontId="0" fillId="45" borderId="0" applyAlignment="1" pivotButton="0" quotePrefix="0" xfId="0">
      <alignment horizontal="right"/>
    </xf>
    <xf numFmtId="172" fontId="0" fillId="57" borderId="0" applyAlignment="1" pivotButton="0" quotePrefix="0" xfId="0">
      <alignment horizontal="right"/>
    </xf>
    <xf numFmtId="172" fontId="0" fillId="40" borderId="0" applyAlignment="1" pivotButton="0" quotePrefix="0" xfId="0">
      <alignment horizontal="right"/>
    </xf>
    <xf numFmtId="172" fontId="0" fillId="42" borderId="0" applyAlignment="1" pivotButton="0" quotePrefix="0" xfId="0">
      <alignment horizontal="right"/>
    </xf>
    <xf numFmtId="172" fontId="0" fillId="43" borderId="0" applyAlignment="1" pivotButton="0" quotePrefix="0" xfId="0">
      <alignment horizontal="right"/>
    </xf>
    <xf numFmtId="172" fontId="0" fillId="64" borderId="0" applyAlignment="1" pivotButton="0" quotePrefix="0" xfId="0">
      <alignment horizontal="right"/>
    </xf>
    <xf numFmtId="172" fontId="0" fillId="61" borderId="0" applyAlignment="1" pivotButton="0" quotePrefix="0" xfId="0">
      <alignment horizontal="right"/>
    </xf>
    <xf numFmtId="172" fontId="0" fillId="65" borderId="0" applyAlignment="1" pivotButton="0" quotePrefix="0" xfId="0">
      <alignment horizontal="right"/>
    </xf>
    <xf numFmtId="172" fontId="0" fillId="66" borderId="0" applyAlignment="1" pivotButton="0" quotePrefix="0" xfId="0">
      <alignment horizontal="right"/>
    </xf>
    <xf numFmtId="172" fontId="92" fillId="39" borderId="0" applyAlignment="1" pivotButton="0" quotePrefix="0" xfId="0">
      <alignment horizontal="right"/>
    </xf>
    <xf numFmtId="172" fontId="92" fillId="66" borderId="0" applyAlignment="1" pivotButton="0" quotePrefix="0" xfId="0">
      <alignment horizontal="right"/>
    </xf>
    <xf numFmtId="172" fontId="0" fillId="67" borderId="0" applyAlignment="1" pivotButton="0" quotePrefix="0" xfId="0">
      <alignment horizontal="right"/>
    </xf>
    <xf numFmtId="172" fontId="0" fillId="56" borderId="0" applyAlignment="1" pivotButton="0" quotePrefix="0" xfId="0">
      <alignment horizontal="right"/>
    </xf>
    <xf numFmtId="172" fontId="0" fillId="46" borderId="0" applyAlignment="1" pivotButton="0" quotePrefix="0" xfId="0">
      <alignment horizontal="right"/>
    </xf>
    <xf numFmtId="49" fontId="36" fillId="63" borderId="0" pivotButton="0" quotePrefix="0" xfId="0"/>
    <xf numFmtId="49" fontId="0" fillId="39" borderId="0" pivotButton="0" quotePrefix="0" xfId="0"/>
    <xf numFmtId="49" fontId="0" fillId="41" borderId="0" pivotButton="0" quotePrefix="0" xfId="0"/>
    <xf numFmtId="49" fontId="0" fillId="45" borderId="0" pivotButton="0" quotePrefix="0" xfId="0"/>
    <xf numFmtId="49" fontId="0" fillId="57" borderId="0" pivotButton="0" quotePrefix="0" xfId="0"/>
    <xf numFmtId="49" fontId="0" fillId="40" borderId="0" pivotButton="0" quotePrefix="0" xfId="0"/>
    <xf numFmtId="49" fontId="0" fillId="42" borderId="0" pivotButton="0" quotePrefix="0" xfId="0"/>
    <xf numFmtId="49" fontId="0" fillId="43" borderId="0" pivotButton="0" quotePrefix="0" xfId="0"/>
    <xf numFmtId="49" fontId="0" fillId="64" borderId="0" pivotButton="0" quotePrefix="0" xfId="0"/>
    <xf numFmtId="49" fontId="91" fillId="52" borderId="0" pivotButton="0" quotePrefix="0" xfId="0"/>
    <xf numFmtId="49" fontId="0" fillId="61" borderId="0" pivotButton="0" quotePrefix="0" xfId="0"/>
    <xf numFmtId="49" fontId="0" fillId="65" borderId="0" pivotButton="0" quotePrefix="0" xfId="0"/>
    <xf numFmtId="49" fontId="0" fillId="66" borderId="0" pivotButton="0" quotePrefix="0" xfId="0"/>
    <xf numFmtId="49" fontId="0" fillId="67" borderId="0" pivotButton="0" quotePrefix="0" xfId="0"/>
    <xf numFmtId="49" fontId="0" fillId="56" borderId="0" pivotButton="0" quotePrefix="0" xfId="0"/>
    <xf numFmtId="49" fontId="0" fillId="46" borderId="0" pivotButton="0" quotePrefix="0" xfId="0"/>
    <xf numFmtId="4" fontId="17" fillId="54" borderId="0" pivotButton="0" quotePrefix="0" xfId="0"/>
    <xf numFmtId="0" fontId="36" fillId="55" borderId="0" applyAlignment="1" pivotButton="0" quotePrefix="0" xfId="0">
      <alignment wrapText="1"/>
    </xf>
    <xf numFmtId="0" fontId="0" fillId="68" borderId="0" pivotButton="0" quotePrefix="0" xfId="0"/>
    <xf numFmtId="0" fontId="94" fillId="68" borderId="0" pivotButton="0" quotePrefix="0" xfId="0"/>
    <xf numFmtId="3" fontId="0" fillId="52" borderId="0" pivotButton="0" quotePrefix="0" xfId="0"/>
    <xf numFmtId="165" fontId="0" fillId="41" borderId="0" pivotButton="0" quotePrefix="0" xfId="0"/>
    <xf numFmtId="165" fontId="0" fillId="39" borderId="0" pivotButton="0" quotePrefix="0" xfId="0"/>
    <xf numFmtId="9" fontId="0" fillId="52" borderId="0" pivotButton="0" quotePrefix="0" xfId="0"/>
    <xf numFmtId="169" fontId="0" fillId="52" borderId="0" pivotButton="0" quotePrefix="0" xfId="0"/>
    <xf numFmtId="0" fontId="0" fillId="69" borderId="0" pivotButton="0" quotePrefix="0" xfId="0"/>
    <xf numFmtId="0" fontId="17" fillId="69" borderId="0" pivotButton="0" quotePrefix="0" xfId="0"/>
    <xf numFmtId="4" fontId="17" fillId="69" borderId="0" pivotButton="0" quotePrefix="0" xfId="0"/>
    <xf numFmtId="4" fontId="0" fillId="52" borderId="0" pivotButton="0" quotePrefix="0" xfId="0"/>
    <xf numFmtId="165" fontId="0" fillId="45" borderId="0" pivotButton="0" quotePrefix="0" xfId="0"/>
    <xf numFmtId="0" fontId="0" fillId="70" borderId="0" pivotButton="0" quotePrefix="0" xfId="0"/>
    <xf numFmtId="0" fontId="17" fillId="70" borderId="0" pivotButton="0" quotePrefix="0" xfId="0"/>
    <xf numFmtId="4" fontId="17" fillId="70" borderId="0" pivotButton="0" quotePrefix="0" xfId="0"/>
    <xf numFmtId="2" fontId="0" fillId="52" borderId="0" pivotButton="0" quotePrefix="0" xfId="0"/>
    <xf numFmtId="4" fontId="0" fillId="65" borderId="0" pivotButton="0" quotePrefix="0" xfId="0"/>
    <xf numFmtId="165" fontId="0" fillId="65" borderId="0" pivotButton="0" quotePrefix="0" xfId="0"/>
    <xf numFmtId="0" fontId="0" fillId="71" borderId="0" pivotButton="0" quotePrefix="0" xfId="0"/>
    <xf numFmtId="0" fontId="17" fillId="71" borderId="0" pivotButton="0" quotePrefix="0" xfId="0"/>
    <xf numFmtId="4" fontId="17" fillId="71" borderId="0" pivotButton="0" quotePrefix="0" xfId="0"/>
    <xf numFmtId="4" fontId="16" fillId="40" borderId="0" pivotButton="0" quotePrefix="0" xfId="0"/>
    <xf numFmtId="4" fontId="16" fillId="39" borderId="0" pivotButton="0" quotePrefix="0" xfId="0"/>
    <xf numFmtId="0" fontId="86" fillId="53" borderId="0" pivotButton="0" quotePrefix="0" xfId="0"/>
    <xf numFmtId="4" fontId="86" fillId="53" borderId="0" pivotButton="0" quotePrefix="0" xfId="0"/>
    <xf numFmtId="0" fontId="95" fillId="40" borderId="0" pivotButton="0" quotePrefix="0" xfId="0"/>
    <xf numFmtId="3" fontId="0" fillId="41" borderId="0" pivotButton="0" quotePrefix="0" xfId="0"/>
    <xf numFmtId="3" fontId="0" fillId="39" borderId="0" pivotButton="0" quotePrefix="0" xfId="0"/>
    <xf numFmtId="169" fontId="0" fillId="41" borderId="0" pivotButton="0" quotePrefix="0" xfId="0"/>
    <xf numFmtId="169" fontId="0" fillId="39" borderId="0" pivotButton="0" quotePrefix="0" xfId="0"/>
    <xf numFmtId="169" fontId="0" fillId="42" borderId="0" pivotButton="0" quotePrefix="0" xfId="0"/>
    <xf numFmtId="4" fontId="0" fillId="42" borderId="0" pivotButton="0" quotePrefix="0" xfId="0"/>
    <xf numFmtId="170" fontId="0" fillId="52" borderId="0" pivotButton="0" quotePrefix="0" xfId="0"/>
    <xf numFmtId="169" fontId="0" fillId="40" borderId="0" pivotButton="0" quotePrefix="0" xfId="0"/>
    <xf numFmtId="0" fontId="0" fillId="72" borderId="0" pivotButton="0" quotePrefix="0" xfId="0"/>
    <xf numFmtId="0" fontId="17" fillId="72" borderId="0" pivotButton="0" quotePrefix="0" xfId="0"/>
    <xf numFmtId="4" fontId="17" fillId="72" borderId="0" pivotButton="0" quotePrefix="0" xfId="0"/>
    <xf numFmtId="169" fontId="0" fillId="57" borderId="0" pivotButton="0" quotePrefix="0" xfId="0"/>
    <xf numFmtId="3" fontId="0" fillId="57" borderId="0" pivotButton="0" quotePrefix="0" xfId="0"/>
    <xf numFmtId="0" fontId="39" fillId="67" borderId="0" pivotButton="0" quotePrefix="0" xfId="0"/>
    <xf numFmtId="9" fontId="16" fillId="67" borderId="0" pivotButton="0" quotePrefix="0" xfId="0"/>
    <xf numFmtId="0" fontId="96" fillId="67" borderId="0" pivotButton="0" quotePrefix="0" xfId="0"/>
    <xf numFmtId="3" fontId="0" fillId="42" borderId="0" pivotButton="0" quotePrefix="0" xfId="0"/>
    <xf numFmtId="169" fontId="0" fillId="67" borderId="0" pivotButton="0" quotePrefix="0" xfId="0"/>
    <xf numFmtId="4" fontId="0" fillId="67" borderId="0" pivotButton="0" quotePrefix="0" xfId="0"/>
    <xf numFmtId="0" fontId="16" fillId="48" borderId="0" pivotButton="0" quotePrefix="0" xfId="0"/>
    <xf numFmtId="4" fontId="0" fillId="48" borderId="0" pivotButton="0" quotePrefix="0" xfId="0"/>
    <xf numFmtId="167" fontId="0" fillId="48" borderId="0" pivotButton="0" quotePrefix="0" xfId="0"/>
    <xf numFmtId="0" fontId="80" fillId="66" borderId="0" pivotButton="0" quotePrefix="0" xfId="0"/>
    <xf numFmtId="169" fontId="0" fillId="66" borderId="0" pivotButton="0" quotePrefix="0" xfId="0"/>
    <xf numFmtId="4" fontId="0" fillId="66" borderId="0" pivotButton="0" quotePrefix="0" xfId="0"/>
    <xf numFmtId="4" fontId="92" fillId="39" borderId="0" pivotButton="0" quotePrefix="0" xfId="0"/>
    <xf numFmtId="4" fontId="92" fillId="66" borderId="0" pivotButton="0" quotePrefix="0" xfId="0"/>
    <xf numFmtId="0" fontId="52" fillId="63" borderId="0" pivotButton="0" quotePrefix="0" xfId="0"/>
    <xf numFmtId="0" fontId="52" fillId="63" borderId="0" applyAlignment="1" pivotButton="0" quotePrefix="0" xfId="0">
      <alignment wrapText="1"/>
    </xf>
    <xf numFmtId="0" fontId="99" fillId="68" borderId="0" pivotButton="0" quotePrefix="0" xfId="0"/>
    <xf numFmtId="165" fontId="95" fillId="40" borderId="0" pivotButton="0" quotePrefix="0" xfId="0"/>
    <xf numFmtId="0" fontId="0" fillId="54" borderId="0" pivotButton="0" quotePrefix="0" xfId="0"/>
    <xf numFmtId="0" fontId="86" fillId="54" borderId="0" pivotButton="0" quotePrefix="0" xfId="0"/>
    <xf numFmtId="0" fontId="0" fillId="73" borderId="0" pivotButton="0" quotePrefix="0" xfId="0"/>
    <xf numFmtId="0" fontId="86" fillId="73" borderId="0" pivotButton="0" quotePrefix="0" xfId="0"/>
    <xf numFmtId="4" fontId="17" fillId="73" borderId="0" pivotButton="0" quotePrefix="0" xfId="0"/>
    <xf numFmtId="4" fontId="0" fillId="73" borderId="0" pivotButton="0" quotePrefix="0" xfId="0"/>
    <xf numFmtId="0" fontId="52" fillId="55" borderId="0" pivotButton="0" quotePrefix="0" xfId="0"/>
    <xf numFmtId="0" fontId="52" fillId="55" borderId="0" applyAlignment="1" pivotButton="0" quotePrefix="0" xfId="0">
      <alignment wrapText="1"/>
    </xf>
    <xf numFmtId="14" fontId="0" fillId="40" borderId="0" pivotButton="0" quotePrefix="0" xfId="0"/>
    <xf numFmtId="14" fontId="0" fillId="39" borderId="0" pivotButton="0" quotePrefix="0" xfId="0"/>
    <xf numFmtId="3" fontId="95" fillId="40" borderId="0" pivotButton="0" quotePrefix="0" xfId="0"/>
    <xf numFmtId="170" fontId="0" fillId="40" borderId="0" pivotButton="0" quotePrefix="0" xfId="0"/>
    <xf numFmtId="170" fontId="0" fillId="39" borderId="0" pivotButton="0" quotePrefix="0" xfId="0"/>
    <xf numFmtId="0" fontId="16" fillId="40" borderId="0" applyAlignment="1" pivotButton="0" quotePrefix="0" xfId="0">
      <alignment horizontal="center"/>
    </xf>
    <xf numFmtId="0" fontId="16" fillId="39" borderId="0" applyAlignment="1" pivotButton="0" quotePrefix="0" xfId="0">
      <alignment horizontal="center"/>
    </xf>
    <xf numFmtId="14" fontId="0" fillId="41" borderId="0" pivotButton="0" quotePrefix="0" xfId="0"/>
    <xf numFmtId="0" fontId="16" fillId="41" borderId="0" applyAlignment="1" pivotButton="0" quotePrefix="0" xfId="0">
      <alignment horizontal="center"/>
    </xf>
    <xf numFmtId="0" fontId="102" fillId="17" borderId="0" pivotButton="0" quotePrefix="0" xfId="0"/>
    <xf numFmtId="2" fontId="95" fillId="40" borderId="0" pivotButton="0" quotePrefix="0" xfId="0"/>
    <xf numFmtId="9" fontId="0" fillId="41" borderId="0" pivotButton="0" quotePrefix="0" xfId="0"/>
    <xf numFmtId="9" fontId="0" fillId="39" borderId="0" pivotButton="0" quotePrefix="0" xfId="0"/>
    <xf numFmtId="170" fontId="0" fillId="41" borderId="0" pivotButton="0" quotePrefix="0" xfId="0"/>
    <xf numFmtId="0" fontId="0" fillId="74" borderId="0" pivotButton="0" quotePrefix="0" xfId="0"/>
    <xf numFmtId="0" fontId="94" fillId="39" borderId="0" pivotButton="0" quotePrefix="0" xfId="0"/>
    <xf numFmtId="0" fontId="95" fillId="74" borderId="0" pivotButton="0" quotePrefix="0" xfId="0"/>
    <xf numFmtId="0" fontId="95" fillId="39" borderId="0" pivotButton="0" quotePrefix="0" xfId="0"/>
    <xf numFmtId="4" fontId="0" fillId="74" borderId="0" pivotButton="0" quotePrefix="0" xfId="0"/>
    <xf numFmtId="4" fontId="0" fillId="43" borderId="0" pivotButton="0" quotePrefix="0" xfId="0"/>
    <xf numFmtId="4" fontId="17" fillId="59" borderId="0" pivotButton="0" quotePrefix="0" xfId="0"/>
    <xf numFmtId="0" fontId="104" fillId="61" borderId="0" pivotButton="0" quotePrefix="0" xfId="0"/>
    <xf numFmtId="169" fontId="95" fillId="40" borderId="0" pivotButton="0" quotePrefix="0" xfId="0"/>
    <xf numFmtId="0" fontId="0" fillId="75" borderId="0" pivotButton="0" quotePrefix="0" xfId="0"/>
    <xf numFmtId="4" fontId="0" fillId="75" borderId="0" pivotButton="0" quotePrefix="0" xfId="0"/>
    <xf numFmtId="3" fontId="0" fillId="40" borderId="0" pivotButton="0" quotePrefix="0" xfId="0"/>
    <xf numFmtId="0" fontId="105" fillId="66" borderId="0" pivotButton="0" quotePrefix="0" xfId="0"/>
    <xf numFmtId="0" fontId="17" fillId="77" borderId="0" pivotButton="0" quotePrefix="0" xfId="0"/>
    <xf numFmtId="0" fontId="0" fillId="77" borderId="0" pivotButton="0" quotePrefix="0" xfId="0"/>
    <xf numFmtId="4" fontId="17" fillId="77" borderId="0" pivotButton="0" quotePrefix="0" xfId="0"/>
    <xf numFmtId="0" fontId="16" fillId="74" borderId="0" pivotButton="0" quotePrefix="0" xfId="0"/>
    <xf numFmtId="169" fontId="0" fillId="74" borderId="0" pivotButton="0" quotePrefix="0" xfId="0"/>
    <xf numFmtId="167" fontId="0" fillId="74" borderId="0" pivotButton="0" quotePrefix="0" xfId="0"/>
    <xf numFmtId="169" fontId="0" fillId="65" borderId="0" pivotButton="0" quotePrefix="0" xfId="0"/>
    <xf numFmtId="167" fontId="0" fillId="65" borderId="0" pivotButton="0" quotePrefix="0" xfId="0"/>
    <xf numFmtId="169" fontId="0" fillId="43" borderId="0" pivotButton="0" quotePrefix="0" xfId="0"/>
    <xf numFmtId="167" fontId="0" fillId="43" borderId="0" pivotButton="0" quotePrefix="0" xfId="0"/>
    <xf numFmtId="0" fontId="16" fillId="75" borderId="0" pivotButton="0" quotePrefix="0" xfId="0"/>
    <xf numFmtId="169" fontId="0" fillId="75" borderId="0" pivotButton="0" quotePrefix="0" xfId="0"/>
    <xf numFmtId="167" fontId="0" fillId="75" borderId="0" pivotButton="0" quotePrefix="0" xfId="0"/>
    <xf numFmtId="167" fontId="0" fillId="66" borderId="0" pivotButton="0" quotePrefix="0" xfId="0"/>
    <xf numFmtId="169" fontId="17" fillId="53" borderId="0" pivotButton="0" quotePrefix="0" xfId="0"/>
    <xf numFmtId="0" fontId="108" fillId="41" borderId="0" pivotButton="0" quotePrefix="0" xfId="0"/>
    <xf numFmtId="0" fontId="94" fillId="41" borderId="0" pivotButton="0" quotePrefix="0" xfId="0"/>
    <xf numFmtId="0" fontId="108" fillId="39" borderId="0" pivotButton="0" quotePrefix="0" xfId="0"/>
    <xf numFmtId="0" fontId="16" fillId="52" borderId="0" pivotButton="0" quotePrefix="0" xfId="0"/>
    <xf numFmtId="0" fontId="20" fillId="52" borderId="0" pivotButton="0" quotePrefix="0" xfId="0"/>
    <xf numFmtId="0" fontId="94" fillId="52" borderId="0" pivotButton="0" quotePrefix="0" xfId="0"/>
    <xf numFmtId="0" fontId="94" fillId="40" borderId="0" pivotButton="0" quotePrefix="0" xfId="0"/>
    <xf numFmtId="166" fontId="0" fillId="68" borderId="0" pivotButton="0" quotePrefix="0" xfId="0"/>
    <xf numFmtId="166" fontId="0" fillId="48" borderId="0" pivotButton="0" quotePrefix="0" xfId="0"/>
    <xf numFmtId="0" fontId="94" fillId="48" borderId="0" pivotButton="0" quotePrefix="0" xfId="0"/>
    <xf numFmtId="166" fontId="16" fillId="52" borderId="0" pivotButton="0" quotePrefix="0" xfId="0"/>
    <xf numFmtId="0" fontId="110" fillId="52" borderId="0" pivotButton="0" quotePrefix="0" xfId="0"/>
    <xf numFmtId="3" fontId="0" fillId="48" borderId="0" pivotButton="0" quotePrefix="0" xfId="0"/>
    <xf numFmtId="0" fontId="111" fillId="40" borderId="0" pivotButton="0" quotePrefix="0" xfId="0"/>
    <xf numFmtId="0" fontId="112" fillId="52" borderId="0" pivotButton="0" quotePrefix="0" xfId="0"/>
    <xf numFmtId="0" fontId="17" fillId="79" borderId="0" pivotButton="0" quotePrefix="0" xfId="0"/>
    <xf numFmtId="0" fontId="17" fillId="28" borderId="0" applyAlignment="1" pivotButton="0" quotePrefix="0" xfId="0">
      <alignment horizontal="center"/>
    </xf>
    <xf numFmtId="0" fontId="23" fillId="48" borderId="0" pivotButton="0" quotePrefix="0" xfId="0"/>
    <xf numFmtId="0" fontId="37" fillId="52" borderId="0" pivotButton="0" quotePrefix="0" xfId="0"/>
    <xf numFmtId="0" fontId="23" fillId="39" borderId="0" pivotButton="0" quotePrefix="0" xfId="0"/>
    <xf numFmtId="3" fontId="37" fillId="52" borderId="0" pivotButton="0" quotePrefix="0" xfId="0"/>
    <xf numFmtId="9" fontId="37" fillId="52" borderId="0" pivotButton="0" quotePrefix="0" xfId="0"/>
    <xf numFmtId="169" fontId="37" fillId="52" borderId="0" pivotButton="0" quotePrefix="0" xfId="0"/>
    <xf numFmtId="170" fontId="37" fillId="52" borderId="0" pivotButton="0" quotePrefix="0" xfId="0"/>
    <xf numFmtId="1" fontId="37" fillId="52" borderId="0" pivotButton="0" quotePrefix="0" xfId="0"/>
    <xf numFmtId="14" fontId="37" fillId="52" borderId="0" pivotButton="0" quotePrefix="0" xfId="0"/>
    <xf numFmtId="0" fontId="113" fillId="63" borderId="0" pivotButton="0" quotePrefix="0" xfId="0"/>
    <xf numFmtId="0" fontId="113" fillId="78" borderId="0" pivotButton="0" quotePrefix="0" xfId="0"/>
    <xf numFmtId="0" fontId="113" fillId="70" borderId="0" pivotButton="0" quotePrefix="0" xfId="0"/>
    <xf numFmtId="0" fontId="113" fillId="59" borderId="0" pivotButton="0" quotePrefix="0" xfId="0"/>
    <xf numFmtId="165" fontId="114" fillId="39" borderId="0" pivotButton="0" quotePrefix="0" xfId="0"/>
    <xf numFmtId="165" fontId="0" fillId="56" borderId="0" pivotButton="0" quotePrefix="0" xfId="0"/>
    <xf numFmtId="165" fontId="114" fillId="56" borderId="0" pivotButton="0" quotePrefix="0" xfId="0"/>
    <xf numFmtId="165" fontId="115" fillId="56" borderId="0" pivotButton="0" quotePrefix="0" xfId="0"/>
    <xf numFmtId="165" fontId="81" fillId="56" borderId="0" pivotButton="0" quotePrefix="0" xfId="0"/>
    <xf numFmtId="165" fontId="115" fillId="39" borderId="0" pivotButton="0" quotePrefix="0" xfId="0"/>
    <xf numFmtId="165" fontId="81" fillId="39" borderId="0" pivotButton="0" quotePrefix="0" xfId="0"/>
    <xf numFmtId="165" fontId="0" fillId="0" borderId="0" pivotButton="0" quotePrefix="0" xfId="0"/>
    <xf numFmtId="165" fontId="115" fillId="0" borderId="0" pivotButton="0" quotePrefix="0" xfId="0"/>
    <xf numFmtId="165" fontId="81" fillId="0" borderId="0" pivotButton="0" quotePrefix="0" xfId="0"/>
    <xf numFmtId="0" fontId="87" fillId="63" borderId="0" pivotButton="0" quotePrefix="0" xfId="0"/>
    <xf numFmtId="172" fontId="0" fillId="63" borderId="0" applyAlignment="1" pivotButton="0" quotePrefix="0" xfId="0">
      <alignment horizontal="right"/>
    </xf>
    <xf numFmtId="49" fontId="0" fillId="63" borderId="0" pivotButton="0" quotePrefix="0" xfId="0"/>
    <xf numFmtId="0" fontId="80" fillId="63" borderId="0" pivotButton="0" quotePrefix="0" xfId="0"/>
    <xf numFmtId="0" fontId="0" fillId="78" borderId="0" pivotButton="0" quotePrefix="0" xfId="0"/>
    <xf numFmtId="172" fontId="0" fillId="78" borderId="0" pivotButton="0" quotePrefix="0" xfId="0"/>
    <xf numFmtId="49" fontId="0" fillId="78" borderId="0" pivotButton="0" quotePrefix="0" xfId="0"/>
    <xf numFmtId="0" fontId="17" fillId="78" borderId="0" pivotButton="0" quotePrefix="0" xfId="0"/>
    <xf numFmtId="0" fontId="87" fillId="44" borderId="0" pivotButton="0" quotePrefix="0" xfId="0"/>
    <xf numFmtId="0" fontId="0" fillId="44" borderId="0" pivotButton="0" quotePrefix="0" xfId="0"/>
    <xf numFmtId="172" fontId="0" fillId="44" borderId="0" pivotButton="0" quotePrefix="0" xfId="0"/>
    <xf numFmtId="49" fontId="0" fillId="44" borderId="0" pivotButton="0" quotePrefix="0" xfId="0"/>
    <xf numFmtId="166" fontId="115" fillId="44" borderId="0" pivotButton="0" quotePrefix="0" xfId="0"/>
    <xf numFmtId="166" fontId="0" fillId="44" borderId="0" pivotButton="0" quotePrefix="0" xfId="0"/>
    <xf numFmtId="166" fontId="115" fillId="39" borderId="0" pivotButton="0" quotePrefix="0" xfId="0"/>
    <xf numFmtId="49" fontId="0" fillId="52" borderId="0" pivotButton="0" quotePrefix="0" xfId="0"/>
    <xf numFmtId="0" fontId="113" fillId="60" borderId="0" pivotButton="0" quotePrefix="0" xfId="0"/>
    <xf numFmtId="165" fontId="0" fillId="43" borderId="0" pivotButton="0" quotePrefix="0" xfId="0"/>
    <xf numFmtId="167" fontId="17" fillId="59" borderId="0" pivotButton="0" quotePrefix="0" xfId="0"/>
    <xf numFmtId="0" fontId="113" fillId="80" borderId="0" pivotButton="0" quotePrefix="0" xfId="0"/>
    <xf numFmtId="170" fontId="0" fillId="44" borderId="0" pivotButton="0" quotePrefix="0" xfId="0"/>
    <xf numFmtId="167" fontId="0" fillId="44" borderId="0" pivotButton="0" quotePrefix="0" xfId="0"/>
    <xf numFmtId="169" fontId="0" fillId="44" borderId="0" pivotButton="0" quotePrefix="0" xfId="0"/>
    <xf numFmtId="3" fontId="0" fillId="44" borderId="0" pivotButton="0" quotePrefix="0" xfId="0"/>
    <xf numFmtId="4" fontId="0" fillId="44" borderId="0" pivotButton="0" quotePrefix="0" xfId="0"/>
    <xf numFmtId="4" fontId="17" fillId="78" borderId="0" pivotButton="0" quotePrefix="0" xfId="0"/>
    <xf numFmtId="0" fontId="20" fillId="44" borderId="0" pivotButton="0" quotePrefix="0" xfId="0"/>
    <xf numFmtId="0" fontId="16" fillId="18" borderId="0" pivotButton="0" quotePrefix="0" xfId="0"/>
    <xf numFmtId="0" fontId="0" fillId="81" borderId="0" pivotButton="0" quotePrefix="0" xfId="0"/>
    <xf numFmtId="4" fontId="0" fillId="81" borderId="0" pivotButton="0" quotePrefix="0" xfId="0"/>
    <xf numFmtId="0" fontId="0" fillId="82" borderId="0" pivotButton="0" quotePrefix="0" xfId="0"/>
    <xf numFmtId="0" fontId="17" fillId="82" borderId="0" pivotButton="0" quotePrefix="0" xfId="0"/>
    <xf numFmtId="167" fontId="16" fillId="40" borderId="0" pivotButton="0" quotePrefix="0" xfId="0"/>
    <xf numFmtId="0" fontId="116" fillId="52" borderId="0" pivotButton="0" quotePrefix="0" xfId="0"/>
    <xf numFmtId="165" fontId="37" fillId="52" borderId="0" pivotButton="0" quotePrefix="0" xfId="0"/>
    <xf numFmtId="167" fontId="37" fillId="52" borderId="0" pivotButton="0" quotePrefix="0" xfId="0"/>
    <xf numFmtId="2" fontId="0" fillId="40" borderId="0" pivotButton="0" quotePrefix="0" xfId="0"/>
    <xf numFmtId="2" fontId="0" fillId="39" borderId="0" pivotButton="0" quotePrefix="0" xfId="0"/>
    <xf numFmtId="168" fontId="0" fillId="40" borderId="0" pivotButton="0" quotePrefix="0" xfId="0"/>
    <xf numFmtId="168" fontId="0" fillId="39" borderId="0" pivotButton="0" quotePrefix="0" xfId="0"/>
    <xf numFmtId="0" fontId="16" fillId="43" borderId="22" pivotButton="0" quotePrefix="0" xfId="0"/>
    <xf numFmtId="167" fontId="0" fillId="43" borderId="22" pivotButton="0" quotePrefix="0" xfId="0"/>
    <xf numFmtId="0" fontId="94" fillId="43" borderId="22" pivotButton="0" quotePrefix="0" xfId="0"/>
    <xf numFmtId="0" fontId="16" fillId="52" borderId="22" pivotButton="0" quotePrefix="0" xfId="0"/>
    <xf numFmtId="167" fontId="0" fillId="52" borderId="22" pivotButton="0" quotePrefix="0" xfId="0"/>
    <xf numFmtId="0" fontId="94" fillId="52" borderId="22" pivotButton="0" quotePrefix="0" xfId="0"/>
    <xf numFmtId="0" fontId="16" fillId="40" borderId="22" pivotButton="0" quotePrefix="0" xfId="0"/>
    <xf numFmtId="167" fontId="0" fillId="40" borderId="22" pivotButton="0" quotePrefix="0" xfId="0"/>
    <xf numFmtId="0" fontId="94" fillId="40" borderId="22" pivotButton="0" quotePrefix="0" xfId="0"/>
    <xf numFmtId="0" fontId="16" fillId="65" borderId="22" pivotButton="0" quotePrefix="0" xfId="0"/>
    <xf numFmtId="167" fontId="0" fillId="65" borderId="22" pivotButton="0" quotePrefix="0" xfId="0"/>
    <xf numFmtId="0" fontId="94" fillId="65" borderId="22" pivotButton="0" quotePrefix="0" xfId="0"/>
    <xf numFmtId="0" fontId="16" fillId="68" borderId="22" pivotButton="0" quotePrefix="0" xfId="0"/>
    <xf numFmtId="167" fontId="0" fillId="68" borderId="22" pivotButton="0" quotePrefix="0" xfId="0"/>
    <xf numFmtId="0" fontId="94" fillId="68" borderId="22" pivotButton="0" quotePrefix="0" xfId="0"/>
    <xf numFmtId="0" fontId="0" fillId="73" borderId="23" pivotButton="0" quotePrefix="0" xfId="0"/>
    <xf numFmtId="0" fontId="52" fillId="63" borderId="25" pivotButton="0" quotePrefix="0" xfId="0"/>
    <xf numFmtId="0" fontId="113" fillId="62" borderId="25" pivotButton="0" quotePrefix="0" xfId="0"/>
    <xf numFmtId="0" fontId="113" fillId="83" borderId="25" pivotButton="0" quotePrefix="0" xfId="0"/>
    <xf numFmtId="0" fontId="16" fillId="41" borderId="28" pivotButton="0" quotePrefix="0" xfId="0"/>
    <xf numFmtId="4" fontId="0" fillId="41" borderId="28" pivotButton="0" quotePrefix="0" xfId="0"/>
    <xf numFmtId="167" fontId="0" fillId="41" borderId="28" pivotButton="0" quotePrefix="0" xfId="0"/>
    <xf numFmtId="0" fontId="29" fillId="41" borderId="28" pivotButton="0" quotePrefix="0" xfId="0"/>
    <xf numFmtId="0" fontId="94" fillId="41" borderId="28" pivotButton="0" quotePrefix="0" xfId="0"/>
    <xf numFmtId="9" fontId="89" fillId="0" borderId="28" pivotButton="0" quotePrefix="0" xfId="0"/>
    <xf numFmtId="4" fontId="24" fillId="52" borderId="28" pivotButton="0" quotePrefix="0" xfId="0"/>
    <xf numFmtId="167" fontId="0" fillId="0" borderId="28" pivotButton="0" quotePrefix="0" xfId="0"/>
    <xf numFmtId="0" fontId="16" fillId="43" borderId="28" pivotButton="0" quotePrefix="0" xfId="0"/>
    <xf numFmtId="4" fontId="0" fillId="43" borderId="28" pivotButton="0" quotePrefix="0" xfId="0"/>
    <xf numFmtId="167" fontId="0" fillId="43" borderId="28" pivotButton="0" quotePrefix="0" xfId="0"/>
    <xf numFmtId="0" fontId="29" fillId="43" borderId="28" pivotButton="0" quotePrefix="0" xfId="0"/>
    <xf numFmtId="0" fontId="94" fillId="43" borderId="28" pivotButton="0" quotePrefix="0" xfId="0"/>
    <xf numFmtId="0" fontId="16" fillId="52" borderId="28" pivotButton="0" quotePrefix="0" xfId="0"/>
    <xf numFmtId="4" fontId="0" fillId="52" borderId="28" pivotButton="0" quotePrefix="0" xfId="0"/>
    <xf numFmtId="167" fontId="0" fillId="52" borderId="28" pivotButton="0" quotePrefix="0" xfId="0"/>
    <xf numFmtId="0" fontId="29" fillId="52" borderId="28" pivotButton="0" quotePrefix="0" xfId="0"/>
    <xf numFmtId="0" fontId="94" fillId="52" borderId="28" pivotButton="0" quotePrefix="0" xfId="0"/>
    <xf numFmtId="0" fontId="16" fillId="40" borderId="28" pivotButton="0" quotePrefix="0" xfId="0"/>
    <xf numFmtId="4" fontId="0" fillId="40" borderId="28" pivotButton="0" quotePrefix="0" xfId="0"/>
    <xf numFmtId="167" fontId="0" fillId="40" borderId="28" pivotButton="0" quotePrefix="0" xfId="0"/>
    <xf numFmtId="0" fontId="29" fillId="40" borderId="28" pivotButton="0" quotePrefix="0" xfId="0"/>
    <xf numFmtId="0" fontId="94" fillId="40" borderId="28" pivotButton="0" quotePrefix="0" xfId="0"/>
    <xf numFmtId="0" fontId="16" fillId="65" borderId="28" pivotButton="0" quotePrefix="0" xfId="0"/>
    <xf numFmtId="4" fontId="0" fillId="65" borderId="28" pivotButton="0" quotePrefix="0" xfId="0"/>
    <xf numFmtId="167" fontId="0" fillId="65" borderId="28" pivotButton="0" quotePrefix="0" xfId="0"/>
    <xf numFmtId="0" fontId="29" fillId="65" borderId="28" pivotButton="0" quotePrefix="0" xfId="0"/>
    <xf numFmtId="0" fontId="94" fillId="65" borderId="28" pivotButton="0" quotePrefix="0" xfId="0"/>
    <xf numFmtId="0" fontId="16" fillId="68" borderId="28" pivotButton="0" quotePrefix="0" xfId="0"/>
    <xf numFmtId="4" fontId="0" fillId="68" borderId="28" pivotButton="0" quotePrefix="0" xfId="0"/>
    <xf numFmtId="167" fontId="0" fillId="68" borderId="28" pivotButton="0" quotePrefix="0" xfId="0"/>
    <xf numFmtId="0" fontId="29" fillId="68" borderId="28" pivotButton="0" quotePrefix="0" xfId="0"/>
    <xf numFmtId="0" fontId="94" fillId="68" borderId="28" pivotButton="0" quotePrefix="0" xfId="0"/>
    <xf numFmtId="0" fontId="0" fillId="0" borderId="5" pivotButton="0" quotePrefix="0" xfId="0"/>
    <xf numFmtId="0" fontId="86" fillId="73" borderId="33" pivotButton="0" quotePrefix="0" xfId="0"/>
    <xf numFmtId="4" fontId="17" fillId="73" borderId="33" pivotButton="0" quotePrefix="0" xfId="0"/>
    <xf numFmtId="0" fontId="0" fillId="73" borderId="33" pivotButton="0" quotePrefix="0" xfId="0"/>
    <xf numFmtId="9" fontId="0" fillId="0" borderId="33" pivotButton="0" quotePrefix="0" xfId="0"/>
    <xf numFmtId="4" fontId="17" fillId="0" borderId="33" pivotButton="0" quotePrefix="0" xfId="0"/>
    <xf numFmtId="167" fontId="17" fillId="0" borderId="33" pivotButton="0" quotePrefix="0" xfId="0"/>
    <xf numFmtId="0" fontId="52" fillId="63" borderId="34" pivotButton="0" quotePrefix="0" xfId="0"/>
    <xf numFmtId="0" fontId="0" fillId="41" borderId="35" applyAlignment="1" pivotButton="0" quotePrefix="0" xfId="0">
      <alignment horizontal="center"/>
    </xf>
    <xf numFmtId="0" fontId="0" fillId="43" borderId="35" applyAlignment="1" pivotButton="0" quotePrefix="0" xfId="0">
      <alignment horizontal="center"/>
    </xf>
    <xf numFmtId="0" fontId="0" fillId="52" borderId="35" applyAlignment="1" pivotButton="0" quotePrefix="0" xfId="0">
      <alignment horizontal="center"/>
    </xf>
    <xf numFmtId="0" fontId="0" fillId="40" borderId="35" applyAlignment="1" pivotButton="0" quotePrefix="0" xfId="0">
      <alignment horizontal="center"/>
    </xf>
    <xf numFmtId="0" fontId="0" fillId="65" borderId="35" applyAlignment="1" pivotButton="0" quotePrefix="0" xfId="0">
      <alignment horizontal="center"/>
    </xf>
    <xf numFmtId="0" fontId="0" fillId="68" borderId="35" applyAlignment="1" pivotButton="0" quotePrefix="0" xfId="0">
      <alignment horizontal="center"/>
    </xf>
    <xf numFmtId="0" fontId="0" fillId="73" borderId="36" pivotButton="0" quotePrefix="0" xfId="0"/>
    <xf numFmtId="0" fontId="0" fillId="0" borderId="14" pivotButton="0" quotePrefix="0" xfId="0"/>
    <xf numFmtId="0" fontId="113" fillId="83" borderId="37" pivotButton="0" quotePrefix="0" xfId="0"/>
    <xf numFmtId="4" fontId="0" fillId="0" borderId="38" pivotButton="0" quotePrefix="0" xfId="0"/>
    <xf numFmtId="4" fontId="17" fillId="0" borderId="39" pivotButton="0" quotePrefix="0" xfId="0"/>
    <xf numFmtId="0" fontId="16" fillId="41" borderId="21" pivotButton="0" quotePrefix="0" xfId="0"/>
    <xf numFmtId="166" fontId="0" fillId="41" borderId="21" pivotButton="0" quotePrefix="0" xfId="0"/>
    <xf numFmtId="167" fontId="0" fillId="41" borderId="21" pivotButton="0" quotePrefix="0" xfId="0"/>
    <xf numFmtId="0" fontId="94" fillId="41" borderId="21" pivotButton="0" quotePrefix="0" xfId="0"/>
    <xf numFmtId="0" fontId="0" fillId="0" borderId="21" pivotButton="0" quotePrefix="0" xfId="0"/>
    <xf numFmtId="166" fontId="0" fillId="43" borderId="22" pivotButton="0" quotePrefix="0" xfId="0"/>
    <xf numFmtId="0" fontId="0" fillId="0" borderId="22" pivotButton="0" quotePrefix="0" xfId="0"/>
    <xf numFmtId="166" fontId="0" fillId="52" borderId="22" pivotButton="0" quotePrefix="0" xfId="0"/>
    <xf numFmtId="166" fontId="0" fillId="40" borderId="22" pivotButton="0" quotePrefix="0" xfId="0"/>
    <xf numFmtId="166" fontId="0" fillId="65" borderId="22" pivotButton="0" quotePrefix="0" xfId="0"/>
    <xf numFmtId="166" fontId="0" fillId="68" borderId="22" pivotButton="0" quotePrefix="0" xfId="0"/>
    <xf numFmtId="0" fontId="17" fillId="73" borderId="23" pivotButton="0" quotePrefix="0" xfId="0"/>
    <xf numFmtId="166" fontId="17" fillId="73" borderId="23" pivotButton="0" quotePrefix="0" xfId="0"/>
    <xf numFmtId="9" fontId="17" fillId="73" borderId="23"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17" fillId="80" borderId="27" pivotButton="0" quotePrefix="0" xfId="0"/>
    <xf numFmtId="0" fontId="0" fillId="80" borderId="28" pivotButton="0" quotePrefix="0" xfId="0"/>
    <xf numFmtId="4" fontId="0" fillId="80" borderId="28" pivotButton="0" quotePrefix="0" xfId="0"/>
    <xf numFmtId="166" fontId="0" fillId="80" borderId="28" pivotButton="0" quotePrefix="0" xfId="0"/>
    <xf numFmtId="0" fontId="0" fillId="80" borderId="29" pivotButton="0" quotePrefix="0" xfId="0"/>
    <xf numFmtId="0" fontId="52" fillId="82" borderId="27" pivotButton="0" quotePrefix="0" xfId="0"/>
    <xf numFmtId="0" fontId="52" fillId="82" borderId="28" pivotButton="0" quotePrefix="0" xfId="0"/>
    <xf numFmtId="4" fontId="52" fillId="82" borderId="28" pivotButton="0" quotePrefix="0" xfId="0"/>
    <xf numFmtId="166" fontId="52" fillId="82" borderId="28" pivotButton="0" quotePrefix="0" xfId="0"/>
    <xf numFmtId="0" fontId="52" fillId="82" borderId="29" pivotButton="0" quotePrefix="0" xfId="0"/>
    <xf numFmtId="0" fontId="0" fillId="44" borderId="27" pivotButton="0" quotePrefix="0" xfId="0"/>
    <xf numFmtId="0" fontId="27" fillId="44" borderId="28" pivotButton="0" quotePrefix="0" xfId="0"/>
    <xf numFmtId="4" fontId="0" fillId="44" borderId="28" pivotButton="0" quotePrefix="0" xfId="0"/>
    <xf numFmtId="166" fontId="0" fillId="44" borderId="28" pivotButton="0" quotePrefix="0" xfId="0"/>
    <xf numFmtId="167" fontId="0" fillId="44" borderId="29" pivotButton="0" quotePrefix="0" xfId="0"/>
    <xf numFmtId="0" fontId="0" fillId="39" borderId="27" pivotButton="0" quotePrefix="0" xfId="0"/>
    <xf numFmtId="0" fontId="27" fillId="39" borderId="28" pivotButton="0" quotePrefix="0" xfId="0"/>
    <xf numFmtId="4" fontId="0" fillId="39" borderId="28" pivotButton="0" quotePrefix="0" xfId="0"/>
    <xf numFmtId="166" fontId="0" fillId="39" borderId="28" pivotButton="0" quotePrefix="0" xfId="0"/>
    <xf numFmtId="167" fontId="0" fillId="39" borderId="29" pivotButton="0" quotePrefix="0" xfId="0"/>
    <xf numFmtId="4" fontId="17" fillId="80" borderId="28" pivotButton="0" quotePrefix="0" xfId="0"/>
    <xf numFmtId="166" fontId="17" fillId="80" borderId="28" pivotButton="0" quotePrefix="0" xfId="0"/>
    <xf numFmtId="0" fontId="0" fillId="0" borderId="27" pivotButton="0" quotePrefix="0" xfId="0"/>
    <xf numFmtId="0" fontId="0" fillId="0" borderId="28" pivotButton="0" quotePrefix="0" xfId="0"/>
    <xf numFmtId="0" fontId="0" fillId="0" borderId="29" pivotButton="0" quotePrefix="0" xfId="0"/>
    <xf numFmtId="0" fontId="17" fillId="70" borderId="27" pivotButton="0" quotePrefix="0" xfId="0"/>
    <xf numFmtId="0" fontId="0" fillId="70" borderId="28" pivotButton="0" quotePrefix="0" xfId="0"/>
    <xf numFmtId="4" fontId="0" fillId="70" borderId="28" pivotButton="0" quotePrefix="0" xfId="0"/>
    <xf numFmtId="166" fontId="0" fillId="70" borderId="28" pivotButton="0" quotePrefix="0" xfId="0"/>
    <xf numFmtId="0" fontId="0" fillId="70" borderId="29" pivotButton="0" quotePrefix="0" xfId="0"/>
    <xf numFmtId="0" fontId="52" fillId="84" borderId="27" pivotButton="0" quotePrefix="0" xfId="0"/>
    <xf numFmtId="0" fontId="52" fillId="84" borderId="28" pivotButton="0" quotePrefix="0" xfId="0"/>
    <xf numFmtId="4" fontId="52" fillId="84" borderId="28" pivotButton="0" quotePrefix="0" xfId="0"/>
    <xf numFmtId="166" fontId="52" fillId="84" borderId="28" pivotButton="0" quotePrefix="0" xfId="0"/>
    <xf numFmtId="0" fontId="52" fillId="84" borderId="29" pivotButton="0" quotePrefix="0" xfId="0"/>
    <xf numFmtId="0" fontId="0" fillId="42" borderId="27" pivotButton="0" quotePrefix="0" xfId="0"/>
    <xf numFmtId="0" fontId="27" fillId="42" borderId="28" pivotButton="0" quotePrefix="0" xfId="0"/>
    <xf numFmtId="4" fontId="0" fillId="42" borderId="28" pivotButton="0" quotePrefix="0" xfId="0"/>
    <xf numFmtId="166" fontId="0" fillId="42" borderId="28" pivotButton="0" quotePrefix="0" xfId="0"/>
    <xf numFmtId="167" fontId="0" fillId="42" borderId="29" pivotButton="0" quotePrefix="0" xfId="0"/>
    <xf numFmtId="4" fontId="17" fillId="70" borderId="28" pivotButton="0" quotePrefix="0" xfId="0"/>
    <xf numFmtId="166" fontId="17" fillId="70" borderId="28" pivotButton="0" quotePrefix="0" xfId="0"/>
    <xf numFmtId="0" fontId="16" fillId="58" borderId="27" pivotButton="0" quotePrefix="0" xfId="0"/>
    <xf numFmtId="0" fontId="0" fillId="58" borderId="28" pivotButton="0" quotePrefix="0" xfId="0"/>
    <xf numFmtId="4" fontId="0" fillId="58" borderId="28" pivotButton="0" quotePrefix="0" xfId="0"/>
    <xf numFmtId="166" fontId="16" fillId="58" borderId="28" pivotButton="0" quotePrefix="0" xfId="0"/>
    <xf numFmtId="0" fontId="0" fillId="58" borderId="29" pivotButton="0" quotePrefix="0" xfId="0"/>
    <xf numFmtId="0" fontId="17" fillId="69" borderId="27" pivotButton="0" quotePrefix="0" xfId="0"/>
    <xf numFmtId="0" fontId="0" fillId="69" borderId="28" pivotButton="0" quotePrefix="0" xfId="0"/>
    <xf numFmtId="0" fontId="0" fillId="69" borderId="29" pivotButton="0" quotePrefix="0" xfId="0"/>
    <xf numFmtId="0" fontId="52" fillId="85" borderId="27" pivotButton="0" quotePrefix="0" xfId="0"/>
    <xf numFmtId="0" fontId="52" fillId="85" borderId="28" pivotButton="0" quotePrefix="0" xfId="0"/>
    <xf numFmtId="0" fontId="52" fillId="85" borderId="29" pivotButton="0" quotePrefix="0" xfId="0"/>
    <xf numFmtId="0" fontId="16" fillId="41" borderId="27" pivotButton="0" quotePrefix="0" xfId="0"/>
    <xf numFmtId="0" fontId="0" fillId="41" borderId="28" pivotButton="0" quotePrefix="0" xfId="0"/>
    <xf numFmtId="167" fontId="27" fillId="41" borderId="28" pivotButton="0" quotePrefix="0" xfId="0"/>
    <xf numFmtId="0" fontId="111" fillId="41" borderId="29" pivotButton="0" quotePrefix="0" xfId="0"/>
    <xf numFmtId="0" fontId="16" fillId="39" borderId="27" pivotButton="0" quotePrefix="0" xfId="0"/>
    <xf numFmtId="0" fontId="0" fillId="39" borderId="28" pivotButton="0" quotePrefix="0" xfId="0"/>
    <xf numFmtId="167" fontId="27" fillId="39" borderId="28" pivotButton="0" quotePrefix="0" xfId="0"/>
    <xf numFmtId="0" fontId="111" fillId="39" borderId="29" pivotButton="0" quotePrefix="0" xfId="0"/>
    <xf numFmtId="0" fontId="16" fillId="48" borderId="27" pivotButton="0" quotePrefix="0" xfId="0"/>
    <xf numFmtId="0" fontId="117" fillId="48" borderId="28" pivotButton="0" quotePrefix="0" xfId="0"/>
    <xf numFmtId="4" fontId="0" fillId="48" borderId="28" pivotButton="0" quotePrefix="0" xfId="0"/>
    <xf numFmtId="167" fontId="27" fillId="48" borderId="28" pivotButton="0" quotePrefix="0" xfId="0"/>
    <xf numFmtId="0" fontId="117" fillId="48" borderId="29" pivotButton="0" quotePrefix="0" xfId="0"/>
    <xf numFmtId="0" fontId="117" fillId="41" borderId="28" pivotButton="0" quotePrefix="0" xfId="0"/>
    <xf numFmtId="4" fontId="17" fillId="69" borderId="28" pivotButton="0" quotePrefix="0" xfId="0"/>
    <xf numFmtId="167" fontId="0" fillId="69" borderId="28" pivotButton="0" quotePrefix="0" xfId="0"/>
    <xf numFmtId="0" fontId="16" fillId="86" borderId="27" pivotButton="0" quotePrefix="0" xfId="0"/>
    <xf numFmtId="0" fontId="0" fillId="86" borderId="28" pivotButton="0" quotePrefix="0" xfId="0"/>
    <xf numFmtId="4" fontId="16" fillId="86" borderId="28" pivotButton="0" quotePrefix="0" xfId="0"/>
    <xf numFmtId="166" fontId="16" fillId="86" borderId="28" pivotButton="0" quotePrefix="0" xfId="0"/>
    <xf numFmtId="0" fontId="0" fillId="86" borderId="29" pivotButton="0" quotePrefix="0" xfId="0"/>
    <xf numFmtId="0" fontId="86" fillId="54" borderId="27" pivotButton="0" quotePrefix="0" xfId="0"/>
    <xf numFmtId="0" fontId="82" fillId="54" borderId="28" pivotButton="0" quotePrefix="0" xfId="0"/>
    <xf numFmtId="4" fontId="86" fillId="54" borderId="28" pivotButton="0" quotePrefix="0" xfId="0"/>
    <xf numFmtId="166" fontId="17" fillId="54" borderId="28" pivotButton="0" quotePrefix="0" xfId="0"/>
    <xf numFmtId="0" fontId="82" fillId="54" borderId="29" pivotButton="0" quotePrefix="0" xfId="0"/>
    <xf numFmtId="4" fontId="0" fillId="0" borderId="28" pivotButton="0" quotePrefix="0" xfId="0"/>
    <xf numFmtId="166" fontId="0" fillId="0" borderId="28" pivotButton="0" quotePrefix="0" xfId="0"/>
    <xf numFmtId="0" fontId="0" fillId="67" borderId="27" pivotButton="0" quotePrefix="0" xfId="0"/>
    <xf numFmtId="167" fontId="16" fillId="67" borderId="28" pivotButton="0" quotePrefix="0" xfId="0"/>
    <xf numFmtId="4" fontId="0" fillId="67" borderId="28" pivotButton="0" quotePrefix="0" xfId="0"/>
    <xf numFmtId="166" fontId="0" fillId="67" borderId="28" pivotButton="0" quotePrefix="0" xfId="0"/>
    <xf numFmtId="0" fontId="0" fillId="67" borderId="29" pivotButton="0" quotePrefix="0" xfId="0"/>
    <xf numFmtId="0" fontId="97" fillId="52" borderId="27" pivotButton="0" quotePrefix="0" xfId="0"/>
    <xf numFmtId="0" fontId="0" fillId="52" borderId="28" pivotButton="0" quotePrefix="0" xfId="0"/>
    <xf numFmtId="0" fontId="0" fillId="52" borderId="29" pivotButton="0" quotePrefix="0" xfId="0"/>
    <xf numFmtId="0" fontId="20" fillId="52" borderId="30" pivotButton="0" quotePrefix="0" xfId="0"/>
    <xf numFmtId="0" fontId="0" fillId="52" borderId="31" pivotButton="0" quotePrefix="0" xfId="0"/>
    <xf numFmtId="0" fontId="0" fillId="52" borderId="32" pivotButton="0" quotePrefix="0" xfId="0"/>
    <xf numFmtId="0" fontId="7" fillId="87" borderId="9" pivotButton="0" quotePrefix="0" xfId="0"/>
    <xf numFmtId="0" fontId="7" fillId="87" borderId="10" pivotButton="0" quotePrefix="0" xfId="0"/>
    <xf numFmtId="0" fontId="7" fillId="87" borderId="11" pivotButton="0" quotePrefix="0" xfId="0"/>
    <xf numFmtId="0" fontId="7" fillId="87" borderId="2" pivotButton="0" quotePrefix="0" xfId="0"/>
    <xf numFmtId="4" fontId="0" fillId="87" borderId="2" pivotButton="0" quotePrefix="0" xfId="0"/>
    <xf numFmtId="4" fontId="0" fillId="87" borderId="0" pivotButton="0" quotePrefix="0" xfId="0"/>
    <xf numFmtId="0" fontId="0" fillId="0" borderId="8"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3" pivotButton="0" quotePrefix="0" xfId="0"/>
    <xf numFmtId="0" fontId="0" fillId="0" borderId="43" pivotButton="0" quotePrefix="0" xfId="0"/>
    <xf numFmtId="0" fontId="0" fillId="0" borderId="20" pivotButton="0" quotePrefix="0" xfId="0"/>
    <xf numFmtId="0" fontId="0" fillId="0" borderId="44" pivotButton="0" quotePrefix="0" xfId="0"/>
    <xf numFmtId="0" fontId="0" fillId="87" borderId="8" pivotButton="0" quotePrefix="0" xfId="0"/>
    <xf numFmtId="0" fontId="0" fillId="87" borderId="40" pivotButton="0" quotePrefix="0" xfId="0"/>
    <xf numFmtId="3" fontId="0" fillId="87" borderId="41" pivotButton="0" quotePrefix="0" xfId="0"/>
    <xf numFmtId="0" fontId="0" fillId="87" borderId="45" pivotButton="0" quotePrefix="0" xfId="0"/>
    <xf numFmtId="0" fontId="0" fillId="87" borderId="0" pivotButton="0" quotePrefix="0" xfId="0"/>
    <xf numFmtId="0" fontId="0" fillId="87" borderId="46" pivotButton="0" quotePrefix="0" xfId="0"/>
    <xf numFmtId="0" fontId="0" fillId="87" borderId="42" pivotButton="0" quotePrefix="0" xfId="0"/>
    <xf numFmtId="0" fontId="0" fillId="87" borderId="3" pivotButton="0" quotePrefix="0" xfId="0"/>
    <xf numFmtId="4" fontId="0" fillId="87" borderId="43" pivotButton="0" quotePrefix="0" xfId="0"/>
    <xf numFmtId="0" fontId="0" fillId="87" borderId="1" pivotButton="0" quotePrefix="0" xfId="0"/>
    <xf numFmtId="168" fontId="0" fillId="87" borderId="18" pivotButton="0" quotePrefix="0" xfId="0"/>
    <xf numFmtId="0" fontId="13" fillId="87" borderId="0" applyProtection="1" pivotButton="0" quotePrefix="0" xfId="0">
      <protection locked="0" hidden="0"/>
    </xf>
    <xf numFmtId="4" fontId="5" fillId="0" borderId="18" applyAlignment="1" pivotButton="0" quotePrefix="0" xfId="0">
      <alignment vertical="center"/>
    </xf>
    <xf numFmtId="170" fontId="5" fillId="0" borderId="18" applyAlignment="1" pivotButton="0" quotePrefix="0" xfId="0">
      <alignment vertical="center"/>
    </xf>
    <xf numFmtId="0" fontId="12" fillId="87" borderId="9" applyProtection="1" pivotButton="0" quotePrefix="0" xfId="0">
      <protection locked="0" hidden="0"/>
    </xf>
    <xf numFmtId="0" fontId="12" fillId="87" borderId="10" applyProtection="1" pivotButton="0" quotePrefix="0" xfId="0">
      <protection locked="0" hidden="0"/>
    </xf>
    <xf numFmtId="0" fontId="12" fillId="87" borderId="11" applyProtection="1" pivotButton="0" quotePrefix="0" xfId="0">
      <protection locked="0" hidden="0"/>
    </xf>
    <xf numFmtId="0" fontId="12" fillId="87" borderId="9" pivotButton="0" quotePrefix="0" xfId="0"/>
    <xf numFmtId="0" fontId="12" fillId="87" borderId="11" pivotButton="0" quotePrefix="0" xfId="0"/>
    <xf numFmtId="0" fontId="3" fillId="5" borderId="19" applyAlignment="1" applyProtection="1" pivotButton="0" quotePrefix="0" xfId="0">
      <alignment horizontal="center" vertical="center"/>
      <protection locked="0" hidden="0"/>
    </xf>
    <xf numFmtId="0" fontId="0" fillId="87" borderId="19" applyAlignment="1" pivotButton="0" quotePrefix="0" xfId="0">
      <alignment horizontal="center"/>
    </xf>
    <xf numFmtId="0" fontId="0" fillId="87" borderId="13" applyProtection="1" pivotButton="0" quotePrefix="0" xfId="0">
      <protection locked="0" hidden="0"/>
    </xf>
    <xf numFmtId="0" fontId="0" fillId="87" borderId="14" pivotButton="0" quotePrefix="0" xfId="0"/>
    <xf numFmtId="0" fontId="0" fillId="87" borderId="12" applyProtection="1" pivotButton="0" quotePrefix="0" xfId="0">
      <protection locked="0" hidden="0"/>
    </xf>
    <xf numFmtId="0" fontId="0" fillId="87" borderId="15" pivotButton="0" quotePrefix="0" xfId="0"/>
    <xf numFmtId="0" fontId="0" fillId="87" borderId="16" applyProtection="1" pivotButton="0" quotePrefix="0" xfId="0">
      <protection locked="0" hidden="0"/>
    </xf>
    <xf numFmtId="0" fontId="0" fillId="87" borderId="17" pivotButton="0" quotePrefix="0" xfId="0"/>
    <xf numFmtId="0" fontId="3" fillId="5" borderId="47" applyAlignment="1" applyProtection="1" pivotButton="0" quotePrefix="0" xfId="0">
      <alignment vertical="center"/>
      <protection locked="0" hidden="0"/>
    </xf>
    <xf numFmtId="0" fontId="3" fillId="5" borderId="48" applyAlignment="1" applyProtection="1" pivotButton="0" quotePrefix="0" xfId="0">
      <alignment vertical="center"/>
      <protection locked="0" hidden="0"/>
    </xf>
    <xf numFmtId="3" fontId="3" fillId="5" borderId="48" applyAlignment="1" applyProtection="1" pivotButton="0" quotePrefix="0" xfId="0">
      <alignment vertical="center"/>
      <protection locked="0" hidden="0"/>
    </xf>
    <xf numFmtId="164" fontId="3" fillId="5" borderId="48" applyAlignment="1" applyProtection="1" pivotButton="0" quotePrefix="0" xfId="0">
      <alignment vertical="center"/>
      <protection locked="0" hidden="0"/>
    </xf>
    <xf numFmtId="164" fontId="3" fillId="5" borderId="49" applyAlignment="1" applyProtection="1" pivotButton="0" quotePrefix="0" xfId="0">
      <alignment vertical="center"/>
      <protection locked="0" hidden="0"/>
    </xf>
    <xf numFmtId="0" fontId="7" fillId="0" borderId="50" pivotButton="0" quotePrefix="0" xfId="0"/>
    <xf numFmtId="0" fontId="3" fillId="5" borderId="51" applyAlignment="1" applyProtection="1" pivotButton="0" quotePrefix="0" xfId="0">
      <alignment vertical="center"/>
      <protection locked="0" hidden="0"/>
    </xf>
    <xf numFmtId="167" fontId="3" fillId="5" borderId="52" applyAlignment="1" applyProtection="1" pivotButton="0" quotePrefix="0" xfId="0">
      <alignment vertical="center"/>
      <protection locked="0" hidden="0"/>
    </xf>
    <xf numFmtId="0" fontId="1" fillId="2" borderId="1" applyAlignment="1" pivotButton="0" quotePrefix="0" xfId="0">
      <alignment horizontal="left" vertical="center"/>
    </xf>
    <xf numFmtId="0" fontId="2" fillId="3" borderId="8" applyAlignment="1" pivotButton="0" quotePrefix="0" xfId="0">
      <alignment horizontal="left" vertical="center"/>
    </xf>
    <xf numFmtId="0" fontId="2" fillId="3" borderId="1" applyAlignment="1" pivotButton="0" quotePrefix="0" xfId="0">
      <alignment horizontal="left" vertical="center"/>
    </xf>
    <xf numFmtId="0" fontId="2" fillId="20" borderId="0" pivotButton="0" quotePrefix="0" xfId="0"/>
    <xf numFmtId="0" fontId="7" fillId="0" borderId="0" pivotButton="0" quotePrefix="0" xfId="0"/>
    <xf numFmtId="0" fontId="17" fillId="20" borderId="0" pivotButton="0" quotePrefix="0" xfId="0"/>
    <xf numFmtId="0" fontId="0" fillId="0" borderId="0" pivotButton="0" quotePrefix="0" xfId="0"/>
    <xf numFmtId="0" fontId="3" fillId="0" borderId="13" applyAlignment="1" pivotButton="0" quotePrefix="0" xfId="0">
      <alignment horizontal="center"/>
    </xf>
    <xf numFmtId="0" fontId="3" fillId="0" borderId="14" applyAlignment="1" pivotButton="0" quotePrefix="0" xfId="0">
      <alignment horizontal="center"/>
    </xf>
    <xf numFmtId="0" fontId="3" fillId="0" borderId="12" applyAlignment="1" pivotButton="0" quotePrefix="0" xfId="0">
      <alignment horizontal="center"/>
    </xf>
    <xf numFmtId="0" fontId="3" fillId="0" borderId="15" applyAlignment="1" pivotButton="0" quotePrefix="0" xfId="0">
      <alignment horizontal="center"/>
    </xf>
    <xf numFmtId="0" fontId="3" fillId="0" borderId="16" applyAlignment="1" pivotButton="0" quotePrefix="0" xfId="0">
      <alignment horizontal="center"/>
    </xf>
    <xf numFmtId="0" fontId="3" fillId="0" borderId="17" applyAlignment="1" pivotButton="0" quotePrefix="0" xfId="0">
      <alignment horizontal="center"/>
    </xf>
    <xf numFmtId="0" fontId="47" fillId="40" borderId="0" applyAlignment="1" applyProtection="1" pivotButton="0" quotePrefix="0" xfId="0">
      <alignment horizontal="left" vertical="center"/>
      <protection locked="0" hidden="0"/>
    </xf>
    <xf numFmtId="0" fontId="0" fillId="37" borderId="0" applyProtection="1" pivotButton="0" quotePrefix="0" xfId="0">
      <protection locked="0" hidden="0"/>
    </xf>
    <xf numFmtId="0" fontId="79" fillId="37" borderId="0" applyAlignment="1" applyProtection="1" pivotButton="0" quotePrefix="0" xfId="0">
      <alignment horizontal="center" vertical="center"/>
      <protection locked="0" hidden="0"/>
    </xf>
    <xf numFmtId="0" fontId="41" fillId="37" borderId="0" applyAlignment="1" applyProtection="1" pivotButton="0" quotePrefix="0" xfId="0">
      <alignment horizontal="center"/>
      <protection locked="0" hidden="0"/>
    </xf>
    <xf numFmtId="0" fontId="42" fillId="20" borderId="0" applyAlignment="1" applyProtection="1" pivotButton="0" quotePrefix="0" xfId="0">
      <alignment horizontal="center" vertical="center"/>
      <protection locked="0" hidden="0"/>
    </xf>
    <xf numFmtId="0" fontId="43" fillId="28" borderId="0" applyAlignment="1" applyProtection="1" pivotButton="0" quotePrefix="0" xfId="0">
      <alignment horizontal="center" vertical="center"/>
      <protection locked="0" hidden="0"/>
    </xf>
    <xf numFmtId="0" fontId="17" fillId="28" borderId="0" applyAlignment="1" applyProtection="1" pivotButton="0" quotePrefix="0" xfId="0">
      <alignment horizontal="center" vertical="center"/>
      <protection locked="0" hidden="0"/>
    </xf>
    <xf numFmtId="0" fontId="47" fillId="41" borderId="0" applyAlignment="1" applyProtection="1" pivotButton="0" quotePrefix="0" xfId="0">
      <alignment horizontal="left" vertical="center"/>
      <protection locked="0" hidden="0"/>
    </xf>
    <xf numFmtId="0" fontId="47" fillId="42" borderId="0" applyAlignment="1" applyProtection="1" pivotButton="0" quotePrefix="0" xfId="0">
      <alignment horizontal="left" vertical="center"/>
      <protection locked="0" hidden="0"/>
    </xf>
    <xf numFmtId="0" fontId="18" fillId="28" borderId="0" applyAlignment="1" applyProtection="1" pivotButton="0" quotePrefix="0" xfId="1">
      <alignment horizontal="center" vertical="center"/>
      <protection locked="0" hidden="0"/>
    </xf>
    <xf numFmtId="0" fontId="36" fillId="20" borderId="0" applyAlignment="1" applyProtection="1" pivotButton="0" quotePrefix="0" xfId="0">
      <alignment horizontal="center" vertical="center"/>
      <protection locked="0" hidden="0"/>
    </xf>
    <xf numFmtId="0" fontId="0" fillId="20" borderId="0" applyProtection="1" pivotButton="0" quotePrefix="0" xfId="0">
      <protection locked="0" hidden="0"/>
    </xf>
    <xf numFmtId="0" fontId="48" fillId="20" borderId="0" applyAlignment="1" pivotButton="0" quotePrefix="0" xfId="0">
      <alignment horizontal="center" vertical="center"/>
    </xf>
    <xf numFmtId="0" fontId="52" fillId="28" borderId="0" applyAlignment="1" applyProtection="1" pivotButton="0" quotePrefix="0" xfId="0">
      <alignment horizontal="left" vertical="center"/>
      <protection locked="0" hidden="0"/>
    </xf>
    <xf numFmtId="0" fontId="0" fillId="0" borderId="0" applyProtection="1" pivotButton="0" quotePrefix="0" xfId="0">
      <protection locked="0" hidden="0"/>
    </xf>
    <xf numFmtId="0" fontId="57" fillId="37" borderId="0" applyAlignment="1" pivotButton="0" quotePrefix="0" xfId="0">
      <alignment horizontal="center"/>
    </xf>
    <xf numFmtId="0" fontId="50" fillId="37" borderId="0" applyAlignment="1" applyProtection="1" pivotButton="0" quotePrefix="0" xfId="0">
      <alignment horizontal="center"/>
      <protection locked="0" hidden="0"/>
    </xf>
    <xf numFmtId="0" fontId="51" fillId="37" borderId="0" applyAlignment="1" applyProtection="1" pivotButton="0" quotePrefix="0" xfId="0">
      <alignment horizontal="center"/>
      <protection locked="0" hidden="0"/>
    </xf>
    <xf numFmtId="0" fontId="52" fillId="28" borderId="5" applyAlignment="1" applyProtection="1" pivotButton="0" quotePrefix="0" xfId="0">
      <alignment horizontal="left" vertical="center"/>
      <protection locked="0" hidden="0"/>
    </xf>
    <xf numFmtId="0" fontId="0" fillId="0" borderId="5" applyProtection="1" pivotButton="0" quotePrefix="0" xfId="0">
      <protection locked="0" hidden="0"/>
    </xf>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left" vertical="center" wrapText="1"/>
    </xf>
    <xf numFmtId="0" fontId="0" fillId="0" borderId="0" applyAlignment="1" pivotButton="0" quotePrefix="0" xfId="0">
      <alignment wrapText="1"/>
    </xf>
    <xf numFmtId="0" fontId="34" fillId="20" borderId="0" pivotButton="0" quotePrefix="0" xfId="0"/>
    <xf numFmtId="0" fontId="36" fillId="28" borderId="0" pivotButton="0" quotePrefix="0" xfId="0"/>
    <xf numFmtId="0" fontId="29" fillId="51" borderId="0" applyAlignment="1" pivotButton="0" quotePrefix="0" xfId="0">
      <alignment vertical="top" wrapText="1"/>
    </xf>
    <xf numFmtId="0" fontId="17" fillId="30" borderId="0" pivotButton="0" quotePrefix="0" xfId="0"/>
    <xf numFmtId="0" fontId="21" fillId="0" borderId="0" pivotButton="0" quotePrefix="0" xfId="0"/>
    <xf numFmtId="0" fontId="17" fillId="28" borderId="0" pivotButton="0" quotePrefix="0" xfId="0"/>
    <xf numFmtId="0" fontId="39" fillId="21" borderId="0" pivotButton="0" quotePrefix="0" xfId="0"/>
    <xf numFmtId="0" fontId="57" fillId="0" borderId="0" pivotButton="0" quotePrefix="0" xfId="0"/>
    <xf numFmtId="0" fontId="0" fillId="0" borderId="7" pivotButton="0" quotePrefix="0" xfId="0"/>
    <xf numFmtId="0" fontId="17" fillId="29" borderId="0" pivotButton="0" quotePrefix="0" xfId="0"/>
    <xf numFmtId="0" fontId="17" fillId="32" borderId="0" pivotButton="0" quotePrefix="0" xfId="0"/>
    <xf numFmtId="0" fontId="69" fillId="0" borderId="0" pivotButton="0" quotePrefix="0" xfId="0"/>
    <xf numFmtId="0" fontId="17" fillId="36" borderId="0" pivotButton="0" quotePrefix="0" xfId="0"/>
    <xf numFmtId="0" fontId="75" fillId="20" borderId="1" applyAlignment="1" pivotButton="0" quotePrefix="0" xfId="0">
      <alignment horizontal="left" vertical="center"/>
    </xf>
    <xf numFmtId="0" fontId="9" fillId="0" borderId="0" pivotButton="0" quotePrefix="0" xfId="0"/>
    <xf numFmtId="0" fontId="2" fillId="7" borderId="1" applyAlignment="1" pivotButton="0" quotePrefix="0" xfId="0">
      <alignment horizontal="left" vertical="center"/>
    </xf>
    <xf numFmtId="0" fontId="10" fillId="2" borderId="2" pivotButton="0" quotePrefix="0" xfId="0"/>
    <xf numFmtId="0" fontId="120" fillId="87" borderId="0" pivotButton="0" quotePrefix="0" xfId="0"/>
    <xf numFmtId="0" fontId="10" fillId="3" borderId="2" pivotButton="0" quotePrefix="0" xfId="0"/>
    <xf numFmtId="0" fontId="9" fillId="87" borderId="0" pivotButton="0" quotePrefix="0" xfId="0"/>
    <xf numFmtId="0" fontId="4" fillId="0" borderId="0" pivotButton="0" quotePrefix="0" xfId="0"/>
    <xf numFmtId="0" fontId="2" fillId="3" borderId="1" applyAlignment="1" applyProtection="1" pivotButton="0" quotePrefix="0" xfId="0">
      <alignment horizontal="left" vertical="center"/>
      <protection locked="0" hidden="0"/>
    </xf>
    <xf numFmtId="0" fontId="75" fillId="20" borderId="1" applyAlignment="1" applyProtection="1" pivotButton="0" quotePrefix="0" xfId="0">
      <alignment horizontal="left" vertical="center"/>
      <protection locked="0" hidden="0"/>
    </xf>
    <xf numFmtId="0" fontId="9" fillId="87" borderId="0" applyProtection="1" pivotButton="0" quotePrefix="0" xfId="0">
      <protection locked="0" hidden="0"/>
    </xf>
    <xf numFmtId="0" fontId="2" fillId="12" borderId="1" applyAlignment="1" applyProtection="1" pivotButton="0" quotePrefix="0" xfId="0">
      <alignment horizontal="left" vertical="center"/>
      <protection locked="0" hidden="0"/>
    </xf>
    <xf numFmtId="0" fontId="2" fillId="7" borderId="1" applyAlignment="1" applyProtection="1" pivotButton="0" quotePrefix="0" xfId="0">
      <alignment horizontal="left" vertical="center"/>
      <protection locked="0" hidden="0"/>
    </xf>
    <xf numFmtId="0" fontId="9" fillId="0" borderId="0" applyProtection="1" pivotButton="0" quotePrefix="0" xfId="0">
      <protection locked="0" hidden="0"/>
    </xf>
    <xf numFmtId="0" fontId="2" fillId="4" borderId="1" applyAlignment="1" applyProtection="1" pivotButton="0" quotePrefix="0" xfId="0">
      <alignment horizontal="left" vertical="center"/>
      <protection locked="0" hidden="0"/>
    </xf>
    <xf numFmtId="0" fontId="2" fillId="2" borderId="1" applyAlignment="1" pivotButton="0" quotePrefix="0" xfId="0">
      <alignment horizontal="left" vertical="center"/>
    </xf>
    <xf numFmtId="0" fontId="2" fillId="2" borderId="8" applyAlignment="1" applyProtection="1" pivotButton="0" quotePrefix="0" xfId="0">
      <alignment horizontal="left" vertical="center"/>
      <protection locked="0" hidden="0"/>
    </xf>
    <xf numFmtId="0" fontId="2" fillId="2" borderId="1" applyAlignment="1" applyProtection="1" pivotButton="0" quotePrefix="0" xfId="0">
      <alignment horizontal="left" vertical="center"/>
      <protection locked="0" hidden="0"/>
    </xf>
    <xf numFmtId="0" fontId="19" fillId="20" borderId="0" applyProtection="1" pivotButton="0" quotePrefix="0" xfId="0">
      <protection locked="0" hidden="0"/>
    </xf>
    <xf numFmtId="0" fontId="21" fillId="0" borderId="0" applyProtection="1" pivotButton="0" quotePrefix="0" xfId="0">
      <protection locked="0" hidden="0"/>
    </xf>
    <xf numFmtId="0" fontId="17" fillId="19" borderId="0" applyProtection="1" pivotButton="0" quotePrefix="0" xfId="0">
      <protection locked="0" hidden="0"/>
    </xf>
    <xf numFmtId="0" fontId="17" fillId="32" borderId="0" applyProtection="1" pivotButton="0" quotePrefix="0" xfId="0">
      <protection locked="0" hidden="0"/>
    </xf>
    <xf numFmtId="0" fontId="17" fillId="28" borderId="0" applyProtection="1" pivotButton="0" quotePrefix="0" xfId="0">
      <protection locked="0" hidden="0"/>
    </xf>
    <xf numFmtId="0" fontId="17" fillId="29" borderId="0" applyProtection="1" pivotButton="0" quotePrefix="0" xfId="0">
      <protection locked="0" hidden="0"/>
    </xf>
    <xf numFmtId="0" fontId="17" fillId="30" borderId="0" applyProtection="1" pivotButton="0" quotePrefix="0" xfId="0">
      <protection locked="0" hidden="0"/>
    </xf>
    <xf numFmtId="0" fontId="34" fillId="20" borderId="0" applyProtection="1" pivotButton="0" quotePrefix="0" xfId="0">
      <protection locked="0" hidden="0"/>
    </xf>
    <xf numFmtId="0" fontId="17" fillId="36" borderId="0" applyProtection="1" pivotButton="0" quotePrefix="0" xfId="0">
      <protection locked="0" hidden="0"/>
    </xf>
    <xf numFmtId="0" fontId="40" fillId="0" borderId="0" applyProtection="1" pivotButton="0" quotePrefix="0" xfId="0">
      <protection locked="0" hidden="0"/>
    </xf>
    <xf numFmtId="0" fontId="19" fillId="30" borderId="0" applyProtection="1" pivotButton="0" quotePrefix="0" xfId="0">
      <protection locked="0" hidden="0"/>
    </xf>
    <xf numFmtId="0" fontId="59" fillId="0" borderId="0" applyProtection="1" pivotButton="0" quotePrefix="0" xfId="0">
      <protection locked="0" hidden="0"/>
    </xf>
    <xf numFmtId="0" fontId="2" fillId="2" borderId="2" applyAlignment="1" pivotButton="0" quotePrefix="0" xfId="0">
      <alignment horizontal="center" vertical="center"/>
    </xf>
    <xf numFmtId="0" fontId="2" fillId="12" borderId="2" applyAlignment="1" pivotButton="0" quotePrefix="0" xfId="0">
      <alignment horizontal="center" vertical="center"/>
    </xf>
    <xf numFmtId="0" fontId="2" fillId="7" borderId="2" applyAlignment="1" pivotButton="0" quotePrefix="0" xfId="0">
      <alignment horizontal="center" vertical="center"/>
    </xf>
    <xf numFmtId="0" fontId="2" fillId="3" borderId="2" applyAlignment="1" pivotButton="0" quotePrefix="0" xfId="0">
      <alignment horizontal="center" vertical="center"/>
    </xf>
    <xf numFmtId="4" fontId="15" fillId="2" borderId="2" applyAlignment="1" pivotButton="0" quotePrefix="0" xfId="0">
      <alignment horizontal="center" vertical="center"/>
    </xf>
    <xf numFmtId="4" fontId="15" fillId="12" borderId="2" applyAlignment="1" pivotButton="0" quotePrefix="0" xfId="0">
      <alignment horizontal="center" vertical="center"/>
    </xf>
    <xf numFmtId="4" fontId="15" fillId="7" borderId="2" applyAlignment="1" pivotButton="0" quotePrefix="0" xfId="0">
      <alignment horizontal="center" vertical="center"/>
    </xf>
    <xf numFmtId="4" fontId="15" fillId="3" borderId="2" applyAlignment="1" pivotButton="0" quotePrefix="0" xfId="0">
      <alignment horizontal="center" vertical="center"/>
    </xf>
    <xf numFmtId="0" fontId="2" fillId="4" borderId="2" applyAlignment="1" pivotButton="0" quotePrefix="0" xfId="0">
      <alignment horizontal="center" vertical="center"/>
    </xf>
    <xf numFmtId="0" fontId="2" fillId="14" borderId="2" applyAlignment="1" pivotButton="0" quotePrefix="0" xfId="0">
      <alignment horizontal="center" vertical="center"/>
    </xf>
    <xf numFmtId="0" fontId="2" fillId="15" borderId="2" applyAlignment="1" pivotButton="0" quotePrefix="0" xfId="0">
      <alignment horizontal="center" vertical="center"/>
    </xf>
    <xf numFmtId="0" fontId="2" fillId="16" borderId="2" applyAlignment="1" pivotButton="0" quotePrefix="0" xfId="0">
      <alignment horizontal="center" vertical="center"/>
    </xf>
    <xf numFmtId="4" fontId="15" fillId="4" borderId="2" applyAlignment="1" pivotButton="0" quotePrefix="0" xfId="0">
      <alignment horizontal="center" vertical="center"/>
    </xf>
    <xf numFmtId="4" fontId="15" fillId="14" borderId="2" applyAlignment="1" pivotButton="0" quotePrefix="0" xfId="0">
      <alignment horizontal="center" vertical="center"/>
    </xf>
    <xf numFmtId="4" fontId="15" fillId="15" borderId="2" applyAlignment="1" pivotButton="0" quotePrefix="0" xfId="0">
      <alignment horizontal="center" vertical="center"/>
    </xf>
    <xf numFmtId="4" fontId="15" fillId="16" borderId="2" applyAlignment="1" pivotButton="0" quotePrefix="0" xfId="0">
      <alignment horizontal="center" vertical="center"/>
    </xf>
    <xf numFmtId="0" fontId="61" fillId="17" borderId="0" applyAlignment="1" pivotButton="0" quotePrefix="0" xfId="0">
      <alignment horizontal="center" vertical="center"/>
    </xf>
    <xf numFmtId="0" fontId="0" fillId="0" borderId="0" applyAlignment="1" pivotButton="0" quotePrefix="0" xfId="0">
      <alignment vertical="center"/>
    </xf>
    <xf numFmtId="0" fontId="63" fillId="42" borderId="0" applyAlignment="1" pivotButton="0" quotePrefix="0" xfId="0">
      <alignment horizontal="center" vertical="center"/>
    </xf>
    <xf numFmtId="0" fontId="65" fillId="18" borderId="0" applyAlignment="1" pivotButton="0" quotePrefix="0" xfId="0">
      <alignment horizontal="center" vertical="center"/>
    </xf>
    <xf numFmtId="0" fontId="71" fillId="21" borderId="0" applyAlignment="1" pivotButton="0" quotePrefix="0" xfId="0">
      <alignment horizontal="center" vertical="center"/>
    </xf>
    <xf numFmtId="0" fontId="52" fillId="47" borderId="0" pivotButton="0" quotePrefix="0" xfId="0"/>
    <xf numFmtId="0" fontId="44" fillId="48" borderId="6" pivotButton="0" quotePrefix="0" xfId="0"/>
    <xf numFmtId="0" fontId="0" fillId="48" borderId="6" pivotButton="0" quotePrefix="0" xfId="0"/>
    <xf numFmtId="0" fontId="23" fillId="48" borderId="6" pivotButton="0" quotePrefix="0" xfId="0"/>
    <xf numFmtId="0" fontId="36" fillId="55" borderId="0" pivotButton="0" quotePrefix="0" xfId="0"/>
    <xf numFmtId="0" fontId="118" fillId="52" borderId="0" pivotButton="0" quotePrefix="0" xfId="0"/>
    <xf numFmtId="0" fontId="97" fillId="52" borderId="0" pivotButton="0" quotePrefix="0" xfId="0"/>
    <xf numFmtId="0" fontId="19" fillId="73" borderId="0" applyAlignment="1" pivotButton="0" quotePrefix="0" xfId="0">
      <alignment horizontal="center"/>
    </xf>
    <xf numFmtId="0" fontId="19" fillId="53" borderId="0" pivotButton="0" quotePrefix="0" xfId="0"/>
    <xf numFmtId="0" fontId="84" fillId="0" borderId="0" pivotButton="0" quotePrefix="0" xfId="0"/>
    <xf numFmtId="0" fontId="17" fillId="54" borderId="0" pivotButton="0" quotePrefix="0" xfId="0"/>
    <xf numFmtId="0" fontId="17" fillId="53" borderId="0" pivotButton="0" quotePrefix="0" xfId="0"/>
    <xf numFmtId="0" fontId="93" fillId="40" borderId="0" pivotButton="0" quotePrefix="0" xfId="0"/>
    <xf numFmtId="0" fontId="17" fillId="55" borderId="0" pivotButton="0" quotePrefix="0" xfId="0"/>
    <xf numFmtId="0" fontId="19" fillId="54" borderId="0" pivotButton="0" quotePrefix="0" xfId="0"/>
    <xf numFmtId="0" fontId="19" fillId="28" borderId="0" applyAlignment="1" pivotButton="0" quotePrefix="0" xfId="0">
      <alignment horizontal="center"/>
    </xf>
    <xf numFmtId="0" fontId="71" fillId="21" borderId="0" applyAlignment="1" pivotButton="0" quotePrefix="0" xfId="0">
      <alignment horizontal="center"/>
    </xf>
    <xf numFmtId="0" fontId="100" fillId="28" borderId="0" applyAlignment="1" pivotButton="0" quotePrefix="0" xfId="0">
      <alignment horizontal="center"/>
    </xf>
    <xf numFmtId="0" fontId="98" fillId="41" borderId="0" pivotButton="0" quotePrefix="0" xfId="0"/>
    <xf numFmtId="0" fontId="36" fillId="69" borderId="0" applyAlignment="1" pivotButton="0" quotePrefix="0" xfId="0">
      <alignment horizontal="center"/>
    </xf>
    <xf numFmtId="0" fontId="36" fillId="53" borderId="0" applyAlignment="1" pivotButton="0" quotePrefix="0" xfId="0">
      <alignment horizontal="center"/>
    </xf>
    <xf numFmtId="0" fontId="36" fillId="55" borderId="0" applyAlignment="1" pivotButton="0" quotePrefix="0" xfId="0">
      <alignment horizontal="center"/>
    </xf>
    <xf numFmtId="0" fontId="36" fillId="60" borderId="0" applyAlignment="1" pivotButton="0" quotePrefix="0" xfId="0">
      <alignment horizontal="center"/>
    </xf>
    <xf numFmtId="0" fontId="19" fillId="73" borderId="0" pivotButton="0" quotePrefix="0" xfId="0"/>
    <xf numFmtId="0" fontId="101" fillId="67" borderId="0" pivotButton="0" quotePrefix="0" xfId="0"/>
    <xf numFmtId="0" fontId="36" fillId="73" borderId="0" applyAlignment="1" pivotButton="0" quotePrefix="0" xfId="0">
      <alignment horizontal="center"/>
    </xf>
    <xf numFmtId="0" fontId="36" fillId="54" borderId="0" applyAlignment="1" pivotButton="0" quotePrefix="0" xfId="0">
      <alignment horizontal="center"/>
    </xf>
    <xf numFmtId="0" fontId="103" fillId="52" borderId="0" applyAlignment="1" pivotButton="0" quotePrefix="0" xfId="0">
      <alignment wrapText="1"/>
    </xf>
    <xf numFmtId="0" fontId="86" fillId="53" borderId="0" pivotButton="0" quotePrefix="0" xfId="0"/>
    <xf numFmtId="0" fontId="104" fillId="61" borderId="0" pivotButton="0" quotePrefix="0" xfId="0"/>
    <xf numFmtId="0" fontId="17" fillId="70" borderId="0" pivotButton="0" quotePrefix="0" xfId="0"/>
    <xf numFmtId="0" fontId="17" fillId="76" borderId="0" pivotButton="0" quotePrefix="0" xfId="0"/>
    <xf numFmtId="0" fontId="17" fillId="77" borderId="0" pivotButton="0" quotePrefix="0" xfId="0"/>
    <xf numFmtId="0" fontId="106" fillId="65" borderId="0" pivotButton="0" quotePrefix="0" xfId="0"/>
    <xf numFmtId="0" fontId="17" fillId="69" borderId="0" pivotButton="0" quotePrefix="0" xfId="0"/>
    <xf numFmtId="0" fontId="17" fillId="71" borderId="0" pivotButton="0" quotePrefix="0" xfId="0"/>
    <xf numFmtId="0" fontId="17" fillId="59" borderId="0" pivotButton="0" quotePrefix="0" xfId="0"/>
    <xf numFmtId="0" fontId="109" fillId="52" borderId="0" applyAlignment="1" pivotButton="0" quotePrefix="0" xfId="0">
      <alignment wrapText="1"/>
    </xf>
    <xf numFmtId="0" fontId="34" fillId="54" borderId="0" pivotButton="0" quotePrefix="0" xfId="0"/>
    <xf numFmtId="0" fontId="34" fillId="28" borderId="0" applyAlignment="1" pivotButton="0" quotePrefix="0" xfId="0">
      <alignment horizontal="center"/>
    </xf>
    <xf numFmtId="0" fontId="119" fillId="21" borderId="0" applyAlignment="1" pivotButton="0" quotePrefix="0" xfId="0">
      <alignment horizontal="center"/>
    </xf>
    <xf numFmtId="0" fontId="107" fillId="28" borderId="0" applyAlignment="1" pivotButton="0" quotePrefix="0" xfId="0">
      <alignment horizontal="center"/>
    </xf>
    <xf numFmtId="0" fontId="86" fillId="73" borderId="0" pivotButton="0" quotePrefix="0" xfId="0"/>
    <xf numFmtId="0" fontId="86" fillId="78" borderId="0" pivotButton="0" quotePrefix="0" xfId="0"/>
    <xf numFmtId="0" fontId="86" fillId="55" borderId="0" pivotButton="0" quotePrefix="0" xfId="0"/>
    <xf numFmtId="0" fontId="85" fillId="73" borderId="0" applyAlignment="1" pivotButton="0" quotePrefix="0" xfId="0">
      <alignment horizontal="center"/>
    </xf>
    <xf numFmtId="0" fontId="85" fillId="28" borderId="0" applyAlignment="1" pivotButton="0" quotePrefix="0" xfId="0">
      <alignment horizontal="center"/>
    </xf>
    <xf numFmtId="0" fontId="50" fillId="21" borderId="0" applyAlignment="1" pivotButton="0" quotePrefix="0" xfId="0">
      <alignment horizontal="center"/>
    </xf>
    <xf numFmtId="0" fontId="16" fillId="67" borderId="0" pivotButton="0" quotePrefix="0" xfId="0"/>
    <xf numFmtId="0" fontId="0" fillId="67" borderId="0" pivotButton="0" quotePrefix="0" xfId="0"/>
    <xf numFmtId="0" fontId="86" fillId="73" borderId="13" pivotButton="0" quotePrefix="0" xfId="0"/>
    <xf numFmtId="0" fontId="86" fillId="73" borderId="5" pivotButton="0" quotePrefix="0" xfId="0"/>
    <xf numFmtId="0" fontId="0" fillId="0" borderId="52" pivotButton="0" quotePrefix="0" xfId="0"/>
    <xf numFmtId="167" fontId="0" fillId="0" borderId="0" pivotButton="0" quotePrefix="0" xfId="0"/>
    <xf numFmtId="167" fontId="3" fillId="5" borderId="52" applyAlignment="1" applyProtection="1" pivotButton="0" quotePrefix="0" xfId="0">
      <alignment vertical="center"/>
      <protection locked="0" hidden="0"/>
    </xf>
    <xf numFmtId="0" fontId="3" fillId="0" borderId="9" applyAlignment="1" pivotButton="0" quotePrefix="0" xfId="0">
      <alignment horizontal="center"/>
    </xf>
    <xf numFmtId="0" fontId="3" fillId="0" borderId="10" applyAlignment="1" pivotButton="0" quotePrefix="0" xfId="0">
      <alignment horizontal="center"/>
    </xf>
    <xf numFmtId="0" fontId="0" fillId="0" borderId="15" pivotButton="0" quotePrefix="0" xfId="0"/>
    <xf numFmtId="0" fontId="3" fillId="0" borderId="11" applyAlignment="1" pivotButton="0" quotePrefix="0" xfId="0">
      <alignment horizontal="center"/>
    </xf>
    <xf numFmtId="0" fontId="0" fillId="0" borderId="17" pivotButton="0" quotePrefix="0" xfId="0"/>
    <xf numFmtId="165" fontId="3" fillId="6" borderId="2" pivotButton="0" quotePrefix="0" xfId="0"/>
    <xf numFmtId="165" fontId="3" fillId="0" borderId="2" pivotButton="0" quotePrefix="0" xfId="0"/>
    <xf numFmtId="166" fontId="3" fillId="0" borderId="2" pivotButton="0" quotePrefix="0" xfId="0"/>
    <xf numFmtId="166" fontId="3" fillId="6" borderId="2" pivotButton="0" quotePrefix="0" xfId="0"/>
    <xf numFmtId="165" fontId="5" fillId="0" borderId="2" applyAlignment="1" pivotButton="0" quotePrefix="0" xfId="0">
      <alignment vertical="center"/>
    </xf>
    <xf numFmtId="166" fontId="5" fillId="0" borderId="2" applyAlignment="1" pivotButton="0" quotePrefix="0" xfId="0">
      <alignment vertical="center"/>
    </xf>
    <xf numFmtId="0" fontId="0" fillId="0" borderId="18" pivotButton="0" quotePrefix="0" xfId="0"/>
    <xf numFmtId="167" fontId="0" fillId="0" borderId="2" pivotButton="0" quotePrefix="0" xfId="0"/>
    <xf numFmtId="0" fontId="0" fillId="0" borderId="52" applyProtection="1" pivotButton="0" quotePrefix="0" xfId="0">
      <protection locked="0" hidden="0"/>
    </xf>
    <xf numFmtId="167" fontId="7" fillId="8" borderId="2" pivotButton="0" quotePrefix="0" xfId="0"/>
    <xf numFmtId="167" fontId="5" fillId="0" borderId="2" applyAlignment="1" pivotButton="0" quotePrefix="0" xfId="0">
      <alignment vertical="center"/>
    </xf>
    <xf numFmtId="0" fontId="0" fillId="0" borderId="6" pivotButton="0" quotePrefix="0" xfId="0"/>
    <xf numFmtId="167" fontId="37" fillId="52" borderId="0" pivotButton="0" quotePrefix="0" xfId="0"/>
    <xf numFmtId="165" fontId="37" fillId="52" borderId="0" pivotButton="0" quotePrefix="0" xfId="0"/>
    <xf numFmtId="165" fontId="0" fillId="39" borderId="0" pivotButton="0" quotePrefix="0" xfId="0"/>
    <xf numFmtId="165" fontId="114" fillId="39" borderId="0" pivotButton="0" quotePrefix="0" xfId="0"/>
    <xf numFmtId="165" fontId="0" fillId="56" borderId="0" pivotButton="0" quotePrefix="0" xfId="0"/>
    <xf numFmtId="165" fontId="114" fillId="56" borderId="0" pivotButton="0" quotePrefix="0" xfId="0"/>
    <xf numFmtId="165" fontId="115" fillId="56" borderId="0" pivotButton="0" quotePrefix="0" xfId="0"/>
    <xf numFmtId="165" fontId="81" fillId="56" borderId="0" pivotButton="0" quotePrefix="0" xfId="0"/>
    <xf numFmtId="165" fontId="115" fillId="39" borderId="0" pivotButton="0" quotePrefix="0" xfId="0"/>
    <xf numFmtId="165" fontId="81" fillId="39" borderId="0" pivotButton="0" quotePrefix="0" xfId="0"/>
    <xf numFmtId="165" fontId="0" fillId="0" borderId="0" pivotButton="0" quotePrefix="0" xfId="0"/>
    <xf numFmtId="165" fontId="115" fillId="0" borderId="0" pivotButton="0" quotePrefix="0" xfId="0"/>
    <xf numFmtId="165" fontId="81" fillId="0" borderId="0" pivotButton="0" quotePrefix="0" xfId="0"/>
    <xf numFmtId="166" fontId="115" fillId="44" borderId="0" pivotButton="0" quotePrefix="0" xfId="0"/>
    <xf numFmtId="166" fontId="0" fillId="44" borderId="0" pivotButton="0" quotePrefix="0" xfId="0"/>
    <xf numFmtId="166" fontId="115" fillId="39" borderId="0" pivotButton="0" quotePrefix="0" xfId="0"/>
    <xf numFmtId="166" fontId="0" fillId="39" borderId="0" pivotButton="0" quotePrefix="0" xfId="0"/>
    <xf numFmtId="165" fontId="0" fillId="41" borderId="0" pivotButton="0" quotePrefix="0" xfId="0"/>
    <xf numFmtId="165" fontId="0" fillId="45" borderId="0" pivotButton="0" quotePrefix="0" xfId="0"/>
    <xf numFmtId="165" fontId="0" fillId="65" borderId="0" pivotButton="0" quotePrefix="0" xfId="0"/>
    <xf numFmtId="167" fontId="0" fillId="40" borderId="0" pivotButton="0" quotePrefix="0" xfId="0"/>
    <xf numFmtId="167" fontId="0" fillId="39" borderId="0" pivotButton="0" quotePrefix="0" xfId="0"/>
    <xf numFmtId="165" fontId="0" fillId="43" borderId="0" pivotButton="0" quotePrefix="0" xfId="0"/>
    <xf numFmtId="167" fontId="0" fillId="43" borderId="0" pivotButton="0" quotePrefix="0" xfId="0"/>
    <xf numFmtId="167" fontId="17" fillId="59" borderId="0" pivotButton="0" quotePrefix="0" xfId="0"/>
    <xf numFmtId="167" fontId="0" fillId="44" borderId="0" pivotButton="0" quotePrefix="0" xfId="0"/>
    <xf numFmtId="167" fontId="16" fillId="40" borderId="0" pivotButton="0" quotePrefix="0" xfId="0"/>
    <xf numFmtId="166" fontId="0" fillId="41" borderId="0" pivotButton="0" quotePrefix="0" xfId="0"/>
    <xf numFmtId="166" fontId="0" fillId="42" borderId="0" pivotButton="0" quotePrefix="0" xfId="0"/>
    <xf numFmtId="166" fontId="0" fillId="40" borderId="0" pivotButton="0" quotePrefix="0" xfId="0"/>
    <xf numFmtId="167" fontId="0" fillId="48" borderId="0" pivotButton="0" quotePrefix="0" xfId="0"/>
    <xf numFmtId="165" fontId="95" fillId="40" borderId="0" pivotButton="0" quotePrefix="0" xfId="0"/>
    <xf numFmtId="167" fontId="0" fillId="74" borderId="0" pivotButton="0" quotePrefix="0" xfId="0"/>
    <xf numFmtId="167" fontId="0" fillId="65" borderId="0" pivotButton="0" quotePrefix="0" xfId="0"/>
    <xf numFmtId="167" fontId="0" fillId="75" borderId="0" pivotButton="0" quotePrefix="0" xfId="0"/>
    <xf numFmtId="167" fontId="0" fillId="66" borderId="0" pivotButton="0" quotePrefix="0" xfId="0"/>
    <xf numFmtId="0" fontId="0" fillId="0" borderId="54" pivotButton="0" quotePrefix="0" xfId="0"/>
    <xf numFmtId="167" fontId="0" fillId="41" borderId="28" pivotButton="0" quotePrefix="0" xfId="0"/>
    <xf numFmtId="167" fontId="0" fillId="0" borderId="28" pivotButton="0" quotePrefix="0" xfId="0"/>
    <xf numFmtId="167" fontId="0" fillId="43" borderId="28" pivotButton="0" quotePrefix="0" xfId="0"/>
    <xf numFmtId="167" fontId="0" fillId="52" borderId="28" pivotButton="0" quotePrefix="0" xfId="0"/>
    <xf numFmtId="167" fontId="0" fillId="40" borderId="28" pivotButton="0" quotePrefix="0" xfId="0"/>
    <xf numFmtId="167" fontId="0" fillId="65" borderId="28" pivotButton="0" quotePrefix="0" xfId="0"/>
    <xf numFmtId="167" fontId="0" fillId="68" borderId="28" pivotButton="0" quotePrefix="0" xfId="0"/>
    <xf numFmtId="167" fontId="17" fillId="0" borderId="33" pivotButton="0" quotePrefix="0" xfId="0"/>
    <xf numFmtId="166" fontId="0" fillId="41" borderId="21" pivotButton="0" quotePrefix="0" xfId="0"/>
    <xf numFmtId="167" fontId="0" fillId="41" borderId="21" pivotButton="0" quotePrefix="0" xfId="0"/>
    <xf numFmtId="166" fontId="0" fillId="43" borderId="22" pivotButton="0" quotePrefix="0" xfId="0"/>
    <xf numFmtId="167" fontId="0" fillId="43" borderId="22" pivotButton="0" quotePrefix="0" xfId="0"/>
    <xf numFmtId="166" fontId="0" fillId="52" borderId="22" pivotButton="0" quotePrefix="0" xfId="0"/>
    <xf numFmtId="167" fontId="0" fillId="52" borderId="22" pivotButton="0" quotePrefix="0" xfId="0"/>
    <xf numFmtId="166" fontId="0" fillId="40" borderId="22" pivotButton="0" quotePrefix="0" xfId="0"/>
    <xf numFmtId="167" fontId="0" fillId="40" borderId="22" pivotButton="0" quotePrefix="0" xfId="0"/>
    <xf numFmtId="166" fontId="0" fillId="65" borderId="22" pivotButton="0" quotePrefix="0" xfId="0"/>
    <xf numFmtId="167" fontId="0" fillId="65" borderId="22" pivotButton="0" quotePrefix="0" xfId="0"/>
    <xf numFmtId="166" fontId="0" fillId="68" borderId="22" pivotButton="0" quotePrefix="0" xfId="0"/>
    <xf numFmtId="167" fontId="0" fillId="68" borderId="22" pivotButton="0" quotePrefix="0" xfId="0"/>
    <xf numFmtId="166" fontId="17" fillId="73" borderId="23" pivotButton="0" quotePrefix="0" xfId="0"/>
    <xf numFmtId="166" fontId="0" fillId="48" borderId="0" pivotButton="0" quotePrefix="0" xfId="0"/>
    <xf numFmtId="166" fontId="16" fillId="52" borderId="0" pivotButton="0" quotePrefix="0" xfId="0"/>
    <xf numFmtId="166" fontId="0" fillId="68" borderId="0" pivotButton="0" quotePrefix="0" xfId="0"/>
    <xf numFmtId="166" fontId="0" fillId="80" borderId="28" pivotButton="0" quotePrefix="0" xfId="0"/>
    <xf numFmtId="166" fontId="52" fillId="82" borderId="28" pivotButton="0" quotePrefix="0" xfId="0"/>
    <xf numFmtId="166" fontId="0" fillId="44" borderId="28" pivotButton="0" quotePrefix="0" xfId="0"/>
    <xf numFmtId="167" fontId="0" fillId="44" borderId="29" pivotButton="0" quotePrefix="0" xfId="0"/>
    <xf numFmtId="166" fontId="0" fillId="39" borderId="28" pivotButton="0" quotePrefix="0" xfId="0"/>
    <xf numFmtId="167" fontId="0" fillId="39" borderId="29" pivotButton="0" quotePrefix="0" xfId="0"/>
    <xf numFmtId="166" fontId="17" fillId="80" borderId="28" pivotButton="0" quotePrefix="0" xfId="0"/>
    <xf numFmtId="166" fontId="0" fillId="70" borderId="28" pivotButton="0" quotePrefix="0" xfId="0"/>
    <xf numFmtId="166" fontId="52" fillId="84" borderId="28" pivotButton="0" quotePrefix="0" xfId="0"/>
    <xf numFmtId="166" fontId="0" fillId="42" borderId="28" pivotButton="0" quotePrefix="0" xfId="0"/>
    <xf numFmtId="167" fontId="0" fillId="42" borderId="29" pivotButton="0" quotePrefix="0" xfId="0"/>
    <xf numFmtId="166" fontId="17" fillId="70" borderId="28" pivotButton="0" quotePrefix="0" xfId="0"/>
    <xf numFmtId="166" fontId="16" fillId="58" borderId="28" pivotButton="0" quotePrefix="0" xfId="0"/>
    <xf numFmtId="167" fontId="27" fillId="41" borderId="28" pivotButton="0" quotePrefix="0" xfId="0"/>
    <xf numFmtId="167" fontId="27" fillId="39" borderId="28" pivotButton="0" quotePrefix="0" xfId="0"/>
    <xf numFmtId="167" fontId="27" fillId="48" borderId="28" pivotButton="0" quotePrefix="0" xfId="0"/>
    <xf numFmtId="167" fontId="0" fillId="69" borderId="28" pivotButton="0" quotePrefix="0" xfId="0"/>
    <xf numFmtId="166" fontId="16" fillId="86" borderId="28" pivotButton="0" quotePrefix="0" xfId="0"/>
    <xf numFmtId="166" fontId="17" fillId="54" borderId="28" pivotButton="0" quotePrefix="0" xfId="0"/>
    <xf numFmtId="166" fontId="0" fillId="0" borderId="28" pivotButton="0" quotePrefix="0" xfId="0"/>
    <xf numFmtId="167" fontId="16" fillId="67" borderId="28" pivotButton="0" quotePrefix="0" xfId="0"/>
    <xf numFmtId="166" fontId="0" fillId="67" borderId="28" pivotButton="0" quotePrefix="0" xfId="0"/>
  </cellXfs>
  <cellStyles count="2">
    <cellStyle name="Normal" xfId="0" builtinId="0"/>
    <cellStyle name="Lien hypertexte" xfId="1" builtinId="8"/>
  </cellStyles>
  <dxfs count="17">
    <dxf>
      <font>
        <color rgb="FF2E7D32"/>
      </font>
      <fill>
        <patternFill patternType="solid">
          <fgColor indexed="64"/>
          <bgColor rgb="FFC8E6C9"/>
        </patternFill>
      </fill>
    </dxf>
    <dxf>
      <font>
        <color rgb="FFE65100"/>
      </font>
      <fill>
        <patternFill patternType="solid">
          <fgColor indexed="64"/>
          <bgColor rgb="FFFFF3E0"/>
        </patternFill>
      </fill>
    </dxf>
    <dxf>
      <font>
        <color rgb="FFC62828"/>
      </font>
      <fill>
        <patternFill patternType="solid">
          <fgColor indexed="64"/>
          <bgColor rgb="FFFFCDD2"/>
        </patternFill>
      </fill>
    </dxf>
    <dxf>
      <font>
        <color rgb="FF2E7D32"/>
      </font>
      <fill>
        <patternFill patternType="solid">
          <fgColor indexed="64"/>
          <bgColor rgb="FFC8E6C9"/>
        </patternFill>
      </fill>
    </dxf>
    <dxf>
      <fill>
        <patternFill patternType="solid">
          <fgColor indexed="64"/>
          <bgColor rgb="FFFFCDD2"/>
        </patternFill>
      </fill>
    </dxf>
    <dxf>
      <fill>
        <patternFill patternType="solid">
          <fgColor indexed="64"/>
          <bgColor rgb="FFC8E6C9"/>
        </patternFill>
      </fill>
    </dxf>
    <dxf>
      <fill>
        <patternFill>
          <bgColor rgb="FFFFF9C4"/>
        </patternFill>
      </fill>
    </dxf>
    <dxf>
      <fill>
        <patternFill>
          <bgColor rgb="FFBBDEFB"/>
        </patternFill>
      </fill>
    </dxf>
    <dxf>
      <fill>
        <patternFill>
          <bgColor rgb="FFC8E6C9"/>
        </patternFill>
      </fill>
    </dxf>
    <dxf>
      <fill>
        <patternFill>
          <bgColor rgb="FFFFCDD2"/>
        </patternFill>
      </fill>
    </dxf>
    <dxf>
      <fill>
        <patternFill>
          <bgColor rgb="FFC8E6C9"/>
        </patternFill>
      </fill>
    </dxf>
    <dxf>
      <fill>
        <patternFill>
          <bgColor rgb="FFFFCDD2"/>
        </patternFill>
      </fill>
    </dxf>
    <dxf>
      <fill>
        <patternFill>
          <bgColor rgb="FFC8E6C9"/>
        </patternFill>
      </fill>
    </dxf>
    <dxf>
      <fill>
        <patternFill>
          <bgColor rgb="FFC8E6C9"/>
        </patternFill>
      </fill>
    </dxf>
    <dxf>
      <fill>
        <patternFill>
          <bgColor rgb="FFFFCDD2"/>
        </patternFill>
      </fill>
    </dxf>
    <dxf>
      <fill>
        <patternFill>
          <bgColor rgb="FFC8E6C9"/>
        </patternFill>
      </fill>
    </dxf>
    <dxf>
      <font>
        <b val="1"/>
      </font>
      <fill>
        <patternFill>
          <bgColor rgb="FFFFCDD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6A1B9A"/>
      <rgbColor rgb="FF008080"/>
      <rgbColor rgb="FFE0E0E0"/>
      <rgbColor rgb="FF808080"/>
      <rgbColor rgb="FF9999FF"/>
      <rgbColor rgb="FF993366"/>
      <rgbColor rgb="FFFFF9C4"/>
      <rgbColor rgb="FFE8F5E9"/>
      <rgbColor rgb="FF660066"/>
      <rgbColor rgb="FFFF8080"/>
      <rgbColor rgb="FF1565C0"/>
      <rgbColor rgb="FFBBDEFB"/>
      <rgbColor rgb="FF000080"/>
      <rgbColor rgb="FFFF00FF"/>
      <rgbColor rgb="FFFFFF00"/>
      <rgbColor rgb="FF00FFFF"/>
      <rgbColor rgb="FF800080"/>
      <rgbColor rgb="FF800000"/>
      <rgbColor rgb="FF008080"/>
      <rgbColor rgb="FF0000FF"/>
      <rgbColor rgb="FF00CCFF"/>
      <rgbColor rgb="FFF5F5F5"/>
      <rgbColor rgb="FFC8E6C9"/>
      <rgbColor rgb="FFFFFF99"/>
      <rgbColor rgb="FF99CCFF"/>
      <rgbColor rgb="FFFFCDD2"/>
      <rgbColor rgb="FFCC99FF"/>
      <rgbColor rgb="FFFFE0B2"/>
      <rgbColor rgb="FF3366FF"/>
      <rgbColor rgb="FF33CCCC"/>
      <rgbColor rgb="FF99CC00"/>
      <rgbColor rgb="FFFFCC00"/>
      <rgbColor rgb="FFF9A825"/>
      <rgbColor rgb="FFE65100"/>
      <rgbColor rgb="FF795548"/>
      <rgbColor rgb="FF969696"/>
      <rgbColor rgb="FF0D47A1"/>
      <rgbColor rgb="FF388E3C"/>
      <rgbColor rgb="FF003300"/>
      <rgbColor rgb="FF333300"/>
      <rgbColor rgb="FFC62828"/>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rgbClr val="1F4E79"/>
                </a:solidFill>
                <a:latin typeface="+mn-lt"/>
                <a:ea typeface="+mn-ea"/>
                <a:cs typeface="+mn-cs"/>
              </a:defRPr>
            </a:pPr>
            <a:r>
              <a:rPr lang="en-US"/>
              <a:t>Répartition des émissions par Scope</a:t>
            </a:r>
          </a:p>
        </rich>
      </tx>
      <overlay val="0"/>
      <spPr>
        <a:noFill/>
        <a:ln>
          <a:noFill/>
          <a:prstDash val="solid"/>
        </a:ln>
      </spPr>
      <txPr>
        <a:bodyPr rot="0" spcFirstLastPara="1" vertOverflow="ellipsis" vert="horz" wrap="square" anchor="ctr" anchorCtr="1"/>
        <a:lstStyle/>
        <a:p>
          <a:pPr>
            <a:defRPr sz="1100" b="1" i="0" strike="noStrike" kern="1200" spc="0" baseline="0">
              <a:solidFill>
                <a:srgbClr val="1F4E79"/>
              </a:solidFill>
              <a:latin typeface="+mn-lt"/>
              <a:ea typeface="+mn-ea"/>
              <a:cs typeface="+mn-cs"/>
            </a:defRPr>
          </a:pPr>
          <a:r>
            <a:t>None</a:t>
          </a:r>
          <a:endParaRPr lang="fr-FR"/>
        </a:p>
      </txPr>
    </title>
    <plotArea>
      <layout/>
      <doughnutChart>
        <varyColors val="1"/>
        <ser>
          <idx val="0"/>
          <order val="0"/>
          <tx>
            <strRef>
              <f>Dashboard!$B$28</f>
              <strCache>
                <ptCount val="1"/>
                <pt idx="0">
                  <v>tCO2e</v>
                </pt>
              </strCache>
            </strRef>
          </tx>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dLbl>
              <idx val="2"/>
              <showLegendKey val="0"/>
              <showVal val="0"/>
              <showCatName val="1"/>
              <showSerName val="0"/>
              <showPercent val="1"/>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rgbClr val="1F4E79"/>
                    </a:solidFill>
                    <a:latin typeface="+mn-lt"/>
                    <a:ea typeface="+mn-ea"/>
                    <a:cs typeface="+mn-cs"/>
                  </a:defRPr>
                </a:pPr>
                <a:r>
                  <a:t>None</a:t>
                </a:r>
                <a:endParaRPr lang="fr-FR"/>
              </a:p>
            </txPr>
            <showLegendKey val="0"/>
            <showVal val="0"/>
            <showCatName val="1"/>
            <showSerName val="0"/>
            <showPercent val="1"/>
            <showBubbleSize val="0"/>
            <showLeaderLines val="1"/>
          </dLbls>
          <cat>
            <strRef>
              <f>Dashboard!$A$29:$A$31</f>
              <strCache>
                <ptCount val="3"/>
                <pt idx="0">
                  <v>Scope 1</v>
                </pt>
                <pt idx="1">
                  <v>Scope 2 (LB)</v>
                </pt>
                <pt idx="2">
                  <v>Scope 3</v>
                </pt>
              </strCache>
            </strRef>
          </cat>
          <val>
            <numRef>
              <f>Dashboard!$B$29:$B$31</f>
              <numCache>
                <formatCode>#,##0</formatCode>
                <ptCount val="3"/>
                <pt idx="0">
                  <v>0</v>
                </pt>
                <pt idx="1">
                  <v>0</v>
                </pt>
                <pt idx="2">
                  <v>0</v>
                </pt>
              </numCache>
            </numRef>
          </val>
        </ser>
        <dLbls>
          <showLegendKey val="0"/>
          <showVal val="0"/>
          <showCatName val="0"/>
          <showSerName val="0"/>
          <showPercent val="0"/>
          <showBubbleSize val="0"/>
          <showLeaderLines val="1"/>
        </dLbls>
        <firstSliceAng val="0"/>
        <holeSize val="75"/>
      </doughnutChart>
    </plotArea>
    <plotVisOnly val="1"/>
    <dispBlanksAs val="gap"/>
  </chart>
  <spPr>
    <a:solidFill>
      <a:srgbClr val="FFFFFF"/>
    </a:solidFill>
    <a:ln w="12700" cap="flat" cmpd="sng" algn="ctr">
      <a:solidFill>
        <a:srgbClr val="D6D6D6"/>
      </a:solidFill>
      <a:prstDash val="solid"/>
      <a:round/>
    </a:ln>
  </spPr>
</chartSpace>
</file>

<file path=xl/charts/chart2.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rgbClr val="1F4E79"/>
                </a:solidFill>
                <a:latin typeface="+mn-lt"/>
                <a:ea typeface="+mn-ea"/>
                <a:cs typeface="+mn-cs"/>
              </a:defRPr>
            </a:pPr>
            <a:r>
              <a:rPr lang="en-US"/>
              <a:t>Détail Scope 3 par catégorie (tCO2e)</a:t>
            </a:r>
          </a:p>
        </rich>
      </tx>
      <overlay val="0"/>
      <spPr>
        <a:noFill/>
        <a:ln>
          <a:noFill/>
          <a:prstDash val="solid"/>
        </a:ln>
      </spPr>
      <txPr>
        <a:bodyPr rot="0" spcFirstLastPara="1" vertOverflow="ellipsis" vert="horz" wrap="square" anchor="ctr" anchorCtr="1"/>
        <a:lstStyle/>
        <a:p>
          <a:pPr>
            <a:defRPr sz="1100" b="1" i="0" strike="noStrike" kern="1200" spc="0" baseline="0">
              <a:solidFill>
                <a:srgbClr val="1F4E79"/>
              </a:solidFill>
              <a:latin typeface="+mn-lt"/>
              <a:ea typeface="+mn-ea"/>
              <a:cs typeface="+mn-cs"/>
            </a:defRPr>
          </a:pPr>
          <a:r>
            <a:t>None</a:t>
          </a:r>
          <a:endParaRPr lang="fr-FR"/>
        </a:p>
      </txPr>
    </title>
    <plotArea>
      <layout/>
      <barChart>
        <barDir val="bar"/>
        <grouping val="clustered"/>
        <varyColors val="0"/>
        <ser>
          <idx val="0"/>
          <order val="0"/>
          <tx>
            <strRef>
              <f>Dashboard!$E$28</f>
              <strCache>
                <ptCount val="1"/>
                <pt idx="0">
                  <v>tCO2e</v>
                </pt>
              </strCache>
            </strRef>
          </tx>
          <spPr>
            <a:solidFill>
              <a:srgbClr val="1565C0"/>
            </a:solidFill>
            <a:ln>
              <a:noFill/>
              <a:prstDash val="solid"/>
            </a:ln>
          </spPr>
          <invertIfNegative val="0"/>
          <cat>
            <strRef>
              <f>Dashboard!$D$29:$D$43</f>
              <strCache>
                <ptCount val="15"/>
                <pt idx="0">
                  <v>Cat.1 Achats</v>
                </pt>
                <pt idx="1">
                  <v>Cat.2 Biens d'équip.</v>
                </pt>
                <pt idx="2">
                  <v>Cat.3 Énergie amont</v>
                </pt>
                <pt idx="3">
                  <v>Cat.4 Transport amont</v>
                </pt>
                <pt idx="4">
                  <v>Cat.5 Déchets</v>
                </pt>
                <pt idx="5">
                  <v>Cat.6 Dépl. pro</v>
                </pt>
                <pt idx="6">
                  <v>Cat.7 Dom.-travail</v>
                </pt>
                <pt idx="7">
                  <v>Cat.8 Actifs amont</v>
                </pt>
                <pt idx="8">
                  <v>Cat.9 Transport aval</v>
                </pt>
                <pt idx="9">
                  <v>Cat.10 Transform.</v>
                </pt>
                <pt idx="10">
                  <v>Cat.11 Utilisation</v>
                </pt>
                <pt idx="11">
                  <v>Cat.12 Fin de vie</v>
                </pt>
                <pt idx="12">
                  <v>Cat.13 Actifs aval</v>
                </pt>
                <pt idx="13">
                  <v>Cat.14 Franchises</v>
                </pt>
                <pt idx="14">
                  <v>Cat.15 Invest.</v>
                </pt>
              </strCache>
            </strRef>
          </cat>
          <val>
            <numRef>
              <f>Dashboard!$E$29:$E$43</f>
              <numCache>
                <formatCode>#,##0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gapWidth val="182"/>
        <axId val="788937999"/>
        <axId val="788918799"/>
      </barChart>
      <catAx>
        <axId val="788937999"/>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fr-FR"/>
          </a:p>
        </txPr>
        <crossAx val="788918799"/>
        <crosses val="autoZero"/>
        <auto val="1"/>
        <lblAlgn val="ctr"/>
        <lblOffset val="100"/>
        <noMultiLvlLbl val="0"/>
      </catAx>
      <valAx>
        <axId val="788918799"/>
        <scaling>
          <orientation val="minMax"/>
        </scaling>
        <delete val="0"/>
        <axPos val="b"/>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fr-FR"/>
          </a:p>
        </txPr>
        <crossAx val="788937999"/>
        <crosses val="autoZero"/>
        <crossBetween val="between"/>
      </valAx>
    </plotArea>
    <plotVisOnly val="1"/>
    <dispBlanksAs val="gap"/>
  </chart>
  <spPr>
    <a:solidFill>
      <a:srgbClr val="FFFFFF"/>
    </a:solidFill>
    <a:ln w="12700" cap="flat" cmpd="sng" algn="ctr">
      <a:solidFill>
        <a:srgbClr val="D6D6D6"/>
      </a:solidFill>
      <a:prstDash val="solid"/>
      <a:round/>
    </a:ln>
  </spPr>
</chartSpace>
</file>

<file path=xl/charts/chart3.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rgbClr val="1F4E79"/>
                </a:solidFill>
                <a:latin typeface="+mn-lt"/>
                <a:ea typeface="+mn-ea"/>
                <a:cs typeface="+mn-cs"/>
              </a:defRPr>
            </a:pPr>
            <a:r>
              <a:rPr lang="en-US"/>
              <a:t>Trajectoire SBTi — Cible vs Réalisé (tCO2e)</a:t>
            </a:r>
          </a:p>
        </rich>
      </tx>
      <overlay val="0"/>
      <spPr>
        <a:noFill/>
        <a:ln>
          <a:noFill/>
          <a:prstDash val="solid"/>
        </a:ln>
      </spPr>
      <txPr>
        <a:bodyPr rot="0" spcFirstLastPara="1" vertOverflow="ellipsis" vert="horz" wrap="square" anchor="ctr" anchorCtr="1"/>
        <a:lstStyle/>
        <a:p>
          <a:pPr>
            <a:defRPr sz="1100" b="1" i="0" strike="noStrike" kern="1200" spc="0" baseline="0">
              <a:solidFill>
                <a:srgbClr val="1F4E79"/>
              </a:solidFill>
              <a:latin typeface="+mn-lt"/>
              <a:ea typeface="+mn-ea"/>
              <a:cs typeface="+mn-cs"/>
            </a:defRPr>
          </a:pPr>
          <a:r>
            <a:t>None</a:t>
          </a:r>
          <a:endParaRPr lang="fr-FR"/>
        </a:p>
      </txPr>
    </title>
    <plotArea>
      <layout/>
      <lineChart>
        <grouping val="standard"/>
        <varyColors val="0"/>
        <ser>
          <idx val="0"/>
          <order val="0"/>
          <tx>
            <strRef>
              <f>Dashboard!$I$28</f>
              <strCache>
                <ptCount val="1"/>
                <pt idx="0">
                  <v>Réalisé (tCO2e)</v>
                </pt>
              </strCache>
            </strRef>
          </tx>
          <spPr>
            <a:ln w="25400" cap="rnd">
              <a:solidFill>
                <a:srgbClr val="2E7D32"/>
              </a:solidFill>
              <a:prstDash val="solid"/>
              <a:round/>
            </a:ln>
          </spPr>
          <marker>
            <symbol val="circle"/>
            <size val="6"/>
            <spPr>
              <a:solidFill>
                <a:schemeClr val="accent1"/>
              </a:solidFill>
              <a:ln w="9525">
                <a:solidFill>
                  <a:schemeClr val="accent1"/>
                </a:solidFill>
                <a:prstDash val="solid"/>
              </a:ln>
            </spPr>
          </marker>
          <cat>
            <multiLvlStrRef>
              <multiLvlStrCache>
                <lvl>
                  <pt idx="0">
                    <v>0</v>
                  </pt>
                </lvl>
                <lvl>
                  <pt idx="0">
                    <v>2025</v>
                  </pt>
                  <pt idx="1">
                    <v>2026</v>
                  </pt>
                  <pt idx="2">
                    <v>2027</v>
                  </pt>
                  <pt idx="3">
                    <v>2028</v>
                  </pt>
                  <pt idx="4">
                    <v>2029</v>
                  </pt>
                  <pt idx="5">
                    <v>2030</v>
                  </pt>
                  <pt idx="6">
                    <v>2031</v>
                  </pt>
                  <pt idx="7">
                    <v>2032</v>
                  </pt>
                  <pt idx="8">
                    <v>2033</v>
                  </pt>
                  <pt idx="9">
                    <v>2034</v>
                  </pt>
                  <pt idx="10">
                    <v>2035</v>
                  </pt>
                </lvl>
              </multiLvlStrCache>
              <f>Dashboard!$G$29:$H$39</f>
            </multiLvlStrRef>
          </cat>
          <val>
            <numRef>
              <f>Dashboard!$I$29:$I$39</f>
              <numCache>
                <formatCode>#,##0</formatCode>
                <ptCount val="11"/>
                <pt idx="0">
                  <v>0</v>
                </pt>
              </numCache>
            </numRef>
          </val>
          <smooth val="0"/>
        </ser>
        <dLbls>
          <showLegendKey val="0"/>
          <showVal val="0"/>
          <showCatName val="0"/>
          <showSerName val="0"/>
          <showPercent val="0"/>
          <showBubbleSize val="0"/>
        </dLbls>
        <marker val="1"/>
        <smooth val="0"/>
        <axId val="788916879"/>
        <axId val="788918319"/>
      </lineChart>
      <catAx>
        <axId val="78891687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fr-FR"/>
          </a:p>
        </txPr>
        <crossAx val="788918319"/>
        <crosses val="autoZero"/>
        <auto val="1"/>
        <lblAlgn val="ctr"/>
        <lblOffset val="100"/>
        <noMultiLvlLbl val="0"/>
      </catAx>
      <valAx>
        <axId val="788918319"/>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fr-FR"/>
          </a:p>
        </txPr>
        <crossAx val="788916879"/>
        <crosses val="autoZero"/>
        <crossBetween val="between"/>
      </valAx>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fr-FR"/>
        </a:p>
      </txPr>
    </legend>
    <plotVisOnly val="1"/>
    <dispBlanksAs val="gap"/>
  </chart>
  <spPr>
    <a:solidFill>
      <a:srgbClr val="FFFFFF"/>
    </a:solidFill>
    <a:ln w="12700" cap="flat" cmpd="sng" algn="ctr">
      <a:solidFill>
        <a:srgbClr val="D6D6D6"/>
      </a:solidFill>
      <a:prstDash val="solid"/>
      <a:round/>
    </a:ln>
  </spPr>
</chartSpace>
</file>

<file path=xl/charts/chart4.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100" b="1" i="0" strike="noStrike" kern="1200" spc="0" baseline="0">
                <a:solidFill>
                  <a:srgbClr val="1F4E79"/>
                </a:solidFill>
                <a:latin typeface="+mn-lt"/>
                <a:ea typeface="+mn-ea"/>
                <a:cs typeface="+mn-cs"/>
              </a:defRPr>
            </a:pPr>
            <a:r>
              <a:rPr lang="en-US"/>
              <a:t>Évolution des émissions sur 5 ans (tCO2e)</a:t>
            </a:r>
          </a:p>
        </rich>
      </tx>
      <overlay val="0"/>
      <spPr>
        <a:noFill/>
        <a:ln>
          <a:noFill/>
          <a:prstDash val="solid"/>
        </a:ln>
      </spPr>
      <txPr>
        <a:bodyPr rot="0" spcFirstLastPara="1" vertOverflow="ellipsis" vert="horz" wrap="square" anchor="ctr" anchorCtr="1"/>
        <a:lstStyle/>
        <a:p>
          <a:pPr>
            <a:defRPr sz="1100" b="1" i="0" strike="noStrike" kern="1200" spc="0" baseline="0">
              <a:solidFill>
                <a:srgbClr val="1F4E79"/>
              </a:solidFill>
              <a:latin typeface="+mn-lt"/>
              <a:ea typeface="+mn-ea"/>
              <a:cs typeface="+mn-cs"/>
            </a:defRPr>
          </a:pPr>
          <a:r>
            <a:t>None</a:t>
          </a:r>
          <a:endParaRPr lang="fr-FR"/>
        </a:p>
      </txPr>
    </title>
    <plotArea>
      <layout/>
      <barChart>
        <barDir val="col"/>
        <grouping val="clustered"/>
        <varyColors val="0"/>
        <ser>
          <idx val="0"/>
          <order val="0"/>
          <tx>
            <strRef>
              <f>Dashboard!$L$28</f>
              <strCache>
                <ptCount val="1"/>
                <pt idx="0">
                  <v>Total (tCO2e)</v>
                </pt>
              </strCache>
            </strRef>
          </tx>
          <spPr>
            <a:solidFill>
              <a:srgbClr val="1F4E79"/>
            </a:solidFill>
            <a:ln>
              <a:noFill/>
              <a:prstDash val="solid"/>
            </a:ln>
          </spPr>
          <invertIfNegative val="0"/>
          <dLbls>
            <numFmt formatCode="#.##0"/>
            <spPr>
              <a:noFill/>
              <a:ln>
                <a:noFill/>
                <a:prstDash val="solid"/>
              </a:ln>
            </spPr>
            <txPr>
              <a:bodyPr rot="0" spcFirstLastPara="1" vertOverflow="ellipsis" vert="horz" wrap="square" lIns="38100" tIns="19050" rIns="38100" bIns="19050" anchor="ctr" anchorCtr="1">
                <a:spAutoFit/>
              </a:bodyPr>
              <a:lstStyle/>
              <a:p>
                <a:pPr>
                  <a:defRPr sz="800" b="0" i="0" strike="noStrike" kern="1200" baseline="0">
                    <a:solidFill>
                      <a:schemeClr val="tx1">
                        <a:lumMod val="75000"/>
                        <a:lumOff val="25000"/>
                      </a:schemeClr>
                    </a:solidFill>
                    <a:latin typeface="+mn-lt"/>
                    <a:ea typeface="+mn-ea"/>
                    <a:cs typeface="+mn-cs"/>
                  </a:defRPr>
                </a:pPr>
                <a:r>
                  <a:t>None</a:t>
                </a:r>
                <a:endParaRPr lang="fr-FR"/>
              </a:p>
            </txPr>
            <dLblPos val="outEnd"/>
            <showLegendKey val="0"/>
            <showVal val="1"/>
            <showCatName val="0"/>
            <showSerName val="0"/>
            <showPercent val="0"/>
            <showBubbleSize val="0"/>
            <showLeaderLines val="0"/>
          </dLbls>
          <cat>
            <strRef>
              <f>Dashboard!$K$29:$K$33</f>
              <strCache>
                <ptCount val="5"/>
                <pt idx="0">
                  <v>=TEXT(Historique_5ans!B5,"0")</v>
                </pt>
                <pt idx="1">
                  <v>=TEXT(Historique_5ans!C5,"0")</v>
                </pt>
                <pt idx="2">
                  <v>=TEXT(Historique_5ans!D5,"0")</v>
                </pt>
                <pt idx="3">
                  <v>=TEXT(Historique_5ans!E5,"0")</v>
                </pt>
                <pt idx="4">
                  <v>=TEXT(Historique_5ans!F5,"0")</v>
                </pt>
              </strCache>
            </strRef>
          </cat>
          <val>
            <numRef>
              <f>Dashboard!$L$29:$L$33</f>
              <numCache>
                <formatCode>#,##0</formatCode>
                <ptCount val="5"/>
                <pt idx="0">
                  <v>0</v>
                </pt>
                <pt idx="1">
                  <v>0</v>
                </pt>
                <pt idx="2">
                  <v>0</v>
                </pt>
                <pt idx="3">
                  <v>0</v>
                </pt>
                <pt idx="4">
                  <v>0</v>
                </pt>
              </numCache>
            </numRef>
          </val>
        </ser>
        <dLbls>
          <showLegendKey val="0"/>
          <showVal val="0"/>
          <showCatName val="0"/>
          <showSerName val="0"/>
          <showPercent val="0"/>
          <showBubbleSize val="0"/>
        </dLbls>
        <gapWidth val="219"/>
        <overlap val="-27"/>
        <axId val="788926959"/>
        <axId val="788940879"/>
      </barChart>
      <catAx>
        <axId val="788926959"/>
        <scaling>
          <orientation val="minMax"/>
        </scaling>
        <delete val="0"/>
        <axPos val="b"/>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fr-FR"/>
          </a:p>
        </txPr>
        <crossAx val="788940879"/>
        <crosses val="autoZero"/>
        <auto val="1"/>
        <lblAlgn val="ctr"/>
        <lblOffset val="100"/>
        <noMultiLvlLbl val="0"/>
      </catAx>
      <valAx>
        <axId val="788940879"/>
        <scaling>
          <orientation val="minMax"/>
        </scaling>
        <delete val="0"/>
        <axPos val="l"/>
        <majorGridlines>
          <spPr>
            <a:ln w="9525" cap="flat" cmpd="sng" algn="ctr">
              <a:solidFill>
                <a:schemeClr val="tx1">
                  <a:lumMod val="15000"/>
                  <a:lumOff val="85000"/>
                </a:schemeClr>
              </a:solid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fr-FR"/>
          </a:p>
        </txPr>
        <crossAx val="788926959"/>
        <crosses val="autoZero"/>
        <crossBetween val="between"/>
      </valAx>
    </plotArea>
    <plotVisOnly val="1"/>
    <dispBlanksAs val="gap"/>
  </chart>
  <spPr>
    <a:solidFill>
      <a:srgbClr val="FFFFFF"/>
    </a:solidFill>
    <a:ln w="9525" cap="flat" cmpd="sng" algn="ctr">
      <a:solidFill>
        <a:srgbClr val="D6D6D6"/>
      </a:solidFill>
      <a:prstDash val="solid"/>
      <a:round/>
    </a:ln>
  </spPr>
</chartSpace>
</file>

<file path=xl/charts/chart5.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rPr lang="en-US"/>
              <a:t>Repartition CO2 par theme</a:t>
            </a: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t>None</a:t>
          </a:r>
          <a:endParaRPr lang="fr-FR"/>
        </a:p>
      </txPr>
    </title>
    <plotArea>
      <layout/>
      <pieChart>
        <varyColors val="1"/>
        <ser>
          <idx val="0"/>
          <order val="0"/>
          <tx>
            <strRef>
              <f>'14_SYNTHÈSE_GLOBALE'!$B$70</f>
              <strCache>
                <ptCount val="1"/>
                <pt idx="0">
                  <v>tCO2e</v>
                </pt>
              </strCache>
            </strRef>
          </tx>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Pt>
            <idx val="7"/>
            <bubble3D val="0"/>
            <spPr>
              <a:solidFill>
                <a:schemeClr val="accent2">
                  <a:lumMod val="60000"/>
                </a:schemeClr>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fr-FR"/>
              </a:p>
            </txPr>
            <showLegendKey val="0"/>
            <showVal val="0"/>
            <showCatName val="1"/>
            <showSerName val="0"/>
            <showPercent val="1"/>
            <showBubbleSize val="0"/>
            <showLeaderLines val="1"/>
          </dLbls>
          <cat>
            <strRef>
              <f>'14_SYNTHÈSE_GLOBALE'!$A$71:$A$78</f>
              <strCache>
                <ptCount val="8"/>
                <pt idx="0">
                  <v>Energie batiments</v>
                </pt>
                <pt idx="1">
                  <v>Transport</v>
                </pt>
                <pt idx="2">
                  <v>Alimentation</v>
                </pt>
                <pt idx="3">
                  <v>Notes de frais</v>
                </pt>
                <pt idx="4">
                  <v>Dechets</v>
                </pt>
                <pt idx="5">
                  <v>Infrastructure IT</v>
                </pt>
                <pt idx="6">
                  <v>Equipements bureau</v>
                </pt>
                <pt idx="7">
                  <v>Usages numeriques</v>
                </pt>
              </strCache>
            </strRef>
          </cat>
          <val>
            <numRef>
              <f>'14_SYNTHÈSE_GLOBALE'!$B$71:$B$78</f>
              <numCache>
                <formatCode>#\ ##0.000</formatCode>
                <ptCount val="8"/>
                <pt idx="0">
                  <v>0</v>
                </pt>
                <pt idx="1">
                  <v>0</v>
                </pt>
                <pt idx="2">
                  <v>21.1497</v>
                </pt>
                <pt idx="3">
                  <v>44.35</v>
                </pt>
                <pt idx="4">
                  <v>0.44114</v>
                </pt>
                <pt idx="5">
                  <v>18.97122720283715</v>
                </pt>
                <pt idx="6">
                  <v>0.8064864396190475</v>
                </pt>
                <pt idx="7">
                  <v>22.0965566</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6.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rPr lang="en-US"/>
              <a:t>Emissions CO2 par poste (tCO2e/an)</a:t>
            </a:r>
          </a:p>
        </rich>
      </tx>
      <overlay val="0"/>
      <spPr>
        <a:noFill/>
        <a:ln>
          <a:noFill/>
          <a:prstDash val="solid"/>
        </a:ln>
      </spPr>
      <txPr>
        <a:bodyPr rot="0" spcFirstLastPara="1" vertOverflow="ellipsis" vert="horz" wrap="square" anchor="ctr" anchorCtr="1"/>
        <a:lstStyle/>
        <a:p>
          <a:pPr>
            <a:defRPr sz="1200" b="1" i="0" strike="noStrike" kern="1200" spc="0" baseline="0">
              <a:solidFill>
                <a:schemeClr val="tx1">
                  <a:lumMod val="65000"/>
                  <a:lumOff val="35000"/>
                </a:schemeClr>
              </a:solidFill>
              <a:latin typeface="+mn-lt"/>
              <a:ea typeface="+mn-ea"/>
              <a:cs typeface="+mn-cs"/>
            </a:defRPr>
          </a:pPr>
          <a:r>
            <a:t>None</a:t>
          </a:r>
          <a:endParaRPr lang="fr-FR"/>
        </a:p>
      </txPr>
    </title>
    <plotArea>
      <layout/>
      <barChart>
        <barDir val="bar"/>
        <grouping val="clustered"/>
        <varyColors val="0"/>
        <ser>
          <idx val="0"/>
          <order val="0"/>
          <tx>
            <strRef>
              <f>'14_SYNTHÈSE_GLOBALE'!$E$70</f>
              <strCache>
                <ptCount val="1"/>
                <pt idx="0">
                  <v>tCO2e</v>
                </pt>
              </strCache>
            </strRef>
          </tx>
          <spPr>
            <a:solidFill>
              <a:schemeClr val="accent1"/>
            </a:solidFill>
            <a:ln>
              <a:noFill/>
              <a:prstDash val="solid"/>
            </a:ln>
          </spPr>
          <invertIfNegative val="0"/>
          <cat>
            <strRef>
              <f>'14_SYNTHÈSE_GLOBALE'!$D$71:$D$85</f>
              <strCache>
                <ptCount val="15"/>
                <pt idx="0">
                  <v>Electricite</v>
                </pt>
                <pt idx="1">
                  <v>Chauffage</v>
                </pt>
                <pt idx="2">
                  <v>Climatisation</v>
                </pt>
                <pt idx="3">
                  <v>Eau</v>
                </pt>
                <pt idx="4">
                  <v>Dom-travail</v>
                </pt>
                <pt idx="5">
                  <v>Deplacements pro</v>
                </pt>
                <pt idx="6">
                  <v>Flotte</v>
                </pt>
                <pt idx="7">
                  <v>Restauration</v>
                </pt>
                <pt idx="8">
                  <v>Notes frais</v>
                </pt>
                <pt idx="9">
                  <v>Dechets</v>
                </pt>
                <pt idx="10">
                  <v>Serveurs</v>
                </pt>
                <pt idx="11">
                  <v>Cloud</v>
                </pt>
                <pt idx="12">
                  <v>SI reseau</v>
                </pt>
                <pt idx="13">
                  <v>Bureau</v>
                </pt>
                <pt idx="14">
                  <v>Usages num.</v>
                </pt>
              </strCache>
            </strRef>
          </cat>
          <val>
            <numRef>
              <f>'14_SYNTHÈSE_GLOBALE'!$E$71:$E$85</f>
              <numCache>
                <formatCode>#\ ##0.000</formatCode>
                <ptCount val="15"/>
                <pt idx="0">
                  <v>0</v>
                </pt>
                <pt idx="1">
                  <v>0</v>
                </pt>
                <pt idx="2">
                  <v>0</v>
                </pt>
                <pt idx="3">
                  <v>0</v>
                </pt>
                <pt idx="4">
                  <v>0</v>
                </pt>
                <pt idx="5">
                  <v>0</v>
                </pt>
                <pt idx="6">
                  <v>0</v>
                </pt>
                <pt idx="7">
                  <v>21.1497</v>
                </pt>
                <pt idx="8">
                  <v>44.35</v>
                </pt>
                <pt idx="9">
                  <v>0.44114</v>
                </pt>
                <pt idx="10">
                  <v>13.752</v>
                </pt>
                <pt idx="11">
                  <v>0.7102329172228626</v>
                </pt>
                <pt idx="12">
                  <v>4.508994285614286</v>
                </pt>
                <pt idx="13">
                  <v>0.8064864396190475</v>
                </pt>
                <pt idx="14">
                  <v>22.0965566</v>
                </pt>
              </numCache>
            </numRef>
          </val>
        </ser>
        <dLbls>
          <showLegendKey val="0"/>
          <showVal val="0"/>
          <showCatName val="0"/>
          <showSerName val="0"/>
          <showPercent val="0"/>
          <showBubbleSize val="0"/>
        </dLbls>
        <gapWidth val="182"/>
        <axId val="1448755407"/>
        <axId val="1448756367"/>
      </barChart>
      <catAx>
        <axId val="1448755407"/>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fr-FR"/>
          </a:p>
        </txPr>
        <crossAx val="1448756367"/>
        <crosses val="autoZero"/>
        <auto val="1"/>
        <lblAlgn val="ctr"/>
        <lblOffset val="100"/>
        <noMultiLvlLbl val="0"/>
      </catAx>
      <valAx>
        <axId val="1448756367"/>
        <scaling>
          <orientation val="minMax"/>
        </scaling>
        <delete val="0"/>
        <axPos val="b"/>
        <majorGridlines>
          <spPr>
            <a:ln w="9525" cap="flat" cmpd="sng" algn="ctr">
              <a:solidFill>
                <a:schemeClr val="tx1">
                  <a:lumMod val="15000"/>
                  <a:lumOff val="85000"/>
                </a:schemeClr>
              </a:solidFill>
              <a:prstDash val="solid"/>
              <a:round/>
            </a:ln>
          </spPr>
        </majorGridlines>
        <title>
          <tx>
            <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fr-FR"/>
                  <a:t>tCO2e/an</a:t>
                </a:r>
              </a:p>
            </rich>
          </tx>
          <overlay val="0"/>
          <spPr>
            <a:noFill/>
            <a:ln>
              <a:noFill/>
              <a:prstDash val="solid"/>
            </a:ln>
          </spPr>
          <txPr>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t>None</a:t>
              </a:r>
              <a:endParaRPr lang="fr-FR"/>
            </a:p>
          </txPr>
        </title>
        <numFmt formatCode="#\ ##0.00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None</a:t>
            </a:r>
            <a:endParaRPr lang="fr-FR"/>
          </a:p>
        </txPr>
        <crossAx val="1448755407"/>
        <crosses val="autoZero"/>
        <crossBetween val="between"/>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tc={9BEE6F03-E8D2-46B7-BE22-52CA3C7F1843}</author>
    <author>tc={9A47C9B8-FCFD-4222-A1E0-CCA41DC1AEB8}</author>
    <author>tc={A0BA6EDF-E023-4336-8C26-E93F54442B29}</author>
    <author>tc={D1D32802-EA0B-4BE6-AD48-FCA32809CE58}</author>
    <author>tc={E3E2169D-9078-4D95-84E8-865DB7698F5A}</author>
    <author>tc={775C4CC1-EF91-4376-A0BA-5BE592C3993C}</author>
    <author>tc={F3CDA41C-214C-4147-BD12-5C18950A4EB7}</author>
  </authors>
  <commentList>
    <comment ref="B4"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RAISON SOCIALE
Nom légal complet tel qu'il apparaît au KBIS. Utilisé dans la page de couverture et les exports réglementaires (BEGES, rapport CSRD).
⚠️ Ne pas utiliser le nom commercial si différent du nom légal.</t>
      </text>
    </comment>
    <comment ref="B7" authorId="1"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ANNÉE DE REPORTING
Année civile de l'exercice courant. Utilisée pour calibrer la trajectoire SBTi et les comparaisons historiques.
Exemple : 2025 = du 01/01/2025 au 31/12/2025.
Si exercice décalé (ex. oct-sept), saisir l'année de fin d'exercice.</t>
      </text>
    </comment>
    <comment ref="B9" authorId="2"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CHIFFRE D'AFFAIRES NET (€)
CA net hors taxes, consolidé. Utilisé pour calculer l'intensité carbone (tCO2e/M€ CA) et les KPIs Taxonomie.
⚠️ Saisir en EUROS, pas en millions. Ex. : 50 000 000 pour 50M€.
Réf. : ESRS E1-6 §48 — intensité par unité économique.</t>
      </text>
    </comment>
    <comment ref="B11" authorId="3"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EFFECTIFS EN ÉQUIVALENT TEMPS PLEIN (ETP)
Nombre d'ETP moyen sur l'exercice (CDI + CDD proratisés + intérimaires si contrôle opérationnel).
Utilisé pour l'intensité tCO2e/ETP et pour le calcul du domicile-travail (Cat.7).
Réf. : ESRS S1 §50 / ISO 14064-1.</t>
      </text>
    </comment>
    <comment ref="B14" authorId="4"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CAPEX TOTAL (€)
Immobilisations corporelles + incorporelles de l'exercice (IFRS 16 inclus si applicable).
Utilisé dans le Plan_Transition pour calculer le % CapEx aligné Accord de Paris.
Réf. : Règlement Taxonomie (UE) 2020/852 — KPI CapEx.</t>
      </text>
    </comment>
    <comment ref="A17" authorId="5"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MÉTHODE DE CONSOLIDATION
3 options possibles :
• Contrôle opérationnel (DÉFAUT) : 100% des émissions des entités où vous prenez les décisions opérationnelles, indépendamment du % de capital.
• Contrôle financier : entités consolidées comptablement (&gt;50% capital ou intégration globale).
• Quote-part du capital : % de participation × émissions de chaque entité.
Réf. : GHG Protocol Corporate Standard, Chap. 3.</t>
      </text>
    </comment>
    <comment ref="B22" authorId="6"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PART SCOPE 1 SOUS EU ETS
Pourcentage (ou tonnage) de vos émissions S1 couvertes par le marché carbone européen EU ETS.
Important pour le CBAM et les reportings financiers (coût carbone réel).
Si non concerné : laisser à 0.
Réf. : Règlement CBAM (UE) 2023/956.</t>
      </text>
    </comment>
  </commentList>
</comments>
</file>

<file path=xl/comments/comment2.xml><?xml version="1.0" encoding="utf-8"?>
<comments xmlns="http://schemas.openxmlformats.org/spreadsheetml/2006/main">
  <authors>
    <author>tc={063FC93B-9491-4B1D-AB50-2ACAC2CBB0C3}</author>
  </authors>
  <commentList>
    <comment ref="A1"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SCOPE 1 — ÉMISSIONS DIRECTES
Définition GHG Protocol : émissions provenant de sources détenues ou contrôlées par l'organisation.
4 catégories :
• 1A Combustion fixe : chaudières, groupes électrogènes, fours industriels
• 1B Combustion mobile : véhicules de l'entreprise (carburant consommé)
• 1C Process : réactions chimiques, fermentation, ciment...
• 1D Fugitives : fuites de fluides frigorigènes, fuites gaz naturel, SF6
⚠️ Ne PAS inclure l'énergie achetée (électricité, chaleur) → Scope 2.</t>
      </text>
    </comment>
  </commentList>
</comments>
</file>

<file path=xl/comments/comment3.xml><?xml version="1.0" encoding="utf-8"?>
<comments xmlns="http://schemas.openxmlformats.org/spreadsheetml/2006/main">
  <authors>
    <author>tc={75FDCBCC-41EB-4E94-9396-FE8982673A50}</author>
  </authors>
  <commentList>
    <comment ref="A1"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SCOPE 2 — ÉMISSIONS INDIRECTES ÉNERGIE
Double reporting obligatoire GHG Protocol Scope 2 Guidance (2015) :
• Location-based (LB) : FE du réseau physique de la région (ex. France : ~60 gCO2/kWh 2023)
• Market-based (MB) : FE des instruments contractuels (PPA, GO, tarif vert)
Si aucun contrat spécifique → MB = mix résiduel (souvent &gt; LB pour la France).
Pour le reporting : utiliser LB comme chiffre principal, MB en additionnel.
Réf. : ESRS E1-5 §38 / GHG Protocol Scope 2 Guidance §5.</t>
      </text>
    </comment>
  </commentList>
</comments>
</file>

<file path=xl/comments/comment4.xml><?xml version="1.0" encoding="utf-8"?>
<comments xmlns="http://schemas.openxmlformats.org/spreadsheetml/2006/main">
  <authors>
    <author>tc={DAEF7231-4624-482F-A219-6134A494E25E}</author>
  </authors>
  <commentList>
    <comment ref="A1"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SCOPE 3 — CHAÎNE DE VALEUR
15 catégories standardisées GHG Protocol Corporate Value Chain Standard (2011).
⬆️ AMONT (Cat. 1-8) : émissions liées à la production de biens/services achetés
⬇️ AVAL (Cat. 9-15) : émissions liées à l'utilisation et fin de vie de vos produits
⚠️ L'entreprise doit inclure TOUTES les catégories significatives (&gt; 1% du total S3 = significatif).
Justification requise pour chaque catégorie exclue.
Réf. : GHG Protocol S3 Standard §3.1 + ESRS E1-6 §45.</t>
      </text>
    </comment>
  </commentList>
</comments>
</file>

<file path=xl/comments/comment5.xml><?xml version="1.0" encoding="utf-8"?>
<comments xmlns="http://schemas.openxmlformats.org/spreadsheetml/2006/main">
  <authors>
    <author>tc={D10F11AC-F343-4D31-A4F0-FEBAD818DA42}</author>
    <author>tc={A3B93AAB-7C3F-4694-8968-E89062791342}</author>
    <author>tc={BCF8E96A-3E6B-4E01-BC26-83ACCC6117A2}</author>
    <author>tc={FC06AF36-FA3A-47CD-BB7B-002A6BD633AE}</author>
    <author>tc={FBDC5450-06A4-475F-B56B-B5738963B80B}</author>
  </authors>
  <commentList>
    <comment ref="E6"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INCERTITUDE (% — saisie manuelle)
Pourcentage d'incertitude estimé pour cette ligne d'émission.
Valeurs par défaut ADEME :
• Mesure directe (compteur) : ±5-10%
• Factures fournisseur : ±5-15%
• Estimation km : ±15-30%
• Données monétaires : ±50-80%
Ces valeurs alimentent l'onglet Incertitudes pour la propagation quadratique ISO 14064-1 §9.2.</t>
      </text>
    </comment>
    <comment ref="C10" authorId="1"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TOTAL SCOPE 1
Résultat automatique depuis l'onglet Scope_1.
⚠️ Ne pas modifier cette cellule — elle est protégée.
Pour mettre à jour, modifier les données dans Scope_1.</t>
      </text>
    </comment>
    <comment ref="C15" authorId="2"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SCOPE 2 LOCATION-BASED
Bilans réels du réseau physique. Référence pour le suivi des émissions absolues et le calcul de l'intensité.
Source : Scope_2!H16 (total électricité LB) + Scope_2!H29 (chaleur/vapeur).</t>
      </text>
    </comment>
    <comment ref="C47" authorId="3"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TOTAL BILAN GES (tCO2e)
Somme Scope 1 + Scope 2 (Location-based) + Scope 3.
C'est le chiffre principal pour les reportings CSRD, BEGES, SBTi.
⚠️ Pour SBTi : utiliser Scope 2 Location-based (pas MB) pour le dénominateur.
Pour le rapport annuel : afficher avec ±incertitude (voir onglet Incertitudes).
Réf. : ESRS E1-6 §44-48 / GHG Protocol §4.2.</t>
      </text>
    </comment>
    <comment ref="C50" authorId="4"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INTENSITÉ CARBONE / CA
Indicateur : tCO2e par million d'euros de CA net.
Permet la comparaison sectorielle et le suivi découplage croissance/émissions.
Réf. : ESRS E1-6 §48c / TCFD Guidance — intensité économique.</t>
      </text>
    </comment>
  </commentList>
</comments>
</file>

<file path=xl/comments/comment6.xml><?xml version="1.0" encoding="utf-8"?>
<comments xmlns="http://schemas.openxmlformats.org/spreadsheetml/2006/main">
  <authors>
    <author>tc={977C262B-0234-409C-BA03-7AD6752FC979}</author>
    <author>tc={05F9301C-509B-4279-9352-4CD0596EB794}</author>
    <author>tc={ABC47E3B-6D4B-443C-81F8-7880F905B607}</author>
  </authors>
  <commentList>
    <comment ref="B4"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ANNÉE DE RÉFÉRENCE (BASELINE)
Année à partir de laquelle commence la trajectoire de réduction SBTi.
SBTi recommande : choisir une année avec données fiables, dans les 5 dernières années.
Une fois choisie et soumise à SBTi, elle ne peut plus être changée sans rebasement.
Réf. : SBTi Corporate Net-Zero Standard v1.1, §5.2.</t>
      </text>
    </comment>
    <comment ref="B8" authorId="1"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TAUX DE RÉDUCTION SCOPE 1+2 (%/an)
Minimum SBTi pour trajectoire 1.5°C : 4.2%/an.
Minimum SBTi pour trajectoire bien en-dessous 2°C : 2.5%/an.
⚠️ Ce taux s'applique sur les émissions absolues (Scope 1 + Scope 2), pas sur l'intensité.
Réf. : SBTi Corporate Net-Zero Standard v1.1, Annexe C.</t>
      </text>
    </comment>
    <comment ref="B9" authorId="2"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TAUX DE RÉDUCTION SCOPE 3 (%/an)
Minimum SBTi : 2.5%/an (all-sector pathway).
Considéré valide uniquement si S3 &gt; 40% des émissions totales S1+S2+S3.
Si S3 &lt; 40% → obligation couvrir S1+2 uniquement.
Réf. : SBTi Corporate Net-Zero Standard v1.1, §5.3.</t>
      </text>
    </comment>
  </commentList>
</comments>
</file>

<file path=xl/comments/comment7.xml><?xml version="1.0" encoding="utf-8"?>
<comments xmlns="http://schemas.openxmlformats.org/spreadsheetml/2006/main">
  <authors>
    <author>tc={EC80CA6A-B3CC-4C1E-A7C2-52A5E3927EB3}</author>
  </authors>
  <commentList>
    <comment ref="A1"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ESRS E1 — CHANGEMENT CLIMATIQUE
Data requirements du règlement délégué (UE) 2023/2772.
Disclsoure Requirements (DR) :
• E1-1 : Plan de transition
• E1-2 : Politiques d'atténuation
• E1-3 : Actions et ressources
• E1-4 : Objectifs de réduction
• E1-5 : Consommation d'énergie
• E1-6 : Émissions brutes S1/S2/S3
• E1-7 : Émissions absorbées (puits)
• E1-8 : Financement interne carbone
• E1-9 : Risques physiques
Assurance limitée requise sur E1-6 dès 2025 (1ère vague).</t>
      </text>
    </comment>
  </commentList>
</comments>
</file>

<file path=xl/comments/comment8.xml><?xml version="1.0" encoding="utf-8"?>
<comments xmlns="http://schemas.openxmlformats.org/spreadsheetml/2006/main">
  <authors>
    <author>tc={1E558A4F-608A-4181-B3DA-3DCAD8D2BF80}</author>
    <author>tc={E99078F4-DC5C-4338-8E8C-C0894A6A1B81}</author>
  </authors>
  <commentList>
    <comment ref="E6"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INCERTITUDE COMBINÉE (%)
Formule : √(u_DA² + u_FE²)
Où :
• u_DA = incertitude donnée d'activité (%)
• u_FE = incertitude facteur d'émission (%)
Cette formule suppose l'indépendance statistique des deux sources d'erreur.
Réf. : ISO 14064-1:2018 §9.2.3 / IPCC Good Practice Guidance §6.3.</t>
      </text>
    </comment>
    <comment ref="E35" authorId="1"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INCERTITUDE TOTALE DU BILAN (%)
Propagation quadratique : √(Σ(εᵢ × uᵢ)²) / Σεᵢ
Où εᵢ = émissions de la catégorie i, uᵢ = incertitude combinée de la catégorie i.
Interprétation :
&lt; 20% → assurance raisonnable possible
20-50% → assurance limitée standard
&gt; 50% → améliorer la qualité des données avant audit
Réf. : ISO 14064-1:2018 §9.2 / ADEME Guide Méthode §5.</t>
      </text>
    </comment>
  </commentList>
</comments>
</file>

<file path=xl/comments/comment9.xml><?xml version="1.0" encoding="utf-8"?>
<comments xmlns="http://schemas.openxmlformats.org/spreadsheetml/2006/main">
  <authors>
    <author>tc={7C78A585-0619-455D-A8B1-74EE13B60AB4}</author>
    <author>tc={3809BD07-6DB9-4255-ADDF-79B1D3FD8DE3}</author>
  </authors>
  <commentList>
    <comment ref="G6"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ROI CARBONE (€/tCO2e évitée)
Formule : Investissement total (€) / Réduction annuelle ciblée (tCO2e/an)
Interprétation :
&lt; 50€/t → Très rentable — priorité haute
50-150€/t → Rentable au prix carbone interne recommandé
150-500€/t → Acceptable pour les engagements SBTi
&gt; 500€/t → Coûteux — envisager des alternatives
⚠️ Ce calcul ne tient pas compte de l'actualisation sur plusieurs années.</t>
      </text>
    </comment>
    <comment ref="C20" authorId="1"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PRIX CARBONE INTERNE (€/tCO2e)
Prix fictif utilisé pour évaluer les projets de décarbonation et prendre des décisions d'investissement.
Repères :
• Niveau plancher SBTi recommandé : 50-100€ (2025)
• Commission High-Level on Carbon Prices : 100-200€ (2030)
• Régulation EU ETS actuelle : ~60-70€ (2024)
Bonne pratique : utiliser 100€ comme valeur plancher dès maintenant.
Réf. : ESRS E1-8 §54 — 'Internal carbon pricing mechanism'.</t>
      </text>
    </comment>
  </commentList>
</comments>
</file>

<file path=xl/comments/comment10.xml><?xml version="1.0" encoding="utf-8"?>
<comments xmlns="http://schemas.openxmlformats.org/spreadsheetml/2006/main">
  <authors>
    <author>tc={5A9893CA-D2A2-48DF-8F14-2766BAFACC1B}</author>
  </authors>
  <commentList>
    <comment ref="A23" authorId="0" shapeId="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 CONTRÔLE QUALITÉ AUTOMATIQUE
Ce bandeau synthétise les 30 contrôles de l'onglet _Controles_Qualite.
✓ OK : contrôle réussi
⚠️ Alerte : point d'attention (non bloquant)
✗ Erreur : problème à corriger avant soumission
Cliquer sur '_Controles_Qualite' dans le Sommaire pour le détail de chaque contrôle.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0</colOff>
      <row>44</row>
      <rowOff>0</rowOff>
    </from>
    <to>
      <col>5</col>
      <colOff>0</colOff>
      <row>61</row>
      <rowOff>95250</rowOff>
    </to>
    <graphicFrame>
      <nvGraphicFramePr>
        <cNvPr id="1" name="Chart 1"/>
        <cNvGraphicFramePr/>
      </nvGraphicFramePr>
      <xfrm/>
      <a:graphic>
        <a:graphicData uri="http://schemas.openxmlformats.org/drawingml/2006/chart">
          <c:chart r:id="rId1"/>
        </a:graphicData>
      </a:graphic>
    </graphicFrame>
    <clientData/>
  </twoCellAnchor>
  <twoCellAnchor>
    <from>
      <col>5</col>
      <colOff>0</colOff>
      <row>45</row>
      <rowOff>0</rowOff>
    </from>
    <to>
      <col>12</col>
      <colOff>0</colOff>
      <row>62</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0</colOff>
      <row>62</row>
      <rowOff>0</rowOff>
    </from>
    <to>
      <col>5</col>
      <colOff>0</colOff>
      <row>79</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5</col>
      <colOff>0</colOff>
      <row>62</row>
      <rowOff>0</rowOff>
    </from>
    <to>
      <col>12</col>
      <colOff>0</colOff>
      <row>79</row>
      <rowOff>0</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12</col>
      <colOff>88900</colOff>
      <row>0</row>
      <rowOff>0</rowOff>
    </from>
    <to>
      <col>19</col>
      <colOff>469900</colOff>
      <row>17</row>
      <rowOff>133350</rowOff>
    </to>
    <graphicFrame>
      <nvGraphicFramePr>
        <cNvPr id="1" name="Chart 1"/>
        <cNvGraphicFramePr/>
      </nvGraphicFramePr>
      <xfrm/>
      <a:graphic>
        <a:graphicData uri="http://schemas.openxmlformats.org/drawingml/2006/chart">
          <c:chart r:id="rId1"/>
        </a:graphicData>
      </a:graphic>
    </graphicFrame>
    <clientData/>
  </twoCellAnchor>
  <twoCellAnchor>
    <from>
      <col>12</col>
      <colOff>88900</colOff>
      <row>18</row>
      <rowOff>69850</rowOff>
    </from>
    <to>
      <col>19</col>
      <colOff>469900</colOff>
      <row>43</row>
      <rowOff>104775</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2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2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2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25.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40.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theme="0" tint="-0.499984740745262"/>
    <outlinePr summaryBelow="1" summaryRight="1"/>
    <pageSetUpPr/>
  </sheetPr>
  <dimension ref="A1:D40"/>
  <sheetViews>
    <sheetView showGridLines="0" showRowColHeaders="0" workbookViewId="0">
      <selection activeCell="C13" sqref="C13"/>
    </sheetView>
  </sheetViews>
  <sheetFormatPr baseColWidth="10" defaultRowHeight="15"/>
  <cols>
    <col width="3.42578125" customWidth="1" style="847" min="1" max="1"/>
    <col width="38.140625" customWidth="1" style="847" min="2" max="3"/>
    <col width="3.42578125" customWidth="1" style="847" min="4" max="4"/>
  </cols>
  <sheetData>
    <row r="1" ht="20.1" customHeight="1" s="847">
      <c r="A1" s="865" t="n"/>
      <c r="B1" s="865" t="n"/>
      <c r="C1" s="865" t="n"/>
      <c r="D1" s="865" t="n"/>
    </row>
    <row r="2" ht="20.1" customHeight="1" s="847">
      <c r="A2" s="865" t="n"/>
      <c r="B2" s="865" t="n"/>
      <c r="C2" s="865" t="n"/>
      <c r="D2" s="865" t="n"/>
    </row>
    <row r="3" ht="20.1" customHeight="1" s="847">
      <c r="A3" s="865" t="n"/>
      <c r="B3" s="865" t="n"/>
      <c r="C3" s="865" t="n"/>
      <c r="D3" s="865" t="n"/>
    </row>
    <row r="4" ht="60" customHeight="1" s="847">
      <c r="A4" s="855" t="n"/>
      <c r="B4" s="856" t="inlineStr">
        <is>
          <t>🌍  CarbonCo</t>
        </is>
      </c>
      <c r="C4" s="868" t="n"/>
      <c r="D4" s="855" t="n"/>
    </row>
    <row r="5" ht="15.95" customHeight="1" s="847">
      <c r="A5" s="855" t="n"/>
      <c r="B5" s="857" t="inlineStr">
        <is>
          <t>Plateforme de Calcul Carbone &amp; Reporting ESG</t>
        </is>
      </c>
      <c r="C5" s="868" t="n"/>
      <c r="D5" s="855" t="n"/>
    </row>
    <row r="6" ht="50.1" customHeight="1" s="847">
      <c r="A6" s="855" t="n"/>
      <c r="B6" s="858" t="inlineStr">
        <is>
          <t>BILAN D'ÉMISSIONS DE GAZ À EFFET DE SERRE</t>
        </is>
      </c>
      <c r="C6" s="868" t="n"/>
      <c r="D6" s="855" t="n"/>
    </row>
    <row r="7" ht="30" customHeight="1" s="847">
      <c r="A7" s="855" t="n"/>
      <c r="B7" s="859" t="inlineStr">
        <is>
          <t>Conforme GHG Protocol Corporate Standard  |  ISO 14064-1:2018  |  ESRS E1 (CSRD)</t>
        </is>
      </c>
      <c r="C7" s="868" t="n"/>
      <c r="D7" s="855" t="n"/>
    </row>
    <row r="8" ht="20.1" customHeight="1" s="847">
      <c r="A8" s="855" t="n"/>
      <c r="B8" s="855" t="n"/>
      <c r="C8" s="855" t="n"/>
      <c r="D8" s="855" t="n"/>
    </row>
    <row r="9" ht="3.95" customHeight="1" s="847">
      <c r="A9" s="855" t="n"/>
      <c r="B9" s="865" t="n"/>
      <c r="C9" s="865" t="n"/>
      <c r="D9" s="855" t="n"/>
    </row>
    <row r="10" ht="15.95" customHeight="1" s="847">
      <c r="A10" s="855" t="n"/>
      <c r="B10" s="855" t="n"/>
      <c r="C10" s="855" t="n"/>
      <c r="D10" s="855" t="n"/>
    </row>
    <row r="11" ht="30" customHeight="1" s="847">
      <c r="A11" s="855" t="n"/>
      <c r="B11" s="860" t="inlineStr">
        <is>
          <t>INFORMATIONS DE L'ENTREPRISE</t>
        </is>
      </c>
      <c r="C11" s="868" t="n"/>
      <c r="D11" s="855" t="n"/>
    </row>
    <row r="12" ht="26.1" customHeight="1" s="847">
      <c r="A12" s="855" t="n"/>
      <c r="B12" s="249" t="inlineStr">
        <is>
          <t>Raison sociale</t>
        </is>
      </c>
      <c r="C12" s="253">
        <f>IF(Paramètres!B4="","À compléter",Paramètres!B4)</f>
        <v/>
      </c>
      <c r="D12" s="855" t="n"/>
    </row>
    <row r="13" ht="26.1" customHeight="1" s="847">
      <c r="A13" s="855" t="n"/>
      <c r="B13" s="250" t="inlineStr">
        <is>
          <t>SIREN / SIRET</t>
        </is>
      </c>
      <c r="C13" s="254">
        <f>IF(Paramètres!B5="","À compléter",Paramètres!B5)</f>
        <v/>
      </c>
      <c r="D13" s="855" t="n"/>
    </row>
    <row r="14" ht="26.1" customHeight="1" s="847">
      <c r="A14" s="855" t="n"/>
      <c r="B14" s="249" t="inlineStr">
        <is>
          <t>Secteur d'activité</t>
        </is>
      </c>
      <c r="C14" s="253">
        <f>IF(Paramètres!B6="","À compléter",Paramètres!B6)</f>
        <v/>
      </c>
      <c r="D14" s="855" t="n"/>
    </row>
    <row r="15" ht="26.1" customHeight="1" s="847">
      <c r="A15" s="855" t="n"/>
      <c r="B15" s="250" t="inlineStr">
        <is>
          <t>Exercice de reporting</t>
        </is>
      </c>
      <c r="C15" s="254">
        <f>Paramètres!B8</f>
        <v/>
      </c>
      <c r="D15" s="855" t="n"/>
    </row>
    <row r="16" ht="26.1" customHeight="1" s="847">
      <c r="A16" s="855" t="n"/>
      <c r="B16" s="249" t="inlineStr">
        <is>
          <t>Année de reporting</t>
        </is>
      </c>
      <c r="C16" s="255">
        <f>Paramètres!B7</f>
        <v/>
      </c>
      <c r="D16" s="855" t="n"/>
    </row>
    <row r="17" ht="26.1" customHeight="1" s="847">
      <c r="A17" s="855" t="n"/>
      <c r="B17" s="250" t="inlineStr">
        <is>
          <t>Chiffre d'affaires (M€)</t>
        </is>
      </c>
      <c r="C17" s="254">
        <f>IF(Paramètres!B9=0,"À compléter",TEXT(Paramètres!B9/1000000,"#,##0.0"))</f>
        <v/>
      </c>
      <c r="D17" s="855" t="n"/>
    </row>
    <row r="18" ht="26.1" customHeight="1" s="847">
      <c r="A18" s="855" t="n"/>
      <c r="B18" s="249" t="inlineStr">
        <is>
          <t>Effectifs (ETP)</t>
        </is>
      </c>
      <c r="C18" s="253">
        <f>IF(Paramètres!B11=0,"À compléter",Paramètres!B11)</f>
        <v/>
      </c>
      <c r="D18" s="855" t="n"/>
    </row>
    <row r="19" ht="26.1" customHeight="1" s="847">
      <c r="A19" s="855" t="n"/>
      <c r="B19" s="250" t="inlineStr">
        <is>
          <t>Version du fichier</t>
        </is>
      </c>
      <c r="C19" s="254">
        <f>Paramètres!B74</f>
        <v/>
      </c>
      <c r="D19" s="855" t="n"/>
    </row>
    <row r="20" ht="26.1" customHeight="1" s="847">
      <c r="A20" s="855" t="n"/>
      <c r="B20" s="249" t="inlineStr">
        <is>
          <t>Date de génération</t>
        </is>
      </c>
      <c r="C20" s="256">
        <f>TODAY()</f>
        <v/>
      </c>
      <c r="D20" s="855" t="n"/>
    </row>
    <row r="21" ht="26.1" customHeight="1" s="847">
      <c r="A21" s="855" t="n"/>
      <c r="B21" s="250" t="inlineStr">
        <is>
          <t>Responsable BEGES</t>
        </is>
      </c>
      <c r="C21" s="251" t="inlineStr">
        <is>
          <t>À compléter</t>
        </is>
      </c>
      <c r="D21" s="855" t="n"/>
    </row>
    <row r="22" ht="26.1" customHeight="1" s="847">
      <c r="A22" s="855" t="n"/>
      <c r="B22" s="249" t="inlineStr">
        <is>
          <t>Validé par</t>
        </is>
      </c>
      <c r="C22" s="252" t="inlineStr">
        <is>
          <t>À compléter</t>
        </is>
      </c>
      <c r="D22" s="855" t="n"/>
    </row>
    <row r="23" ht="18" customHeight="1" s="847">
      <c r="A23" s="855" t="n"/>
      <c r="B23" s="855" t="n"/>
      <c r="C23" s="855" t="n"/>
      <c r="D23" s="855" t="n"/>
    </row>
    <row r="24" ht="18" customHeight="1" s="847">
      <c r="A24" s="855" t="n"/>
      <c r="B24" s="855" t="n"/>
      <c r="C24" s="855" t="n"/>
      <c r="D24" s="855" t="n"/>
    </row>
    <row r="25" ht="18" customHeight="1" s="847">
      <c r="A25" s="855" t="n"/>
      <c r="B25" s="855" t="n"/>
      <c r="C25" s="855" t="n"/>
      <c r="D25" s="855" t="n"/>
    </row>
    <row r="26" ht="27.95" customHeight="1" s="847">
      <c r="A26" s="855" t="n"/>
      <c r="B26" s="854" t="inlineStr">
        <is>
          <t>✅  GHG Protocol Corporate Standard (WRI/WBCSD 2004)</t>
        </is>
      </c>
      <c r="C26" s="868" t="n"/>
      <c r="D26" s="855" t="n"/>
    </row>
    <row r="27" ht="27.95" customHeight="1" s="847">
      <c r="A27" s="855" t="n"/>
      <c r="B27" s="861" t="inlineStr">
        <is>
          <t>✅  ISO 14064-1:2018 — Quantification et déclaration des émissions de GES</t>
        </is>
      </c>
      <c r="C27" s="868" t="n"/>
      <c r="D27" s="855" t="n"/>
    </row>
    <row r="28" ht="27.95" customHeight="1" s="847">
      <c r="A28" s="855" t="n"/>
      <c r="B28" s="862" t="inlineStr">
        <is>
          <t>✅  ESRS E1 (CSRD) — Delegated Regulation (EU) 2023/2772</t>
        </is>
      </c>
      <c r="C28" s="868" t="n"/>
      <c r="D28" s="855" t="n"/>
    </row>
    <row r="29" ht="18" customHeight="1" s="847">
      <c r="A29" s="855" t="n"/>
      <c r="B29" s="855" t="n"/>
      <c r="C29" s="855" t="n"/>
      <c r="D29" s="855" t="n"/>
    </row>
    <row r="30" ht="18" customHeight="1" s="847">
      <c r="A30" s="855" t="n"/>
      <c r="B30" s="855" t="n"/>
      <c r="C30" s="855" t="n"/>
      <c r="D30" s="855" t="n"/>
    </row>
    <row r="31" ht="18" customHeight="1" s="847">
      <c r="A31" s="855" t="n"/>
      <c r="B31" s="855" t="n"/>
      <c r="C31" s="855" t="n"/>
      <c r="D31" s="855" t="n"/>
    </row>
    <row r="32" ht="32.1" customHeight="1" s="847">
      <c r="A32" s="855" t="n"/>
      <c r="B32" s="863" t="inlineStr">
        <is>
          <t>📋  ACCÉDER AU SOMMAIRE  →</t>
        </is>
      </c>
      <c r="C32" s="868" t="n"/>
      <c r="D32" s="855" t="n"/>
    </row>
    <row r="33" ht="18" customHeight="1" s="847">
      <c r="A33" s="855" t="n"/>
      <c r="B33" s="855" t="n"/>
      <c r="C33" s="855" t="n"/>
      <c r="D33" s="855" t="n"/>
    </row>
    <row r="34" ht="18" customHeight="1" s="847">
      <c r="A34" s="855" t="n"/>
      <c r="B34" s="855" t="n"/>
      <c r="C34" s="855" t="n"/>
      <c r="D34" s="855" t="n"/>
    </row>
    <row r="35" ht="18" customHeight="1" s="847">
      <c r="A35" s="855" t="n"/>
      <c r="B35" s="855" t="n"/>
      <c r="C35" s="855" t="n"/>
      <c r="D35" s="855" t="n"/>
    </row>
    <row r="36" ht="24" customHeight="1" s="847">
      <c r="A36" s="865" t="n"/>
      <c r="B36" s="864" t="inlineStr">
        <is>
          <t>🔒  Document confidentiel — Usage interne uniquement</t>
        </is>
      </c>
      <c r="C36" s="868" t="n"/>
      <c r="D36" s="865" t="n"/>
    </row>
    <row r="37" ht="20.1" customHeight="1" s="847">
      <c r="A37" s="865" t="n"/>
      <c r="B37" s="866">
        <f>"CarbonCo — BEGES v2.0 — Exercice "&amp;Paramètres!B7&amp;" — Mise à jour "&amp;DAY(TODAY())&amp;"/"&amp;MONTH(TODAY())&amp;"/"&amp;YEAR(TODAY())</f>
        <v/>
      </c>
      <c r="D37" s="865" t="n"/>
    </row>
    <row r="38" ht="14.1" customHeight="1" s="847">
      <c r="A38" s="855" t="n"/>
      <c r="B38" s="855" t="n"/>
      <c r="C38" s="855" t="n"/>
      <c r="D38" s="855" t="n"/>
    </row>
    <row r="39">
      <c r="A39" s="855" t="n"/>
      <c r="B39" s="855" t="n"/>
      <c r="C39" s="855" t="n"/>
      <c r="D39" s="855" t="n"/>
    </row>
    <row r="40">
      <c r="A40" s="855" t="n"/>
      <c r="B40" s="855" t="n"/>
      <c r="C40" s="855" t="n"/>
      <c r="D40" s="855" t="n"/>
    </row>
  </sheetData>
  <sheetProtection selectLockedCells="0" selectUnlockedCells="0" sheet="1" objects="1" insertRows="1" insertHyperlinks="1" autoFilter="1" scenarios="1" formatColumns="1" deleteColumns="1" insertColumns="1" pivotTables="1" deleteRows="1" formatCells="1" formatRows="1" sort="1"/>
  <mergeCells count="11">
    <mergeCell ref="B6:C6"/>
    <mergeCell ref="B7:C7"/>
    <mergeCell ref="B11:C11"/>
    <mergeCell ref="B5:C5"/>
    <mergeCell ref="B37:C37"/>
    <mergeCell ref="B28:C28"/>
    <mergeCell ref="B36:C36"/>
    <mergeCell ref="B32:C32"/>
    <mergeCell ref="B26:C26"/>
    <mergeCell ref="B27:C27"/>
    <mergeCell ref="B4:C4"/>
  </mergeCells>
  <hyperlinks>
    <hyperlink ref="B32" location="Sommaire!A1" display="📋  ACCÉDER AU SOMMAIRE  →"/>
  </hyperlinks>
  <pageMargins left="0.7" right="0.7" top="0.75" bottom="0.75" header="0.3" footer="0.3"/>
</worksheet>
</file>

<file path=xl/worksheets/sheet2.xml><?xml version="1.0" encoding="utf-8"?>
<worksheet xmlns="http://schemas.openxmlformats.org/spreadsheetml/2006/main">
  <sheetPr>
    <tabColor theme="0" tint="-0.499984740745262"/>
    <outlinePr summaryBelow="1" summaryRight="1"/>
    <pageSetUpPr/>
  </sheetPr>
  <dimension ref="A1:G52"/>
  <sheetViews>
    <sheetView showGridLines="0" showRowColHeaders="0" workbookViewId="0">
      <selection activeCell="A1" sqref="A1"/>
    </sheetView>
  </sheetViews>
  <sheetFormatPr baseColWidth="10" defaultRowHeight="15"/>
  <cols>
    <col width="2.7109375" customWidth="1" style="847" min="1" max="1"/>
    <col width="7.28515625" customWidth="1" style="847" min="2" max="2"/>
    <col width="33.28515625" customWidth="1" style="847" min="3" max="3"/>
    <col width="45.7109375" customWidth="1" style="847" min="4" max="4"/>
    <col width="21" customWidth="1" style="847" min="5" max="5"/>
    <col width="17.140625" customWidth="1" style="847" min="6" max="6"/>
    <col width="2.7109375" customWidth="1" style="847" min="7" max="7"/>
  </cols>
  <sheetData>
    <row r="1" ht="15.95" customHeight="1" s="847">
      <c r="A1" s="865" t="n"/>
      <c r="B1" s="865" t="n"/>
      <c r="C1" s="865" t="n"/>
      <c r="D1" s="865" t="n"/>
      <c r="E1" s="865" t="n"/>
      <c r="F1" s="865" t="n"/>
      <c r="G1" s="865" t="n"/>
    </row>
    <row r="2" ht="15.95" customHeight="1" s="847">
      <c r="A2" s="865" t="n"/>
      <c r="B2" s="865" t="n"/>
      <c r="C2" s="865" t="n"/>
      <c r="D2" s="865" t="n"/>
      <c r="E2" s="865" t="n"/>
      <c r="F2" s="865" t="n"/>
      <c r="G2" s="865" t="n"/>
    </row>
    <row r="3" ht="15.95" customHeight="1" s="847">
      <c r="A3" s="865" t="n"/>
      <c r="B3" s="865" t="n"/>
      <c r="C3" s="865" t="n"/>
      <c r="D3" s="865" t="n"/>
      <c r="E3" s="865" t="n"/>
      <c r="F3" s="865" t="n"/>
      <c r="G3" s="865" t="n"/>
    </row>
    <row r="4" ht="39.95" customHeight="1" s="847">
      <c r="A4" s="855" t="n"/>
      <c r="B4" s="870" t="inlineStr">
        <is>
          <t>SOMMAIRE — BILAN D'ÉMISSIONS DE GAZ À EFFET DE SERRE</t>
        </is>
      </c>
      <c r="C4" s="868" t="n"/>
      <c r="D4" s="868" t="n"/>
      <c r="E4" s="868" t="n"/>
      <c r="F4" s="868" t="n"/>
      <c r="G4" s="855" t="n"/>
    </row>
    <row r="5" ht="21.95" customHeight="1" s="847">
      <c r="A5" s="855" t="n"/>
      <c r="B5" s="871" t="inlineStr">
        <is>
          <t>CarbonCo — Outil de calcul carbone  |  Cliquez sur le nom d'un onglet pour y accéder directement</t>
        </is>
      </c>
      <c r="C5" s="868" t="n"/>
      <c r="D5" s="868" t="n"/>
      <c r="E5" s="868" t="n"/>
      <c r="F5" s="868" t="n"/>
      <c r="G5" s="855" t="n"/>
    </row>
    <row r="6" ht="12" customHeight="1" s="847">
      <c r="A6" s="855" t="n"/>
      <c r="B6" s="855" t="n"/>
      <c r="C6" s="855" t="n"/>
      <c r="D6" s="855" t="n"/>
      <c r="E6" s="855" t="n"/>
      <c r="F6" s="855" t="n"/>
      <c r="G6" s="855" t="n"/>
    </row>
    <row r="7" ht="26.1" customHeight="1" s="847" thickBot="1">
      <c r="A7" s="855" t="n"/>
      <c r="B7" s="257" t="n"/>
      <c r="C7" s="257" t="inlineStr">
        <is>
          <t>Onglet</t>
        </is>
      </c>
      <c r="D7" s="257" t="inlineStr">
        <is>
          <t>Description</t>
        </is>
      </c>
      <c r="E7" s="257" t="inlineStr">
        <is>
          <t>Catégorie</t>
        </is>
      </c>
      <c r="F7" s="257" t="inlineStr">
        <is>
          <t>Statut</t>
        </is>
      </c>
      <c r="G7" s="855" t="n"/>
    </row>
    <row r="8" ht="20.1" customHeight="1" s="847">
      <c r="A8" s="855" t="n"/>
      <c r="B8" s="872" t="inlineStr">
        <is>
          <t>NAVIGATION &amp; CONFIGURATION</t>
        </is>
      </c>
      <c r="C8" s="873" t="n"/>
      <c r="D8" s="873" t="n"/>
      <c r="E8" s="873" t="n"/>
      <c r="F8" s="873" t="n"/>
      <c r="G8" s="855" t="n"/>
    </row>
    <row r="9" ht="24" customHeight="1" s="847">
      <c r="A9" s="855" t="n"/>
      <c r="B9" s="258" t="inlineStr">
        <is>
          <t>🏠</t>
        </is>
      </c>
      <c r="C9" s="259" t="inlineStr">
        <is>
          <t>Couverture</t>
        </is>
      </c>
      <c r="D9" s="260" t="inlineStr">
        <is>
          <t>Page de garde — Informations entreprise &amp; conformité</t>
        </is>
      </c>
      <c r="E9" s="261" t="inlineStr">
        <is>
          <t>Navigation</t>
        </is>
      </c>
      <c r="F9" s="262" t="inlineStr">
        <is>
          <t>⬜ À remplir</t>
        </is>
      </c>
      <c r="G9" s="855" t="n"/>
    </row>
    <row r="10" ht="24" customHeight="1" s="847">
      <c r="A10" s="855" t="n"/>
      <c r="B10" s="263" t="inlineStr">
        <is>
          <t>📋</t>
        </is>
      </c>
      <c r="C10" s="264" t="inlineStr">
        <is>
          <t>Guide</t>
        </is>
      </c>
      <c r="D10" s="265" t="inlineStr">
        <is>
          <t>Mode d'emploi, ordre de remplissage, légende, références</t>
        </is>
      </c>
      <c r="E10" s="261" t="inlineStr">
        <is>
          <t>Navigation</t>
        </is>
      </c>
      <c r="F10" s="266" t="inlineStr">
        <is>
          <t>⬜ À remplir</t>
        </is>
      </c>
      <c r="G10" s="855" t="n"/>
    </row>
    <row r="11" ht="24" customHeight="1" s="847">
      <c r="A11" s="855" t="n"/>
      <c r="B11" s="263" t="inlineStr">
        <is>
          <t>📖</t>
        </is>
      </c>
      <c r="C11" s="264" t="inlineStr">
        <is>
          <t>Notes_Methodologiques</t>
        </is>
      </c>
      <c r="D11" s="265" t="inlineStr">
        <is>
          <t>Sources données, hypothèses, exclusions, changements méthodo</t>
        </is>
      </c>
      <c r="E11" s="267" t="inlineStr">
        <is>
          <t>Documentation</t>
        </is>
      </c>
      <c r="F11" s="268" t="inlineStr">
        <is>
          <t>À compléter</t>
        </is>
      </c>
      <c r="G11" s="855" t="n"/>
    </row>
    <row r="12" ht="24" customHeight="1" s="847">
      <c r="A12" s="855" t="n"/>
      <c r="B12" s="258" t="inlineStr">
        <is>
          <t>⚙️</t>
        </is>
      </c>
      <c r="C12" s="259" t="inlineStr">
        <is>
          <t>Paramètres</t>
        </is>
      </c>
      <c r="D12" s="260" t="inlineStr">
        <is>
          <t>Configuration entreprise, périmètre, méthodologie, versioning</t>
        </is>
      </c>
      <c r="E12" s="269" t="inlineStr">
        <is>
          <t>Configuration</t>
        </is>
      </c>
      <c r="F12" s="262" t="inlineStr">
        <is>
          <t>⬜ À remplir</t>
        </is>
      </c>
      <c r="G12" s="855" t="n"/>
    </row>
    <row r="13">
      <c r="A13" s="855" t="n"/>
      <c r="B13" s="855" t="n"/>
      <c r="C13" s="855" t="n"/>
      <c r="D13" s="855" t="n"/>
      <c r="E13" s="855" t="n"/>
      <c r="F13" s="855" t="n"/>
      <c r="G13" s="855" t="n"/>
    </row>
    <row r="14" ht="20.1" customHeight="1" s="847">
      <c r="A14" s="855" t="n"/>
      <c r="B14" s="867" t="inlineStr">
        <is>
          <t>COLLECTE DES DONNÉES</t>
        </is>
      </c>
      <c r="C14" s="868" t="n"/>
      <c r="D14" s="868" t="n"/>
      <c r="E14" s="868" t="n"/>
      <c r="F14" s="868" t="n"/>
      <c r="G14" s="855" t="n"/>
    </row>
    <row r="15" ht="24" customHeight="1" s="847">
      <c r="A15" s="855" t="n"/>
      <c r="B15" s="263" t="inlineStr">
        <is>
          <t>📘</t>
        </is>
      </c>
      <c r="C15" s="264" t="inlineStr">
        <is>
          <t>Facteurs_Emission</t>
        </is>
      </c>
      <c r="D15" s="265" t="inlineStr">
        <is>
          <t>Base de facteurs d'émission ADEME Base Carbone v23.1</t>
        </is>
      </c>
      <c r="E15" s="270" t="inlineStr">
        <is>
          <t>Référentiel</t>
        </is>
      </c>
      <c r="F15" s="266" t="inlineStr">
        <is>
          <t>⬜ À remplir</t>
        </is>
      </c>
      <c r="G15" s="855" t="n"/>
    </row>
    <row r="16" ht="24" customHeight="1" s="847">
      <c r="A16" s="855" t="n"/>
      <c r="B16" s="258" t="inlineStr">
        <is>
          <t>🔥</t>
        </is>
      </c>
      <c r="C16" s="259" t="inlineStr">
        <is>
          <t>Scope_1</t>
        </is>
      </c>
      <c r="D16" s="260" t="inlineStr">
        <is>
          <t>Émissions directes : combustion fixe, mobile, process, fugitives</t>
        </is>
      </c>
      <c r="E16" s="271" t="inlineStr">
        <is>
          <t>Émissions</t>
        </is>
      </c>
      <c r="F16" s="262" t="inlineStr">
        <is>
          <t>⬜ À remplir</t>
        </is>
      </c>
      <c r="G16" s="855" t="n"/>
    </row>
    <row r="17" ht="24" customHeight="1" s="847">
      <c r="A17" s="855" t="n"/>
      <c r="B17" s="263" t="inlineStr">
        <is>
          <t>⚡</t>
        </is>
      </c>
      <c r="C17" s="264" t="inlineStr">
        <is>
          <t>Scope_2</t>
        </is>
      </c>
      <c r="D17" s="265" t="inlineStr">
        <is>
          <t>Électricité, chaleur, vapeur (location-based &amp; market-based)</t>
        </is>
      </c>
      <c r="E17" s="271" t="inlineStr">
        <is>
          <t>Émissions</t>
        </is>
      </c>
      <c r="F17" s="266" t="inlineStr">
        <is>
          <t>⬜ À remplir</t>
        </is>
      </c>
      <c r="G17" s="855" t="n"/>
    </row>
    <row r="18" ht="24" customHeight="1" s="847">
      <c r="A18" s="855" t="n"/>
      <c r="B18" s="258" t="inlineStr">
        <is>
          <t>🌍</t>
        </is>
      </c>
      <c r="C18" s="259" t="inlineStr">
        <is>
          <t>Scope_3</t>
        </is>
      </c>
      <c r="D18" s="260" t="inlineStr">
        <is>
          <t>Chaîne de valeur — 15 catégories GHG Protocol</t>
        </is>
      </c>
      <c r="E18" s="271" t="inlineStr">
        <is>
          <t>Émissions</t>
        </is>
      </c>
      <c r="F18" s="262" t="inlineStr">
        <is>
          <t>⬜ À remplir</t>
        </is>
      </c>
      <c r="G18" s="855" t="n"/>
    </row>
    <row r="19" ht="24" customHeight="1" s="847">
      <c r="A19" s="855" t="n"/>
      <c r="B19" s="263" t="inlineStr">
        <is>
          <t>💡</t>
        </is>
      </c>
      <c r="C19" s="264" t="inlineStr">
        <is>
          <t>Energie</t>
        </is>
      </c>
      <c r="D19" s="265" t="inlineStr">
        <is>
          <t>Mix énergétique annuel — conformité ESRS E1-5</t>
        </is>
      </c>
      <c r="E19" s="267" t="inlineStr">
        <is>
          <t>Collecte</t>
        </is>
      </c>
      <c r="F19" s="266" t="inlineStr">
        <is>
          <t>⬜ À remplir</t>
        </is>
      </c>
      <c r="G19" s="855" t="n"/>
    </row>
    <row r="20" ht="24" customHeight="1" s="847">
      <c r="A20" s="855" t="n"/>
      <c r="B20" s="258" t="inlineStr">
        <is>
          <t>🚗</t>
        </is>
      </c>
      <c r="C20" s="259" t="inlineStr">
        <is>
          <t>Transport</t>
        </is>
      </c>
      <c r="D20" s="260" t="inlineStr">
        <is>
          <t>Déplacements professionnels &amp; domicile-travail</t>
        </is>
      </c>
      <c r="E20" s="267" t="inlineStr">
        <is>
          <t>Collecte</t>
        </is>
      </c>
      <c r="F20" s="262" t="inlineStr">
        <is>
          <t>⬜ À remplir</t>
        </is>
      </c>
      <c r="G20" s="855" t="n"/>
    </row>
    <row r="21" ht="24" customHeight="1" s="847">
      <c r="A21" s="855" t="n"/>
      <c r="B21" s="263" t="inlineStr">
        <is>
          <t>📦</t>
        </is>
      </c>
      <c r="C21" s="264" t="inlineStr">
        <is>
          <t>Matieres_Premieres</t>
        </is>
      </c>
      <c r="D21" s="265" t="inlineStr">
        <is>
          <t>Achats de matières premières et intrants — Scope 3 Cat.1</t>
        </is>
      </c>
      <c r="E21" s="267" t="inlineStr">
        <is>
          <t>Collecte</t>
        </is>
      </c>
      <c r="F21" s="266" t="inlineStr">
        <is>
          <t>⬜ À remplir</t>
        </is>
      </c>
      <c r="G21" s="855" t="n"/>
    </row>
    <row r="22" ht="24" customHeight="1" s="847">
      <c r="A22" s="855" t="n"/>
      <c r="B22" s="258" t="inlineStr">
        <is>
          <t>♻️</t>
        </is>
      </c>
      <c r="C22" s="259" t="inlineStr">
        <is>
          <t>Dechets</t>
        </is>
      </c>
      <c r="D22" s="260" t="inlineStr">
        <is>
          <t>Production de déchets par filière et mode de traitement</t>
        </is>
      </c>
      <c r="E22" s="267" t="inlineStr">
        <is>
          <t>Collecte</t>
        </is>
      </c>
      <c r="F22" s="262" t="inlineStr">
        <is>
          <t>⬜ À remplir</t>
        </is>
      </c>
      <c r="G22" s="855" t="n"/>
    </row>
    <row r="23" ht="24" customHeight="1" s="847">
      <c r="A23" s="855" t="n"/>
      <c r="B23" s="263" t="inlineStr">
        <is>
          <t>💧</t>
        </is>
      </c>
      <c r="C23" s="264" t="inlineStr">
        <is>
          <t>Eau</t>
        </is>
      </c>
      <c r="D23" s="265" t="inlineStr">
        <is>
          <t>Consommations d'eau et rejets</t>
        </is>
      </c>
      <c r="E23" s="267" t="inlineStr">
        <is>
          <t>Collecte</t>
        </is>
      </c>
      <c r="F23" s="266" t="inlineStr">
        <is>
          <t>⬜ À remplir</t>
        </is>
      </c>
      <c r="G23" s="855" t="n"/>
    </row>
    <row r="24">
      <c r="A24" s="855" t="n"/>
      <c r="B24" s="855" t="n"/>
      <c r="C24" s="855" t="n"/>
      <c r="D24" s="855" t="n"/>
      <c r="E24" s="855" t="n"/>
      <c r="F24" s="855" t="n"/>
      <c r="G24" s="855" t="n"/>
    </row>
    <row r="25" ht="20.1" customHeight="1" s="847">
      <c r="A25" s="855" t="n"/>
      <c r="B25" s="867" t="inlineStr">
        <is>
          <t>RÉSULTATS &amp; ANALYSE</t>
        </is>
      </c>
      <c r="C25" s="868" t="n"/>
      <c r="D25" s="868" t="n"/>
      <c r="E25" s="868" t="n"/>
      <c r="F25" s="868" t="n"/>
      <c r="G25" s="855" t="n"/>
    </row>
    <row r="26" ht="24" customHeight="1" s="847">
      <c r="A26" s="855" t="n"/>
      <c r="B26" s="258" t="inlineStr">
        <is>
          <t>📊</t>
        </is>
      </c>
      <c r="C26" s="259" t="inlineStr">
        <is>
          <t>Synthese_GES</t>
        </is>
      </c>
      <c r="D26" s="260" t="inlineStr">
        <is>
          <t>Bilan consolidé BEGES — Scope 1+2+3 — Conformité Art. L229-25</t>
        </is>
      </c>
      <c r="E26" s="261" t="inlineStr">
        <is>
          <t>Résultats</t>
        </is>
      </c>
      <c r="F26" s="262" t="inlineStr">
        <is>
          <t>⬜ À remplir</t>
        </is>
      </c>
      <c r="G26" s="855" t="n"/>
    </row>
    <row r="27" ht="24" customHeight="1" s="847">
      <c r="A27" s="855" t="n"/>
      <c r="B27" s="263" t="inlineStr">
        <is>
          <t>📈</t>
        </is>
      </c>
      <c r="C27" s="264" t="inlineStr">
        <is>
          <t>Intensite_Carbone</t>
        </is>
      </c>
      <c r="D27" s="265" t="inlineStr">
        <is>
          <t>Ratios d'intensité carbone — benchmarking ESRS E1</t>
        </is>
      </c>
      <c r="E27" s="261" t="inlineStr">
        <is>
          <t>Résultats</t>
        </is>
      </c>
      <c r="F27" s="266" t="inlineStr">
        <is>
          <t>⬜ À remplir</t>
        </is>
      </c>
      <c r="G27" s="855" t="n"/>
    </row>
    <row r="28" ht="24" customHeight="1" s="847">
      <c r="A28" s="855" t="n"/>
      <c r="B28" s="258" t="inlineStr">
        <is>
          <t>🎯</t>
        </is>
      </c>
      <c r="C28" s="259" t="inlineStr">
        <is>
          <t>Trajectoire_SBTi</t>
        </is>
      </c>
      <c r="D28" s="260" t="inlineStr">
        <is>
          <t>Trajectoire de réduction SBTi 1.5°C — Scope 1+2 et Scope 3</t>
        </is>
      </c>
      <c r="E28" s="261" t="inlineStr">
        <is>
          <t>Résultats</t>
        </is>
      </c>
      <c r="F28" s="262" t="inlineStr">
        <is>
          <t>⬜ À remplir</t>
        </is>
      </c>
      <c r="G28" s="855" t="n"/>
    </row>
    <row r="29">
      <c r="A29" s="855" t="n"/>
      <c r="B29" s="855" t="n"/>
      <c r="C29" s="855" t="n"/>
      <c r="D29" s="855" t="n"/>
      <c r="E29" s="855" t="n"/>
      <c r="F29" s="855" t="n"/>
      <c r="G29" s="855" t="n"/>
    </row>
    <row r="30" ht="20.1" customHeight="1" s="847">
      <c r="A30" s="855" t="n"/>
      <c r="B30" s="867" t="inlineStr">
        <is>
          <t>CONFORMITÉ RÉGLEMENTAIRE</t>
        </is>
      </c>
      <c r="C30" s="868" t="n"/>
      <c r="D30" s="868" t="n"/>
      <c r="E30" s="868" t="n"/>
      <c r="F30" s="868" t="n"/>
      <c r="G30" s="855" t="n"/>
    </row>
    <row r="31" ht="24" customHeight="1" s="847">
      <c r="A31" s="855" t="n"/>
      <c r="B31" s="263" t="inlineStr">
        <is>
          <t>🌐</t>
        </is>
      </c>
      <c r="C31" s="264" t="inlineStr">
        <is>
          <t>CBAM</t>
        </is>
      </c>
      <c r="D31" s="265" t="inlineStr">
        <is>
          <t>Mécanisme d'ajustement carbone aux frontières (UE) 2023/956</t>
        </is>
      </c>
      <c r="E31" s="272" t="inlineStr">
        <is>
          <t>Conformité</t>
        </is>
      </c>
      <c r="F31" s="266" t="inlineStr">
        <is>
          <t>⬜ À remplir</t>
        </is>
      </c>
      <c r="G31" s="855" t="n"/>
    </row>
    <row r="32" ht="24" customHeight="1" s="847">
      <c r="A32" s="855" t="n"/>
      <c r="B32" s="258" t="inlineStr">
        <is>
          <t>🌿</t>
        </is>
      </c>
      <c r="C32" s="259" t="inlineStr">
        <is>
          <t>Taxonomie</t>
        </is>
      </c>
      <c r="D32" s="260" t="inlineStr">
        <is>
          <t>Alignement Taxonomie verte UE — KPIs CA/CapEx/OpEx</t>
        </is>
      </c>
      <c r="E32" s="272" t="inlineStr">
        <is>
          <t>Conformité</t>
        </is>
      </c>
      <c r="F32" s="262" t="inlineStr">
        <is>
          <t>⬜ À remplir</t>
        </is>
      </c>
      <c r="G32" s="855" t="n"/>
    </row>
    <row r="33" ht="24" customHeight="1" s="847">
      <c r="A33" s="855" t="n"/>
      <c r="B33" s="263" t="inlineStr">
        <is>
          <t>📝</t>
        </is>
      </c>
      <c r="C33" s="264" t="inlineStr">
        <is>
          <t>ESRS_E1</t>
        </is>
      </c>
      <c r="D33" s="265" t="inlineStr">
        <is>
          <t>Data points ESRS E1 — Delegated Reg. (EU) 2023/2772</t>
        </is>
      </c>
      <c r="E33" s="272" t="inlineStr">
        <is>
          <t>Conformité</t>
        </is>
      </c>
      <c r="F33" s="266" t="inlineStr">
        <is>
          <t>⬜ À remplir</t>
        </is>
      </c>
      <c r="G33" s="855" t="n"/>
    </row>
    <row r="34" ht="24" customHeight="1" s="847">
      <c r="A34" s="855" t="n"/>
      <c r="B34" s="258" t="inlineStr">
        <is>
          <t>📐</t>
        </is>
      </c>
      <c r="C34" s="259" t="inlineStr">
        <is>
          <t>Incertitudes</t>
        </is>
      </c>
      <c r="D34" s="260" t="inlineStr">
        <is>
          <t>Propagation d'incertitude ISO 14064-1 §9.2 — Audit raisonnable</t>
        </is>
      </c>
      <c r="E34" s="272" t="inlineStr">
        <is>
          <t>Conformité</t>
        </is>
      </c>
      <c r="F34" s="262" t="inlineStr">
        <is>
          <t>⬜ À remplir</t>
        </is>
      </c>
      <c r="G34" s="855" t="n"/>
    </row>
    <row r="35" ht="24" customHeight="1" s="847">
      <c r="A35" s="855" t="n"/>
      <c r="B35" s="263" t="inlineStr">
        <is>
          <t>🗺️</t>
        </is>
      </c>
      <c r="C35" s="264" t="inlineStr">
        <is>
          <t>Plan_Transition</t>
        </is>
      </c>
      <c r="D35" s="265" t="inlineStr">
        <is>
          <t>Plan de transition ESRS E1-1 — Leviers, budget, risques TCFD</t>
        </is>
      </c>
      <c r="E35" s="272" t="inlineStr">
        <is>
          <t>Conformité</t>
        </is>
      </c>
      <c r="F35" s="266" t="inlineStr">
        <is>
          <t>⬜ À remplir</t>
        </is>
      </c>
      <c r="G35" s="855" t="n"/>
    </row>
    <row r="36" ht="24" customHeight="1" s="847">
      <c r="A36" s="855" t="n"/>
      <c r="B36" s="258" t="inlineStr">
        <is>
          <t>📅</t>
        </is>
      </c>
      <c r="C36" s="259" t="inlineStr">
        <is>
          <t>Historique_5ans</t>
        </is>
      </c>
      <c r="D36" s="260" t="inlineStr">
        <is>
          <t>Comparabilité 5 ans — ESRS E1-6 §48 — Rebasement</t>
        </is>
      </c>
      <c r="E36" s="272" t="inlineStr">
        <is>
          <t>Conformité</t>
        </is>
      </c>
      <c r="F36" s="262" t="inlineStr">
        <is>
          <t>⬜ À remplir</t>
        </is>
      </c>
      <c r="G36" s="855" t="n"/>
    </row>
    <row r="37" ht="24" customHeight="1" s="847">
      <c r="A37" s="855" t="n"/>
      <c r="B37" s="258" t="inlineStr">
        <is>
          <t>🔍</t>
        </is>
      </c>
      <c r="C37" s="259" t="inlineStr">
        <is>
          <t>_Controles_Qualite</t>
        </is>
      </c>
      <c r="D37" s="260" t="inlineStr">
        <is>
          <t>30 contrôles automatiques — Audit readiness CSRD</t>
        </is>
      </c>
      <c r="E37" s="272" t="inlineStr">
        <is>
          <t>Conformité</t>
        </is>
      </c>
      <c r="F37" s="274">
        <f>_Controles_Qualite!B5&amp;"✓ "&amp;_Controles_Qualite!D5&amp;"⚠ "&amp;_Controles_Qualite!F5&amp;"✗"</f>
        <v/>
      </c>
      <c r="G37" s="855" t="n"/>
    </row>
    <row r="38">
      <c r="A38" s="855" t="n"/>
      <c r="B38" s="855" t="n"/>
      <c r="C38" s="855" t="n"/>
      <c r="D38" s="855" t="n"/>
      <c r="E38" s="855" t="n"/>
      <c r="F38" s="855" t="n"/>
      <c r="G38" s="855" t="n"/>
    </row>
    <row r="39" ht="20.1" customHeight="1" s="847">
      <c r="A39" s="855" t="n"/>
      <c r="B39" s="867" t="inlineStr">
        <is>
          <t>DASHBOARD</t>
        </is>
      </c>
      <c r="C39" s="868" t="n"/>
      <c r="D39" s="868" t="n"/>
      <c r="E39" s="868" t="n"/>
      <c r="F39" s="868" t="n"/>
      <c r="G39" s="855" t="n"/>
    </row>
    <row r="40" ht="24" customHeight="1" s="847">
      <c r="A40" s="855" t="n"/>
      <c r="B40" s="263" t="inlineStr">
        <is>
          <t>🖥️</t>
        </is>
      </c>
      <c r="C40" s="264" t="inlineStr">
        <is>
          <t>Dashboard</t>
        </is>
      </c>
      <c r="D40" s="265" t="inlineStr">
        <is>
          <t>Tableau de bord synthétique — KPIs, graphiques</t>
        </is>
      </c>
      <c r="E40" s="273" t="inlineStr">
        <is>
          <t>Dashboard</t>
        </is>
      </c>
      <c r="F40" s="266" t="inlineStr">
        <is>
          <t>⬜ À remplir</t>
        </is>
      </c>
      <c r="G40" s="855" t="n"/>
    </row>
    <row r="41">
      <c r="A41" s="855" t="n"/>
      <c r="B41" s="855" t="n"/>
      <c r="C41" s="855" t="n"/>
      <c r="D41" s="855" t="n"/>
      <c r="E41" s="855" t="n"/>
      <c r="F41" s="855" t="n"/>
      <c r="G41" s="855" t="n"/>
    </row>
    <row r="42" ht="6" customHeight="1" s="847">
      <c r="A42" s="855" t="n"/>
      <c r="B42" s="865" t="n"/>
      <c r="C42" s="865" t="n"/>
      <c r="D42" s="865" t="n"/>
      <c r="E42" s="865" t="n"/>
      <c r="F42" s="865" t="n"/>
      <c r="G42" s="855" t="n"/>
    </row>
    <row r="43" ht="20.1" customHeight="1" s="847">
      <c r="A43" s="855" t="n"/>
      <c r="B43" s="869">
        <f>"Dernière mise à jour : "&amp;DAY(TODAY())&amp;"/"&amp;MONTH(TODAY())&amp;"/"&amp;YEAR(TODAY())&amp;"   |   Exercice "&amp;Paramètres!B7</f>
        <v/>
      </c>
      <c r="G43" s="855" t="n"/>
    </row>
    <row r="44">
      <c r="A44" s="855" t="n"/>
      <c r="B44" s="855" t="n"/>
      <c r="C44" s="855" t="n"/>
      <c r="D44" s="855" t="n"/>
      <c r="E44" s="855" t="n"/>
      <c r="F44" s="855" t="n"/>
      <c r="G44" s="855" t="n"/>
    </row>
    <row r="45">
      <c r="A45" s="855" t="n"/>
      <c r="B45" s="855" t="n"/>
      <c r="C45" s="855" t="n"/>
      <c r="D45" s="855" t="n"/>
      <c r="E45" s="855" t="n"/>
      <c r="F45" s="855" t="n"/>
      <c r="G45" s="855" t="n"/>
    </row>
    <row r="46">
      <c r="A46" s="855" t="n"/>
      <c r="B46" s="855" t="n"/>
      <c r="C46" s="855" t="n"/>
      <c r="D46" s="855" t="n"/>
      <c r="E46" s="855" t="n"/>
      <c r="F46" s="855" t="n"/>
      <c r="G46" s="855" t="n"/>
    </row>
    <row r="47">
      <c r="A47" s="855" t="n"/>
      <c r="B47" s="855" t="n"/>
      <c r="C47" s="855" t="n"/>
      <c r="D47" s="855" t="n"/>
      <c r="E47" s="855" t="n"/>
      <c r="F47" s="855" t="n"/>
      <c r="G47" s="855" t="n"/>
    </row>
    <row r="48">
      <c r="A48" s="855" t="n"/>
      <c r="B48" s="855" t="n"/>
      <c r="C48" s="855" t="n"/>
      <c r="D48" s="855" t="n"/>
      <c r="E48" s="855" t="n"/>
      <c r="F48" s="855" t="n"/>
      <c r="G48" s="855" t="n"/>
    </row>
    <row r="49">
      <c r="A49" s="855" t="n"/>
      <c r="B49" s="855" t="n"/>
      <c r="C49" s="855" t="n"/>
      <c r="D49" s="855" t="n"/>
      <c r="E49" s="855" t="n"/>
      <c r="F49" s="855" t="n"/>
      <c r="G49" s="855" t="n"/>
    </row>
    <row r="50">
      <c r="A50" s="855" t="n"/>
      <c r="B50" s="855" t="n"/>
      <c r="C50" s="855" t="n"/>
      <c r="D50" s="855" t="n"/>
      <c r="E50" s="855" t="n"/>
      <c r="F50" s="855" t="n"/>
      <c r="G50" s="855" t="n"/>
    </row>
    <row r="51">
      <c r="A51" s="855" t="n"/>
      <c r="B51" s="855" t="n"/>
      <c r="C51" s="855" t="n"/>
      <c r="D51" s="855" t="n"/>
      <c r="E51" s="855" t="n"/>
      <c r="F51" s="855" t="n"/>
      <c r="G51" s="855" t="n"/>
    </row>
    <row r="52">
      <c r="A52" s="855" t="n"/>
      <c r="B52" s="855" t="n"/>
      <c r="C52" s="855" t="n"/>
      <c r="D52" s="855" t="n"/>
      <c r="E52" s="855" t="n"/>
      <c r="F52" s="855" t="n"/>
      <c r="G52" s="855" t="n"/>
    </row>
  </sheetData>
  <sheetProtection selectLockedCells="0" selectUnlockedCells="0" sheet="1" objects="1" insertRows="1" insertHyperlinks="1" autoFilter="1" scenarios="1" formatColumns="1" deleteColumns="1" insertColumns="1" pivotTables="1" deleteRows="1" formatCells="1" formatRows="1" sort="1"/>
  <mergeCells count="8">
    <mergeCell ref="B4:F4"/>
    <mergeCell ref="B30:F30"/>
    <mergeCell ref="B43:F43"/>
    <mergeCell ref="B39:F39"/>
    <mergeCell ref="B25:F25"/>
    <mergeCell ref="B5:F5"/>
    <mergeCell ref="B14:F14"/>
    <mergeCell ref="B8:F8"/>
  </mergeCells>
  <hyperlinks>
    <hyperlink ref="C9" location="Couverture!A1" display="Couverture"/>
    <hyperlink ref="C10" location="Guide!A1" display="Guide"/>
    <hyperlink ref="C11" location="Notes_Methodologiques!A1" display="Notes_Methodologiques"/>
    <hyperlink ref="C12" location="Paramètres!A1" display="Paramètres"/>
    <hyperlink ref="C15" location="Facteurs_Emission!A1" display="Facteurs_Emission"/>
    <hyperlink ref="C16" location="Scope_1!A1" display="Scope_1"/>
    <hyperlink ref="C17" location="Scope_2!A1" display="Scope_2"/>
    <hyperlink ref="C18" location="Scope_3!A1" display="Scope_3"/>
    <hyperlink ref="C19" location="Energie!A1" display="Energie"/>
    <hyperlink ref="C20" location="Transport!A1" display="Transport"/>
    <hyperlink ref="C21" location="Matieres_Premieres!A1" display="Matieres_Premieres"/>
    <hyperlink ref="C22" location="Dechets!A1" display="Dechets"/>
    <hyperlink ref="C23" location="Eau!A1" display="Eau"/>
    <hyperlink ref="C26" location="Synthese_GES!A1" display="Synthese_GES"/>
    <hyperlink ref="C27" location="Intensite_Carbone!A1" display="Intensite_Carbone"/>
    <hyperlink ref="C28" location="Trajectoire_SBTi!A1" display="Trajectoire_SBTi"/>
    <hyperlink ref="C31" location="CBAM!A1" display="CBAM"/>
    <hyperlink ref="C32" location="Taxonomie!A1" display="Taxonomie"/>
    <hyperlink ref="C33" location="ESRS_E1!A1" display="ESRS_E1"/>
    <hyperlink ref="C34" location="Incertitudes!A1" display="Incertitudes"/>
    <hyperlink ref="C35" location="Plan_Transition!A1" display="Plan_Transition"/>
    <hyperlink ref="C36" location="Historique_5ans!A1" display="Historique_5ans"/>
    <hyperlink ref="C37" location="_Controles_Qualite!A1" display="_Controles_Qualite"/>
    <hyperlink ref="C40" location="Dashboard!A1" display="Dashboard"/>
  </hyperlinks>
  <pageMargins left="0.7" right="0.7" top="0.75" bottom="0.75" header="0.3" footer="0.3"/>
</worksheet>
</file>

<file path=xl/worksheets/sheet3.xml><?xml version="1.0" encoding="utf-8"?>
<worksheet xmlns="http://schemas.openxmlformats.org/spreadsheetml/2006/main">
  <sheetPr>
    <tabColor rgb="FF0D47A1"/>
    <outlinePr summaryBelow="1" summaryRight="1"/>
    <pageSetUpPr/>
  </sheetPr>
  <dimension ref="A1:O109"/>
  <sheetViews>
    <sheetView showGridLines="0" zoomScaleNormal="100" workbookViewId="0">
      <pane ySplit="1" topLeftCell="A2" activePane="bottomLeft" state="frozen"/>
      <selection pane="bottomLeft" activeCell="N1" sqref="N1"/>
    </sheetView>
  </sheetViews>
  <sheetFormatPr baseColWidth="10" defaultColWidth="8.7109375" defaultRowHeight="15"/>
  <cols>
    <col width="4.85546875" bestFit="1" customWidth="1" style="847" min="1" max="1"/>
    <col width="40" customWidth="1" style="847" min="2" max="2"/>
    <col width="72.85546875" customWidth="1" style="847" min="3" max="3"/>
    <col width="36.28515625" customWidth="1" style="847" min="4" max="4"/>
    <col width="13.28515625" customWidth="1" style="847" min="14" max="14"/>
    <col width="15.28515625" customWidth="1" style="847" min="15" max="15"/>
  </cols>
  <sheetData>
    <row r="1" ht="20.1" customHeight="1" s="847">
      <c r="A1" s="841" t="inlineStr">
        <is>
          <t>GUIDE D'UTILISATION — OUTIL DE CALCUL CARBONE CarbonCo v2.0</t>
        </is>
      </c>
      <c r="B1" s="994" t="n"/>
      <c r="C1" s="994" t="n"/>
      <c r="D1" s="994" t="n"/>
      <c r="N1" s="86" t="inlineStr">
        <is>
          <t>🏠 Sommaire</t>
        </is>
      </c>
      <c r="O1" s="87" t="inlineStr">
        <is>
          <t>📄 Couverture</t>
        </is>
      </c>
    </row>
    <row r="3" ht="21.75" customHeight="1" s="847">
      <c r="A3" s="843" t="inlineStr">
        <is>
          <t>PRÉSENTATION DE L'OUTIL</t>
        </is>
      </c>
      <c r="B3" s="994" t="n"/>
      <c r="C3" s="994" t="n"/>
      <c r="D3" s="994" t="n"/>
    </row>
    <row r="4" ht="49.5" customHeight="1" s="847">
      <c r="A4" s="874" t="inlineStr">
        <is>
          <t>Cet outil permet de réaliser le bilan d'émissions de gaz à effet de serre (BEGES) d'une entreprise conformément au GHG Protocol Corporate Standard, à la norme ISO 14064-1:2018, et aux exigences de reporting ESRS E1 dans le cadre de la directive CSRD. Il couvre les Scopes 1, 2 et 3, la trajectoire SBTi, le mécanisme CBAM et l'alignement à la Taxonomie verte européenne.</t>
        </is>
      </c>
    </row>
    <row r="5" ht="49.5" customHeight="1" s="847">
      <c r="A5" s="875" t="inlineStr">
        <is>
          <t>⚠️ AVERTISSEMENT : Les facteurs d'émission sont issus de la Base Carbone ADEME v23.1 et du GIEC AR6. Ils sont fournis à titre indicatif. Pour un bilan officiel (BEGES réglementaire, rapport CSRD audité), l'utilisateur doit vérifier l'applicabilité des FE à sa situation spécifique. Dernière mise à jour des FE : mars 2026.</t>
        </is>
      </c>
    </row>
    <row r="9" ht="21.75" customHeight="1" s="847">
      <c r="A9" s="843" t="inlineStr">
        <is>
          <t>ORDRE DE REMPLISSAGE RECOMMANDÉ</t>
        </is>
      </c>
      <c r="B9" s="994" t="n"/>
      <c r="C9" s="994" t="n"/>
      <c r="D9" s="994" t="n"/>
    </row>
    <row r="10" ht="30" customHeight="1" s="847">
      <c r="A10" s="2" t="inlineStr">
        <is>
          <t>Étape</t>
        </is>
      </c>
      <c r="B10" s="2" t="inlineStr">
        <is>
          <t>Onglet</t>
        </is>
      </c>
      <c r="C10" s="2" t="inlineStr">
        <is>
          <t>Action</t>
        </is>
      </c>
      <c r="D10" s="2" t="inlineStr">
        <is>
          <t>Prérequis</t>
        </is>
      </c>
    </row>
    <row r="11">
      <c r="A11" s="3" t="n">
        <v>1</v>
      </c>
      <c r="B11" s="3" t="inlineStr">
        <is>
          <t>Paramètres</t>
        </is>
      </c>
      <c r="C11" s="3" t="inlineStr">
        <is>
          <t>Configurer l'entreprise : raison sociale, effectifs, CA, bilan, périmètre</t>
        </is>
      </c>
      <c r="D11" s="3" t="inlineStr">
        <is>
          <t>Aucun</t>
        </is>
      </c>
    </row>
    <row r="12">
      <c r="A12" s="3" t="n">
        <v>2</v>
      </c>
      <c r="B12" s="3" t="inlineStr">
        <is>
          <t>Scope_1</t>
        </is>
      </c>
      <c r="C12" s="3" t="inlineStr">
        <is>
          <t>Saisir les émissions directes : combustion fixe, mobile, process, fugitives</t>
        </is>
      </c>
      <c r="D12" s="3" t="inlineStr">
        <is>
          <t>Paramètres rempli</t>
        </is>
      </c>
    </row>
    <row r="13">
      <c r="A13" s="3" t="n">
        <v>3</v>
      </c>
      <c r="B13" s="3" t="inlineStr">
        <is>
          <t>Scope_2</t>
        </is>
      </c>
      <c r="C13" s="3" t="inlineStr">
        <is>
          <t>Saisir la consommation d'électricité, chaleur, vapeur par site et pays</t>
        </is>
      </c>
      <c r="D13" s="3" t="inlineStr">
        <is>
          <t>Paramètres rempli</t>
        </is>
      </c>
    </row>
    <row r="14">
      <c r="A14" s="3" t="n">
        <v>4</v>
      </c>
      <c r="B14" s="3" t="inlineStr">
        <is>
          <t>Energie</t>
        </is>
      </c>
      <c r="C14" s="3" t="inlineStr">
        <is>
          <t>Détailler le mix énergétique annuel (ventilation ESRS E1-5)</t>
        </is>
      </c>
      <c r="D14" s="3" t="inlineStr">
        <is>
          <t>Scope 1 et 2</t>
        </is>
      </c>
    </row>
    <row r="15">
      <c r="A15" s="3" t="n">
        <v>5</v>
      </c>
      <c r="B15" s="3" t="inlineStr">
        <is>
          <t>Transport</t>
        </is>
      </c>
      <c r="C15" s="3" t="inlineStr">
        <is>
          <t>Détailler les déplacements pro et domicile-travail</t>
        </is>
      </c>
      <c r="D15" s="3" t="inlineStr">
        <is>
          <t>Paramètres</t>
        </is>
      </c>
    </row>
    <row r="16">
      <c r="A16" s="3" t="n">
        <v>6</v>
      </c>
      <c r="B16" s="3" t="inlineStr">
        <is>
          <t>Matieres_Premieres</t>
        </is>
      </c>
      <c r="C16" s="3" t="inlineStr">
        <is>
          <t>Saisir les achats de matériaux et intrants</t>
        </is>
      </c>
      <c r="D16" s="3" t="inlineStr">
        <is>
          <t>Paramètres</t>
        </is>
      </c>
    </row>
    <row r="17">
      <c r="A17" s="3" t="n">
        <v>7</v>
      </c>
      <c r="B17" s="3" t="inlineStr">
        <is>
          <t>Dechets</t>
        </is>
      </c>
      <c r="C17" s="3" t="inlineStr">
        <is>
          <t>Saisir la production de déchets par filière</t>
        </is>
      </c>
      <c r="D17" s="3" t="inlineStr">
        <is>
          <t>Aucun</t>
        </is>
      </c>
    </row>
    <row r="18">
      <c r="A18" s="3" t="n">
        <v>8</v>
      </c>
      <c r="B18" s="3" t="inlineStr">
        <is>
          <t>Eau</t>
        </is>
      </c>
      <c r="C18" s="3" t="inlineStr">
        <is>
          <t>Saisir les consommations d'eau et rejets</t>
        </is>
      </c>
      <c r="D18" s="3" t="inlineStr">
        <is>
          <t>Aucun</t>
        </is>
      </c>
    </row>
    <row r="19">
      <c r="A19" s="3" t="n">
        <v>9</v>
      </c>
      <c r="B19" s="3" t="inlineStr">
        <is>
          <t>Scope_3</t>
        </is>
      </c>
      <c r="C19" s="3" t="inlineStr">
        <is>
          <t>Consolider les 15 catégories (certaines auto-alimentées)</t>
        </is>
      </c>
      <c r="D19" s="3" t="inlineStr">
        <is>
          <t>Étapes 2-8</t>
        </is>
      </c>
    </row>
    <row r="20">
      <c r="A20" s="3" t="n">
        <v>10</v>
      </c>
      <c r="B20" s="3" t="inlineStr">
        <is>
          <t>Synthese_GES</t>
        </is>
      </c>
      <c r="C20" s="3" t="inlineStr">
        <is>
          <t>Vérifier le bilan consolidé (automatique)</t>
        </is>
      </c>
      <c r="D20" s="3" t="inlineStr">
        <is>
          <t>Étapes 2-9</t>
        </is>
      </c>
    </row>
    <row r="21">
      <c r="A21" s="3" t="n">
        <v>11</v>
      </c>
      <c r="B21" s="3" t="inlineStr">
        <is>
          <t>Trajectoire_SBTi</t>
        </is>
      </c>
      <c r="C21" s="3" t="inlineStr">
        <is>
          <t>Paramétrer et suivre la trajectoire de réduction</t>
        </is>
      </c>
      <c r="D21" s="3" t="inlineStr">
        <is>
          <t>Synthèse</t>
        </is>
      </c>
    </row>
    <row r="22">
      <c r="A22" s="3" t="n">
        <v>12</v>
      </c>
      <c r="B22" s="3" t="inlineStr">
        <is>
          <t>CBAM / Taxonomie / ESRS_E1</t>
        </is>
      </c>
      <c r="C22" s="3" t="inlineStr">
        <is>
          <t>Compléter selon obligations</t>
        </is>
      </c>
      <c r="D22" s="3" t="inlineStr">
        <is>
          <t>Synthèse</t>
        </is>
      </c>
    </row>
    <row r="24" ht="21.75" customHeight="1" s="847">
      <c r="A24" s="843" t="inlineStr">
        <is>
          <t>LÉGENDE DES COULEURS</t>
        </is>
      </c>
      <c r="B24" s="994" t="n"/>
      <c r="C24" s="994" t="n"/>
      <c r="D24" s="994" t="n"/>
    </row>
    <row r="25">
      <c r="B25" s="4" t="inlineStr">
        <is>
          <t>Cellule sur fond gris clair</t>
        </is>
      </c>
      <c r="C25" s="3" t="inlineStr">
        <is>
          <t>Cellule de SAISIE utilisateur</t>
        </is>
      </c>
    </row>
    <row r="26">
      <c r="B26" s="5" t="inlineStr">
        <is>
          <t>Texte en bleu italique</t>
        </is>
      </c>
      <c r="C26" s="3" t="inlineStr">
        <is>
          <t>Valeur CALCULÉE automatiquement (ne pas modifier)</t>
        </is>
      </c>
    </row>
    <row r="27">
      <c r="B27" s="6" t="inlineStr">
        <is>
          <t>Fond vert clair</t>
        </is>
      </c>
      <c r="C27" s="3" t="inlineStr">
        <is>
          <t>Ligne de TOTAL ou sous-total</t>
        </is>
      </c>
    </row>
    <row r="28">
      <c r="B28" s="7" t="inlineStr">
        <is>
          <t>Fond orange</t>
        </is>
      </c>
      <c r="C28" s="3" t="inlineStr">
        <is>
          <t>En-tête de SECTION</t>
        </is>
      </c>
    </row>
    <row r="29">
      <c r="B29" s="8" t="inlineStr">
        <is>
          <t>Fond rouge clair</t>
        </is>
      </c>
      <c r="C29" s="3" t="inlineStr">
        <is>
          <t>Alerte ou valeur hors norme</t>
        </is>
      </c>
    </row>
    <row r="32" ht="21.75" customHeight="1" s="847">
      <c r="A32" s="843" t="inlineStr">
        <is>
          <t>NIVEAUX DE QUALITÉ DES DONNÉES D'ACTIVITÉ (ISO 14064-1:2018 §9.2)</t>
        </is>
      </c>
      <c r="B32" s="994" t="n"/>
      <c r="C32" s="994" t="n"/>
      <c r="D32" s="994" t="n"/>
    </row>
    <row r="33" ht="30" customHeight="1" s="847">
      <c r="A33" s="2" t="inlineStr">
        <is>
          <t>Niveau</t>
        </is>
      </c>
      <c r="B33" s="2" t="inlineStr">
        <is>
          <t>Source de données</t>
        </is>
      </c>
      <c r="C33" s="2" t="inlineStr">
        <is>
          <t>Incertitude typique</t>
        </is>
      </c>
      <c r="D33" s="2" t="inlineStr">
        <is>
          <t>Exemple</t>
        </is>
      </c>
    </row>
    <row r="34">
      <c r="A34" s="9" t="n">
        <v>1</v>
      </c>
      <c r="B34" s="9" t="inlineStr">
        <is>
          <t>Mesure directe (compteur dédié)</t>
        </is>
      </c>
      <c r="C34" s="9" t="inlineStr">
        <is>
          <t>±2 à 5%</t>
        </is>
      </c>
      <c r="D34" s="9" t="inlineStr">
        <is>
          <t>Compteur gaz, sous-compteur électrique</t>
        </is>
      </c>
    </row>
    <row r="35">
      <c r="A35" s="9" t="n">
        <v>2</v>
      </c>
      <c r="B35" s="9" t="inlineStr">
        <is>
          <t>Factures fournisseurs</t>
        </is>
      </c>
      <c r="C35" s="9" t="inlineStr">
        <is>
          <t>±5 à 10%</t>
        </is>
      </c>
      <c r="D35" s="9" t="inlineStr">
        <is>
          <t>Facture électricité, relevé fioul</t>
        </is>
      </c>
    </row>
    <row r="36">
      <c r="A36" s="10" t="n">
        <v>3</v>
      </c>
      <c r="B36" s="10" t="inlineStr">
        <is>
          <t>Estimation activité × FE moyen</t>
        </is>
      </c>
      <c r="C36" s="10" t="inlineStr">
        <is>
          <t>±10 à 30%</t>
        </is>
      </c>
      <c r="D36" s="10" t="inlineStr">
        <is>
          <t>km estimés × FE/km</t>
        </is>
      </c>
    </row>
    <row r="37">
      <c r="A37" s="11" t="n">
        <v>4</v>
      </c>
      <c r="B37" s="11" t="inlineStr">
        <is>
          <t>Données monétaires × FE/€</t>
        </is>
      </c>
      <c r="C37" s="11" t="inlineStr">
        <is>
          <t>±30 à 80%</t>
        </is>
      </c>
      <c r="D37" s="11" t="inlineStr">
        <is>
          <t>k€ achats × kgCO2e/k€ sectoriel</t>
        </is>
      </c>
    </row>
    <row r="38">
      <c r="A38" s="8" t="n">
        <v>5</v>
      </c>
      <c r="B38" s="8" t="inlineStr">
        <is>
          <t>Extrapolation / benchmark sectoriel</t>
        </is>
      </c>
      <c r="C38" s="8" t="inlineStr">
        <is>
          <t>±50 à 100%</t>
        </is>
      </c>
      <c r="D38" s="8" t="inlineStr">
        <is>
          <t>Moyenne nationale du secteur</t>
        </is>
      </c>
    </row>
    <row r="41" ht="21.75" customHeight="1" s="847">
      <c r="A41" s="843" t="inlineStr">
        <is>
          <t>NOTE MÉTHODOLOGIQUE : SCOPE 1 vs ÉMISSIONS AMONT</t>
        </is>
      </c>
      <c r="B41" s="994" t="n"/>
      <c r="C41" s="994" t="n"/>
      <c r="D41" s="994" t="n"/>
    </row>
    <row r="42" ht="48" customHeight="1" s="847">
      <c r="A42" s="876" t="inlineStr">
        <is>
          <t>Conformément au GHG Protocol Corporate Standard (Chapter 4), le Scope 1 ne comptabilise QUE les émissions de COMBUSTION (émissions directes). Les émissions liées à l'EXTRACTION, au RAFFINAGE et au TRANSPORT du combustible jusqu'au site sont des émissions AMONT et relèvent du Scope 3, Catégorie 3.</t>
        </is>
      </c>
    </row>
    <row r="43" ht="30" customHeight="1" s="847">
      <c r="A43" s="877" t="inlineStr">
        <is>
          <t>Exemple : Gaz naturel — FE total = 0,227 kgCO2e/kWh = Combustion (0,205) + Amont (0,022). Seul 0,205 est comptabilisé en Scope 1. Le 0,022 est automatiquement affecté au Scope 3 Cat. 3.</t>
        </is>
      </c>
    </row>
    <row r="50" ht="21.75" customHeight="1" s="847">
      <c r="A50" s="843" t="inlineStr">
        <is>
          <t>RÉFÉRENCES RÉGLEMENTAIRES ET MÉTHODOLOGIQUES</t>
        </is>
      </c>
      <c r="B50" s="994" t="n"/>
      <c r="C50" s="994" t="n"/>
      <c r="D50" s="994" t="n"/>
    </row>
    <row r="51">
      <c r="B51" s="3" t="inlineStr">
        <is>
          <t>GHG Protocol Corporate Accounting and Reporting Standard</t>
        </is>
      </c>
      <c r="C51" s="3" t="inlineStr">
        <is>
          <t>WRI/WBCSD, 2004 (rev. 2015)</t>
        </is>
      </c>
      <c r="D51" s="3" t="inlineStr">
        <is>
          <t>ghgprotocol.org</t>
        </is>
      </c>
    </row>
    <row r="52">
      <c r="B52" s="3" t="inlineStr">
        <is>
          <t>GHG Protocol Scope 2 Guidance</t>
        </is>
      </c>
      <c r="C52" s="3" t="inlineStr">
        <is>
          <t>WRI/WBCSD, 2015</t>
        </is>
      </c>
      <c r="D52" s="3" t="inlineStr">
        <is>
          <t>Méthode LB + MB</t>
        </is>
      </c>
    </row>
    <row r="53">
      <c r="B53" s="3" t="inlineStr">
        <is>
          <t>GHG Protocol Corporate Value Chain (Scope 3) Standard</t>
        </is>
      </c>
      <c r="C53" s="3" t="inlineStr">
        <is>
          <t>WRI/WBCSD, 2011</t>
        </is>
      </c>
      <c r="D53" s="3" t="inlineStr">
        <is>
          <t>15 catégories</t>
        </is>
      </c>
    </row>
    <row r="54">
      <c r="B54" s="3" t="inlineStr">
        <is>
          <t>ISO 14064-1:2018</t>
        </is>
      </c>
      <c r="C54" s="3" t="inlineStr">
        <is>
          <t>Spécification avec lignes directrices</t>
        </is>
      </c>
      <c r="D54" s="3" t="inlineStr">
        <is>
          <t>Quantification GES</t>
        </is>
      </c>
    </row>
    <row r="55">
      <c r="B55" s="3" t="inlineStr">
        <is>
          <t>IPCC AR6 WG1, Chapter 7, Table 7.15</t>
        </is>
      </c>
      <c r="C55" s="3" t="inlineStr">
        <is>
          <t>GIEC, 2021</t>
        </is>
      </c>
      <c r="D55" s="3" t="inlineStr">
        <is>
          <t>PRG 100 ans</t>
        </is>
      </c>
    </row>
    <row r="56">
      <c r="B56" s="3" t="inlineStr">
        <is>
          <t>ADEME Base Carbone v23.1</t>
        </is>
      </c>
      <c r="C56" s="3" t="inlineStr">
        <is>
          <t>base-empreinte.ademe.fr</t>
        </is>
      </c>
      <c r="D56" s="3" t="inlineStr">
        <is>
          <t>Facteurs d'émission FR</t>
        </is>
      </c>
    </row>
    <row r="57">
      <c r="B57" s="3" t="inlineStr">
        <is>
          <t>ESRS E1 — Changement climatique</t>
        </is>
      </c>
      <c r="C57" s="3" t="inlineStr">
        <is>
          <t>Delegated Regulation (EU) 2023/2772</t>
        </is>
      </c>
      <c r="D57" s="3" t="inlineStr">
        <is>
          <t>Data points E1-1 à E1-9</t>
        </is>
      </c>
    </row>
    <row r="58">
      <c r="B58" s="3" t="inlineStr">
        <is>
          <t>SBTi Corporate Net-Zero Standard v1.1</t>
        </is>
      </c>
      <c r="C58" s="3" t="inlineStr">
        <is>
          <t>Science Based Targets, 2023</t>
        </is>
      </c>
      <c r="D58" s="3" t="inlineStr">
        <is>
          <t>Trajectoires 1.5°C</t>
        </is>
      </c>
    </row>
    <row r="59">
      <c r="B59" s="3" t="inlineStr">
        <is>
          <t>Règlement CBAM (UE) 2023/956</t>
        </is>
      </c>
      <c r="C59" s="3" t="inlineStr">
        <is>
          <t>Parlement européen et Conseil</t>
        </is>
      </c>
      <c r="D59" s="3" t="inlineStr">
        <is>
          <t>Mécanisme carbone frontières</t>
        </is>
      </c>
    </row>
    <row r="60">
      <c r="B60" s="3" t="inlineStr">
        <is>
          <t>Règlement Taxonomie (UE) 2020/852</t>
        </is>
      </c>
      <c r="C60" s="3" t="inlineStr">
        <is>
          <t>6 objectifs environnementaux</t>
        </is>
      </c>
      <c r="D60" s="3" t="inlineStr">
        <is>
          <t>KPIs CA/CapEx/OpEx</t>
        </is>
      </c>
    </row>
    <row r="61">
      <c r="B61" s="3" t="inlineStr">
        <is>
          <t>Art. L229-25 Code de l'environnement</t>
        </is>
      </c>
      <c r="C61" s="3" t="inlineStr">
        <is>
          <t>BEGES réglementaire France</t>
        </is>
      </c>
      <c r="D61" s="3" t="inlineStr">
        <is>
          <t>Seuil 500 salariés</t>
        </is>
      </c>
    </row>
    <row r="62">
      <c r="B62" s="3" t="inlineStr">
        <is>
          <t>Directive CSRD 2022/2464 + Omnibus COM(2025) 80</t>
        </is>
      </c>
      <c r="C62" s="3" t="inlineStr">
        <is>
          <t>Reporting de durabilité</t>
        </is>
      </c>
      <c r="D62" s="3" t="inlineStr">
        <is>
          <t>Seuils et obligations</t>
        </is>
      </c>
    </row>
    <row r="64" ht="21.75" customHeight="1" s="847">
      <c r="A64" s="843" t="inlineStr">
        <is>
          <t>NOTE : SCOPE 2 LOCATION-BASED vs MARKET-BASED</t>
        </is>
      </c>
      <c r="B64" s="994" t="n"/>
      <c r="C64" s="994" t="n"/>
      <c r="D64" s="994" t="n"/>
    </row>
    <row r="65" ht="49.5" customHeight="1" s="847">
      <c r="A65" s="877" t="inlineStr">
        <is>
          <t>Le GHG Protocol Scope 2 Guidance (2015) exige le double reporting : Location-based (FE du réseau physique) ET Market-based (FE des instruments contractuels). En l'absence de Garanties d'Origine (GO) ou de PPA, le Market-based utilise le 'mix résiduel' (residual mix) du pays.</t>
        </is>
      </c>
    </row>
    <row r="67" ht="21.75" customHeight="1" s="847">
      <c r="A67" s="843" t="inlineStr">
        <is>
          <t>NOTE : FORÇAGE RADIATIF AVIATION</t>
        </is>
      </c>
      <c r="B67" s="994" t="n"/>
      <c r="C67" s="994" t="n"/>
      <c r="D67" s="994" t="n"/>
    </row>
    <row r="68" ht="39.75" customHeight="1" s="847">
      <c r="A68" s="877" t="inlineStr">
        <is>
          <t>Les FE aviation incluent un multiplicateur de forçage radiatif (RF) de ~1.9x conformément aux recommandations ADEME/DGAC et à la littérature scientifique (Lee et al., 2021). Ce multiplicateur couvre les effets non-CO2 (traînées de condensation, NOx, cirrus).</t>
        </is>
      </c>
    </row>
    <row r="70" ht="21.75" customHeight="1" s="847">
      <c r="A70" s="843" t="inlineStr">
        <is>
          <t>NOTE : CARBONE BIOGÉNIQUE</t>
        </is>
      </c>
      <c r="B70" s="994" t="n"/>
      <c r="C70" s="994" t="n"/>
      <c r="D70" s="994" t="n"/>
    </row>
    <row r="71" ht="39.75" customHeight="1" s="847">
      <c r="A71" s="877" t="inlineStr">
        <is>
          <t>Conformément à l'ISO 14064-1:2018 §5.2.4, les émissions de CO2 biogénique sont comptabilisées SÉPARÉMENT. Le FE 'Bois bûches' (FE008) ne comptabilise que les émissions amont.</t>
        </is>
      </c>
    </row>
    <row r="73" ht="15" customHeight="1" s="847"/>
    <row r="74" ht="27.95" customHeight="1" s="847">
      <c r="A74" s="878" t="inlineStr">
        <is>
          <t>QUESTIONS FRÉQUENTES (FAQ)</t>
        </is>
      </c>
    </row>
    <row r="75" ht="21.95" customHeight="1" s="847">
      <c r="A75" s="244" t="inlineStr">
        <is>
          <t>Q1</t>
        </is>
      </c>
      <c r="B75" s="879" t="inlineStr">
        <is>
          <t>Faut-il inclure les émissions d'un site en location ?</t>
        </is>
      </c>
    </row>
    <row r="76" ht="54.95" customHeight="1" s="847">
      <c r="A76" s="245" t="inlineStr">
        <is>
          <t>→</t>
        </is>
      </c>
      <c r="B76" s="880" t="inlineStr">
        <is>
          <t>Oui, si vous avez le contrôle opérationnel du site (vous gérez les équipements, la consommation d'énergie). Les émissions de combustion sur site = Scope 1. L'électricité = Scope 2. Le chauffage collectif fourni par le bailleur = Scope 3 Cat.8 (actifs loués en amont).
Réf. : GHG Protocol Corporate Standard, Chap. 3 + ADEME Guide Méthode pour les entreprises.</t>
        </is>
      </c>
    </row>
    <row r="77" ht="5.1" customHeight="1" s="847"/>
    <row r="78" ht="21.95" customHeight="1" s="847">
      <c r="A78" s="244" t="inlineStr">
        <is>
          <t>Q2</t>
        </is>
      </c>
      <c r="B78" s="879" t="inlineStr">
        <is>
          <t>Comment traiter un véhicule en leasing ou location longue durée ?</t>
        </is>
      </c>
    </row>
    <row r="79" ht="54.95" customHeight="1" s="847">
      <c r="A79" s="245" t="inlineStr">
        <is>
          <t>→</t>
        </is>
      </c>
      <c r="B79" s="880" t="inlineStr">
        <is>
          <t>Leasing long terme (LOA, LLD &gt; 12 mois avec contrôle opérationnel) → Scope 1 (carburant consommé par le véhicule).
Location courte durée ponctuelle (voiture de location) → Scope 3 Cat.6 (déplacements professionnels).
Règle clé : qui contrôle l'usage quotidien du véhicule ?
Réf. : GHG Protocol Corporate Standard §4.2 / FAQ ADEME</t>
        </is>
      </c>
    </row>
    <row r="80" ht="5.1" customHeight="1" s="847"/>
    <row r="81" ht="21.95" customHeight="1" s="847">
      <c r="A81" s="244" t="inlineStr">
        <is>
          <t>Q3</t>
        </is>
      </c>
      <c r="B81" s="879" t="inlineStr">
        <is>
          <t>Les émissions d'un datacenter externalisé sont-elles du Scope 2 ?</t>
        </is>
      </c>
    </row>
    <row r="82" ht="54.95" customHeight="1" s="847">
      <c r="A82" s="245" t="inlineStr">
        <is>
          <t>→</t>
        </is>
      </c>
      <c r="B82" s="880" t="inlineStr">
        <is>
          <t>Non — c'est du Scope 3 Cat.1 (achat de service). Seule l'électricité consommée sur VOS propres sites est du Scope 2.
Exception : si vous louez une cage dans un datacenter avec compteur dédié à votre nom → peut être Scope 2.
Réf. : GHG Protocol Scope 3 Standard, Catégorie 1 §4.1</t>
        </is>
      </c>
    </row>
    <row r="83" ht="5.1" customHeight="1" s="847"/>
    <row r="84" ht="21.95" customHeight="1" s="847">
      <c r="A84" s="244" t="inlineStr">
        <is>
          <t>Q4</t>
        </is>
      </c>
      <c r="B84" s="879" t="inlineStr">
        <is>
          <t>Doit-on déclarer les émissions des salariés en télétravail ?</t>
        </is>
      </c>
    </row>
    <row r="85" ht="54.95" customHeight="1" s="847">
      <c r="A85" s="245" t="inlineStr">
        <is>
          <t>→</t>
        </is>
      </c>
      <c r="B85" s="880" t="inlineStr">
        <is>
          <t>Oui, dans les Scope 3 Cat.7 (domicile-travail) : les émissions chauffage/électricité du domicile liées au télétravail doivent être estimées. En pratique, elles sont souvent faibles vs. les trajets évités. Méthode ADEME : heures télétravaill × surface bureau × FE chauffage résidentiel.
Réf. : ADEME 'Évaluation de l'empreinte carbone du télétravail' (2024)</t>
        </is>
      </c>
    </row>
    <row r="86" ht="5.1" customHeight="1" s="847"/>
    <row r="87" ht="21.95" customHeight="1" s="847">
      <c r="A87" s="244" t="inlineStr">
        <is>
          <t>Q5</t>
        </is>
      </c>
      <c r="B87" s="879" t="inlineStr">
        <is>
          <t>Pourquoi mon Scope 2 Market-based est différent du Location-based ?</t>
        </is>
      </c>
    </row>
    <row r="88" ht="54.95" customHeight="1" s="847">
      <c r="A88" s="245" t="inlineStr">
        <is>
          <t>→</t>
        </is>
      </c>
      <c r="B88" s="880" t="inlineStr">
        <is>
          <t>Le LB utilise le FE moyen du réseau électrique national (ex. France : ~60 gCO2/kWh). Le MB utilise le FE spécifique à vos contrats (PPA, GO, tarif vert). Si vous avez des GO d'ENR : MB peut approcher 0. Sans GO : MB utilise le 'mix résiduel' (= réseau moins la part déjà certifiée), souvent &gt; LB.
Réf. : GHG Protocol Scope 2 Guidance (2015)</t>
        </is>
      </c>
    </row>
    <row r="89" ht="5.1" customHeight="1" s="847"/>
    <row r="90" ht="21.95" customHeight="1" s="847">
      <c r="A90" s="244" t="inlineStr">
        <is>
          <t>Q6</t>
        </is>
      </c>
      <c r="B90" s="879" t="inlineStr">
        <is>
          <t>Le Scope 3 Cat.1 est trop compliqué — puis-je l'estimer grossièrement ?</t>
        </is>
      </c>
    </row>
    <row r="91" ht="120.75" customHeight="1" s="847">
      <c r="A91" s="245" t="inlineStr">
        <is>
          <t>→</t>
        </is>
      </c>
      <c r="B91" s="880" t="inlineStr">
        <is>
          <t>Oui, mais avec obligation de transparence sur la méthode. 3 options par ordre de précision croissante :
1) Spend-based : k€ achats × FE/k€ par secteur ADEME → incertitude ±50-80%
2) Activité x FE moyen : tonnes matière × FE ADEME → incertitude ±30-50%
3) Données primaires fournisseurs : données déclarées SBTi → incertitude ±10-20%
CSRD exige de progresser vers les données primaires pour les fournisseurs significatifs.
Réf. : GHG Protocol S3 Cat.1 Guidance + ADEME Guide Cat.1</t>
        </is>
      </c>
    </row>
    <row r="92" ht="5.1" customHeight="1" s="847"/>
    <row r="93" ht="21.95" customHeight="1" s="847">
      <c r="A93" s="244" t="inlineStr">
        <is>
          <t>Q7</t>
        </is>
      </c>
      <c r="B93" s="879" t="inlineStr">
        <is>
          <t>Nos produits sont des logiciels — faut-il calculer le Scope 3 Cat.11 ?</t>
        </is>
      </c>
    </row>
    <row r="94" ht="54.95" customHeight="1" s="847">
      <c r="A94" s="245" t="inlineStr">
        <is>
          <t>→</t>
        </is>
      </c>
      <c r="B94" s="880" t="inlineStr">
        <is>
          <t>Oui si matériel est vendu avec. Pour le pur SaaS / logiciel : Cat.11 = énergie des serveurs clients pour faire tourner votre logiciel. Difficile à estimer — méthode : temps CPU × FE datacenter client. Si non significatif (&lt; 1% du total S3) → exclure avec justification.
Réf. : GHG Protocol S3 Cat.11 + Green Software Foundation</t>
        </is>
      </c>
    </row>
    <row r="95" ht="5.1" customHeight="1" s="847"/>
    <row r="96" ht="21.95" customHeight="1" s="847">
      <c r="A96" s="244" t="inlineStr">
        <is>
          <t>Q8</t>
        </is>
      </c>
      <c r="B96" s="879" t="inlineStr">
        <is>
          <t>Comment choisir entre contrôle opérationnel et contrôle financier ?</t>
        </is>
      </c>
    </row>
    <row r="97" ht="75.75" customHeight="1" s="847">
      <c r="A97" s="245" t="inlineStr">
        <is>
          <t>→</t>
        </is>
      </c>
      <c r="B97" s="880" t="inlineStr">
        <is>
          <t>Contrôle opérationnel (par défaut ADEME/GHG Protocol) : vous incluez 100% des émissions des entités que vous contrôlez opérationnellement, même si vous détenez &lt; 50% du capital. C'est la méthode la plus courante et la plus prudente.
Contrôle financier : vous incluez les entités consolidées comptablement (&gt;50% capital ou consolidation par intégration globale).
Quote-part du capital : vous incluez votre % de participation dans les émissions de chaque entité.
Réf. : GHG Protocol Corporate Standard Chap. 3</t>
        </is>
      </c>
    </row>
    <row r="98" ht="5.1" customHeight="1" s="847"/>
    <row r="99" ht="21.95" customHeight="1" s="847">
      <c r="A99" s="244" t="inlineStr">
        <is>
          <t>Q9</t>
        </is>
      </c>
      <c r="B99" s="879" t="inlineStr">
        <is>
          <t>Mon BEGES réglementaire suffit-il pour la CSRD ?</t>
        </is>
      </c>
    </row>
    <row r="100" ht="54.95" customHeight="1" s="847">
      <c r="A100" s="245" t="inlineStr">
        <is>
          <t>→</t>
        </is>
      </c>
      <c r="B100" s="880" t="inlineStr">
        <is>
          <t>Non. Le BEGES réglementaire (Art. L229-25) couvre obligatoirement S1+S2 et S3 de façon simplifiée. La CSRD (ESRS E1) exige :
• Scope 1+2+3 complet avec toutes catégories pertinentes
• Double reporting LB + MB pour Scope 2
• Trajectoire de réduction (SBTi ou équivalent)
• Plan de transition (E1-1)
• Analyse risques physiques et de transition (E1-8/9)
• Assurance limitée sur les données
Réf. : ESRS E1 §1 / ADEME Guide BEGES 2024</t>
        </is>
      </c>
    </row>
    <row r="101" ht="5.1" customHeight="1" s="847"/>
    <row r="102" ht="21.95" customHeight="1" s="847">
      <c r="A102" s="244" t="inlineStr">
        <is>
          <t>Q10</t>
        </is>
      </c>
      <c r="B102" s="879" t="inlineStr">
        <is>
          <t>Quelle est la différence entre CSRD et Omnibus 2025 ?</t>
        </is>
      </c>
    </row>
    <row r="103" ht="83.25" customHeight="1" s="847">
      <c r="A103" s="245" t="inlineStr">
        <is>
          <t>→</t>
        </is>
      </c>
      <c r="B103" s="880" t="inlineStr">
        <is>
          <t>La CSRD (directive 2022/2464) s'applique d'abord aux grandes entreprises &gt; 500 salariés (2024). La proposition Omnibus (COM(2025) 80) propose de :
• Relever le seuil à &gt; 1000 salariés ET &gt; 50M€ CA
• Simplifier les standards ESRS
• Supprimer l'obligation pour les PME dans les chaînes de valeur
Statut au moment de ce fichier : proposition — toujours en cours de négociation. Vérifier la version définitive.
Réf. : Commission Européenne COM(2025) 80 final</t>
        </is>
      </c>
    </row>
    <row r="105" ht="21.95" customHeight="1" s="847">
      <c r="A105" s="244" t="inlineStr">
        <is>
          <t>Q11</t>
        </is>
      </c>
      <c r="B105" s="879" t="inlineStr">
        <is>
          <t>Comment gérer des émissions de SF6 (tableaux HTA) en Scope 1 ?</t>
        </is>
      </c>
    </row>
    <row r="106" ht="54.95" customHeight="1" s="847">
      <c r="A106" s="245" t="inlineStr">
        <is>
          <t>→</t>
        </is>
      </c>
      <c r="B106" s="880" t="inlineStr">
        <is>
          <t>Le SF6 a un PRG de 25 200 (AR6) — une fuite de 1 kg = 25.2 tCO2e ! Inclure en Scope 1 Cat.1D (émissions fugitives). Source de données : bons d'intervention maintenance + stock SF6. Facteur d'émission = 1 kg SF6 × 25 200/1000 = 25.2 tCO2e/kg.
Réf. : ADEME Base Carbone — code FE SF6 + ISO 14064-1 §5.2.3c</t>
        </is>
      </c>
    </row>
    <row r="107" ht="5.1" customHeight="1" s="847"/>
    <row r="108" ht="21.95" customHeight="1" s="847">
      <c r="A108" s="244" t="inlineStr">
        <is>
          <t>Q12</t>
        </is>
      </c>
      <c r="B108" s="879" t="inlineStr">
        <is>
          <t>Peut-on déduire les émissions évitées (ex. ENR vendues) du bilan ?</t>
        </is>
      </c>
    </row>
    <row r="109" ht="54.95" customHeight="1" s="847">
      <c r="A109" s="245" t="inlineStr">
        <is>
          <t>→</t>
        </is>
      </c>
      <c r="B109" s="880" t="inlineStr">
        <is>
          <t>NON. Les émissions évitées ne peuvent jamais être soustraites du bilan GES selon le GHG Protocol et l'ISO 14064-1. Elles sont reportées séparément 'hors bilan' pour valorisation commerciale. Exemple : si vous vendez de l'électricité PV — les émissions évitées chez vos clients sont à part, pas à déduire de votre Scope 1+2+3.
Réf. : GHG Protocol Corporate Standard §2.1 / ISO 14064-1 §5.2.4</t>
        </is>
      </c>
    </row>
    <row r="110" ht="5.1" customHeight="1" s="847"/>
  </sheetData>
  <mergeCells count="42">
    <mergeCell ref="A5:D5"/>
    <mergeCell ref="A4:D4"/>
    <mergeCell ref="B88:D88"/>
    <mergeCell ref="A43:D43"/>
    <mergeCell ref="B82:D82"/>
    <mergeCell ref="B78:D78"/>
    <mergeCell ref="B87:D87"/>
    <mergeCell ref="A68:D68"/>
    <mergeCell ref="B103:D103"/>
    <mergeCell ref="A9:D9"/>
    <mergeCell ref="A67:D67"/>
    <mergeCell ref="B108:D108"/>
    <mergeCell ref="B99:D99"/>
    <mergeCell ref="B84:D84"/>
    <mergeCell ref="A64:D64"/>
    <mergeCell ref="A24:D24"/>
    <mergeCell ref="A1:D1"/>
    <mergeCell ref="A70:D70"/>
    <mergeCell ref="B76:D76"/>
    <mergeCell ref="B94:D94"/>
    <mergeCell ref="B85:D85"/>
    <mergeCell ref="B79:D79"/>
    <mergeCell ref="B97:D97"/>
    <mergeCell ref="A65:D65"/>
    <mergeCell ref="A41:D41"/>
    <mergeCell ref="B100:D100"/>
    <mergeCell ref="B106:D106"/>
    <mergeCell ref="B75:D75"/>
    <mergeCell ref="B91:D91"/>
    <mergeCell ref="B109:D109"/>
    <mergeCell ref="B81:D81"/>
    <mergeCell ref="B90:D90"/>
    <mergeCell ref="A74:D74"/>
    <mergeCell ref="B102:D102"/>
    <mergeCell ref="A50:D50"/>
    <mergeCell ref="B93:D93"/>
    <mergeCell ref="A3:D3"/>
    <mergeCell ref="B96:D96"/>
    <mergeCell ref="B105:D105"/>
    <mergeCell ref="A71:D71"/>
    <mergeCell ref="A42:D42"/>
    <mergeCell ref="A32:D32"/>
  </mergeCells>
  <hyperlinks>
    <hyperlink ref="N1" location="Sommaire!A1" display="🏠 Sommaire"/>
    <hyperlink ref="O1" location="Couverture!A1" display="📄 Couverture"/>
  </hyperlink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92D050"/>
    <outlinePr summaryBelow="1" summaryRight="1"/>
    <pageSetUpPr/>
  </sheetPr>
  <dimension ref="A1:K57"/>
  <sheetViews>
    <sheetView showGridLines="0" workbookViewId="0">
      <pane ySplit="3" topLeftCell="A4" activePane="bottomLeft" state="frozen"/>
      <selection pane="bottomLeft" activeCell="B7" sqref="B7"/>
    </sheetView>
  </sheetViews>
  <sheetFormatPr baseColWidth="10" defaultRowHeight="15"/>
  <cols>
    <col width="79" bestFit="1" customWidth="1" style="847" min="1" max="1"/>
    <col width="41.85546875" customWidth="1" style="847" min="2" max="2"/>
    <col width="46.7109375" bestFit="1" customWidth="1" style="847" min="3" max="3"/>
    <col width="24.7109375" customWidth="1" style="847" min="4" max="4"/>
    <col width="19" customWidth="1" style="847" min="5" max="5"/>
    <col width="24.7109375" customWidth="1" style="847" min="6" max="7"/>
    <col width="19" customWidth="1" style="847" min="8" max="9"/>
    <col width="28.5703125" customWidth="1" style="847" min="10" max="10"/>
    <col width="13.28515625" customWidth="1" style="847" min="11" max="11"/>
  </cols>
  <sheetData>
    <row r="1" ht="27.95" customHeight="1" s="847">
      <c r="A1" s="878" t="inlineStr">
        <is>
          <t>NOTES MÉTHODOLOGIQUES — ESRS 2 BP-2 / ISO 14064-1:2018 §5</t>
        </is>
      </c>
      <c r="K1" s="84" t="inlineStr">
        <is>
          <t>🏠 Sommaire</t>
        </is>
      </c>
    </row>
    <row r="2">
      <c r="A2" s="882" t="inlineStr">
        <is>
          <t>Documentation méthodologique obligatoire (ESRS 2 BP-2 §27-33 + ISO 14064-1:2018 §5.2). À compléter et à annexer au rapport CSRD ou BEGES.</t>
        </is>
      </c>
    </row>
    <row r="3" ht="8.1" customHeight="1" s="847"/>
    <row r="4" ht="24" customHeight="1" s="847">
      <c r="A4" s="883" t="inlineStr">
        <is>
          <t>SECTION 1 — PÉRIMÈTRE ORGANISATIONNEL</t>
        </is>
      </c>
    </row>
    <row r="5" ht="20.1" customHeight="1" s="847">
      <c r="A5" s="884" t="inlineStr">
        <is>
          <t>1a. Entités incluses dans le périmètre de consolidation</t>
        </is>
      </c>
    </row>
    <row r="6" ht="32.1" customHeight="1" s="847">
      <c r="A6" s="234" t="inlineStr">
        <is>
          <t>#</t>
        </is>
      </c>
      <c r="B6" s="234" t="inlineStr">
        <is>
          <t>Raison sociale / Entité</t>
        </is>
      </c>
      <c r="C6" s="234" t="inlineStr">
        <is>
          <t>SIREN</t>
        </is>
      </c>
      <c r="D6" s="234" t="inlineStr">
        <is>
          <t>Forme juridique</t>
        </is>
      </c>
      <c r="E6" s="234" t="inlineStr">
        <is>
          <t>% Capital</t>
        </is>
      </c>
      <c r="F6" s="234" t="inlineStr">
        <is>
          <t>% Contrôle opérationnel</t>
        </is>
      </c>
      <c r="G6" s="234" t="inlineStr">
        <is>
          <t>Méthode consolidation</t>
        </is>
      </c>
      <c r="H6" s="234" t="inlineStr">
        <is>
          <t>Incluse (O/N)</t>
        </is>
      </c>
      <c r="I6" s="234" t="inlineStr">
        <is>
          <t>Motif exclusion</t>
        </is>
      </c>
      <c r="J6" s="234" t="inlineStr">
        <is>
          <t>Note</t>
        </is>
      </c>
    </row>
    <row r="7" ht="20.1" customHeight="1" s="847">
      <c r="A7" s="77" t="n">
        <v>1</v>
      </c>
      <c r="B7" s="70">
        <f>Paramètres!B4</f>
        <v/>
      </c>
      <c r="D7" s="69" t="n"/>
      <c r="E7" s="69" t="n"/>
      <c r="F7" s="69" t="n"/>
      <c r="G7" s="70">
        <f>Paramètres!B17</f>
        <v/>
      </c>
      <c r="H7" t="inlineStr">
        <is>
          <t>Oui</t>
        </is>
      </c>
    </row>
    <row r="8" ht="20.1" customHeight="1" s="847">
      <c r="A8" s="77" t="n">
        <v>2</v>
      </c>
      <c r="D8" s="69" t="n"/>
      <c r="E8" s="69" t="n"/>
      <c r="F8" s="69" t="n"/>
    </row>
    <row r="9" ht="20.1" customHeight="1" s="847">
      <c r="A9" s="77" t="n">
        <v>3</v>
      </c>
      <c r="D9" s="69" t="n"/>
      <c r="E9" s="69" t="n"/>
      <c r="F9" s="69" t="n"/>
    </row>
    <row r="10" ht="20.1" customHeight="1" s="847">
      <c r="A10" s="77" t="n">
        <v>4</v>
      </c>
      <c r="D10" s="69" t="n"/>
      <c r="E10" s="69" t="n"/>
      <c r="F10" s="69" t="n"/>
    </row>
    <row r="11" ht="20.1" customHeight="1" s="847">
      <c r="A11" s="77" t="n">
        <v>5</v>
      </c>
      <c r="D11" s="69" t="n"/>
      <c r="E11" s="69" t="n"/>
      <c r="F11" s="69" t="n"/>
    </row>
    <row r="12" ht="9.949999999999999" customHeight="1" s="847"/>
    <row r="13" ht="20.1" customHeight="1" s="847">
      <c r="A13" s="884" t="inlineStr">
        <is>
          <t>1b. Évolution du périmètre vs exercice précédent</t>
        </is>
      </c>
    </row>
    <row r="14" ht="15.95" customHeight="1" s="847">
      <c r="A14" s="72" t="inlineStr">
        <is>
          <t>Description des acquisitions, cessions, ou changements de périmètre affectant la comparabilité :</t>
        </is>
      </c>
    </row>
    <row r="15" ht="21.95" customHeight="1" s="847">
      <c r="A15" s="885" t="inlineStr">
        <is>
          <t>(Saisir ici le récit des changements de périmètre — ex. 'Acquisition de filiale XYZ en mars 2025 : +120 ETP, +15% émissions S3 Cat.1')</t>
        </is>
      </c>
    </row>
    <row r="16" ht="21.95" customHeight="1" s="847"/>
    <row r="17" ht="21.95" customHeight="1" s="847">
      <c r="A17" s="886" t="n"/>
      <c r="B17" s="886" t="n"/>
      <c r="C17" s="886" t="n"/>
      <c r="D17" s="886" t="n"/>
      <c r="E17" s="886" t="n"/>
      <c r="F17" s="886" t="n"/>
      <c r="G17" s="886" t="n"/>
      <c r="H17" s="886" t="n"/>
      <c r="I17" s="886" t="n"/>
      <c r="J17" s="886" t="n"/>
    </row>
    <row r="18" ht="12" customHeight="1" s="847"/>
    <row r="19" ht="24" customHeight="1" s="847">
      <c r="A19" s="887" t="inlineStr">
        <is>
          <t>SECTION 2 — SOURCES DE DONNÉES PAR SCOPE</t>
        </is>
      </c>
    </row>
    <row r="20" ht="32.1" customHeight="1" s="847">
      <c r="A20" s="235" t="inlineStr">
        <is>
          <t>Scope/Cat.</t>
        </is>
      </c>
      <c r="B20" s="235" t="inlineStr">
        <is>
          <t>Donnée d'activité</t>
        </is>
      </c>
      <c r="C20" s="235" t="inlineStr">
        <is>
          <t>Source du document</t>
        </is>
      </c>
      <c r="D20" s="235" t="inlineStr">
        <is>
          <t>Système / Outil</t>
        </is>
      </c>
      <c r="E20" s="235" t="inlineStr">
        <is>
          <t>Responsable</t>
        </is>
      </c>
      <c r="F20" s="235" t="inlineStr">
        <is>
          <t>Fréquence collecte</t>
        </is>
      </c>
      <c r="G20" s="235" t="inlineStr">
        <is>
          <t>Niveau qualité (1-5)</t>
        </is>
      </c>
      <c r="H20" s="235" t="inlineStr">
        <is>
          <t>Incertitude DA (%)</t>
        </is>
      </c>
      <c r="I20" s="235" t="inlineStr">
        <is>
          <t>Incertitude FE (%)</t>
        </is>
      </c>
      <c r="J20" s="235" t="inlineStr">
        <is>
          <t>Commentaire</t>
        </is>
      </c>
    </row>
    <row r="21" ht="42.75" customHeight="1" s="847">
      <c r="A21" s="236" t="inlineStr">
        <is>
          <t>Scope 1
1A Combustion</t>
        </is>
      </c>
      <c r="B21" t="inlineStr">
        <is>
          <t>Consommation gaz naturel (kWh)</t>
        </is>
      </c>
      <c r="C21" t="inlineStr">
        <is>
          <t>Factures fournisseur gaz</t>
        </is>
      </c>
      <c r="D21" t="inlineStr">
        <is>
          <t>Compteur client / ERP</t>
        </is>
      </c>
      <c r="F21" t="inlineStr">
        <is>
          <t>Annuelle</t>
        </is>
      </c>
      <c r="G21" s="69" t="n">
        <v>2</v>
      </c>
      <c r="H21" s="237" t="n">
        <v>0.05</v>
      </c>
      <c r="I21" s="237" t="n">
        <v>0.08</v>
      </c>
    </row>
    <row r="22" ht="33.75" customHeight="1" s="847">
      <c r="A22" s="236" t="inlineStr">
        <is>
          <t>Scope 1
1B Mobile</t>
        </is>
      </c>
      <c r="B22" t="inlineStr">
        <is>
          <t>Carburant véhicules (L)</t>
        </is>
      </c>
      <c r="C22" t="inlineStr">
        <is>
          <t>Relevés cartes carburant</t>
        </is>
      </c>
      <c r="D22" t="inlineStr">
        <is>
          <t>Fleet management / ERP</t>
        </is>
      </c>
      <c r="F22" t="inlineStr">
        <is>
          <t>Mensuelle</t>
        </is>
      </c>
      <c r="G22" s="69" t="n">
        <v>2</v>
      </c>
      <c r="H22" s="237" t="n">
        <v>0.05</v>
      </c>
      <c r="I22" s="237" t="n">
        <v>0.05</v>
      </c>
    </row>
    <row r="23" ht="34.5" customHeight="1" s="847">
      <c r="A23" s="236" t="inlineStr">
        <is>
          <t>Scope 1
1D Fugitives</t>
        </is>
      </c>
      <c r="B23" t="inlineStr">
        <is>
          <t>Recharges fluides frigorigènes (kg)</t>
        </is>
      </c>
      <c r="C23" t="inlineStr">
        <is>
          <t>Bons d'intervention clim.</t>
        </is>
      </c>
      <c r="D23" t="inlineStr">
        <is>
          <t>GMAO / papier</t>
        </is>
      </c>
      <c r="F23" t="inlineStr">
        <is>
          <t>Annuelle</t>
        </is>
      </c>
      <c r="G23" s="69" t="n">
        <v>3</v>
      </c>
      <c r="H23" s="237" t="n">
        <v>0.2</v>
      </c>
      <c r="I23" s="237" t="n">
        <v>0.1</v>
      </c>
    </row>
    <row r="24" ht="20.1" customHeight="1" s="847">
      <c r="A24" s="889" t="inlineStr">
        <is>
          <t>Scope 2 LB</t>
        </is>
      </c>
      <c r="B24" t="inlineStr">
        <is>
          <t>Consommation électricité (kWh)</t>
        </is>
      </c>
      <c r="C24" t="inlineStr">
        <is>
          <t>Factures fournisseur élec.</t>
        </is>
      </c>
      <c r="D24" t="inlineStr">
        <is>
          <t>Smart meter / ERP</t>
        </is>
      </c>
      <c r="F24" t="inlineStr">
        <is>
          <t>Mensuelle</t>
        </is>
      </c>
      <c r="G24" s="69" t="n">
        <v>2</v>
      </c>
      <c r="H24" s="237" t="n">
        <v>0.03</v>
      </c>
      <c r="I24" s="237" t="n">
        <v>0.1</v>
      </c>
      <c r="J24" t="inlineStr">
        <is>
          <t>FE RTE réseau 2023</t>
        </is>
      </c>
    </row>
    <row r="25" ht="20.1" customHeight="1" s="847">
      <c r="A25" s="889" t="inlineStr">
        <is>
          <t>Scope 2 MB</t>
        </is>
      </c>
      <c r="B25" t="inlineStr">
        <is>
          <t>Garanties d'Origine (GO)</t>
        </is>
      </c>
      <c r="C25" t="inlineStr">
        <is>
          <t>Certificats GO fournisseur</t>
        </is>
      </c>
      <c r="D25" t="inlineStr">
        <is>
          <t>Contrat PPA / GO</t>
        </is>
      </c>
      <c r="F25" t="inlineStr">
        <is>
          <t>Annuelle</t>
        </is>
      </c>
      <c r="G25" s="69" t="n">
        <v>2</v>
      </c>
      <c r="H25" s="237" t="n">
        <v>0.03</v>
      </c>
      <c r="I25" s="237" t="n">
        <v>0.05</v>
      </c>
      <c r="J25" t="inlineStr">
        <is>
          <t>Si pas de GO : mix résiduel AIB</t>
        </is>
      </c>
    </row>
    <row r="26" ht="20.1" customHeight="1" s="847">
      <c r="A26" s="889" t="inlineStr">
        <is>
          <t>Scope 3 Cat.1</t>
        </is>
      </c>
      <c r="B26" t="inlineStr">
        <is>
          <t>Montant achats par catégorie (€)</t>
        </is>
      </c>
      <c r="C26" t="inlineStr">
        <is>
          <t>Export ERP Achats</t>
        </is>
      </c>
      <c r="D26" t="inlineStr">
        <is>
          <t>SAP / Sage / ERP</t>
        </is>
      </c>
      <c r="F26" t="inlineStr">
        <is>
          <t>Annuelle</t>
        </is>
      </c>
      <c r="G26" s="69" t="n">
        <v>4</v>
      </c>
      <c r="H26" s="237" t="n">
        <v>0.2</v>
      </c>
      <c r="I26" s="237" t="n">
        <v>0.3</v>
      </c>
      <c r="J26" t="inlineStr">
        <is>
          <t>Méthode spend-based par défaut</t>
        </is>
      </c>
    </row>
    <row r="27" ht="20.1" customHeight="1" s="847">
      <c r="A27" s="889" t="inlineStr">
        <is>
          <t>Scope 3 Cat.6</t>
        </is>
      </c>
      <c r="B27" t="inlineStr">
        <is>
          <t>Km aériens + distance terres (km)</t>
        </is>
      </c>
      <c r="C27" t="inlineStr">
        <is>
          <t>Outil note de frais</t>
        </is>
      </c>
      <c r="D27" t="inlineStr">
        <is>
          <t>Concur / Notilus</t>
        </is>
      </c>
      <c r="F27" t="inlineStr">
        <is>
          <t>Annuelle</t>
        </is>
      </c>
      <c r="G27" s="69" t="n">
        <v>2</v>
      </c>
      <c r="H27" s="237" t="n">
        <v>0.05</v>
      </c>
      <c r="I27" s="237" t="n">
        <v>0.05</v>
      </c>
      <c r="J27" t="inlineStr">
        <is>
          <t>RF aviation ×1.9 inclus</t>
        </is>
      </c>
    </row>
    <row r="28" ht="20.1" customHeight="1" s="847">
      <c r="A28" s="889" t="inlineStr">
        <is>
          <t>Scope 3 Cat.7</t>
        </is>
      </c>
      <c r="B28" t="inlineStr">
        <is>
          <t>Mode + distance dom.-travail (km)</t>
        </is>
      </c>
      <c r="C28" t="inlineStr">
        <is>
          <t>Enquête mobilité interne</t>
        </is>
      </c>
      <c r="D28" t="inlineStr">
        <is>
          <t>Excel / SurveyMonkey</t>
        </is>
      </c>
      <c r="F28" t="inlineStr">
        <is>
          <t>Bi-annuelle</t>
        </is>
      </c>
      <c r="G28" s="69" t="n">
        <v>3</v>
      </c>
      <c r="H28" s="237" t="n">
        <v>0.15</v>
      </c>
      <c r="I28" s="237" t="n">
        <v>0.05</v>
      </c>
      <c r="J28" t="inlineStr">
        <is>
          <t>Hypothèse : 220 j/an</t>
        </is>
      </c>
    </row>
    <row r="29" ht="12" customHeight="1" s="847"/>
    <row r="30" ht="24" customHeight="1" s="847">
      <c r="A30" s="888" t="inlineStr">
        <is>
          <t>SECTION 3 — HYPOTHÈSES CLÉS ET CONVENTIONS DE CALCUL</t>
        </is>
      </c>
    </row>
    <row r="31" ht="32.1" customHeight="1" s="847">
      <c r="A31" s="239" t="inlineStr">
        <is>
          <t>Hypothèse / Convention</t>
        </is>
      </c>
      <c r="B31" s="239" t="inlineStr">
        <is>
          <t>Valeur retenue</t>
        </is>
      </c>
      <c r="C31" s="239" t="inlineStr">
        <is>
          <t>Source / Justification</t>
        </is>
      </c>
      <c r="D31" s="239" t="inlineStr">
        <is>
          <t>Impact si variation</t>
        </is>
      </c>
      <c r="E31" s="239" t="inlineStr">
        <is>
          <t>Validée par</t>
        </is>
      </c>
    </row>
    <row r="32" ht="20.1" customHeight="1" s="847">
      <c r="A32" t="inlineStr">
        <is>
          <t>Jours ouvrés annuels</t>
        </is>
      </c>
      <c r="B32" s="240" t="inlineStr">
        <is>
          <t>218 j/an</t>
        </is>
      </c>
      <c r="C32" t="inlineStr">
        <is>
          <t>Convention légale France (RTT inclus)</t>
        </is>
      </c>
      <c r="D32" t="inlineStr">
        <is>
          <t>±5% sur Cat.7</t>
        </is>
      </c>
    </row>
    <row r="33" ht="20.1" customHeight="1" s="847">
      <c r="A33" t="inlineStr">
        <is>
          <t>Distance dom.-travail moyenne</t>
        </is>
      </c>
      <c r="B33" s="240" t="inlineStr">
        <is>
          <t>15 km (A/R = 30 km)</t>
        </is>
      </c>
      <c r="C33" t="inlineStr">
        <is>
          <t>Enquête mobilité ou valeur nationale ADEME</t>
        </is>
      </c>
      <c r="D33" t="inlineStr">
        <is>
          <t>±15% sur Cat.7</t>
        </is>
      </c>
    </row>
    <row r="34" ht="20.1" customHeight="1" s="847">
      <c r="A34" t="inlineStr">
        <is>
          <t>Taux télétravail</t>
        </is>
      </c>
      <c r="B34" s="241" t="n">
        <v>0</v>
      </c>
      <c r="C34" t="inlineStr">
        <is>
          <t>Saisir le taux réel ou l'hypothèse retenue</t>
        </is>
      </c>
      <c r="D34" t="inlineStr">
        <is>
          <t>Impact Cat.7 direct</t>
        </is>
      </c>
    </row>
    <row r="35" ht="20.1" customHeight="1" s="847">
      <c r="A35" t="inlineStr">
        <is>
          <t>Taux de remplissage véhicule</t>
        </is>
      </c>
      <c r="B35" s="240" t="inlineStr">
        <is>
          <t>1.2 passagers/véhicule</t>
        </is>
      </c>
      <c r="C35" t="inlineStr">
        <is>
          <t>ADEME / enquête interne</t>
        </is>
      </c>
      <c r="D35" t="inlineStr">
        <is>
          <t>±10% Cat.7</t>
        </is>
      </c>
    </row>
    <row r="36" ht="20.1" customHeight="1" s="847">
      <c r="A36" t="inlineStr">
        <is>
          <t>Multiplicateur forçage radiatif aviation</t>
        </is>
      </c>
      <c r="B36" s="240" t="inlineStr">
        <is>
          <t>×1.9 (RF factor)</t>
        </is>
      </c>
      <c r="C36" t="inlineStr">
        <is>
          <t>ADEME/DGAC, Lee et al. 2021</t>
        </is>
      </c>
      <c r="D36" t="inlineStr">
        <is>
          <t>Quasi-doublement GES avion</t>
        </is>
      </c>
    </row>
    <row r="37" ht="20.1" customHeight="1" s="847">
      <c r="A37" t="inlineStr">
        <is>
          <t>CO2 biogénique</t>
        </is>
      </c>
      <c r="B37" s="240" t="inlineStr">
        <is>
          <t>Non inclus dans le bilan</t>
        </is>
      </c>
      <c r="C37" t="inlineStr">
        <is>
          <t>ISO 14064-1 §5.2.4 — comptabilisé séparément</t>
        </is>
      </c>
      <c r="D37" t="inlineStr">
        <is>
          <t>Hors total tCO2e</t>
        </is>
      </c>
    </row>
    <row r="38" ht="20.1" customHeight="1" s="847">
      <c r="A38" t="inlineStr">
        <is>
          <t>FE électricité réseau FR</t>
        </is>
      </c>
      <c r="B38" s="240" t="inlineStr">
        <is>
          <t>0.0599 kgCO2e/kWh (2023)</t>
        </is>
      </c>
      <c r="C38" t="inlineStr">
        <is>
          <t>ADEME Base Carbone v23.1 — code FE21</t>
        </is>
      </c>
      <c r="D38" t="inlineStr">
        <is>
          <t>Variation annuelle ≈ ±5%</t>
        </is>
      </c>
    </row>
    <row r="39" ht="20.1" customHeight="1" s="847">
      <c r="A39" t="inlineStr">
        <is>
          <t>FE gaz naturel (combustion)</t>
        </is>
      </c>
      <c r="B39" s="240" t="inlineStr">
        <is>
          <t>0.205 kgCO2e/kWh PCS</t>
        </is>
      </c>
      <c r="C39" t="inlineStr">
        <is>
          <t>ADEME Base Carbone v23.1 — code FE45</t>
        </is>
      </c>
      <c r="D39" t="inlineStr">
        <is>
          <t>Stable — FE fossile</t>
        </is>
      </c>
    </row>
    <row r="40" ht="20.1" customHeight="1" s="847">
      <c r="A40" t="inlineStr">
        <is>
          <t>Mix résiduel AIB France</t>
        </is>
      </c>
      <c r="B40" s="240" t="inlineStr">
        <is>
          <t>79 gCO2/kWh (2023)</t>
        </is>
      </c>
      <c r="C40" t="inlineStr">
        <is>
          <t>AIB European Residual Mix 2023 — publié juil. 2024</t>
        </is>
      </c>
      <c r="D40" t="inlineStr">
        <is>
          <t>Pour Scope 2 Market-based</t>
        </is>
      </c>
    </row>
    <row r="41" ht="20.1" customHeight="1" s="847">
      <c r="A41" t="inlineStr">
        <is>
          <t>Année de référence PRG</t>
        </is>
      </c>
      <c r="B41" s="240" t="inlineStr">
        <is>
          <t>GIEC AR6 2021 — PRG 100 ans</t>
        </is>
      </c>
      <c r="C41" t="inlineStr">
        <is>
          <t>Requis ESRS E1 §46 / GHG Protocol</t>
        </is>
      </c>
      <c r="D41" t="inlineStr">
        <is>
          <t>CH4 = 29.8 (vs 28 AR5)</t>
        </is>
      </c>
    </row>
    <row r="42" ht="12" customHeight="1" s="847"/>
    <row r="43" ht="24" customHeight="1" s="847">
      <c r="A43" s="890" t="inlineStr">
        <is>
          <t>SECTION 4 — CHANGEMENTS MÉTHODOLOGIQUES ET CORRECTIONS</t>
        </is>
      </c>
    </row>
    <row r="44" ht="32.1" customHeight="1" s="847">
      <c r="A44" s="242" t="inlineStr">
        <is>
          <t>Exercice</t>
        </is>
      </c>
      <c r="B44" s="242" t="inlineStr">
        <is>
          <t>Nature du changement</t>
        </is>
      </c>
      <c r="C44" s="242" t="inlineStr">
        <is>
          <t>Description narrative</t>
        </is>
      </c>
      <c r="D44" s="242" t="inlineStr">
        <is>
          <t>Impact quantitatif (tCO2e)</t>
        </is>
      </c>
      <c r="E44" s="242" t="inlineStr">
        <is>
          <t>Impact relatif (%)</t>
        </is>
      </c>
      <c r="F44" s="242" t="inlineStr">
        <is>
          <t>Rebasement effectué ?</t>
        </is>
      </c>
      <c r="G44" s="242" t="inlineStr">
        <is>
          <t>Validé par</t>
        </is>
      </c>
    </row>
    <row r="45" ht="20.1" customHeight="1" s="847">
      <c r="A45" s="69" t="n"/>
      <c r="D45" s="50" t="n"/>
      <c r="E45" s="995" t="n"/>
    </row>
    <row r="46" ht="20.1" customHeight="1" s="847">
      <c r="A46" s="69" t="n"/>
      <c r="D46" s="50" t="n"/>
      <c r="E46" s="995" t="n"/>
    </row>
    <row r="47" ht="20.1" customHeight="1" s="847">
      <c r="A47" s="69" t="n"/>
      <c r="D47" s="50" t="n"/>
      <c r="E47" s="995" t="n"/>
    </row>
    <row r="48" ht="20.1" customHeight="1" s="847">
      <c r="A48" s="69" t="n"/>
      <c r="D48" s="50" t="n"/>
      <c r="E48" s="995" t="n"/>
    </row>
    <row r="49" ht="20.1" customHeight="1" s="847">
      <c r="A49" s="69" t="n"/>
      <c r="D49" s="50" t="n"/>
      <c r="E49" s="995" t="n"/>
    </row>
    <row r="50" ht="12" customHeight="1" s="847"/>
    <row r="51" ht="24" customHeight="1" s="847">
      <c r="A51" s="881" t="inlineStr">
        <is>
          <t>SECTION 5 — LIMITES, EXCLUSIONS ET ÉMISSIONS NON CALCULÉES</t>
        </is>
      </c>
    </row>
    <row r="52" ht="32.1" customHeight="1" s="847">
      <c r="A52" s="243" t="inlineStr">
        <is>
          <t>Catégorie exclue</t>
        </is>
      </c>
      <c r="B52" s="243" t="inlineStr">
        <is>
          <t>Motif d'exclusion</t>
        </is>
      </c>
      <c r="C52" s="243" t="inlineStr">
        <is>
          <t>Estimation poids relatif (%)</t>
        </is>
      </c>
      <c r="D52" s="243" t="inlineStr">
        <is>
          <t>Plan d'intégration futur</t>
        </is>
      </c>
      <c r="E52" s="243" t="inlineStr">
        <is>
          <t>Réf. réglementaire</t>
        </is>
      </c>
    </row>
    <row r="53" ht="20.1" customHeight="1" s="847">
      <c r="A53" t="inlineStr">
        <is>
          <t>Scope 3 Cat.15 (Investissements)</t>
        </is>
      </c>
      <c r="B53" t="inlineStr">
        <is>
          <t>Entreprise non-investisseur institutionnel</t>
        </is>
      </c>
      <c r="C53" s="995" t="inlineStr">
        <is>
          <t>&lt; 1%</t>
        </is>
      </c>
      <c r="D53" t="inlineStr">
        <is>
          <t>N/A</t>
        </is>
      </c>
      <c r="E53" t="inlineStr">
        <is>
          <t>GHG Protocol S3 p.141</t>
        </is>
      </c>
    </row>
    <row r="54" ht="20.1" customHeight="1" s="847">
      <c r="A54" t="inlineStr">
        <is>
          <t>Émissions CH4 / N2O process</t>
        </is>
      </c>
      <c r="B54" t="inlineStr">
        <is>
          <t>Non applicable — secteur tertiaire</t>
        </is>
      </c>
      <c r="C54" s="995" t="n">
        <v>0</v>
      </c>
      <c r="D54" t="inlineStr">
        <is>
          <t>N/A</t>
        </is>
      </c>
      <c r="E54" t="inlineStr">
        <is>
          <t>ISO 14064-1 §5.2.3</t>
        </is>
      </c>
    </row>
    <row r="55" ht="20.1" customHeight="1" s="847">
      <c r="A55" t="inlineStr">
        <is>
          <t>Sites &lt; 50 m² (surface totale exclue)</t>
        </is>
      </c>
      <c r="B55" t="inlineStr">
        <is>
          <t>Non significatif &lt; 0.5% surface</t>
        </is>
      </c>
      <c r="C55" s="995" t="inlineStr">
        <is>
          <t>&lt; 0.1%</t>
        </is>
      </c>
      <c r="D55" t="inlineStr">
        <is>
          <t>Intégrer si &gt; 1%</t>
        </is>
      </c>
      <c r="E55" t="inlineStr">
        <is>
          <t>GHG Protocol §3.5</t>
        </is>
      </c>
    </row>
    <row r="56" ht="20.1" customHeight="1" s="847">
      <c r="A56" t="inlineStr">
        <is>
          <t>Véhicules personnels en mission</t>
        </is>
      </c>
      <c r="B56" t="inlineStr">
        <is>
          <t>Données non collectées — remboursement km</t>
        </is>
      </c>
      <c r="C56" s="995" t="n"/>
      <c r="D56" t="inlineStr">
        <is>
          <t>Enquête annuelle RH</t>
        </is>
      </c>
      <c r="E56" t="inlineStr">
        <is>
          <t>GHG Protocol S3 Cat.6</t>
        </is>
      </c>
    </row>
    <row r="57" ht="20.1" customHeight="1" s="847">
      <c r="C57" s="995" t="n"/>
    </row>
  </sheetData>
  <mergeCells count="12">
    <mergeCell ref="A1:J1"/>
    <mergeCell ref="A5:J5"/>
    <mergeCell ref="A17:J17"/>
    <mergeCell ref="A2:J2"/>
    <mergeCell ref="A30:J30"/>
    <mergeCell ref="A15:J15"/>
    <mergeCell ref="A4:J4"/>
    <mergeCell ref="A43:J43"/>
    <mergeCell ref="A16:J16"/>
    <mergeCell ref="A13:J13"/>
    <mergeCell ref="A19:J19"/>
    <mergeCell ref="A51:J51"/>
  </mergeCells>
  <dataValidations count="5">
    <dataValidation sqref="H7:H11" showDropDown="0" showInputMessage="1" showErrorMessage="1" allowBlank="1" type="list">
      <formula1>"Oui,Non"</formula1>
    </dataValidation>
    <dataValidation sqref="G7:G11" showDropDown="0" showInputMessage="1" showErrorMessage="1" allowBlank="1" type="list">
      <formula1>"Contrôle opérationnel,Contrôle financier,Quote-part du capital"</formula1>
    </dataValidation>
    <dataValidation sqref="G21:G28" showDropDown="0" showInputMessage="1" showErrorMessage="1" allowBlank="1" type="list">
      <formula1>"1,2,3,4,5"</formula1>
    </dataValidation>
    <dataValidation sqref="B45:B49" showDropDown="0" showInputMessage="1" showErrorMessage="1" allowBlank="1" type="list">
      <formula1>"Changement FE,Changement méthode,Acquisition/Cession,Correction erreur,Extension périmètre S3,Autre"</formula1>
    </dataValidation>
    <dataValidation sqref="F45:F49" showDropDown="0" showInputMessage="1" showErrorMessage="1" allowBlank="1" type="list">
      <formula1>"Oui,Non,Partiel"</formula1>
    </dataValidation>
  </dataValidations>
  <hyperlinks>
    <hyperlink ref="K1" location="Sommaire!A1" display="🏠 Sommaire"/>
  </hyperlinks>
  <pageMargins left="0.7" right="0.7" top="0.75" bottom="0.75" header="0.3" footer="0.3"/>
</worksheet>
</file>

<file path=xl/worksheets/sheet5.xml><?xml version="1.0" encoding="utf-8"?>
<worksheet xmlns="http://schemas.openxmlformats.org/spreadsheetml/2006/main">
  <sheetPr>
    <tabColor rgb="FF0D47A1"/>
    <outlinePr summaryBelow="1" summaryRight="1"/>
    <pageSetUpPr/>
  </sheetPr>
  <dimension ref="A1:O74"/>
  <sheetViews>
    <sheetView showGridLines="0" zoomScaleNormal="100" workbookViewId="0">
      <pane ySplit="1" topLeftCell="A2" activePane="bottomLeft" state="frozen"/>
      <selection pane="bottomLeft" activeCell="C23" sqref="C23:D23"/>
    </sheetView>
  </sheetViews>
  <sheetFormatPr baseColWidth="10" defaultColWidth="8.7109375" defaultRowHeight="15"/>
  <cols>
    <col width="33.5703125" bestFit="1" customWidth="1" style="847" min="1" max="1"/>
    <col width="45.28515625" customWidth="1" style="847" min="2" max="2"/>
    <col width="28.7109375" customWidth="1" style="847" min="3" max="3"/>
    <col width="47.5703125" customWidth="1" style="847" min="4" max="4"/>
    <col width="19" customWidth="1" style="847" min="5" max="5"/>
    <col width="13.28515625" customWidth="1" style="847" min="14" max="14"/>
    <col width="15.28515625" customWidth="1" style="847" min="15" max="15"/>
  </cols>
  <sheetData>
    <row r="1" ht="20.1" customHeight="1" s="847">
      <c r="A1" s="841" t="inlineStr">
        <is>
          <t>PARAMÈTRES DE CONFIGURATION — BILAN CARBONE</t>
        </is>
      </c>
      <c r="B1" s="994" t="n"/>
      <c r="C1" s="994" t="n"/>
      <c r="D1" s="994" t="n"/>
      <c r="N1" s="86" t="inlineStr">
        <is>
          <t>🏠 Sommaire</t>
        </is>
      </c>
      <c r="O1" s="87" t="inlineStr">
        <is>
          <t>📄 Couverture</t>
        </is>
      </c>
    </row>
    <row r="3" ht="21.75" customHeight="1" s="847" thickBot="1">
      <c r="A3" s="843" t="inlineStr">
        <is>
          <t>INFORMATIONS ENTREPRISE</t>
        </is>
      </c>
      <c r="B3" s="994" t="n"/>
      <c r="C3" s="994" t="n"/>
      <c r="D3" s="994" t="n"/>
    </row>
    <row r="4">
      <c r="A4" s="792" t="inlineStr">
        <is>
          <t>Raison sociale</t>
        </is>
      </c>
      <c r="B4" s="833"/>
    </row>
    <row r="5" ht="15.75" customHeight="1" s="847" thickBot="1">
      <c r="A5" s="793" t="inlineStr">
        <is>
          <t>SIREN / SIRET</t>
        </is>
      </c>
      <c r="B5" s="834" t="n"/>
    </row>
    <row r="6" ht="15.75" customHeight="1" s="847" thickBot="1">
      <c r="A6" s="793" t="inlineStr">
        <is>
          <t>Secteur d'activité</t>
        </is>
      </c>
      <c r="B6" s="834"/>
      <c r="C6" s="838"/>
      <c r="D6" s="839" t="n"/>
    </row>
    <row r="7">
      <c r="A7" s="793" t="inlineStr">
        <is>
          <t>Année de reporting</t>
        </is>
      </c>
      <c r="B7" s="835"/>
    </row>
    <row r="8">
      <c r="A8" s="793" t="inlineStr">
        <is>
          <t>Période</t>
        </is>
      </c>
      <c r="B8" s="834"/>
    </row>
    <row r="9">
      <c r="A9" s="793" t="inlineStr">
        <is>
          <t>Chiffre d'affaires net (€)</t>
        </is>
      </c>
      <c r="B9" s="836"/>
    </row>
    <row r="10">
      <c r="A10" s="793" t="inlineStr">
        <is>
          <t>Total du bilan (€)</t>
        </is>
      </c>
      <c r="B10" s="836"/>
    </row>
    <row r="11">
      <c r="A11" s="793" t="inlineStr">
        <is>
          <t>Effectifs (ETP)</t>
        </is>
      </c>
      <c r="B11" s="835"/>
    </row>
    <row r="12">
      <c r="A12" s="793" t="inlineStr">
        <is>
          <t>Surface occupée (m²)</t>
        </is>
      </c>
      <c r="B12" s="835"/>
    </row>
    <row r="13">
      <c r="A13" s="793" t="inlineStr">
        <is>
          <t>Nombre de sites</t>
        </is>
      </c>
      <c r="B13" s="835"/>
    </row>
    <row r="14">
      <c r="A14" s="793" t="inlineStr">
        <is>
          <t>CapEx total entreprise (€)</t>
        </is>
      </c>
      <c r="B14" s="836"/>
    </row>
    <row r="15" ht="15.75" customHeight="1" s="847" thickBot="1">
      <c r="A15" s="794" t="inlineStr">
        <is>
          <t>OpEx éligible Taxonomie (€)</t>
        </is>
      </c>
      <c r="B15" s="837"/>
      <c r="C15" s="16" t="inlineStr">
        <is>
          <t>(R&amp;D + rénovation bâtiments + leases CT + maintenance)</t>
        </is>
      </c>
    </row>
    <row r="17" ht="21.75" customHeight="1" s="847" thickBot="1">
      <c r="A17" s="843" t="inlineStr">
        <is>
          <t>PÉRIMÈTRE ORGANISATIONNEL</t>
        </is>
      </c>
      <c r="B17" s="994" t="n"/>
      <c r="C17" s="994" t="n"/>
      <c r="D17" s="994" t="n"/>
    </row>
    <row r="18">
      <c r="A18" s="792" t="inlineStr">
        <is>
          <t>Méthode de consolidation</t>
        </is>
      </c>
      <c r="B18" s="275" t="inlineStr">
        <is>
          <t>Contrôle opérationnel</t>
        </is>
      </c>
    </row>
    <row r="19">
      <c r="A19" s="793" t="inlineStr">
        <is>
          <t>Périmètre géographique</t>
        </is>
      </c>
      <c r="B19" s="275" t="inlineStr">
        <is>
          <t>France</t>
        </is>
      </c>
    </row>
    <row r="20">
      <c r="A20" s="793" t="inlineStr">
        <is>
          <t>Scope 1 inclus</t>
        </is>
      </c>
      <c r="B20" s="275" t="inlineStr">
        <is>
          <t>Oui</t>
        </is>
      </c>
    </row>
    <row r="21">
      <c r="A21" s="793" t="inlineStr">
        <is>
          <t>Scope 2 inclus</t>
        </is>
      </c>
      <c r="B21" s="275" t="inlineStr">
        <is>
          <t>Oui</t>
        </is>
      </c>
    </row>
    <row r="22" ht="15.75" customHeight="1" s="847" thickBot="1">
      <c r="A22" s="793" t="inlineStr">
        <is>
          <t>Scope 3 inclus</t>
        </is>
      </c>
      <c r="B22" s="275" t="inlineStr">
        <is>
          <t>Oui</t>
        </is>
      </c>
    </row>
    <row r="23" ht="15.75" customHeight="1" s="847" thickBot="1">
      <c r="A23" s="794" t="inlineStr">
        <is>
          <t>Part Scope 1 sous EU ETS (%)</t>
        </is>
      </c>
      <c r="B23" s="996" t="n">
        <v>0</v>
      </c>
      <c r="C23" s="838" t="inlineStr">
        <is>
          <t>Quotas gratuits (tCO2e)</t>
        </is>
      </c>
      <c r="D23" s="839" t="n">
        <v>0</v>
      </c>
    </row>
    <row r="25" ht="21.75" customHeight="1" s="847" thickBot="1">
      <c r="A25" s="843" t="inlineStr">
        <is>
          <t>MÉTHODOLOGIE &amp; RÉFÉRENCES</t>
        </is>
      </c>
      <c r="B25" s="994" t="n"/>
      <c r="C25" s="994" t="n"/>
      <c r="D25" s="994" t="n"/>
    </row>
    <row r="26">
      <c r="A26" s="792" t="inlineStr">
        <is>
          <t>Référentiel principal</t>
        </is>
      </c>
      <c r="B26" s="997" t="inlineStr">
        <is>
          <t>GHG Protocol Corporate Standard</t>
        </is>
      </c>
      <c r="C26" s="678" t="n"/>
    </row>
    <row r="27">
      <c r="A27" s="793" t="inlineStr">
        <is>
          <t>Norme ISO</t>
        </is>
      </c>
      <c r="B27" s="998" t="inlineStr">
        <is>
          <t>ISO 14064-1:2018</t>
        </is>
      </c>
      <c r="C27" s="999" t="n"/>
    </row>
    <row r="28">
      <c r="A28" s="793" t="inlineStr">
        <is>
          <t>Base de facteurs d'émission</t>
        </is>
      </c>
      <c r="B28" s="998" t="inlineStr">
        <is>
          <t>ADEME Base Carbone v23.1</t>
        </is>
      </c>
      <c r="C28" s="999" t="n"/>
    </row>
    <row r="29">
      <c r="A29" s="793" t="inlineStr">
        <is>
          <t>PRG utilisé</t>
        </is>
      </c>
      <c r="B29" s="998" t="inlineStr">
        <is>
          <t>GIEC AR6 (2021) — PRG 100 ans</t>
        </is>
      </c>
      <c r="C29" s="999" t="n"/>
    </row>
    <row r="30">
      <c r="A30" s="793" t="inlineStr">
        <is>
          <t>Gaz pris en compte</t>
        </is>
      </c>
      <c r="B30" s="998" t="inlineStr">
        <is>
          <t>CO2, CH4, N2O, HFC, PFC, SF6, NF3</t>
        </is>
      </c>
      <c r="C30" s="999" t="n"/>
    </row>
    <row r="31">
      <c r="A31" s="793" t="inlineStr">
        <is>
          <t>Unité de reporting</t>
        </is>
      </c>
      <c r="B31" s="998" t="inlineStr">
        <is>
          <t>tCO2e (tonnes CO2 équivalent)</t>
        </is>
      </c>
      <c r="C31" s="999" t="n"/>
    </row>
    <row r="32">
      <c r="A32" s="793" t="inlineStr">
        <is>
          <t>Méthode Scope 2</t>
        </is>
      </c>
      <c r="B32" s="998" t="inlineStr">
        <is>
          <t>Location-based + Market-based</t>
        </is>
      </c>
      <c r="C32" s="999" t="n"/>
    </row>
    <row r="33" ht="15.75" customHeight="1" s="847" thickBot="1">
      <c r="A33" s="794" t="inlineStr">
        <is>
          <t>Mix résiduel utilisé (MB)</t>
        </is>
      </c>
      <c r="B33" s="1000" t="inlineStr">
        <is>
          <t>AIB European Residual Mix 2023</t>
        </is>
      </c>
      <c r="C33" s="1001" t="n"/>
    </row>
    <row r="35" ht="21.75" customHeight="1" s="847">
      <c r="A35" s="843" t="inlineStr">
        <is>
          <t>POUVOIRS DE RÉCHAUFFEMENT GLOBAL (PRG 100 ans)</t>
        </is>
      </c>
      <c r="B35" s="994" t="n"/>
      <c r="C35" s="994" t="n"/>
      <c r="D35" s="994" t="n"/>
    </row>
    <row r="36">
      <c r="A36" s="2" t="inlineStr">
        <is>
          <t>Gaz</t>
        </is>
      </c>
      <c r="B36" s="2" t="inlineStr">
        <is>
          <t>Formule</t>
        </is>
      </c>
      <c r="C36" s="2" t="inlineStr">
        <is>
          <t>PRG 100 ans (AR6)</t>
        </is>
      </c>
      <c r="D36" s="2" t="inlineStr">
        <is>
          <t>PRG 100 ans (AR5)</t>
        </is>
      </c>
    </row>
    <row r="37">
      <c r="A37" s="3" t="inlineStr">
        <is>
          <t>Dioxyde de carbone</t>
        </is>
      </c>
      <c r="B37" s="3" t="inlineStr">
        <is>
          <t>CO2</t>
        </is>
      </c>
      <c r="C37" s="3" t="n">
        <v>1</v>
      </c>
      <c r="D37" s="3" t="n">
        <v>1</v>
      </c>
    </row>
    <row r="38">
      <c r="A38" s="3" t="inlineStr">
        <is>
          <t>Méthane (fossile)</t>
        </is>
      </c>
      <c r="B38" s="3" t="inlineStr">
        <is>
          <t>CH4</t>
        </is>
      </c>
      <c r="C38" s="3" t="n">
        <v>29.8</v>
      </c>
      <c r="D38" s="3" t="n">
        <v>28</v>
      </c>
    </row>
    <row r="39">
      <c r="A39" s="3" t="inlineStr">
        <is>
          <t>Méthane (biogénique)</t>
        </is>
      </c>
      <c r="B39" s="3" t="inlineStr">
        <is>
          <t>CH4 bio</t>
        </is>
      </c>
      <c r="C39" s="3" t="n">
        <v>27</v>
      </c>
      <c r="D39" s="3" t="n">
        <v>28</v>
      </c>
    </row>
    <row r="40">
      <c r="A40" s="3" t="inlineStr">
        <is>
          <t>Protoxyde d'azote</t>
        </is>
      </c>
      <c r="B40" s="3" t="inlineStr">
        <is>
          <t>N2O</t>
        </is>
      </c>
      <c r="C40" s="3" t="n">
        <v>273</v>
      </c>
      <c r="D40" s="3" t="n">
        <v>265</v>
      </c>
    </row>
    <row r="41">
      <c r="A41" s="3" t="inlineStr">
        <is>
          <t>Hexafluorure de soufre</t>
        </is>
      </c>
      <c r="B41" s="3" t="inlineStr">
        <is>
          <t>SF6</t>
        </is>
      </c>
      <c r="C41" s="3" t="n">
        <v>25200</v>
      </c>
      <c r="D41" s="3" t="n">
        <v>23500</v>
      </c>
    </row>
    <row r="42">
      <c r="A42" s="3" t="inlineStr">
        <is>
          <t>R-410A</t>
        </is>
      </c>
      <c r="B42" s="3" t="inlineStr">
        <is>
          <t>HFC</t>
        </is>
      </c>
      <c r="C42" s="3" t="n">
        <v>2088</v>
      </c>
      <c r="D42" s="3" t="n">
        <v>2088</v>
      </c>
    </row>
    <row r="43">
      <c r="A43" s="3" t="inlineStr">
        <is>
          <t>R-134a</t>
        </is>
      </c>
      <c r="B43" s="3" t="inlineStr">
        <is>
          <t>HFC-134a</t>
        </is>
      </c>
      <c r="C43" s="3" t="n">
        <v>1530</v>
      </c>
      <c r="D43" s="3" t="n">
        <v>1430</v>
      </c>
    </row>
    <row r="45" ht="21.75" customHeight="1" s="847">
      <c r="A45" s="843" t="inlineStr">
        <is>
          <t>SEUILS RÉGLEMENTAIRES</t>
        </is>
      </c>
      <c r="B45" s="994" t="n"/>
      <c r="C45" s="994" t="n"/>
      <c r="D45" s="994" t="n"/>
    </row>
    <row r="46">
      <c r="A46" s="845" t="inlineStr">
        <is>
          <t>BEGES obligatoire (France)</t>
        </is>
      </c>
      <c r="B46" t="inlineStr">
        <is>
          <t>&gt; 500 salariés (privé) / &gt; 250 (public)</t>
        </is>
      </c>
    </row>
    <row r="47">
      <c r="A47" s="845" t="inlineStr">
        <is>
          <t>CSRD — Critères (2/3 requis)</t>
        </is>
      </c>
      <c r="B47" t="inlineStr">
        <is>
          <t>&gt; 250 salariés ET (&gt; 50M€ CA OU &gt; 25M€ bilan)</t>
        </is>
      </c>
    </row>
    <row r="48">
      <c r="A48" s="845" t="inlineStr">
        <is>
          <t>CSRD — Omnibus (proposition 2025)</t>
        </is>
      </c>
      <c r="B48" t="inlineStr">
        <is>
          <t>&gt; 1000 salariés ET &gt; 50M€ CA</t>
        </is>
      </c>
    </row>
    <row r="50">
      <c r="A50" s="795" t="inlineStr">
        <is>
          <t>Soumis au BEGES</t>
        </is>
      </c>
      <c r="B50" s="3">
        <f>IF(B11&gt;=500,"OUI","NON")</f>
        <v/>
      </c>
    </row>
    <row r="51">
      <c r="A51" s="795" t="inlineStr">
        <is>
          <t>Soumis à la CSRD</t>
        </is>
      </c>
      <c r="B51" s="3">
        <f>IF((IF(B11&gt;=250,1,0)+IF(B9&gt;=50000000,1,0)+IF(B10&gt;=25000000,1,0))&gt;=2,"OUI — Soumis CSRD","NON")</f>
        <v/>
      </c>
    </row>
    <row r="52">
      <c r="A52" s="795" t="inlineStr">
        <is>
          <t>Soumis CSRD post-Omnibus</t>
        </is>
      </c>
      <c r="B52" s="3">
        <f>IF(AND(B11&gt;=1000,B9&gt;=50000000),"OUI — Soumis post-Omnibus","NON — Reporting VSME volontaire recommandé")</f>
        <v/>
      </c>
    </row>
    <row r="53" ht="15" customHeight="1" s="847"/>
    <row r="54" ht="24.95" customHeight="1" s="847">
      <c r="A54" s="844" t="inlineStr">
        <is>
          <t>GESTION DE VERSION</t>
        </is>
      </c>
    </row>
    <row r="55" ht="21.95" customHeight="1" s="847" thickBot="1">
      <c r="A55" s="80" t="inlineStr">
        <is>
          <t>Version</t>
        </is>
      </c>
      <c r="B55" s="80" t="inlineStr">
        <is>
          <t>Date</t>
        </is>
      </c>
      <c r="C55" s="80" t="inlineStr">
        <is>
          <t>Auteur</t>
        </is>
      </c>
      <c r="D55" s="80" t="inlineStr">
        <is>
          <t>Modifications principales</t>
        </is>
      </c>
      <c r="E55" s="80" t="inlineStr">
        <is>
          <t>Validé par</t>
        </is>
      </c>
    </row>
    <row r="56">
      <c r="A56" t="inlineStr">
        <is>
          <t>v2.0</t>
        </is>
      </c>
      <c r="B56" s="78" t="inlineStr">
        <is>
          <t>2026-03-27T18:49:03.458Z</t>
        </is>
      </c>
      <c r="D56" t="inlineStr">
        <is>
          <t>Création BEGES complet — GHG Protocol + ISO 14064-1 + ESRS E1</t>
        </is>
      </c>
    </row>
    <row r="57" ht="21.95" customHeight="1" s="847">
      <c r="A57" s="82" t="n"/>
      <c r="B57" s="82" t="n"/>
      <c r="C57" s="82" t="n"/>
      <c r="D57" s="82" t="n"/>
      <c r="E57" s="82" t="n"/>
    </row>
    <row r="58" ht="21.95" customHeight="1" s="847">
      <c r="A58" s="79" t="n"/>
      <c r="B58" s="79" t="n"/>
      <c r="C58" s="79" t="n"/>
      <c r="D58" s="79" t="n"/>
      <c r="E58" s="79" t="n"/>
    </row>
    <row r="59" ht="21.95" customHeight="1" s="847">
      <c r="A59" s="82" t="n"/>
      <c r="B59" s="82" t="n"/>
      <c r="C59" s="82" t="n"/>
      <c r="D59" s="82" t="n"/>
      <c r="E59" s="82" t="n"/>
    </row>
    <row r="60" ht="21.95" customHeight="1" s="847">
      <c r="A60" s="79" t="n"/>
      <c r="B60" s="79" t="n"/>
      <c r="C60" s="79" t="n"/>
      <c r="D60" s="79" t="n"/>
      <c r="E60" s="79" t="n"/>
    </row>
    <row r="61" ht="21.95" customHeight="1" s="847">
      <c r="A61" s="82" t="n"/>
      <c r="B61" s="82" t="n"/>
      <c r="C61" s="82" t="n"/>
      <c r="D61" s="82" t="n"/>
      <c r="E61" s="82" t="n"/>
    </row>
    <row r="62" ht="21.95" customHeight="1" s="847">
      <c r="A62" s="79" t="n"/>
      <c r="B62" s="79" t="n"/>
      <c r="C62" s="79" t="n"/>
      <c r="D62" s="79" t="n"/>
      <c r="E62" s="79" t="n"/>
    </row>
    <row r="64">
      <c r="A64" s="74" t="inlineStr">
        <is>
          <t>Version courante (auto)</t>
        </is>
      </c>
      <c r="B64" s="83">
        <f t="array" ref="B64">IFERROR(INDEX(A56:A62,MATCH(TRUE,ISNUMBER(MATCH(A56:A62,A56:A62,0)),0)+COUNTIF(A56:A62,"v*")-1),A56)</f>
        <v/>
      </c>
    </row>
    <row r="65" ht="12" customHeight="1" s="847"/>
    <row r="66" ht="24" customHeight="1" s="847">
      <c r="A66" s="846" t="inlineStr">
        <is>
          <t>GESTION DES VERSIONS</t>
        </is>
      </c>
    </row>
    <row r="67" ht="21.95" customHeight="1" s="847">
      <c r="A67" s="246" t="inlineStr">
        <is>
          <t>Version</t>
        </is>
      </c>
      <c r="B67" s="246" t="inlineStr">
        <is>
          <t>Date</t>
        </is>
      </c>
      <c r="C67" s="246" t="inlineStr">
        <is>
          <t>Auteur</t>
        </is>
      </c>
      <c r="D67" s="246" t="inlineStr">
        <is>
          <t>Modifications principales</t>
        </is>
      </c>
      <c r="E67" s="246" t="inlineStr">
        <is>
          <t>Validé par</t>
        </is>
      </c>
    </row>
    <row r="68" ht="20.1" customHeight="1" s="847">
      <c r="A68" t="inlineStr">
        <is>
          <t>v2.0</t>
        </is>
      </c>
      <c r="B68" s="78">
        <f>TODAY()</f>
        <v/>
      </c>
      <c r="C68" t="inlineStr">
        <is>
          <t>CarbonCo</t>
        </is>
      </c>
      <c r="D68" t="inlineStr">
        <is>
          <t>Création fichier v2.0 — Structure complète ESRS E1 / ISO 14064-1 / SBTi / CBAM / Taxonomie</t>
        </is>
      </c>
      <c r="E68" t="inlineStr">
        <is>
          <t>Direction RSE</t>
        </is>
      </c>
    </row>
    <row r="69" ht="20.1" customHeight="1" s="847">
      <c r="A69" s="81" t="n"/>
      <c r="B69" s="81" t="n"/>
      <c r="C69" s="81" t="n"/>
      <c r="D69" s="81" t="n"/>
      <c r="E69" s="81" t="n"/>
    </row>
    <row r="70" ht="20.1" customHeight="1" s="847">
      <c r="A70" s="247" t="n"/>
      <c r="B70" s="247" t="n"/>
      <c r="C70" s="247" t="n"/>
      <c r="D70" s="247" t="n"/>
      <c r="E70" s="247" t="n"/>
    </row>
    <row r="71" ht="20.1" customHeight="1" s="847">
      <c r="A71" s="81" t="n"/>
      <c r="B71" s="81" t="n"/>
      <c r="C71" s="81" t="n"/>
      <c r="D71" s="81" t="n"/>
      <c r="E71" s="81" t="n"/>
    </row>
    <row r="72" ht="20.1" customHeight="1" s="847">
      <c r="A72" s="247" t="n"/>
      <c r="B72" s="247" t="n"/>
      <c r="C72" s="247" t="n"/>
      <c r="D72" s="247" t="n"/>
      <c r="E72" s="247" t="n"/>
    </row>
    <row r="74">
      <c r="A74" s="73" t="inlineStr">
        <is>
          <t>Version actuelle (pour couverture) :</t>
        </is>
      </c>
      <c r="B74" s="83">
        <f>A68</f>
        <v/>
      </c>
    </row>
  </sheetData>
  <mergeCells count="16">
    <mergeCell ref="A1:D1"/>
    <mergeCell ref="A45:D45"/>
    <mergeCell ref="A17:D17"/>
    <mergeCell ref="B30:C30"/>
    <mergeCell ref="B29:C29"/>
    <mergeCell ref="B33:C33"/>
    <mergeCell ref="A35:D35"/>
    <mergeCell ref="A3:D3"/>
    <mergeCell ref="A54:D54"/>
    <mergeCell ref="B28:C28"/>
    <mergeCell ref="A25:D25"/>
    <mergeCell ref="B32:C32"/>
    <mergeCell ref="B31:C31"/>
    <mergeCell ref="B26:C26"/>
    <mergeCell ref="B27:C27"/>
    <mergeCell ref="A66:E66"/>
  </mergeCells>
  <conditionalFormatting sqref="B50:B52">
    <cfRule type="expression" priority="2" dxfId="16">
      <formula>NOT(ISERROR(SEARCH("OUI",B50)))</formula>
    </cfRule>
    <cfRule type="expression" priority="3" dxfId="8">
      <formula>NOT(ISERROR(SEARCH("NON",B50)))</formula>
    </cfRule>
  </conditionalFormatting>
  <dataValidations count="4">
    <dataValidation sqref="B18" showDropDown="0" showInputMessage="0" showErrorMessage="0" allowBlank="1" errorTitle="Erreur de saisie" error="Valeur non autorisée" type="list">
      <formula1>"Contrôle opérationnel,Contrôle financier,Part du capital"</formula1>
      <formula2>0</formula2>
    </dataValidation>
    <dataValidation sqref="B19" showDropDown="0" showInputMessage="0" showErrorMessage="0" allowBlank="1" errorTitle="Erreur de saisie" error="Valeur non autorisée" type="list">
      <formula1>"France,France + Europe,Monde"</formula1>
      <formula2>0</formula2>
    </dataValidation>
    <dataValidation sqref="B20:B22" showDropDown="0" showInputMessage="0" showErrorMessage="0" allowBlank="1" errorTitle="Erreur de saisie" error="Valeur non autorisée" type="list">
      <formula1>"Oui,Non"</formula1>
      <formula2>0</formula2>
    </dataValidation>
    <dataValidation sqref="B29" showDropDown="0" showInputMessage="0" showErrorMessage="0" allowBlank="1" errorTitle="Erreur de saisie" error="Valeur non autorisée" type="list">
      <formula1>"GIEC AR6 (2021) — PRG 100 ans,GIEC AR5 (2014) — PRG 100 ans"</formula1>
      <formula2>0</formula2>
    </dataValidation>
  </dataValidations>
  <hyperlinks>
    <hyperlink ref="N1" location="Sommaire!A1" display="🏠 Sommaire"/>
    <hyperlink ref="O1" location="Couverture!A1" display="📄 Couverture"/>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6.xml><?xml version="1.0" encoding="utf-8"?>
<worksheet xmlns="http://schemas.openxmlformats.org/spreadsheetml/2006/main">
  <sheetPr>
    <tabColor rgb="FF388E3C"/>
    <outlinePr summaryBelow="1" summaryRight="1"/>
    <pageSetUpPr/>
  </sheetPr>
  <dimension ref="A1:O108"/>
  <sheetViews>
    <sheetView showGridLines="0" tabSelected="1" topLeftCell="C1" zoomScaleNormal="100" workbookViewId="0">
      <pane ySplit="3" topLeftCell="A4" activePane="bottomLeft" state="frozen"/>
      <selection pane="bottomLeft" activeCell="O1" sqref="O1:O1048576"/>
    </sheetView>
  </sheetViews>
  <sheetFormatPr baseColWidth="10" defaultColWidth="8.7109375" defaultRowHeight="15"/>
  <cols>
    <col width="10.140625" customWidth="1" style="847" min="1" max="1"/>
    <col width="18" customWidth="1" style="847" min="2" max="2"/>
    <col width="38" customWidth="1" style="847" min="3" max="3"/>
    <col width="14" customWidth="1" style="847" min="4" max="4"/>
    <col width="18" customWidth="1" style="847" min="5" max="8"/>
    <col width="14" customWidth="1" style="847" min="9" max="9"/>
    <col width="18" customWidth="1" style="847" min="10" max="10"/>
    <col width="49.42578125" customWidth="1" style="847" min="11" max="11"/>
    <col width="21.140625" customWidth="1" style="847" min="14" max="14"/>
    <col width="13.28515625" customWidth="1" style="847" min="15" max="15"/>
  </cols>
  <sheetData>
    <row r="1" ht="27.95" customHeight="1" s="847">
      <c r="A1" s="891" t="inlineStr">
        <is>
          <t>BASE DE FACTEURS D'ÉMISSION — ADEME Base Carbone v23.1 / GIEC AR6 / AIB 2023</t>
        </is>
      </c>
      <c r="B1" s="994" t="n"/>
      <c r="C1" s="994" t="n"/>
      <c r="D1" s="994" t="n"/>
      <c r="E1" s="994" t="n"/>
      <c r="F1" s="994" t="n"/>
      <c r="G1" s="994" t="n"/>
      <c r="H1" s="994" t="n"/>
      <c r="I1" s="994" t="n"/>
      <c r="J1" s="994" t="n"/>
      <c r="K1" s="994" t="n"/>
      <c r="L1" s="878" t="n"/>
      <c r="M1" s="878" t="n"/>
      <c r="N1" s="231" t="inlineStr">
        <is>
          <t>🏠 Sommaire</t>
        </is>
      </c>
      <c r="O1" s="85" t="inlineStr">
        <is>
          <t>🏠 Sommaire</t>
        </is>
      </c>
    </row>
    <row r="2">
      <c r="A2" s="892" t="inlineStr">
        <is>
          <t>Les colonnes E (Combustion) et F (Amont) permettent de séparer correctement Scope 1 et Scope 3 Cat.3. La colonne G = E+F (total). La colonne H fournit le FE residual mix pour le Scope 2 market-based.</t>
        </is>
      </c>
    </row>
    <row r="3" ht="39.75" customHeight="1" s="847">
      <c r="A3" s="2" t="inlineStr">
        <is>
          <t>ID</t>
        </is>
      </c>
      <c r="B3" s="2" t="inlineStr">
        <is>
          <t>Catégorie</t>
        </is>
      </c>
      <c r="C3" s="2" t="inlineStr">
        <is>
          <t>Poste d'émission</t>
        </is>
      </c>
      <c r="D3" s="2" t="inlineStr">
        <is>
          <t>Unité source</t>
        </is>
      </c>
      <c r="E3" s="2" t="inlineStr">
        <is>
          <t>FE Combustion (kgCO2e/u) [Scope 1]</t>
        </is>
      </c>
      <c r="F3" s="2" t="inlineStr">
        <is>
          <t>FE Amont (kgCO2e/u) [Scope 3 Cat.3]</t>
        </is>
      </c>
      <c r="G3" s="2" t="inlineStr">
        <is>
          <t>FE Total (kgCO2e/u) [E+F]</t>
        </is>
      </c>
      <c r="H3" s="2" t="inlineStr">
        <is>
          <t>FE Résiduel / Market-based</t>
        </is>
      </c>
      <c r="I3" s="2" t="inlineStr">
        <is>
          <t>Incertitude (%)</t>
        </is>
      </c>
      <c r="J3" s="2" t="inlineStr">
        <is>
          <t>Source</t>
        </is>
      </c>
      <c r="K3" s="2" t="inlineStr">
        <is>
          <t>Notes / Périmètre</t>
        </is>
      </c>
    </row>
    <row r="4">
      <c r="A4" s="17" t="inlineStr">
        <is>
          <t>FE001</t>
        </is>
      </c>
      <c r="B4" s="18" t="inlineStr">
        <is>
          <t>Combustibles</t>
        </is>
      </c>
      <c r="C4" s="17" t="inlineStr">
        <is>
          <t>Gaz naturel (PCI)</t>
        </is>
      </c>
      <c r="D4" s="17" t="inlineStr">
        <is>
          <t>kWh</t>
        </is>
      </c>
      <c r="E4" s="1002" t="n">
        <v>0.205</v>
      </c>
      <c r="F4" s="1002" t="n">
        <v>0.022</v>
      </c>
      <c r="G4" s="17">
        <f>E4+F4</f>
        <v/>
      </c>
      <c r="H4" s="17" t="n"/>
      <c r="I4" s="20" t="n">
        <v>5</v>
      </c>
      <c r="J4" s="17" t="inlineStr">
        <is>
          <t>ADEME 2024</t>
        </is>
      </c>
      <c r="K4" s="17" t="inlineStr">
        <is>
          <t>Combustion seule en Scope 1 ; amont en Scope 3 Cat.3</t>
        </is>
      </c>
    </row>
    <row r="5">
      <c r="A5" s="21" t="inlineStr">
        <is>
          <t>FE002</t>
        </is>
      </c>
      <c r="B5" s="21" t="inlineStr">
        <is>
          <t>Combustibles</t>
        </is>
      </c>
      <c r="C5" s="21" t="inlineStr">
        <is>
          <t>Gaz naturel (PCS)</t>
        </is>
      </c>
      <c r="D5" s="21" t="inlineStr">
        <is>
          <t>kWh</t>
        </is>
      </c>
      <c r="E5" s="1003" t="n">
        <v>0.185</v>
      </c>
      <c r="F5" s="1003" t="n">
        <v>0.02</v>
      </c>
      <c r="G5" s="21">
        <f>E5+F5</f>
        <v/>
      </c>
      <c r="H5" s="21" t="n"/>
      <c r="I5" s="23" t="n">
        <v>5</v>
      </c>
      <c r="J5" s="21" t="inlineStr">
        <is>
          <t>ADEME 2024</t>
        </is>
      </c>
      <c r="K5" s="21" t="inlineStr">
        <is>
          <t>PCS = PCI × 1.11</t>
        </is>
      </c>
    </row>
    <row r="6">
      <c r="A6" s="21" t="inlineStr">
        <is>
          <t>FE003</t>
        </is>
      </c>
      <c r="B6" s="21" t="inlineStr">
        <is>
          <t>Combustibles</t>
        </is>
      </c>
      <c r="C6" s="21" t="inlineStr">
        <is>
          <t>Fioul domestique</t>
        </is>
      </c>
      <c r="D6" s="21" t="inlineStr">
        <is>
          <t>litre</t>
        </is>
      </c>
      <c r="E6" s="1004" t="n">
        <v>2.68</v>
      </c>
      <c r="F6" s="1003" t="n">
        <v>0.57</v>
      </c>
      <c r="G6" s="21">
        <f>E6+F6</f>
        <v/>
      </c>
      <c r="H6" s="21" t="n"/>
      <c r="I6" s="23" t="n">
        <v>5</v>
      </c>
      <c r="J6" s="21" t="inlineStr">
        <is>
          <t>ADEME 2024</t>
        </is>
      </c>
      <c r="K6" s="21" t="inlineStr">
        <is>
          <t>2,68 combustion + 0,57 amont</t>
        </is>
      </c>
    </row>
    <row r="7">
      <c r="A7" s="21" t="inlineStr">
        <is>
          <t>FE004</t>
        </is>
      </c>
      <c r="B7" s="21" t="inlineStr">
        <is>
          <t>Combustibles</t>
        </is>
      </c>
      <c r="C7" s="21" t="inlineStr">
        <is>
          <t>Fioul lourd</t>
        </is>
      </c>
      <c r="D7" s="21" t="inlineStr">
        <is>
          <t>tonne</t>
        </is>
      </c>
      <c r="E7" s="1004" t="n">
        <v>3160</v>
      </c>
      <c r="F7" s="1004" t="n">
        <v>365</v>
      </c>
      <c r="G7" s="21">
        <f>E7+F7</f>
        <v/>
      </c>
      <c r="H7" s="21" t="n"/>
      <c r="I7" s="23" t="n">
        <v>5</v>
      </c>
      <c r="J7" s="21" t="inlineStr">
        <is>
          <t>ADEME 2024</t>
        </is>
      </c>
      <c r="K7" s="21" t="n"/>
    </row>
    <row r="8">
      <c r="A8" s="21" t="inlineStr">
        <is>
          <t>FE005</t>
        </is>
      </c>
      <c r="B8" s="21" t="inlineStr">
        <is>
          <t>Combustibles</t>
        </is>
      </c>
      <c r="C8" s="21" t="inlineStr">
        <is>
          <t>Charbon (houille)</t>
        </is>
      </c>
      <c r="D8" s="21" t="inlineStr">
        <is>
          <t>tonne</t>
        </is>
      </c>
      <c r="E8" s="1004" t="n">
        <v>2684</v>
      </c>
      <c r="F8" s="1004" t="n">
        <v>276</v>
      </c>
      <c r="G8" s="21">
        <f>E8+F8</f>
        <v/>
      </c>
      <c r="H8" s="21" t="n"/>
      <c r="I8" s="23" t="n">
        <v>10</v>
      </c>
      <c r="J8" s="21" t="inlineStr">
        <is>
          <t>ADEME 2024</t>
        </is>
      </c>
      <c r="K8" s="21" t="n"/>
    </row>
    <row r="9">
      <c r="A9" s="21" t="inlineStr">
        <is>
          <t>FE006</t>
        </is>
      </c>
      <c r="B9" s="21" t="inlineStr">
        <is>
          <t>Combustibles</t>
        </is>
      </c>
      <c r="C9" s="21" t="inlineStr">
        <is>
          <t>GPL</t>
        </is>
      </c>
      <c r="D9" s="21" t="inlineStr">
        <is>
          <t>litre</t>
        </is>
      </c>
      <c r="E9" s="1004" t="n">
        <v>1.49</v>
      </c>
      <c r="F9" s="1003" t="n">
        <v>0.18</v>
      </c>
      <c r="G9" s="21">
        <f>E9+F9</f>
        <v/>
      </c>
      <c r="H9" s="21" t="n"/>
      <c r="I9" s="23" t="n">
        <v>5</v>
      </c>
      <c r="J9" s="21" t="inlineStr">
        <is>
          <t>ADEME 2024</t>
        </is>
      </c>
      <c r="K9" s="21" t="n"/>
    </row>
    <row r="10">
      <c r="A10" s="21" t="inlineStr">
        <is>
          <t>FE007</t>
        </is>
      </c>
      <c r="B10" s="21" t="inlineStr">
        <is>
          <t>Combustibles</t>
        </is>
      </c>
      <c r="C10" s="21" t="inlineStr">
        <is>
          <t>Propane</t>
        </is>
      </c>
      <c r="D10" s="21" t="inlineStr">
        <is>
          <t>kg</t>
        </is>
      </c>
      <c r="E10" s="1004" t="n">
        <v>2.94</v>
      </c>
      <c r="F10" s="1003" t="n">
        <v>0.5</v>
      </c>
      <c r="G10" s="21">
        <f>E10+F10</f>
        <v/>
      </c>
      <c r="H10" s="21" t="n"/>
      <c r="I10" s="23" t="n">
        <v>5</v>
      </c>
      <c r="J10" s="21" t="inlineStr">
        <is>
          <t>ADEME 2024</t>
        </is>
      </c>
      <c r="K10" s="21" t="n"/>
    </row>
    <row r="11">
      <c r="A11" s="21" t="inlineStr">
        <is>
          <t>FE008</t>
        </is>
      </c>
      <c r="B11" s="21" t="inlineStr">
        <is>
          <t>Combustibles</t>
        </is>
      </c>
      <c r="C11" s="21" t="inlineStr">
        <is>
          <t>Bois bûches</t>
        </is>
      </c>
      <c r="D11" s="21" t="inlineStr">
        <is>
          <t>kWh</t>
        </is>
      </c>
      <c r="E11" s="1004" t="n">
        <v>0</v>
      </c>
      <c r="F11" s="1003" t="n">
        <v>0.03</v>
      </c>
      <c r="G11" s="21">
        <f>E11+F11</f>
        <v/>
      </c>
      <c r="H11" s="21" t="n"/>
      <c r="I11" s="23" t="n">
        <v>30</v>
      </c>
      <c r="J11" s="21" t="inlineStr">
        <is>
          <t>ADEME 2024</t>
        </is>
      </c>
      <c r="K11" s="21" t="inlineStr">
        <is>
          <t>CO2 biogénique neutre (combustion=0). Amont seul</t>
        </is>
      </c>
    </row>
    <row r="12">
      <c r="A12" s="17" t="inlineStr">
        <is>
          <t>FE010</t>
        </is>
      </c>
      <c r="B12" s="18" t="inlineStr">
        <is>
          <t>Carburants</t>
        </is>
      </c>
      <c r="C12" s="17" t="inlineStr">
        <is>
          <t>Essence SP95/SP98</t>
        </is>
      </c>
      <c r="D12" s="17" t="inlineStr">
        <is>
          <t>litre</t>
        </is>
      </c>
      <c r="E12" s="1005" t="n">
        <v>2.28</v>
      </c>
      <c r="F12" s="1002" t="n">
        <v>0.52</v>
      </c>
      <c r="G12" s="17">
        <f>E12+F12</f>
        <v/>
      </c>
      <c r="H12" s="17" t="n"/>
      <c r="I12" s="20" t="n">
        <v>5</v>
      </c>
      <c r="J12" s="17" t="inlineStr">
        <is>
          <t>ADEME 2024</t>
        </is>
      </c>
      <c r="K12" s="17" t="inlineStr">
        <is>
          <t>2,28 combustion + 0,52 amont</t>
        </is>
      </c>
    </row>
    <row r="13">
      <c r="A13" s="21" t="inlineStr">
        <is>
          <t>FE011</t>
        </is>
      </c>
      <c r="B13" s="21" t="inlineStr">
        <is>
          <t>Carburants</t>
        </is>
      </c>
      <c r="C13" s="21" t="inlineStr">
        <is>
          <t>Diesel / Gazole</t>
        </is>
      </c>
      <c r="D13" s="21" t="inlineStr">
        <is>
          <t>litre</t>
        </is>
      </c>
      <c r="E13" s="1004" t="n">
        <v>2.49</v>
      </c>
      <c r="F13" s="1003" t="n">
        <v>0.68</v>
      </c>
      <c r="G13" s="21">
        <f>E13+F13</f>
        <v/>
      </c>
      <c r="H13" s="21" t="n"/>
      <c r="I13" s="23" t="n">
        <v>5</v>
      </c>
      <c r="J13" s="21" t="inlineStr">
        <is>
          <t>ADEME 2024</t>
        </is>
      </c>
      <c r="K13" s="21" t="inlineStr">
        <is>
          <t>2,49 combustion + 0,68 amont</t>
        </is>
      </c>
    </row>
    <row r="14">
      <c r="A14" s="21" t="inlineStr">
        <is>
          <t>FE012</t>
        </is>
      </c>
      <c r="B14" s="21" t="inlineStr">
        <is>
          <t>Carburants</t>
        </is>
      </c>
      <c r="C14" s="21" t="inlineStr">
        <is>
          <t>E85 (Superéthanol)</t>
        </is>
      </c>
      <c r="D14" s="21" t="inlineStr">
        <is>
          <t>litre</t>
        </is>
      </c>
      <c r="E14" s="1004" t="n">
        <v>1.11</v>
      </c>
      <c r="F14" s="1003" t="n">
        <v>0.5</v>
      </c>
      <c r="G14" s="21">
        <f>E14+F14</f>
        <v/>
      </c>
      <c r="H14" s="21" t="n"/>
      <c r="I14" s="23" t="n">
        <v>15</v>
      </c>
      <c r="J14" s="21" t="inlineStr">
        <is>
          <t>ADEME 2024</t>
        </is>
      </c>
      <c r="K14" s="21" t="inlineStr">
        <is>
          <t>Part biogénique : CO2 combustion bio exclu</t>
        </is>
      </c>
    </row>
    <row r="15">
      <c r="A15" s="21" t="inlineStr">
        <is>
          <t>FE013</t>
        </is>
      </c>
      <c r="B15" s="21" t="inlineStr">
        <is>
          <t>Carburants</t>
        </is>
      </c>
      <c r="C15" s="21" t="inlineStr">
        <is>
          <t>B100 (Biodiesel pur)</t>
        </is>
      </c>
      <c r="D15" s="21" t="inlineStr">
        <is>
          <t>litre</t>
        </is>
      </c>
      <c r="E15" s="1003" t="n">
        <v>0.22</v>
      </c>
      <c r="F15" s="1003" t="n">
        <v>0.96</v>
      </c>
      <c r="G15" s="21">
        <f>E15+F15</f>
        <v/>
      </c>
      <c r="H15" s="21" t="n"/>
      <c r="I15" s="23" t="n">
        <v>20</v>
      </c>
      <c r="J15" s="21" t="inlineStr">
        <is>
          <t>ADEME 2024</t>
        </is>
      </c>
      <c r="K15" s="21" t="inlineStr">
        <is>
          <t>Combustion bio quasi nulle</t>
        </is>
      </c>
    </row>
    <row r="16">
      <c r="A16" s="21" t="inlineStr">
        <is>
          <t>FE014</t>
        </is>
      </c>
      <c r="B16" s="21" t="inlineStr">
        <is>
          <t>Carburants</t>
        </is>
      </c>
      <c r="C16" s="21" t="inlineStr">
        <is>
          <t>GNV (Gaz Naturel Véhicule)</t>
        </is>
      </c>
      <c r="D16" s="21" t="inlineStr">
        <is>
          <t>kg</t>
        </is>
      </c>
      <c r="E16" s="1004" t="n">
        <v>2.63</v>
      </c>
      <c r="F16" s="1003" t="n">
        <v>0.64</v>
      </c>
      <c r="G16" s="21">
        <f>E16+F16</f>
        <v/>
      </c>
      <c r="H16" s="21" t="n"/>
      <c r="I16" s="23" t="n">
        <v>10</v>
      </c>
      <c r="J16" s="21" t="inlineStr">
        <is>
          <t>ADEME 2024</t>
        </is>
      </c>
      <c r="K16" s="21" t="n"/>
    </row>
    <row r="17">
      <c r="A17" s="21" t="inlineStr">
        <is>
          <t>FE015</t>
        </is>
      </c>
      <c r="B17" s="21" t="inlineStr">
        <is>
          <t>Carburants</t>
        </is>
      </c>
      <c r="C17" s="21" t="inlineStr">
        <is>
          <t>Kérosène (aviation)</t>
        </is>
      </c>
      <c r="D17" s="21" t="inlineStr">
        <is>
          <t>litre</t>
        </is>
      </c>
      <c r="E17" s="1004" t="n">
        <v>2.52</v>
      </c>
      <c r="F17" s="1003" t="n">
        <v>0.63</v>
      </c>
      <c r="G17" s="21">
        <f>E17+F17</f>
        <v/>
      </c>
      <c r="H17" s="21" t="n"/>
      <c r="I17" s="23" t="n">
        <v>5</v>
      </c>
      <c r="J17" s="21" t="inlineStr">
        <is>
          <t>ADEME 2024</t>
        </is>
      </c>
      <c r="K17" s="21" t="inlineStr">
        <is>
          <t>Combustion seule</t>
        </is>
      </c>
    </row>
    <row r="18">
      <c r="A18" s="21" t="inlineStr">
        <is>
          <t>FE016</t>
        </is>
      </c>
      <c r="B18" s="21" t="inlineStr">
        <is>
          <t>Carburants</t>
        </is>
      </c>
      <c r="C18" s="21" t="inlineStr">
        <is>
          <t>Hydrogène gris (vaporeformage)</t>
        </is>
      </c>
      <c r="D18" s="21" t="inlineStr">
        <is>
          <t>kg</t>
        </is>
      </c>
      <c r="E18" s="1004" t="n">
        <v>0</v>
      </c>
      <c r="F18" s="1004" t="n">
        <v>11.5</v>
      </c>
      <c r="G18" s="21">
        <f>E18+F18</f>
        <v/>
      </c>
      <c r="H18" s="21" t="n"/>
      <c r="I18" s="23" t="n">
        <v>15</v>
      </c>
      <c r="J18" s="21" t="inlineStr">
        <is>
          <t>ADEME 2024</t>
        </is>
      </c>
      <c r="K18" s="21" t="inlineStr">
        <is>
          <t>Pas de combustion : tout en amont</t>
        </is>
      </c>
    </row>
    <row r="19">
      <c r="A19" s="21" t="inlineStr">
        <is>
          <t>FE017</t>
        </is>
      </c>
      <c r="B19" s="21" t="inlineStr">
        <is>
          <t>Carburants</t>
        </is>
      </c>
      <c r="C19" s="21" t="inlineStr">
        <is>
          <t>Hydrogène vert (électrolyse ENR)</t>
        </is>
      </c>
      <c r="D19" s="21" t="inlineStr">
        <is>
          <t>kg</t>
        </is>
      </c>
      <c r="E19" s="1004" t="n">
        <v>0</v>
      </c>
      <c r="F19" s="1004" t="n">
        <v>1</v>
      </c>
      <c r="G19" s="21">
        <f>E19+F19</f>
        <v/>
      </c>
      <c r="H19" s="21" t="n"/>
      <c r="I19" s="23" t="n">
        <v>30</v>
      </c>
      <c r="J19" s="21" t="inlineStr">
        <is>
          <t>ADEME 2024</t>
        </is>
      </c>
      <c r="K19" s="21" t="n"/>
    </row>
    <row r="20">
      <c r="A20" s="17" t="inlineStr">
        <is>
          <t>FE020</t>
        </is>
      </c>
      <c r="B20" s="18" t="inlineStr">
        <is>
          <t>Électricité</t>
        </is>
      </c>
      <c r="C20" s="17" t="inlineStr">
        <is>
          <t>Électricité France (location-based)</t>
        </is>
      </c>
      <c r="D20" s="17" t="inlineStr">
        <is>
          <t>kWh</t>
        </is>
      </c>
      <c r="E20" s="17" t="n"/>
      <c r="F20" s="17" t="n"/>
      <c r="G20" s="17" t="n">
        <v>0.0569</v>
      </c>
      <c r="H20" s="17" t="n">
        <v>0.06</v>
      </c>
      <c r="I20" s="20" t="n">
        <v>10</v>
      </c>
      <c r="J20" s="17" t="inlineStr">
        <is>
          <t>ADEME 2024 + AIB 2023</t>
        </is>
      </c>
      <c r="K20" s="17" t="inlineStr">
        <is>
          <t>LB = mix moyen annuel FR 2023. MB résiduel = AIB</t>
        </is>
      </c>
    </row>
    <row r="21">
      <c r="A21" s="21" t="inlineStr">
        <is>
          <t>FE021</t>
        </is>
      </c>
      <c r="B21" s="21" t="inlineStr">
        <is>
          <t>Électricité</t>
        </is>
      </c>
      <c r="C21" s="21" t="inlineStr">
        <is>
          <t>Électricité France (amont T&amp;D)</t>
        </is>
      </c>
      <c r="D21" s="21" t="inlineStr">
        <is>
          <t>kWh</t>
        </is>
      </c>
      <c r="E21" s="21" t="n"/>
      <c r="F21" s="21" t="n"/>
      <c r="G21" s="21" t="n"/>
      <c r="H21" s="21" t="n">
        <v>0.0119</v>
      </c>
      <c r="I21" s="23" t="n">
        <v>10</v>
      </c>
      <c r="J21" s="21" t="inlineStr">
        <is>
          <t>ADEME 2024</t>
        </is>
      </c>
      <c r="K21" s="21" t="inlineStr">
        <is>
          <t>Émissions amont production+T&amp;D → Scope 3 Cat.3</t>
        </is>
      </c>
    </row>
    <row r="22">
      <c r="A22" s="21" t="inlineStr">
        <is>
          <t>FE022</t>
        </is>
      </c>
      <c r="B22" s="21" t="inlineStr">
        <is>
          <t>Électricité</t>
        </is>
      </c>
      <c r="C22" s="21" t="inlineStr">
        <is>
          <t>Électricité Allemagne</t>
        </is>
      </c>
      <c r="D22" s="21" t="inlineStr">
        <is>
          <t>kWh</t>
        </is>
      </c>
      <c r="E22" s="21" t="n"/>
      <c r="F22" s="21" t="n"/>
      <c r="G22" s="21" t="n">
        <v>0.385</v>
      </c>
      <c r="H22" s="21" t="n">
        <v>0.576</v>
      </c>
      <c r="I22" s="23" t="n">
        <v>10</v>
      </c>
      <c r="J22" s="21" t="inlineStr">
        <is>
          <t>AIE 2023 + AIB 2023</t>
        </is>
      </c>
      <c r="K22" s="21" t="inlineStr">
        <is>
          <t>Mix résiduel DE supérieur au mix moyen</t>
        </is>
      </c>
    </row>
    <row r="23">
      <c r="A23" s="21" t="inlineStr">
        <is>
          <t>FE023</t>
        </is>
      </c>
      <c r="B23" s="21" t="inlineStr">
        <is>
          <t>Électricité</t>
        </is>
      </c>
      <c r="C23" s="21" t="inlineStr">
        <is>
          <t>Électricité Europe (UE27)</t>
        </is>
      </c>
      <c r="D23" s="21" t="inlineStr">
        <is>
          <t>kWh</t>
        </is>
      </c>
      <c r="E23" s="21" t="n"/>
      <c r="F23" s="21" t="n"/>
      <c r="G23" s="21" t="n">
        <v>0.267</v>
      </c>
      <c r="H23" s="21" t="n">
        <v>0.396</v>
      </c>
      <c r="I23" s="23" t="n">
        <v>15</v>
      </c>
      <c r="J23" s="21" t="inlineStr">
        <is>
          <t>AIE 2023 + AIB 2023</t>
        </is>
      </c>
      <c r="K23" s="21" t="inlineStr">
        <is>
          <t>Moyenne UE27</t>
        </is>
      </c>
    </row>
    <row r="24">
      <c r="A24" s="21" t="inlineStr">
        <is>
          <t>FE024</t>
        </is>
      </c>
      <c r="B24" s="21" t="inlineStr">
        <is>
          <t>Électricité</t>
        </is>
      </c>
      <c r="C24" s="21" t="inlineStr">
        <is>
          <t>Électricité USA</t>
        </is>
      </c>
      <c r="D24" s="21" t="inlineStr">
        <is>
          <t>kWh</t>
        </is>
      </c>
      <c r="E24" s="21" t="n"/>
      <c r="F24" s="21" t="n"/>
      <c r="G24" s="21" t="n">
        <v>0.39</v>
      </c>
      <c r="H24" s="21" t="n">
        <v>0.39</v>
      </c>
      <c r="I24" s="23" t="n">
        <v>10</v>
      </c>
      <c r="J24" s="21" t="inlineStr">
        <is>
          <t>EPA eGRID 2023</t>
        </is>
      </c>
      <c r="K24" s="21" t="inlineStr">
        <is>
          <t>Pas de residual mix officiel USA</t>
        </is>
      </c>
    </row>
    <row r="25">
      <c r="A25" s="21" t="inlineStr">
        <is>
          <t>FE025</t>
        </is>
      </c>
      <c r="B25" s="21" t="inlineStr">
        <is>
          <t>Électricité</t>
        </is>
      </c>
      <c r="C25" s="21" t="inlineStr">
        <is>
          <t>Électricité Chine</t>
        </is>
      </c>
      <c r="D25" s="21" t="inlineStr">
        <is>
          <t>kWh</t>
        </is>
      </c>
      <c r="E25" s="21" t="n"/>
      <c r="F25" s="21" t="n"/>
      <c r="G25" s="21" t="n">
        <v>0.555</v>
      </c>
      <c r="H25" s="21" t="n">
        <v>0.555</v>
      </c>
      <c r="I25" s="23" t="n">
        <v>10</v>
      </c>
      <c r="J25" s="21" t="inlineStr">
        <is>
          <t>AIE 2023</t>
        </is>
      </c>
      <c r="K25" s="21" t="n"/>
    </row>
    <row r="26">
      <c r="A26" s="21" t="inlineStr">
        <is>
          <t>FE026</t>
        </is>
      </c>
      <c r="B26" s="21" t="inlineStr">
        <is>
          <t>Électricité</t>
        </is>
      </c>
      <c r="C26" s="21" t="inlineStr">
        <is>
          <t>Renouvelable certifiée (GO/PPA)</t>
        </is>
      </c>
      <c r="D26" s="21" t="inlineStr">
        <is>
          <t>kWh</t>
        </is>
      </c>
      <c r="E26" s="21" t="n"/>
      <c r="F26" s="21" t="n"/>
      <c r="G26" s="21" t="n">
        <v>0.006</v>
      </c>
      <c r="H26" s="21" t="n">
        <v>0.006</v>
      </c>
      <c r="I26" s="23" t="n">
        <v>50</v>
      </c>
      <c r="J26" s="21" t="inlineStr">
        <is>
          <t>ADEME 2024</t>
        </is>
      </c>
      <c r="K26" s="21" t="inlineStr">
        <is>
          <t>Market-based avec GO ou PPA</t>
        </is>
      </c>
    </row>
    <row r="27">
      <c r="A27" s="21" t="inlineStr">
        <is>
          <t>FE027</t>
        </is>
      </c>
      <c r="B27" s="21" t="inlineStr">
        <is>
          <t>Électricité</t>
        </is>
      </c>
      <c r="C27" s="21" t="inlineStr">
        <is>
          <t>Réseau chaleur urbain (France moy.)</t>
        </is>
      </c>
      <c r="D27" s="21" t="inlineStr">
        <is>
          <t>kWh</t>
        </is>
      </c>
      <c r="E27" s="21" t="n"/>
      <c r="F27" s="21" t="n"/>
      <c r="G27" s="21" t="n">
        <v>0.112</v>
      </c>
      <c r="H27" s="21" t="n"/>
      <c r="I27" s="23" t="n">
        <v>20</v>
      </c>
      <c r="J27" s="21" t="inlineStr">
        <is>
          <t>ADEME 2024</t>
        </is>
      </c>
      <c r="K27" s="21" t="n"/>
    </row>
    <row r="28">
      <c r="A28" s="21" t="inlineStr">
        <is>
          <t>FE028</t>
        </is>
      </c>
      <c r="B28" s="21" t="inlineStr">
        <is>
          <t>Électricité</t>
        </is>
      </c>
      <c r="C28" s="21" t="inlineStr">
        <is>
          <t>Réseau de froid urbain</t>
        </is>
      </c>
      <c r="D28" s="21" t="inlineStr">
        <is>
          <t>kWh</t>
        </is>
      </c>
      <c r="E28" s="21" t="n"/>
      <c r="F28" s="21" t="n"/>
      <c r="G28" s="21" t="n">
        <v>0.032</v>
      </c>
      <c r="H28" s="21" t="n"/>
      <c r="I28" s="23" t="n">
        <v>25</v>
      </c>
      <c r="J28" s="21" t="inlineStr">
        <is>
          <t>ADEME 2024</t>
        </is>
      </c>
      <c r="K28" s="21" t="n"/>
    </row>
    <row r="29">
      <c r="A29" s="21" t="inlineStr">
        <is>
          <t>FE029</t>
        </is>
      </c>
      <c r="B29" s="21" t="inlineStr">
        <is>
          <t>Électricité</t>
        </is>
      </c>
      <c r="C29" s="21" t="inlineStr">
        <is>
          <t>Pertes T&amp;D électricité France (%)</t>
        </is>
      </c>
      <c r="D29" s="21" t="inlineStr">
        <is>
          <t>%</t>
        </is>
      </c>
      <c r="E29" s="21" t="n"/>
      <c r="F29" s="21" t="n"/>
      <c r="G29" s="21" t="n">
        <v>0.075</v>
      </c>
      <c r="H29" s="21" t="n"/>
      <c r="I29" s="23" t="n">
        <v>10</v>
      </c>
      <c r="J29" s="21" t="inlineStr">
        <is>
          <t>RTE 2023</t>
        </is>
      </c>
      <c r="K29" s="21" t="inlineStr">
        <is>
          <t>Taux de pertes réseau T&amp;D = 7,5%</t>
        </is>
      </c>
    </row>
    <row r="30">
      <c r="A30" s="17" t="inlineStr">
        <is>
          <t>FE030</t>
        </is>
      </c>
      <c r="B30" s="18" t="inlineStr">
        <is>
          <t>Transp. pers.</t>
        </is>
      </c>
      <c r="C30" s="17" t="inlineStr">
        <is>
          <t>Voiture thermique moy. FR (1 pass.)</t>
        </is>
      </c>
      <c r="D30" s="17" t="inlineStr">
        <is>
          <t>km</t>
        </is>
      </c>
      <c r="E30" s="1002" t="n">
        <v>0.193</v>
      </c>
      <c r="F30" s="1002" t="n">
        <v>0.025</v>
      </c>
      <c r="G30" s="17">
        <f>E30+F30</f>
        <v/>
      </c>
      <c r="H30" s="17" t="n"/>
      <c r="I30" s="20" t="n">
        <v>15</v>
      </c>
      <c r="J30" s="17" t="inlineStr">
        <is>
          <t>ADEME 2024</t>
        </is>
      </c>
      <c r="K30" s="17" t="inlineStr">
        <is>
          <t>Moyenne parc FR</t>
        </is>
      </c>
    </row>
    <row r="31">
      <c r="A31" s="21" t="inlineStr">
        <is>
          <t>FE031</t>
        </is>
      </c>
      <c r="B31" s="21" t="inlineStr">
        <is>
          <t>Transp. pers.</t>
        </is>
      </c>
      <c r="C31" s="21" t="inlineStr">
        <is>
          <t>Voiture diesel (1 passager)</t>
        </is>
      </c>
      <c r="D31" s="21" t="inlineStr">
        <is>
          <t>km</t>
        </is>
      </c>
      <c r="E31" s="1003" t="n">
        <v>0.17</v>
      </c>
      <c r="F31" s="1003" t="n">
        <v>0.023</v>
      </c>
      <c r="G31" s="21">
        <f>E31+F31</f>
        <v/>
      </c>
      <c r="H31" s="21" t="n"/>
      <c r="I31" s="23" t="n">
        <v>10</v>
      </c>
      <c r="J31" s="21" t="inlineStr">
        <is>
          <t>ADEME 2024</t>
        </is>
      </c>
      <c r="K31" s="21" t="n"/>
    </row>
    <row r="32">
      <c r="A32" s="21" t="inlineStr">
        <is>
          <t>FE032</t>
        </is>
      </c>
      <c r="B32" s="21" t="inlineStr">
        <is>
          <t>Transp. pers.</t>
        </is>
      </c>
      <c r="C32" s="21" t="inlineStr">
        <is>
          <t>Voiture essence (1 passager)</t>
        </is>
      </c>
      <c r="D32" s="21" t="inlineStr">
        <is>
          <t>km</t>
        </is>
      </c>
      <c r="E32" s="1003" t="n">
        <v>0.199</v>
      </c>
      <c r="F32" s="1003" t="n">
        <v>0.026</v>
      </c>
      <c r="G32" s="21">
        <f>E32+F32</f>
        <v/>
      </c>
      <c r="H32" s="21" t="n"/>
      <c r="I32" s="23" t="n">
        <v>10</v>
      </c>
      <c r="J32" s="21" t="inlineStr">
        <is>
          <t>ADEME 2024</t>
        </is>
      </c>
      <c r="K32" s="21" t="n"/>
    </row>
    <row r="33">
      <c r="A33" s="21" t="inlineStr">
        <is>
          <t>FE033</t>
        </is>
      </c>
      <c r="B33" s="21" t="inlineStr">
        <is>
          <t>Transp. pers.</t>
        </is>
      </c>
      <c r="C33" s="21" t="inlineStr">
        <is>
          <t>Voiture électrique (usage, France)</t>
        </is>
      </c>
      <c r="D33" s="21" t="inlineStr">
        <is>
          <t>km</t>
        </is>
      </c>
      <c r="E33" s="1003" t="n">
        <v>0.02</v>
      </c>
      <c r="F33" s="1003" t="n">
        <v>0.003</v>
      </c>
      <c r="G33" s="21">
        <f>E33+F33</f>
        <v/>
      </c>
      <c r="H33" s="21" t="n"/>
      <c r="I33" s="23" t="n">
        <v>20</v>
      </c>
      <c r="J33" s="21" t="inlineStr">
        <is>
          <t>ADEME 2024</t>
        </is>
      </c>
      <c r="K33" s="21" t="inlineStr">
        <is>
          <t>Usage uniquement (électricité)</t>
        </is>
      </c>
    </row>
    <row r="34">
      <c r="A34" s="21" t="inlineStr">
        <is>
          <t>FE033b</t>
        </is>
      </c>
      <c r="B34" s="21" t="inlineStr">
        <is>
          <t>Transp. pers.</t>
        </is>
      </c>
      <c r="C34" s="21" t="inlineStr">
        <is>
          <t>Voiture électrique (fabrication amortie)</t>
        </is>
      </c>
      <c r="D34" s="21" t="inlineStr">
        <is>
          <t>km</t>
        </is>
      </c>
      <c r="E34" s="1003" t="n">
        <v>0.035</v>
      </c>
      <c r="F34" s="1003" t="n">
        <v>0.02</v>
      </c>
      <c r="G34" s="21">
        <f>E34+F34</f>
        <v/>
      </c>
      <c r="H34" s="21" t="n"/>
      <c r="I34" s="23" t="n">
        <v>30</v>
      </c>
      <c r="J34" s="21" t="inlineStr">
        <is>
          <t>ADEME + IVL 2019</t>
        </is>
      </c>
      <c r="K34" s="21" t="inlineStr">
        <is>
          <t>Fabrication amortie 200 000 km</t>
        </is>
      </c>
    </row>
    <row r="35">
      <c r="A35" s="21" t="inlineStr">
        <is>
          <t>FE034</t>
        </is>
      </c>
      <c r="B35" s="21" t="inlineStr">
        <is>
          <t>Transp. pers.</t>
        </is>
      </c>
      <c r="C35" s="21" t="inlineStr">
        <is>
          <t>Voiture hybride rechargeable</t>
        </is>
      </c>
      <c r="D35" s="21" t="inlineStr">
        <is>
          <t>km</t>
        </is>
      </c>
      <c r="E35" s="1003" t="n">
        <v>0.09</v>
      </c>
      <c r="F35" s="1003" t="n">
        <v>0.02</v>
      </c>
      <c r="G35" s="21">
        <f>E35+F35</f>
        <v/>
      </c>
      <c r="H35" s="21" t="n"/>
      <c r="I35" s="23" t="n">
        <v>20</v>
      </c>
      <c r="J35" s="21" t="inlineStr">
        <is>
          <t>ADEME 2024</t>
        </is>
      </c>
      <c r="K35" s="21" t="inlineStr">
        <is>
          <t>Usage mixte 50/50</t>
        </is>
      </c>
    </row>
    <row r="36">
      <c r="A36" s="21" t="inlineStr">
        <is>
          <t>FE035</t>
        </is>
      </c>
      <c r="B36" s="21" t="inlineStr">
        <is>
          <t>Transp. pers.</t>
        </is>
      </c>
      <c r="C36" s="21" t="inlineStr">
        <is>
          <t>TGV / Intercités</t>
        </is>
      </c>
      <c r="D36" s="21" t="inlineStr">
        <is>
          <t>km.passager</t>
        </is>
      </c>
      <c r="E36" s="1003" t="n">
        <v>0.00174</v>
      </c>
      <c r="F36" s="1004" t="n">
        <v>0</v>
      </c>
      <c r="G36" s="21">
        <f>E36+F36</f>
        <v/>
      </c>
      <c r="H36" s="21" t="n"/>
      <c r="I36" s="23" t="n">
        <v>20</v>
      </c>
      <c r="J36" s="21" t="inlineStr">
        <is>
          <t>ADEME 2024</t>
        </is>
      </c>
      <c r="K36" s="21" t="inlineStr">
        <is>
          <t>Électrique France</t>
        </is>
      </c>
    </row>
    <row r="37">
      <c r="A37" s="21" t="inlineStr">
        <is>
          <t>FE036</t>
        </is>
      </c>
      <c r="B37" s="21" t="inlineStr">
        <is>
          <t>Transp. pers.</t>
        </is>
      </c>
      <c r="C37" s="21" t="inlineStr">
        <is>
          <t>TER</t>
        </is>
      </c>
      <c r="D37" s="21" t="inlineStr">
        <is>
          <t>km.passager</t>
        </is>
      </c>
      <c r="E37" s="1003" t="n">
        <v>0.0298</v>
      </c>
      <c r="F37" s="1004" t="n">
        <v>0</v>
      </c>
      <c r="G37" s="21">
        <f>E37+F37</f>
        <v/>
      </c>
      <c r="H37" s="21" t="n"/>
      <c r="I37" s="23" t="n">
        <v>20</v>
      </c>
      <c r="J37" s="21" t="inlineStr">
        <is>
          <t>ADEME 2024</t>
        </is>
      </c>
      <c r="K37" s="21" t="inlineStr">
        <is>
          <t>Mix diesel+électrique</t>
        </is>
      </c>
    </row>
    <row r="38">
      <c r="A38" s="21" t="inlineStr">
        <is>
          <t>FE037</t>
        </is>
      </c>
      <c r="B38" s="21" t="inlineStr">
        <is>
          <t>Transp. pers.</t>
        </is>
      </c>
      <c r="C38" s="21" t="inlineStr">
        <is>
          <t>Métro / Tramway</t>
        </is>
      </c>
      <c r="D38" s="21" t="inlineStr">
        <is>
          <t>km.passager</t>
        </is>
      </c>
      <c r="E38" s="1003" t="n">
        <v>0.00394</v>
      </c>
      <c r="F38" s="1004" t="n">
        <v>0</v>
      </c>
      <c r="G38" s="21">
        <f>E38+F38</f>
        <v/>
      </c>
      <c r="H38" s="21" t="n"/>
      <c r="I38" s="23" t="n">
        <v>20</v>
      </c>
      <c r="J38" s="21" t="inlineStr">
        <is>
          <t>ADEME 2024</t>
        </is>
      </c>
      <c r="K38" s="21" t="n"/>
    </row>
    <row r="39">
      <c r="A39" s="21" t="inlineStr">
        <is>
          <t>FE038</t>
        </is>
      </c>
      <c r="B39" s="21" t="inlineStr">
        <is>
          <t>Transp. pers.</t>
        </is>
      </c>
      <c r="C39" s="21" t="inlineStr">
        <is>
          <t>Bus urbain (diesel)</t>
        </is>
      </c>
      <c r="D39" s="21" t="inlineStr">
        <is>
          <t>km.passager</t>
        </is>
      </c>
      <c r="E39" s="1003" t="n">
        <v>0.113</v>
      </c>
      <c r="F39" s="1004" t="n">
        <v>0</v>
      </c>
      <c r="G39" s="21">
        <f>E39+F39</f>
        <v/>
      </c>
      <c r="H39" s="21" t="n"/>
      <c r="I39" s="23" t="n">
        <v>15</v>
      </c>
      <c r="J39" s="21" t="inlineStr">
        <is>
          <t>ADEME 2024</t>
        </is>
      </c>
      <c r="K39" s="21" t="n"/>
    </row>
    <row r="40">
      <c r="A40" s="21" t="inlineStr">
        <is>
          <t>FE039</t>
        </is>
      </c>
      <c r="B40" s="21" t="inlineStr">
        <is>
          <t>Transp. pers.</t>
        </is>
      </c>
      <c r="C40" s="21" t="inlineStr">
        <is>
          <t>Avion court-courrier (&lt;1000 km, éco)</t>
        </is>
      </c>
      <c r="D40" s="21" t="inlineStr">
        <is>
          <t>km.passager</t>
        </is>
      </c>
      <c r="E40" s="1003" t="n">
        <v>0.141</v>
      </c>
      <c r="F40" s="1004" t="n">
        <v>0</v>
      </c>
      <c r="G40" s="21">
        <f>E40+F40</f>
        <v/>
      </c>
      <c r="H40" s="21" t="n"/>
      <c r="I40" s="23" t="n">
        <v>15</v>
      </c>
      <c r="J40" s="21" t="inlineStr">
        <is>
          <t>ADEME 2024</t>
        </is>
      </c>
      <c r="K40" s="21" t="inlineStr">
        <is>
          <t>CO2 seul = 0.141</t>
        </is>
      </c>
    </row>
    <row r="41">
      <c r="A41" s="21" t="inlineStr">
        <is>
          <t>FE039_RF</t>
        </is>
      </c>
      <c r="B41" s="21" t="inlineStr">
        <is>
          <t>Transp. pers.</t>
        </is>
      </c>
      <c r="C41" s="21" t="inlineStr">
        <is>
          <t>Avion CC avec forçage radiatif</t>
        </is>
      </c>
      <c r="D41" s="21" t="inlineStr">
        <is>
          <t>km.passager</t>
        </is>
      </c>
      <c r="E41" s="1003" t="n">
        <v>0.258</v>
      </c>
      <c r="F41" s="1004" t="n">
        <v>0</v>
      </c>
      <c r="G41" s="21">
        <f>E41+F41</f>
        <v/>
      </c>
      <c r="H41" s="21" t="n"/>
      <c r="I41" s="23" t="n">
        <v>15</v>
      </c>
      <c r="J41" s="21" t="inlineStr">
        <is>
          <t>ADEME 2024</t>
        </is>
      </c>
      <c r="K41" s="21" t="inlineStr">
        <is>
          <t>FE039 × 1.83 (RF)</t>
        </is>
      </c>
    </row>
    <row r="42">
      <c r="A42" s="21" t="inlineStr">
        <is>
          <t>FE040</t>
        </is>
      </c>
      <c r="B42" s="21" t="inlineStr">
        <is>
          <t>Transp. pers.</t>
        </is>
      </c>
      <c r="C42" s="21" t="inlineStr">
        <is>
          <t>Avion moyen-courrier (1000-3500 km, éco)</t>
        </is>
      </c>
      <c r="D42" s="21" t="inlineStr">
        <is>
          <t>km.passager</t>
        </is>
      </c>
      <c r="E42" s="1003" t="n">
        <v>0.102</v>
      </c>
      <c r="F42" s="1004" t="n">
        <v>0</v>
      </c>
      <c r="G42" s="21">
        <f>E42+F42</f>
        <v/>
      </c>
      <c r="H42" s="21" t="n"/>
      <c r="I42" s="23" t="n">
        <v>15</v>
      </c>
      <c r="J42" s="21" t="inlineStr">
        <is>
          <t>ADEME 2024</t>
        </is>
      </c>
      <c r="K42" s="21" t="inlineStr">
        <is>
          <t>CO2 seul</t>
        </is>
      </c>
    </row>
    <row r="43">
      <c r="A43" s="21" t="inlineStr">
        <is>
          <t>FE040_RF</t>
        </is>
      </c>
      <c r="B43" s="21" t="inlineStr">
        <is>
          <t>Transp. pers.</t>
        </is>
      </c>
      <c r="C43" s="21" t="inlineStr">
        <is>
          <t>Avion MC avec forçage radiatif</t>
        </is>
      </c>
      <c r="D43" s="21" t="inlineStr">
        <is>
          <t>km.passager</t>
        </is>
      </c>
      <c r="E43" s="1003" t="n">
        <v>0.187</v>
      </c>
      <c r="F43" s="1004" t="n">
        <v>0</v>
      </c>
      <c r="G43" s="21">
        <f>E43+F43</f>
        <v/>
      </c>
      <c r="H43" s="21" t="n"/>
      <c r="I43" s="23" t="n">
        <v>15</v>
      </c>
      <c r="J43" s="21" t="inlineStr">
        <is>
          <t>ADEME 2024</t>
        </is>
      </c>
      <c r="K43" s="21" t="n"/>
    </row>
    <row r="44">
      <c r="A44" s="21" t="inlineStr">
        <is>
          <t>FE041</t>
        </is>
      </c>
      <c r="B44" s="21" t="inlineStr">
        <is>
          <t>Transp. pers.</t>
        </is>
      </c>
      <c r="C44" s="21" t="inlineStr">
        <is>
          <t>Avion long-courrier (&gt;3500 km, éco)</t>
        </is>
      </c>
      <c r="D44" s="21" t="inlineStr">
        <is>
          <t>km.passager</t>
        </is>
      </c>
      <c r="E44" s="1003" t="n">
        <v>0.083</v>
      </c>
      <c r="F44" s="1004" t="n">
        <v>0</v>
      </c>
      <c r="G44" s="21">
        <f>E44+F44</f>
        <v/>
      </c>
      <c r="H44" s="21" t="n"/>
      <c r="I44" s="23" t="n">
        <v>15</v>
      </c>
      <c r="J44" s="21" t="inlineStr">
        <is>
          <t>ADEME 2024</t>
        </is>
      </c>
      <c r="K44" s="21" t="inlineStr">
        <is>
          <t>CO2 seul</t>
        </is>
      </c>
    </row>
    <row r="45">
      <c r="A45" s="21" t="inlineStr">
        <is>
          <t>FE041_RF</t>
        </is>
      </c>
      <c r="B45" s="21" t="inlineStr">
        <is>
          <t>Transp. pers.</t>
        </is>
      </c>
      <c r="C45" s="21" t="inlineStr">
        <is>
          <t>Avion LC avec forçage radiatif</t>
        </is>
      </c>
      <c r="D45" s="21" t="inlineStr">
        <is>
          <t>km.passager</t>
        </is>
      </c>
      <c r="E45" s="1003" t="n">
        <v>0.152</v>
      </c>
      <c r="F45" s="1004" t="n">
        <v>0</v>
      </c>
      <c r="G45" s="21">
        <f>E45+F45</f>
        <v/>
      </c>
      <c r="H45" s="21" t="n"/>
      <c r="I45" s="23" t="n">
        <v>15</v>
      </c>
      <c r="J45" s="21" t="inlineStr">
        <is>
          <t>ADEME 2024</t>
        </is>
      </c>
      <c r="K45" s="21" t="n"/>
    </row>
    <row r="46">
      <c r="A46" s="21" t="inlineStr">
        <is>
          <t>FE042</t>
        </is>
      </c>
      <c r="B46" s="21" t="inlineStr">
        <is>
          <t>Transp. pers.</t>
        </is>
      </c>
      <c r="C46" s="21" t="inlineStr">
        <is>
          <t>Avion LC business class (avec RF)</t>
        </is>
      </c>
      <c r="D46" s="21" t="inlineStr">
        <is>
          <t>km.passager</t>
        </is>
      </c>
      <c r="E46" s="1003" t="n">
        <v>0.456</v>
      </c>
      <c r="F46" s="1004" t="n">
        <v>0</v>
      </c>
      <c r="G46" s="21">
        <f>E46+F46</f>
        <v/>
      </c>
      <c r="H46" s="21" t="n"/>
      <c r="I46" s="23" t="n">
        <v>15</v>
      </c>
      <c r="J46" s="21" t="inlineStr">
        <is>
          <t>ADEME 2024</t>
        </is>
      </c>
      <c r="K46" s="21" t="inlineStr">
        <is>
          <t>3× éco</t>
        </is>
      </c>
    </row>
    <row r="47">
      <c r="A47" s="17" t="inlineStr">
        <is>
          <t>FE050</t>
        </is>
      </c>
      <c r="B47" s="18" t="inlineStr">
        <is>
          <t>Fret</t>
        </is>
      </c>
      <c r="C47" s="17" t="inlineStr">
        <is>
          <t>Camion articulé 40t (FR)</t>
        </is>
      </c>
      <c r="D47" s="17" t="inlineStr">
        <is>
          <t>t.km</t>
        </is>
      </c>
      <c r="E47" s="1002" t="n">
        <v>0.081</v>
      </c>
      <c r="F47" s="1005" t="n">
        <v>0</v>
      </c>
      <c r="G47" s="17">
        <f>E47+F47</f>
        <v/>
      </c>
      <c r="H47" s="17" t="n"/>
      <c r="I47" s="20" t="n">
        <v>15</v>
      </c>
      <c r="J47" s="17" t="inlineStr">
        <is>
          <t>ADEME 2024</t>
        </is>
      </c>
      <c r="K47" s="17" t="inlineStr">
        <is>
          <t>Diesel, taux chargement 70%</t>
        </is>
      </c>
    </row>
    <row r="48">
      <c r="A48" s="21" t="inlineStr">
        <is>
          <t>FE051</t>
        </is>
      </c>
      <c r="B48" s="21" t="inlineStr">
        <is>
          <t>Fret</t>
        </is>
      </c>
      <c r="C48" s="21" t="inlineStr">
        <is>
          <t>Camion porteur 19t</t>
        </is>
      </c>
      <c r="D48" s="21" t="inlineStr">
        <is>
          <t>t.km</t>
        </is>
      </c>
      <c r="E48" s="1003" t="n">
        <v>0.153</v>
      </c>
      <c r="F48" s="1004" t="n">
        <v>0</v>
      </c>
      <c r="G48" s="21">
        <f>E48+F48</f>
        <v/>
      </c>
      <c r="H48" s="21" t="n"/>
      <c r="I48" s="23" t="n">
        <v>15</v>
      </c>
      <c r="J48" s="21" t="inlineStr">
        <is>
          <t>ADEME 2024</t>
        </is>
      </c>
      <c r="K48" s="21" t="n"/>
    </row>
    <row r="49">
      <c r="A49" s="21" t="inlineStr">
        <is>
          <t>FE052</t>
        </is>
      </c>
      <c r="B49" s="21" t="inlineStr">
        <is>
          <t>Fret</t>
        </is>
      </c>
      <c r="C49" s="21" t="inlineStr">
        <is>
          <t>Utilitaire &lt;3.5t</t>
        </is>
      </c>
      <c r="D49" s="21" t="inlineStr">
        <is>
          <t>t.km</t>
        </is>
      </c>
      <c r="E49" s="1003" t="n">
        <v>0.459</v>
      </c>
      <c r="F49" s="1004" t="n">
        <v>0</v>
      </c>
      <c r="G49" s="21">
        <f>E49+F49</f>
        <v/>
      </c>
      <c r="H49" s="21" t="n"/>
      <c r="I49" s="23" t="n">
        <v>20</v>
      </c>
      <c r="J49" s="21" t="inlineStr">
        <is>
          <t>ADEME 2024</t>
        </is>
      </c>
      <c r="K49" s="21" t="n"/>
    </row>
    <row r="50">
      <c r="A50" s="21" t="inlineStr">
        <is>
          <t>FE053</t>
        </is>
      </c>
      <c r="B50" s="21" t="inlineStr">
        <is>
          <t>Fret</t>
        </is>
      </c>
      <c r="C50" s="21" t="inlineStr">
        <is>
          <t>Train de fret (France)</t>
        </is>
      </c>
      <c r="D50" s="21" t="inlineStr">
        <is>
          <t>t.km</t>
        </is>
      </c>
      <c r="E50" s="1003" t="n">
        <v>0.00535</v>
      </c>
      <c r="F50" s="1004" t="n">
        <v>0</v>
      </c>
      <c r="G50" s="21">
        <f>E50+F50</f>
        <v/>
      </c>
      <c r="H50" s="21" t="n"/>
      <c r="I50" s="23" t="n">
        <v>20</v>
      </c>
      <c r="J50" s="21" t="inlineStr">
        <is>
          <t>ADEME 2024</t>
        </is>
      </c>
      <c r="K50" s="21" t="n"/>
    </row>
    <row r="51">
      <c r="A51" s="21" t="inlineStr">
        <is>
          <t>FE054</t>
        </is>
      </c>
      <c r="B51" s="21" t="inlineStr">
        <is>
          <t>Fret</t>
        </is>
      </c>
      <c r="C51" s="21" t="inlineStr">
        <is>
          <t>Fret maritime (conteneur)</t>
        </is>
      </c>
      <c r="D51" s="21" t="inlineStr">
        <is>
          <t>t.km</t>
        </is>
      </c>
      <c r="E51" s="1003" t="n">
        <v>0.016</v>
      </c>
      <c r="F51" s="1004" t="n">
        <v>0</v>
      </c>
      <c r="G51" s="21">
        <f>E51+F51</f>
        <v/>
      </c>
      <c r="H51" s="21" t="n"/>
      <c r="I51" s="23" t="n">
        <v>20</v>
      </c>
      <c r="J51" s="21" t="inlineStr">
        <is>
          <t>ADEME 2024</t>
        </is>
      </c>
      <c r="K51" s="21" t="n"/>
    </row>
    <row r="52">
      <c r="A52" s="21" t="inlineStr">
        <is>
          <t>FE055</t>
        </is>
      </c>
      <c r="B52" s="21" t="inlineStr">
        <is>
          <t>Fret</t>
        </is>
      </c>
      <c r="C52" s="21" t="inlineStr">
        <is>
          <t>Fret aérien</t>
        </is>
      </c>
      <c r="D52" s="21" t="inlineStr">
        <is>
          <t>t.km</t>
        </is>
      </c>
      <c r="E52" s="1004" t="n">
        <v>1.41</v>
      </c>
      <c r="F52" s="1004" t="n">
        <v>0</v>
      </c>
      <c r="G52" s="21">
        <f>E52+F52</f>
        <v/>
      </c>
      <c r="H52" s="21" t="n"/>
      <c r="I52" s="23" t="n">
        <v>15</v>
      </c>
      <c r="J52" s="21" t="inlineStr">
        <is>
          <t>ADEME 2024</t>
        </is>
      </c>
      <c r="K52" s="21" t="n"/>
    </row>
    <row r="53">
      <c r="A53" s="21" t="inlineStr">
        <is>
          <t>FE056</t>
        </is>
      </c>
      <c r="B53" s="21" t="inlineStr">
        <is>
          <t>Fret</t>
        </is>
      </c>
      <c r="C53" s="21" t="inlineStr">
        <is>
          <t>Fret fluvial</t>
        </is>
      </c>
      <c r="D53" s="21" t="inlineStr">
        <is>
          <t>t.km</t>
        </is>
      </c>
      <c r="E53" s="1003" t="n">
        <v>0.0393</v>
      </c>
      <c r="F53" s="1004" t="n">
        <v>0</v>
      </c>
      <c r="G53" s="21">
        <f>E53+F53</f>
        <v/>
      </c>
      <c r="H53" s="21" t="n"/>
      <c r="I53" s="23" t="n">
        <v>20</v>
      </c>
      <c r="J53" s="21" t="inlineStr">
        <is>
          <t>ADEME 2024</t>
        </is>
      </c>
      <c r="K53" s="21" t="n"/>
    </row>
    <row r="54">
      <c r="A54" s="17" t="inlineStr">
        <is>
          <t>FE060</t>
        </is>
      </c>
      <c r="B54" s="18" t="inlineStr">
        <is>
          <t>Matériaux</t>
        </is>
      </c>
      <c r="C54" s="17" t="inlineStr">
        <is>
          <t>Acier primaire (BOF, haut-fourneau)</t>
        </is>
      </c>
      <c r="D54" s="17" t="inlineStr">
        <is>
          <t>tonne</t>
        </is>
      </c>
      <c r="E54" s="17" t="n"/>
      <c r="F54" s="17" t="n"/>
      <c r="G54" s="17" t="n">
        <v>2300</v>
      </c>
      <c r="H54" s="17" t="n"/>
      <c r="I54" s="20" t="n">
        <v>20</v>
      </c>
      <c r="J54" s="17" t="inlineStr">
        <is>
          <t>ADEME 2024</t>
        </is>
      </c>
      <c r="K54" s="17" t="inlineStr">
        <is>
          <t>Scope 3 Cat.1</t>
        </is>
      </c>
    </row>
    <row r="55">
      <c r="A55" s="21" t="inlineStr">
        <is>
          <t>FE061</t>
        </is>
      </c>
      <c r="B55" s="21" t="inlineStr">
        <is>
          <t>Matériaux</t>
        </is>
      </c>
      <c r="C55" s="21" t="inlineStr">
        <is>
          <t>Acier recyclé (EAF, four à arc)</t>
        </is>
      </c>
      <c r="D55" s="21" t="inlineStr">
        <is>
          <t>tonne</t>
        </is>
      </c>
      <c r="E55" s="21" t="n"/>
      <c r="F55" s="21" t="n"/>
      <c r="G55" s="21" t="n">
        <v>600</v>
      </c>
      <c r="H55" s="21" t="n"/>
      <c r="I55" s="23" t="n">
        <v>25</v>
      </c>
      <c r="J55" s="21" t="inlineStr">
        <is>
          <t>ADEME 2024</t>
        </is>
      </c>
      <c r="K55" s="21" t="n"/>
    </row>
    <row r="56">
      <c r="A56" s="21" t="inlineStr">
        <is>
          <t>FE062</t>
        </is>
      </c>
      <c r="B56" s="21" t="inlineStr">
        <is>
          <t>Matériaux</t>
        </is>
      </c>
      <c r="C56" s="21" t="inlineStr">
        <is>
          <t>Aluminium primaire</t>
        </is>
      </c>
      <c r="D56" s="21" t="inlineStr">
        <is>
          <t>tonne</t>
        </is>
      </c>
      <c r="E56" s="21" t="n"/>
      <c r="F56" s="21" t="n"/>
      <c r="G56" s="21" t="n">
        <v>9200</v>
      </c>
      <c r="H56" s="21" t="n"/>
      <c r="I56" s="23" t="n">
        <v>20</v>
      </c>
      <c r="J56" s="21" t="inlineStr">
        <is>
          <t>ADEME 2024</t>
        </is>
      </c>
      <c r="K56" s="21" t="inlineStr">
        <is>
          <t>Électrolyse, mix mondial</t>
        </is>
      </c>
    </row>
    <row r="57">
      <c r="A57" s="21" t="inlineStr">
        <is>
          <t>FE063</t>
        </is>
      </c>
      <c r="B57" s="21" t="inlineStr">
        <is>
          <t>Matériaux</t>
        </is>
      </c>
      <c r="C57" s="21" t="inlineStr">
        <is>
          <t>Aluminium recyclé</t>
        </is>
      </c>
      <c r="D57" s="21" t="inlineStr">
        <is>
          <t>tonne</t>
        </is>
      </c>
      <c r="E57" s="21" t="n"/>
      <c r="F57" s="21" t="n"/>
      <c r="G57" s="21" t="n">
        <v>610</v>
      </c>
      <c r="H57" s="21" t="n"/>
      <c r="I57" s="23" t="n">
        <v>25</v>
      </c>
      <c r="J57" s="21" t="inlineStr">
        <is>
          <t>ADEME 2024</t>
        </is>
      </c>
      <c r="K57" s="21" t="n"/>
    </row>
    <row r="58">
      <c r="A58" s="21" t="inlineStr">
        <is>
          <t>FE064</t>
        </is>
      </c>
      <c r="B58" s="21" t="inlineStr">
        <is>
          <t>Matériaux</t>
        </is>
      </c>
      <c r="C58" s="21" t="inlineStr">
        <is>
          <t>Ciment Portland CEM I</t>
        </is>
      </c>
      <c r="D58" s="21" t="inlineStr">
        <is>
          <t>tonne</t>
        </is>
      </c>
      <c r="E58" s="21" t="n"/>
      <c r="F58" s="21" t="n"/>
      <c r="G58" s="21" t="n">
        <v>866</v>
      </c>
      <c r="H58" s="21" t="n"/>
      <c r="I58" s="23" t="n">
        <v>15</v>
      </c>
      <c r="J58" s="21" t="inlineStr">
        <is>
          <t>ADEME 2024</t>
        </is>
      </c>
      <c r="K58" s="21" t="n"/>
    </row>
    <row r="59">
      <c r="A59" s="21" t="inlineStr">
        <is>
          <t>FE065</t>
        </is>
      </c>
      <c r="B59" s="21" t="inlineStr">
        <is>
          <t>Matériaux</t>
        </is>
      </c>
      <c r="C59" s="21" t="inlineStr">
        <is>
          <t>Béton C25/30</t>
        </is>
      </c>
      <c r="D59" s="21" t="inlineStr">
        <is>
          <t>m³</t>
        </is>
      </c>
      <c r="E59" s="21" t="n"/>
      <c r="F59" s="21" t="n"/>
      <c r="G59" s="21" t="n">
        <v>235</v>
      </c>
      <c r="H59" s="21" t="n"/>
      <c r="I59" s="23" t="n">
        <v>20</v>
      </c>
      <c r="J59" s="21" t="inlineStr">
        <is>
          <t>ADEME 2024</t>
        </is>
      </c>
      <c r="K59" s="21" t="n"/>
    </row>
    <row r="60">
      <c r="A60" s="21" t="inlineStr">
        <is>
          <t>FE066</t>
        </is>
      </c>
      <c r="B60" s="21" t="inlineStr">
        <is>
          <t>Matériaux</t>
        </is>
      </c>
      <c r="C60" s="21" t="inlineStr">
        <is>
          <t>Verre plat</t>
        </is>
      </c>
      <c r="D60" s="21" t="inlineStr">
        <is>
          <t>tonne</t>
        </is>
      </c>
      <c r="E60" s="21" t="n"/>
      <c r="F60" s="21" t="n"/>
      <c r="G60" s="21" t="n">
        <v>1140</v>
      </c>
      <c r="H60" s="21" t="n"/>
      <c r="I60" s="23" t="n">
        <v>20</v>
      </c>
      <c r="J60" s="21" t="inlineStr">
        <is>
          <t>ADEME 2024</t>
        </is>
      </c>
      <c r="K60" s="21" t="n"/>
    </row>
    <row r="61">
      <c r="A61" s="21" t="inlineStr">
        <is>
          <t>FE067</t>
        </is>
      </c>
      <c r="B61" s="21" t="inlineStr">
        <is>
          <t>Matériaux</t>
        </is>
      </c>
      <c r="C61" s="21" t="inlineStr">
        <is>
          <t>Plastique PET vierge</t>
        </is>
      </c>
      <c r="D61" s="21" t="inlineStr">
        <is>
          <t>tonne</t>
        </is>
      </c>
      <c r="E61" s="21" t="n"/>
      <c r="F61" s="21" t="n"/>
      <c r="G61" s="21" t="n">
        <v>3360</v>
      </c>
      <c r="H61" s="21" t="n"/>
      <c r="I61" s="23" t="n">
        <v>20</v>
      </c>
      <c r="J61" s="21" t="inlineStr">
        <is>
          <t>ADEME 2024</t>
        </is>
      </c>
      <c r="K61" s="21" t="n"/>
    </row>
    <row r="62">
      <c r="A62" s="21" t="inlineStr">
        <is>
          <t>FE068</t>
        </is>
      </c>
      <c r="B62" s="21" t="inlineStr">
        <is>
          <t>Matériaux</t>
        </is>
      </c>
      <c r="C62" s="21" t="inlineStr">
        <is>
          <t>Plastique PET recyclé</t>
        </is>
      </c>
      <c r="D62" s="21" t="inlineStr">
        <is>
          <t>tonne</t>
        </is>
      </c>
      <c r="E62" s="21" t="n"/>
      <c r="F62" s="21" t="n"/>
      <c r="G62" s="21" t="n">
        <v>1680</v>
      </c>
      <c r="H62" s="21" t="n"/>
      <c r="I62" s="23" t="n">
        <v>25</v>
      </c>
      <c r="J62" s="21" t="inlineStr">
        <is>
          <t>ADEME 2024</t>
        </is>
      </c>
      <c r="K62" s="21" t="n"/>
    </row>
    <row r="63">
      <c r="A63" s="21" t="inlineStr">
        <is>
          <t>FE069</t>
        </is>
      </c>
      <c r="B63" s="21" t="inlineStr">
        <is>
          <t>Matériaux</t>
        </is>
      </c>
      <c r="C63" s="21" t="inlineStr">
        <is>
          <t>Papier/carton vierge</t>
        </is>
      </c>
      <c r="D63" s="21" t="inlineStr">
        <is>
          <t>tonne</t>
        </is>
      </c>
      <c r="E63" s="21" t="n"/>
      <c r="F63" s="21" t="n"/>
      <c r="G63" s="21" t="n">
        <v>919</v>
      </c>
      <c r="H63" s="21" t="n"/>
      <c r="I63" s="23" t="n">
        <v>20</v>
      </c>
      <c r="J63" s="21" t="inlineStr">
        <is>
          <t>ADEME 2024</t>
        </is>
      </c>
      <c r="K63" s="21" t="n"/>
    </row>
    <row r="64">
      <c r="A64" s="21" t="inlineStr">
        <is>
          <t>FE070</t>
        </is>
      </c>
      <c r="B64" s="21" t="inlineStr">
        <is>
          <t>Matériaux</t>
        </is>
      </c>
      <c r="C64" s="21" t="inlineStr">
        <is>
          <t>Papier/carton recyclé</t>
        </is>
      </c>
      <c r="D64" s="21" t="inlineStr">
        <is>
          <t>tonne</t>
        </is>
      </c>
      <c r="E64" s="21" t="n"/>
      <c r="F64" s="21" t="n"/>
      <c r="G64" s="21" t="n">
        <v>393</v>
      </c>
      <c r="H64" s="21" t="n"/>
      <c r="I64" s="23" t="n">
        <v>25</v>
      </c>
      <c r="J64" s="21" t="inlineStr">
        <is>
          <t>ADEME 2024</t>
        </is>
      </c>
      <c r="K64" s="21" t="n"/>
    </row>
    <row r="65">
      <c r="A65" s="21" t="inlineStr">
        <is>
          <t>FE071</t>
        </is>
      </c>
      <c r="B65" s="21" t="inlineStr">
        <is>
          <t>Matériaux</t>
        </is>
      </c>
      <c r="C65" s="21" t="inlineStr">
        <is>
          <t>Bois de construction</t>
        </is>
      </c>
      <c r="D65" s="21" t="inlineStr">
        <is>
          <t>m³</t>
        </is>
      </c>
      <c r="E65" s="21" t="n"/>
      <c r="F65" s="21" t="n"/>
      <c r="G65" s="21" t="n">
        <v>-717</v>
      </c>
      <c r="H65" s="21" t="n"/>
      <c r="I65" s="23" t="n">
        <v>30</v>
      </c>
      <c r="J65" s="21" t="inlineStr">
        <is>
          <t>ADEME 2024</t>
        </is>
      </c>
      <c r="K65" s="21" t="inlineStr">
        <is>
          <t>Négatif = stockage carbone biogénique</t>
        </is>
      </c>
    </row>
    <row r="66">
      <c r="A66" s="21" t="inlineStr">
        <is>
          <t>FE072</t>
        </is>
      </c>
      <c r="B66" s="21" t="inlineStr">
        <is>
          <t>Matériaux</t>
        </is>
      </c>
      <c r="C66" s="21" t="inlineStr">
        <is>
          <t>Cuivre</t>
        </is>
      </c>
      <c r="D66" s="21" t="inlineStr">
        <is>
          <t>tonne</t>
        </is>
      </c>
      <c r="E66" s="21" t="n"/>
      <c r="F66" s="21" t="n"/>
      <c r="G66" s="21" t="n">
        <v>4050</v>
      </c>
      <c r="H66" s="21" t="n"/>
      <c r="I66" s="23" t="n">
        <v>20</v>
      </c>
      <c r="J66" s="21" t="inlineStr">
        <is>
          <t>ADEME 2024</t>
        </is>
      </c>
      <c r="K66" s="21" t="n"/>
    </row>
    <row r="67">
      <c r="A67" s="21" t="inlineStr">
        <is>
          <t>FE073</t>
        </is>
      </c>
      <c r="B67" s="21" t="inlineStr">
        <is>
          <t>Matériaux</t>
        </is>
      </c>
      <c r="C67" s="21" t="inlineStr">
        <is>
          <t>Lithium-ion (batterie)</t>
        </is>
      </c>
      <c r="D67" s="21" t="inlineStr">
        <is>
          <t>kWh capacité</t>
        </is>
      </c>
      <c r="E67" s="21" t="n"/>
      <c r="F67" s="21" t="n"/>
      <c r="G67" s="21" t="n">
        <v>73</v>
      </c>
      <c r="H67" s="21" t="n"/>
      <c r="I67" s="23" t="n">
        <v>30</v>
      </c>
      <c r="J67" s="21" t="inlineStr">
        <is>
          <t>ADEME 2024</t>
        </is>
      </c>
      <c r="K67" s="21" t="inlineStr">
        <is>
          <t>kgCO2e par kWh de capacité</t>
        </is>
      </c>
    </row>
    <row r="68">
      <c r="A68" s="17" t="inlineStr">
        <is>
          <t>FE080</t>
        </is>
      </c>
      <c r="B68" s="18" t="inlineStr">
        <is>
          <t>Numérique</t>
        </is>
      </c>
      <c r="C68" s="17" t="inlineStr">
        <is>
          <t>Serveur rack (fabrication+usage, 1 an, FR)</t>
        </is>
      </c>
      <c r="D68" s="17" t="inlineStr">
        <is>
          <t>unité/an</t>
        </is>
      </c>
      <c r="E68" s="17" t="n"/>
      <c r="F68" s="17" t="n"/>
      <c r="G68" s="17" t="n">
        <v>700</v>
      </c>
      <c r="H68" s="17" t="n"/>
      <c r="I68" s="20" t="n">
        <v>30</v>
      </c>
      <c r="J68" s="17" t="inlineStr">
        <is>
          <t>ADEME 2024</t>
        </is>
      </c>
      <c r="K68" s="17" t="inlineStr">
        <is>
          <t>PUE 1.4, mix FR</t>
        </is>
      </c>
    </row>
    <row r="69">
      <c r="A69" s="21" t="inlineStr">
        <is>
          <t>FE081</t>
        </is>
      </c>
      <c r="B69" s="21" t="inlineStr">
        <is>
          <t>Numérique</t>
        </is>
      </c>
      <c r="C69" s="21" t="inlineStr">
        <is>
          <t>Ordinateur portable (fabrication)</t>
        </is>
      </c>
      <c r="D69" s="21" t="inlineStr">
        <is>
          <t>unité</t>
        </is>
      </c>
      <c r="E69" s="21" t="n"/>
      <c r="F69" s="21" t="n"/>
      <c r="G69" s="21" t="n">
        <v>300</v>
      </c>
      <c r="H69" s="21" t="n"/>
      <c r="I69" s="23" t="n">
        <v>30</v>
      </c>
      <c r="J69" s="21" t="inlineStr">
        <is>
          <t>ADEME 2024</t>
        </is>
      </c>
      <c r="K69" s="21" t="inlineStr">
        <is>
          <t>Amortir sur 4 ans</t>
        </is>
      </c>
    </row>
    <row r="70">
      <c r="A70" s="21" t="inlineStr">
        <is>
          <t>FE082</t>
        </is>
      </c>
      <c r="B70" s="21" t="inlineStr">
        <is>
          <t>Numérique</t>
        </is>
      </c>
      <c r="C70" s="21" t="inlineStr">
        <is>
          <t>Smartphone (fabrication)</t>
        </is>
      </c>
      <c r="D70" s="21" t="inlineStr">
        <is>
          <t>unité</t>
        </is>
      </c>
      <c r="E70" s="21" t="n"/>
      <c r="F70" s="21" t="n"/>
      <c r="G70" s="21" t="n">
        <v>56</v>
      </c>
      <c r="H70" s="21" t="n"/>
      <c r="I70" s="23" t="n">
        <v>30</v>
      </c>
      <c r="J70" s="21" t="inlineStr">
        <is>
          <t>ADEME 2024</t>
        </is>
      </c>
      <c r="K70" s="21" t="inlineStr">
        <is>
          <t>Amortir sur 3 ans</t>
        </is>
      </c>
    </row>
    <row r="71">
      <c r="A71" s="21" t="inlineStr">
        <is>
          <t>FE083</t>
        </is>
      </c>
      <c r="B71" s="21" t="inlineStr">
        <is>
          <t>Numérique</t>
        </is>
      </c>
      <c r="C71" s="21" t="inlineStr">
        <is>
          <t>Stockage cloud (data center FR)</t>
        </is>
      </c>
      <c r="D71" s="21" t="inlineStr">
        <is>
          <t>Go/an</t>
        </is>
      </c>
      <c r="E71" s="21" t="n"/>
      <c r="F71" s="21" t="n"/>
      <c r="G71" s="21" t="n">
        <v>0.01</v>
      </c>
      <c r="H71" s="21" t="n"/>
      <c r="I71" s="23" t="n">
        <v>50</v>
      </c>
      <c r="J71" s="21" t="inlineStr">
        <is>
          <t>ADEME 2024</t>
        </is>
      </c>
      <c r="K71" s="21" t="inlineStr">
        <is>
          <t>PUE 1.4</t>
        </is>
      </c>
    </row>
    <row r="72">
      <c r="A72" s="21" t="inlineStr">
        <is>
          <t>FE084</t>
        </is>
      </c>
      <c r="B72" s="21" t="inlineStr">
        <is>
          <t>Numérique</t>
        </is>
      </c>
      <c r="C72" s="21" t="inlineStr">
        <is>
          <t>Email sans pièce jointe</t>
        </is>
      </c>
      <c r="D72" s="21" t="inlineStr">
        <is>
          <t>unité</t>
        </is>
      </c>
      <c r="E72" s="21" t="n"/>
      <c r="F72" s="21" t="n"/>
      <c r="G72" s="21" t="n">
        <v>0.004</v>
      </c>
      <c r="H72" s="21" t="n"/>
      <c r="I72" s="23" t="n">
        <v>50</v>
      </c>
      <c r="J72" s="21" t="inlineStr">
        <is>
          <t>ADEME 2024</t>
        </is>
      </c>
      <c r="K72" s="21" t="inlineStr">
        <is>
          <t>Estimation</t>
        </is>
      </c>
    </row>
    <row r="73">
      <c r="A73" s="21" t="inlineStr">
        <is>
          <t>FE085</t>
        </is>
      </c>
      <c r="B73" s="21" t="inlineStr">
        <is>
          <t>Numérique</t>
        </is>
      </c>
      <c r="C73" s="21" t="inlineStr">
        <is>
          <t>Visioconférence (1h, webcam)</t>
        </is>
      </c>
      <c r="D73" s="21" t="inlineStr">
        <is>
          <t>heure</t>
        </is>
      </c>
      <c r="E73" s="21" t="n"/>
      <c r="F73" s="21" t="n"/>
      <c r="G73" s="21" t="n">
        <v>0.055</v>
      </c>
      <c r="H73" s="21" t="n"/>
      <c r="I73" s="23" t="n">
        <v>50</v>
      </c>
      <c r="J73" s="21" t="inlineStr">
        <is>
          <t>ADEME 2024</t>
        </is>
      </c>
      <c r="K73" s="21" t="inlineStr">
        <is>
          <t>Réseau FR</t>
        </is>
      </c>
    </row>
    <row r="74">
      <c r="A74" s="21" t="inlineStr">
        <is>
          <t>FE086</t>
        </is>
      </c>
      <c r="B74" s="21" t="inlineStr">
        <is>
          <t>Numérique</t>
        </is>
      </c>
      <c r="C74" s="21" t="inlineStr">
        <is>
          <t>Requête IA / LLM (type GPT-4)</t>
        </is>
      </c>
      <c r="D74" s="21" t="inlineStr">
        <is>
          <t>requête</t>
        </is>
      </c>
      <c r="E74" s="21" t="n"/>
      <c r="F74" s="21" t="n"/>
      <c r="G74" s="21" t="n">
        <v>0.007</v>
      </c>
      <c r="H74" s="21" t="n"/>
      <c r="I74" s="23" t="n">
        <v>50</v>
      </c>
      <c r="J74" s="21" t="inlineStr">
        <is>
          <t>IEA 2025</t>
        </is>
      </c>
      <c r="K74" s="21" t="inlineStr">
        <is>
          <t>~10× une recherche Google</t>
        </is>
      </c>
    </row>
    <row r="75">
      <c r="A75" s="17" t="inlineStr">
        <is>
          <t>FE090</t>
        </is>
      </c>
      <c r="B75" s="18" t="inlineStr">
        <is>
          <t>Déchets</t>
        </is>
      </c>
      <c r="C75" s="17" t="inlineStr">
        <is>
          <t>Enfouissement ISDND (DMA)</t>
        </is>
      </c>
      <c r="D75" s="17" t="inlineStr">
        <is>
          <t>tonne</t>
        </is>
      </c>
      <c r="E75" s="17" t="n"/>
      <c r="F75" s="17" t="n"/>
      <c r="G75" s="17" t="n">
        <v>469</v>
      </c>
      <c r="H75" s="17" t="n"/>
      <c r="I75" s="20" t="n">
        <v>30</v>
      </c>
      <c r="J75" s="17" t="inlineStr">
        <is>
          <t>ADEME 2024</t>
        </is>
      </c>
      <c r="K75" s="17" t="inlineStr">
        <is>
          <t>Déchets ménagers et assimilés</t>
        </is>
      </c>
    </row>
    <row r="76">
      <c r="A76" s="21" t="inlineStr">
        <is>
          <t>FE091</t>
        </is>
      </c>
      <c r="B76" s="21" t="inlineStr">
        <is>
          <t>Déchets</t>
        </is>
      </c>
      <c r="C76" s="21" t="inlineStr">
        <is>
          <t>Incinération avec récup. énergie (UIOM)</t>
        </is>
      </c>
      <c r="D76" s="21" t="inlineStr">
        <is>
          <t>tonne</t>
        </is>
      </c>
      <c r="E76" s="21" t="n"/>
      <c r="F76" s="21" t="n"/>
      <c r="G76" s="21" t="n">
        <v>39</v>
      </c>
      <c r="H76" s="21" t="n"/>
      <c r="I76" s="23" t="n">
        <v>30</v>
      </c>
      <c r="J76" s="21" t="inlineStr">
        <is>
          <t>ADEME 2024</t>
        </is>
      </c>
      <c r="K76" s="21" t="inlineStr">
        <is>
          <t>Avec valorisation énergétique</t>
        </is>
      </c>
    </row>
    <row r="77">
      <c r="A77" s="21" t="inlineStr">
        <is>
          <t>FE092</t>
        </is>
      </c>
      <c r="B77" s="21" t="inlineStr">
        <is>
          <t>Déchets</t>
        </is>
      </c>
      <c r="C77" s="21" t="inlineStr">
        <is>
          <t>Recyclage (process de traitement)</t>
        </is>
      </c>
      <c r="D77" s="21" t="inlineStr">
        <is>
          <t>tonne</t>
        </is>
      </c>
      <c r="E77" s="21" t="n"/>
      <c r="F77" s="21" t="n"/>
      <c r="G77" s="21" t="n">
        <v>85</v>
      </c>
      <c r="H77" s="21" t="n"/>
      <c r="I77" s="23" t="n">
        <v>30</v>
      </c>
      <c r="J77" s="21" t="inlineStr">
        <is>
          <t>ADEME 2024</t>
        </is>
      </c>
      <c r="K77" s="21" t="inlineStr">
        <is>
          <t>⚠️ Émissions du PROCESS uniquement</t>
        </is>
      </c>
    </row>
    <row r="78">
      <c r="A78" s="21" t="inlineStr">
        <is>
          <t>FE092b</t>
        </is>
      </c>
      <c r="B78" s="21" t="inlineStr">
        <is>
          <t>Déchets</t>
        </is>
      </c>
      <c r="C78" s="21" t="inlineStr">
        <is>
          <t>Recyclage (émissions ÉVITÉES — hors bilan)</t>
        </is>
      </c>
      <c r="D78" s="21" t="inlineStr">
        <is>
          <t>tonne</t>
        </is>
      </c>
      <c r="E78" s="21" t="n"/>
      <c r="F78" s="21" t="n"/>
      <c r="G78" s="21" t="n">
        <v>-270</v>
      </c>
      <c r="H78" s="21" t="n"/>
      <c r="I78" s="23" t="n">
        <v>40</v>
      </c>
      <c r="J78" s="21" t="inlineStr">
        <is>
          <t>ADEME 2024</t>
        </is>
      </c>
      <c r="K78" s="21" t="inlineStr">
        <is>
          <t>À reporter SÉPARÉMENT</t>
        </is>
      </c>
    </row>
    <row r="79">
      <c r="A79" s="21" t="inlineStr">
        <is>
          <t>FE093</t>
        </is>
      </c>
      <c r="B79" s="21" t="inlineStr">
        <is>
          <t>Déchets</t>
        </is>
      </c>
      <c r="C79" s="21" t="inlineStr">
        <is>
          <t>Compostage (biodéchets)</t>
        </is>
      </c>
      <c r="D79" s="21" t="inlineStr">
        <is>
          <t>tonne</t>
        </is>
      </c>
      <c r="E79" s="21" t="n"/>
      <c r="F79" s="21" t="n"/>
      <c r="G79" s="21" t="n">
        <v>44</v>
      </c>
      <c r="H79" s="21" t="n"/>
      <c r="I79" s="23" t="n">
        <v>30</v>
      </c>
      <c r="J79" s="21" t="inlineStr">
        <is>
          <t>ADEME 2024</t>
        </is>
      </c>
      <c r="K79" s="21" t="n"/>
    </row>
    <row r="80">
      <c r="A80" s="21" t="inlineStr">
        <is>
          <t>FE094</t>
        </is>
      </c>
      <c r="B80" s="21" t="inlineStr">
        <is>
          <t>Déchets</t>
        </is>
      </c>
      <c r="C80" s="21" t="inlineStr">
        <is>
          <t>Méthanisation (avec valorisation biogaz)</t>
        </is>
      </c>
      <c r="D80" s="21" t="inlineStr">
        <is>
          <t>tonne</t>
        </is>
      </c>
      <c r="E80" s="21" t="n"/>
      <c r="F80" s="21" t="n"/>
      <c r="G80" s="21" t="n">
        <v>15</v>
      </c>
      <c r="H80" s="21" t="n"/>
      <c r="I80" s="23" t="n">
        <v>40</v>
      </c>
      <c r="J80" s="21" t="inlineStr">
        <is>
          <t>ADEME 2024</t>
        </is>
      </c>
      <c r="K80" s="21" t="inlineStr">
        <is>
          <t>Émissions nettes</t>
        </is>
      </c>
    </row>
    <row r="81">
      <c r="A81" s="21" t="inlineStr">
        <is>
          <t>FE095</t>
        </is>
      </c>
      <c r="B81" s="21" t="inlineStr">
        <is>
          <t>Déchets</t>
        </is>
      </c>
      <c r="C81" s="21" t="inlineStr">
        <is>
          <t>DEEE (déchets électroniques)</t>
        </is>
      </c>
      <c r="D81" s="21" t="inlineStr">
        <is>
          <t>tonne</t>
        </is>
      </c>
      <c r="E81" s="21" t="n"/>
      <c r="F81" s="21" t="n"/>
      <c r="G81" s="21" t="n">
        <v>165</v>
      </c>
      <c r="H81" s="21" t="n"/>
      <c r="I81" s="23" t="n">
        <v>40</v>
      </c>
      <c r="J81" s="21" t="inlineStr">
        <is>
          <t>ADEME 2024</t>
        </is>
      </c>
      <c r="K81" s="21" t="n"/>
    </row>
    <row r="82">
      <c r="A82" s="17" t="inlineStr">
        <is>
          <t>FE100</t>
        </is>
      </c>
      <c r="B82" s="18" t="inlineStr">
        <is>
          <t>Eau</t>
        </is>
      </c>
      <c r="C82" s="17" t="inlineStr">
        <is>
          <t>Eau potable (production + distribution)</t>
        </is>
      </c>
      <c r="D82" s="17" t="inlineStr">
        <is>
          <t>m³</t>
        </is>
      </c>
      <c r="E82" s="17" t="n"/>
      <c r="F82" s="17" t="n"/>
      <c r="G82" s="17" t="n">
        <v>0.132</v>
      </c>
      <c r="H82" s="17" t="n"/>
      <c r="I82" s="20" t="n">
        <v>30</v>
      </c>
      <c r="J82" s="17" t="inlineStr">
        <is>
          <t>ADEME 2024</t>
        </is>
      </c>
      <c r="K82" s="17" t="inlineStr">
        <is>
          <t>Moyenne France</t>
        </is>
      </c>
    </row>
    <row r="83">
      <c r="A83" s="21" t="inlineStr">
        <is>
          <t>FE101</t>
        </is>
      </c>
      <c r="B83" s="21" t="inlineStr">
        <is>
          <t>Eau</t>
        </is>
      </c>
      <c r="C83" s="21" t="inlineStr">
        <is>
          <t>Traitement eaux usées (STEP)</t>
        </is>
      </c>
      <c r="D83" s="21" t="inlineStr">
        <is>
          <t>m³</t>
        </is>
      </c>
      <c r="E83" s="21" t="n"/>
      <c r="F83" s="21" t="n"/>
      <c r="G83" s="21" t="n">
        <v>0.248</v>
      </c>
      <c r="H83" s="21" t="n"/>
      <c r="I83" s="23" t="n">
        <v>30</v>
      </c>
      <c r="J83" s="21" t="inlineStr">
        <is>
          <t>ADEME 2024</t>
        </is>
      </c>
      <c r="K83" s="21" t="inlineStr">
        <is>
          <t>Station d'épuration moyenne</t>
        </is>
      </c>
    </row>
    <row r="84">
      <c r="A84" s="17" t="inlineStr">
        <is>
          <t>FE110</t>
        </is>
      </c>
      <c r="B84" s="18" t="inlineStr">
        <is>
          <t>Alimentation</t>
        </is>
      </c>
      <c r="C84" s="17" t="inlineStr">
        <is>
          <t>Repas avec bœuf (150g)</t>
        </is>
      </c>
      <c r="D84" s="17" t="inlineStr">
        <is>
          <t>repas</t>
        </is>
      </c>
      <c r="E84" s="17" t="n"/>
      <c r="F84" s="17" t="n"/>
      <c r="G84" s="17" t="n">
        <v>6.29</v>
      </c>
      <c r="H84" s="17" t="n"/>
      <c r="I84" s="20" t="n">
        <v>30</v>
      </c>
      <c r="J84" s="17" t="inlineStr">
        <is>
          <t>ADEME 2024</t>
        </is>
      </c>
      <c r="K84" s="17" t="inlineStr">
        <is>
          <t>Restauration collective</t>
        </is>
      </c>
    </row>
    <row r="85">
      <c r="A85" s="21" t="inlineStr">
        <is>
          <t>FE111</t>
        </is>
      </c>
      <c r="B85" s="21" t="inlineStr">
        <is>
          <t>Alimentation</t>
        </is>
      </c>
      <c r="C85" s="21" t="inlineStr">
        <is>
          <t>Repas avec poulet (150g)</t>
        </is>
      </c>
      <c r="D85" s="21" t="inlineStr">
        <is>
          <t>repas</t>
        </is>
      </c>
      <c r="E85" s="21" t="n"/>
      <c r="F85" s="21" t="n"/>
      <c r="G85" s="21" t="n">
        <v>1.58</v>
      </c>
      <c r="H85" s="21" t="n"/>
      <c r="I85" s="23" t="n">
        <v>30</v>
      </c>
      <c r="J85" s="21" t="inlineStr">
        <is>
          <t>ADEME 2024</t>
        </is>
      </c>
      <c r="K85" s="21" t="n"/>
    </row>
    <row r="86">
      <c r="A86" s="21" t="inlineStr">
        <is>
          <t>FE112</t>
        </is>
      </c>
      <c r="B86" s="21" t="inlineStr">
        <is>
          <t>Alimentation</t>
        </is>
      </c>
      <c r="C86" s="21" t="inlineStr">
        <is>
          <t>Repas végétarien</t>
        </is>
      </c>
      <c r="D86" s="21" t="inlineStr">
        <is>
          <t>repas</t>
        </is>
      </c>
      <c r="E86" s="21" t="n"/>
      <c r="F86" s="21" t="n"/>
      <c r="G86" s="21" t="n">
        <v>0.51</v>
      </c>
      <c r="H86" s="21" t="n"/>
      <c r="I86" s="23" t="n">
        <v>30</v>
      </c>
      <c r="J86" s="21" t="inlineStr">
        <is>
          <t>ADEME 2024</t>
        </is>
      </c>
      <c r="K86" s="21" t="inlineStr">
        <is>
          <t>Sans viande ni poisson</t>
        </is>
      </c>
    </row>
    <row r="87">
      <c r="A87" s="21" t="inlineStr">
        <is>
          <t>FE113</t>
        </is>
      </c>
      <c r="B87" s="21" t="inlineStr">
        <is>
          <t>Alimentation</t>
        </is>
      </c>
      <c r="C87" s="21" t="inlineStr">
        <is>
          <t>Repas végan</t>
        </is>
      </c>
      <c r="D87" s="21" t="inlineStr">
        <is>
          <t>repas</t>
        </is>
      </c>
      <c r="E87" s="21" t="n"/>
      <c r="F87" s="21" t="n"/>
      <c r="G87" s="21" t="n">
        <v>0.39</v>
      </c>
      <c r="H87" s="21" t="n"/>
      <c r="I87" s="23" t="n">
        <v>30</v>
      </c>
      <c r="J87" s="21" t="inlineStr">
        <is>
          <t>ADEME 2024</t>
        </is>
      </c>
      <c r="K87" s="21" t="n"/>
    </row>
    <row r="88">
      <c r="A88" s="17" t="inlineStr">
        <is>
          <t>FE120</t>
        </is>
      </c>
      <c r="B88" s="18" t="inlineStr">
        <is>
          <t>Immobilier</t>
        </is>
      </c>
      <c r="C88" s="17" t="inlineStr">
        <is>
          <t>Construction neuve bureau</t>
        </is>
      </c>
      <c r="D88" s="17" t="inlineStr">
        <is>
          <t>m²</t>
        </is>
      </c>
      <c r="E88" s="17" t="n"/>
      <c r="F88" s="17" t="n"/>
      <c r="G88" s="17" t="n">
        <v>450</v>
      </c>
      <c r="H88" s="17" t="n"/>
      <c r="I88" s="20" t="n">
        <v>30</v>
      </c>
      <c r="J88" s="17" t="inlineStr">
        <is>
          <t>ADEME 2024</t>
        </is>
      </c>
      <c r="K88" s="17" t="inlineStr">
        <is>
          <t>Amortir sur 50 ans</t>
        </is>
      </c>
    </row>
    <row r="89">
      <c r="A89" s="21" t="inlineStr">
        <is>
          <t>FE121</t>
        </is>
      </c>
      <c r="B89" s="21" t="inlineStr">
        <is>
          <t>Immobilier</t>
        </is>
      </c>
      <c r="C89" s="21" t="inlineStr">
        <is>
          <t>Rénovation lourde</t>
        </is>
      </c>
      <c r="D89" s="21" t="inlineStr">
        <is>
          <t>m²</t>
        </is>
      </c>
      <c r="E89" s="21" t="n"/>
      <c r="F89" s="21" t="n"/>
      <c r="G89" s="21" t="n">
        <v>150</v>
      </c>
      <c r="H89" s="21" t="n"/>
      <c r="I89" s="23" t="n">
        <v>30</v>
      </c>
      <c r="J89" s="21" t="inlineStr">
        <is>
          <t>ADEME 2024</t>
        </is>
      </c>
      <c r="K89" s="21" t="n"/>
    </row>
    <row r="90">
      <c r="A90" s="17" t="inlineStr">
        <is>
          <t>FE130</t>
        </is>
      </c>
      <c r="B90" s="18" t="inlineStr">
        <is>
          <t>Frigorigènes</t>
        </is>
      </c>
      <c r="C90" s="17" t="inlineStr">
        <is>
          <t>R-410A (fuite)</t>
        </is>
      </c>
      <c r="D90" s="17" t="inlineStr">
        <is>
          <t>kg</t>
        </is>
      </c>
      <c r="E90" s="1005" t="n">
        <v>2088</v>
      </c>
      <c r="F90" s="1005" t="n">
        <v>0</v>
      </c>
      <c r="G90" s="17">
        <f>E90+F90</f>
        <v/>
      </c>
      <c r="H90" s="17" t="n"/>
      <c r="I90" s="20" t="n">
        <v>10</v>
      </c>
      <c r="J90" s="17" t="inlineStr">
        <is>
          <t>GIEC AR6</t>
        </is>
      </c>
      <c r="K90" s="17" t="inlineStr">
        <is>
          <t>PRG 100 ans AR6. Scope 1</t>
        </is>
      </c>
    </row>
    <row r="91">
      <c r="A91" s="21" t="inlineStr">
        <is>
          <t>FE131</t>
        </is>
      </c>
      <c r="B91" s="21" t="inlineStr">
        <is>
          <t>Frigorigènes</t>
        </is>
      </c>
      <c r="C91" s="21" t="inlineStr">
        <is>
          <t>R-134a (fuite)</t>
        </is>
      </c>
      <c r="D91" s="21" t="inlineStr">
        <is>
          <t>kg</t>
        </is>
      </c>
      <c r="E91" s="1004" t="n">
        <v>1530</v>
      </c>
      <c r="F91" s="1004" t="n">
        <v>0</v>
      </c>
      <c r="G91" s="21">
        <f>E91+F91</f>
        <v/>
      </c>
      <c r="H91" s="21" t="n"/>
      <c r="I91" s="23" t="n">
        <v>10</v>
      </c>
      <c r="J91" s="21" t="inlineStr">
        <is>
          <t>GIEC AR6</t>
        </is>
      </c>
      <c r="K91" s="21" t="n"/>
    </row>
    <row r="92">
      <c r="A92" s="21" t="inlineStr">
        <is>
          <t>FE132</t>
        </is>
      </c>
      <c r="B92" s="21" t="inlineStr">
        <is>
          <t>Frigorigènes</t>
        </is>
      </c>
      <c r="C92" s="21" t="inlineStr">
        <is>
          <t>R-32 (fuite)</t>
        </is>
      </c>
      <c r="D92" s="21" t="inlineStr">
        <is>
          <t>kg</t>
        </is>
      </c>
      <c r="E92" s="1004" t="n">
        <v>675</v>
      </c>
      <c r="F92" s="1004" t="n">
        <v>0</v>
      </c>
      <c r="G92" s="21">
        <f>E92+F92</f>
        <v/>
      </c>
      <c r="H92" s="21" t="n"/>
      <c r="I92" s="23" t="n">
        <v>10</v>
      </c>
      <c r="J92" s="21" t="inlineStr">
        <is>
          <t>GIEC AR6</t>
        </is>
      </c>
      <c r="K92" s="21" t="n"/>
    </row>
    <row r="93">
      <c r="A93" s="21" t="inlineStr">
        <is>
          <t>FE133</t>
        </is>
      </c>
      <c r="B93" s="21" t="inlineStr">
        <is>
          <t>Frigorigènes</t>
        </is>
      </c>
      <c r="C93" s="21" t="inlineStr">
        <is>
          <t>R-290 Propane (fuite)</t>
        </is>
      </c>
      <c r="D93" s="21" t="inlineStr">
        <is>
          <t>kg</t>
        </is>
      </c>
      <c r="E93" s="1003" t="n">
        <v>0.07199999999999999</v>
      </c>
      <c r="F93" s="1004" t="n">
        <v>0</v>
      </c>
      <c r="G93" s="21">
        <f>E93+F93</f>
        <v/>
      </c>
      <c r="H93" s="21" t="n"/>
      <c r="I93" s="23" t="n">
        <v>10</v>
      </c>
      <c r="J93" s="21" t="inlineStr">
        <is>
          <t>GIEC AR6</t>
        </is>
      </c>
      <c r="K93" s="21" t="inlineStr">
        <is>
          <t>Frigorigène naturel</t>
        </is>
      </c>
    </row>
    <row r="94">
      <c r="A94" s="21" t="inlineStr">
        <is>
          <t>FE134</t>
        </is>
      </c>
      <c r="B94" s="21" t="inlineStr">
        <is>
          <t>Frigorigènes</t>
        </is>
      </c>
      <c r="C94" s="21" t="inlineStr">
        <is>
          <t>CO2 / R-744 (fuite)</t>
        </is>
      </c>
      <c r="D94" s="21" t="inlineStr">
        <is>
          <t>kg</t>
        </is>
      </c>
      <c r="E94" s="1004" t="n">
        <v>1</v>
      </c>
      <c r="F94" s="1004" t="n">
        <v>0</v>
      </c>
      <c r="G94" s="21">
        <f>E94+F94</f>
        <v/>
      </c>
      <c r="H94" s="21" t="n"/>
      <c r="I94" s="23" t="n">
        <v>5</v>
      </c>
      <c r="J94" s="21" t="inlineStr">
        <is>
          <t>GIEC AR6</t>
        </is>
      </c>
      <c r="K94" s="21" t="n"/>
    </row>
    <row r="95">
      <c r="A95" s="17" t="inlineStr">
        <is>
          <t>FEM01</t>
        </is>
      </c>
      <c r="B95" s="18" t="inlineStr">
        <is>
          <t>Monétaire</t>
        </is>
      </c>
      <c r="C95" s="17" t="inlineStr">
        <is>
          <t>Services informatiques et télécom</t>
        </is>
      </c>
      <c r="D95" s="17" t="inlineStr">
        <is>
          <t>k€</t>
        </is>
      </c>
      <c r="E95" s="17" t="n"/>
      <c r="F95" s="17" t="n"/>
      <c r="G95" s="17" t="n">
        <v>70</v>
      </c>
      <c r="H95" s="17" t="n"/>
      <c r="I95" s="20" t="n">
        <v>60</v>
      </c>
      <c r="J95" s="17" t="inlineStr">
        <is>
          <t>ADEME/Exiobase</t>
        </is>
      </c>
      <c r="K95" s="17" t="inlineStr">
        <is>
          <t>kgCO2e par k€ HT</t>
        </is>
      </c>
    </row>
    <row r="96">
      <c r="A96" s="21" t="inlineStr">
        <is>
          <t>FEM02</t>
        </is>
      </c>
      <c r="B96" s="21" t="inlineStr">
        <is>
          <t>Monétaire</t>
        </is>
      </c>
      <c r="C96" s="21" t="inlineStr">
        <is>
          <t>Services de conseil et ingénierie</t>
        </is>
      </c>
      <c r="D96" s="21" t="inlineStr">
        <is>
          <t>k€</t>
        </is>
      </c>
      <c r="E96" s="21" t="n"/>
      <c r="F96" s="21" t="n"/>
      <c r="G96" s="21" t="n">
        <v>30</v>
      </c>
      <c r="H96" s="21" t="n"/>
      <c r="I96" s="23" t="n">
        <v>60</v>
      </c>
      <c r="J96" s="21" t="inlineStr">
        <is>
          <t>ADEME/Exiobase</t>
        </is>
      </c>
      <c r="K96" s="21" t="n"/>
    </row>
    <row r="97">
      <c r="A97" s="21" t="inlineStr">
        <is>
          <t>FEM03</t>
        </is>
      </c>
      <c r="B97" s="21" t="inlineStr">
        <is>
          <t>Monétaire</t>
        </is>
      </c>
      <c r="C97" s="21" t="inlineStr">
        <is>
          <t>Services financiers et assurance</t>
        </is>
      </c>
      <c r="D97" s="21" t="inlineStr">
        <is>
          <t>k€</t>
        </is>
      </c>
      <c r="E97" s="21" t="n"/>
      <c r="F97" s="21" t="n"/>
      <c r="G97" s="21" t="n">
        <v>25</v>
      </c>
      <c r="H97" s="21" t="n"/>
      <c r="I97" s="23" t="n">
        <v>60</v>
      </c>
      <c r="J97" s="21" t="inlineStr">
        <is>
          <t>ADEME/Exiobase</t>
        </is>
      </c>
      <c r="K97" s="21" t="n"/>
    </row>
    <row r="98">
      <c r="A98" s="21" t="inlineStr">
        <is>
          <t>FEM04</t>
        </is>
      </c>
      <c r="B98" s="21" t="inlineStr">
        <is>
          <t>Monétaire</t>
        </is>
      </c>
      <c r="C98" s="21" t="inlineStr">
        <is>
          <t>Services de nettoyage</t>
        </is>
      </c>
      <c r="D98" s="21" t="inlineStr">
        <is>
          <t>k€</t>
        </is>
      </c>
      <c r="E98" s="21" t="n"/>
      <c r="F98" s="21" t="n"/>
      <c r="G98" s="21" t="n">
        <v>85</v>
      </c>
      <c r="H98" s="21" t="n"/>
      <c r="I98" s="23" t="n">
        <v>60</v>
      </c>
      <c r="J98" s="21" t="inlineStr">
        <is>
          <t>ADEME/Exiobase</t>
        </is>
      </c>
      <c r="K98" s="21" t="n"/>
    </row>
    <row r="99">
      <c r="A99" s="21" t="inlineStr">
        <is>
          <t>FEM05</t>
        </is>
      </c>
      <c r="B99" s="21" t="inlineStr">
        <is>
          <t>Monétaire</t>
        </is>
      </c>
      <c r="C99" s="21" t="inlineStr">
        <is>
          <t>Fournitures de bureau</t>
        </is>
      </c>
      <c r="D99" s="21" t="inlineStr">
        <is>
          <t>k€</t>
        </is>
      </c>
      <c r="E99" s="21" t="n"/>
      <c r="F99" s="21" t="n"/>
      <c r="G99" s="21" t="n">
        <v>120</v>
      </c>
      <c r="H99" s="21" t="n"/>
      <c r="I99" s="23" t="n">
        <v>50</v>
      </c>
      <c r="J99" s="21" t="inlineStr">
        <is>
          <t>ADEME/Exiobase</t>
        </is>
      </c>
      <c r="K99" s="21" t="n"/>
    </row>
    <row r="100">
      <c r="A100" s="21" t="inlineStr">
        <is>
          <t>FEM06</t>
        </is>
      </c>
      <c r="B100" s="21" t="inlineStr">
        <is>
          <t>Monétaire</t>
        </is>
      </c>
      <c r="C100" s="21" t="inlineStr">
        <is>
          <t>Restauration collective</t>
        </is>
      </c>
      <c r="D100" s="21" t="inlineStr">
        <is>
          <t>k€</t>
        </is>
      </c>
      <c r="E100" s="21" t="n"/>
      <c r="F100" s="21" t="n"/>
      <c r="G100" s="21" t="n">
        <v>180</v>
      </c>
      <c r="H100" s="21" t="n"/>
      <c r="I100" s="23" t="n">
        <v>50</v>
      </c>
      <c r="J100" s="21" t="inlineStr">
        <is>
          <t>ADEME/Exiobase</t>
        </is>
      </c>
      <c r="K100" s="21" t="n"/>
    </row>
    <row r="101">
      <c r="A101" s="21" t="inlineStr">
        <is>
          <t>FEM07</t>
        </is>
      </c>
      <c r="B101" s="21" t="inlineStr">
        <is>
          <t>Monétaire</t>
        </is>
      </c>
      <c r="C101" s="21" t="inlineStr">
        <is>
          <t>Hébergement hôtelier</t>
        </is>
      </c>
      <c r="D101" s="21" t="inlineStr">
        <is>
          <t>k€</t>
        </is>
      </c>
      <c r="E101" s="21" t="n"/>
      <c r="F101" s="21" t="n"/>
      <c r="G101" s="21" t="n">
        <v>45</v>
      </c>
      <c r="H101" s="21" t="n"/>
      <c r="I101" s="23" t="n">
        <v>60</v>
      </c>
      <c r="J101" s="21" t="inlineStr">
        <is>
          <t>ADEME/Exiobase</t>
        </is>
      </c>
      <c r="K101" s="21" t="n"/>
    </row>
    <row r="102">
      <c r="A102" s="21" t="inlineStr">
        <is>
          <t>FEM08</t>
        </is>
      </c>
      <c r="B102" s="21" t="inlineStr">
        <is>
          <t>Monétaire</t>
        </is>
      </c>
      <c r="C102" s="21" t="inlineStr">
        <is>
          <t>Transport et logistique (prestataire)</t>
        </is>
      </c>
      <c r="D102" s="21" t="inlineStr">
        <is>
          <t>k€</t>
        </is>
      </c>
      <c r="E102" s="21" t="n"/>
      <c r="F102" s="21" t="n"/>
      <c r="G102" s="21" t="n">
        <v>200</v>
      </c>
      <c r="H102" s="21" t="n"/>
      <c r="I102" s="23" t="n">
        <v>50</v>
      </c>
      <c r="J102" s="21" t="inlineStr">
        <is>
          <t>ADEME/Exiobase</t>
        </is>
      </c>
      <c r="K102" s="21" t="n"/>
    </row>
    <row r="103">
      <c r="A103" s="21" t="inlineStr">
        <is>
          <t>FEM09</t>
        </is>
      </c>
      <c r="B103" s="21" t="inlineStr">
        <is>
          <t>Monétaire</t>
        </is>
      </c>
      <c r="C103" s="21" t="inlineStr">
        <is>
          <t>Produits chimiques</t>
        </is>
      </c>
      <c r="D103" s="21" t="inlineStr">
        <is>
          <t>k€</t>
        </is>
      </c>
      <c r="E103" s="21" t="n"/>
      <c r="F103" s="21" t="n"/>
      <c r="G103" s="21" t="n">
        <v>350</v>
      </c>
      <c r="H103" s="21" t="n"/>
      <c r="I103" s="23" t="n">
        <v>50</v>
      </c>
      <c r="J103" s="21" t="inlineStr">
        <is>
          <t>ADEME/Exiobase</t>
        </is>
      </c>
      <c r="K103" s="21" t="n"/>
    </row>
    <row r="104">
      <c r="A104" s="21" t="inlineStr">
        <is>
          <t>FEM10</t>
        </is>
      </c>
      <c r="B104" s="21" t="inlineStr">
        <is>
          <t>Monétaire</t>
        </is>
      </c>
      <c r="C104" s="21" t="inlineStr">
        <is>
          <t>Équipements électroniques</t>
        </is>
      </c>
      <c r="D104" s="21" t="inlineStr">
        <is>
          <t>k€</t>
        </is>
      </c>
      <c r="E104" s="21" t="n"/>
      <c r="F104" s="21" t="n"/>
      <c r="G104" s="21" t="n">
        <v>250</v>
      </c>
      <c r="H104" s="21" t="n"/>
      <c r="I104" s="23" t="n">
        <v>50</v>
      </c>
      <c r="J104" s="21" t="inlineStr">
        <is>
          <t>ADEME/Exiobase</t>
        </is>
      </c>
      <c r="K104" s="21" t="n"/>
    </row>
    <row r="105">
      <c r="A105" s="21" t="inlineStr">
        <is>
          <t>FEM11</t>
        </is>
      </c>
      <c r="B105" s="21" t="inlineStr">
        <is>
          <t>Monétaire</t>
        </is>
      </c>
      <c r="C105" s="21" t="inlineStr">
        <is>
          <t>Textile et habillement</t>
        </is>
      </c>
      <c r="D105" s="21" t="inlineStr">
        <is>
          <t>k€</t>
        </is>
      </c>
      <c r="E105" s="21" t="n"/>
      <c r="F105" s="21" t="n"/>
      <c r="G105" s="21" t="n">
        <v>300</v>
      </c>
      <c r="H105" s="21" t="n"/>
      <c r="I105" s="23" t="n">
        <v>50</v>
      </c>
      <c r="J105" s="21" t="inlineStr">
        <is>
          <t>ADEME/Exiobase</t>
        </is>
      </c>
      <c r="K105" s="21" t="n"/>
    </row>
    <row r="106">
      <c r="A106" s="21" t="inlineStr">
        <is>
          <t>FEM12</t>
        </is>
      </c>
      <c r="B106" s="21" t="inlineStr">
        <is>
          <t>Monétaire</t>
        </is>
      </c>
      <c r="C106" s="21" t="inlineStr">
        <is>
          <t>Construction / BTP</t>
        </is>
      </c>
      <c r="D106" s="21" t="inlineStr">
        <is>
          <t>k€</t>
        </is>
      </c>
      <c r="E106" s="21" t="n"/>
      <c r="F106" s="21" t="n"/>
      <c r="G106" s="21" t="n">
        <v>280</v>
      </c>
      <c r="H106" s="21" t="n"/>
      <c r="I106" s="23" t="n">
        <v>50</v>
      </c>
      <c r="J106" s="21" t="inlineStr">
        <is>
          <t>ADEME/Exiobase</t>
        </is>
      </c>
      <c r="K106" s="21" t="n"/>
    </row>
    <row r="107">
      <c r="A107" s="21" t="inlineStr">
        <is>
          <t>FEM13</t>
        </is>
      </c>
      <c r="B107" s="21" t="inlineStr">
        <is>
          <t>Monétaire</t>
        </is>
      </c>
      <c r="C107" s="21" t="inlineStr">
        <is>
          <t>Impression / édition</t>
        </is>
      </c>
      <c r="D107" s="21" t="inlineStr">
        <is>
          <t>k€</t>
        </is>
      </c>
      <c r="E107" s="21" t="n"/>
      <c r="F107" s="21" t="n"/>
      <c r="G107" s="21" t="n">
        <v>140</v>
      </c>
      <c r="H107" s="21" t="n"/>
      <c r="I107" s="23" t="n">
        <v>50</v>
      </c>
      <c r="J107" s="21" t="inlineStr">
        <is>
          <t>ADEME/Exiobase</t>
        </is>
      </c>
      <c r="K107" s="21" t="n"/>
    </row>
    <row r="108">
      <c r="A108" s="21" t="inlineStr">
        <is>
          <t>FEM14</t>
        </is>
      </c>
      <c r="B108" s="21" t="inlineStr">
        <is>
          <t>Monétaire</t>
        </is>
      </c>
      <c r="C108" s="21" t="inlineStr">
        <is>
          <t>Publicité / marketing</t>
        </is>
      </c>
      <c r="D108" s="21" t="inlineStr">
        <is>
          <t>k€</t>
        </is>
      </c>
      <c r="E108" s="21" t="n"/>
      <c r="F108" s="21" t="n"/>
      <c r="G108" s="21" t="n">
        <v>40</v>
      </c>
      <c r="H108" s="21" t="n"/>
      <c r="I108" s="23" t="n">
        <v>60</v>
      </c>
      <c r="J108" s="21" t="inlineStr">
        <is>
          <t>ADEME/Exiobase</t>
        </is>
      </c>
      <c r="K108" s="21" t="n"/>
    </row>
  </sheetData>
  <autoFilter ref="A3:K108"/>
  <mergeCells count="2">
    <mergeCell ref="A2:K2"/>
    <mergeCell ref="A1:K1"/>
  </mergeCell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C62828"/>
    <outlinePr summaryBelow="1" summaryRight="1"/>
    <pageSetUpPr/>
  </sheetPr>
  <dimension ref="A1:O57"/>
  <sheetViews>
    <sheetView showGridLines="0" zoomScaleNormal="100" workbookViewId="0">
      <pane ySplit="4" topLeftCell="A15" activePane="bottomLeft" state="frozen"/>
      <selection pane="bottomLeft" activeCell="A2" sqref="A2:K2"/>
    </sheetView>
  </sheetViews>
  <sheetFormatPr baseColWidth="10" defaultColWidth="8.7109375" defaultRowHeight="15"/>
  <cols>
    <col width="6" customWidth="1" style="847" min="1" max="1"/>
    <col width="30" customWidth="1" style="847" min="2" max="2"/>
    <col width="24" customWidth="1" style="847" min="3" max="3"/>
    <col width="16" customWidth="1" style="847" min="4" max="4"/>
    <col width="12" customWidth="1" style="847" min="5" max="5"/>
    <col width="10" customWidth="1" style="847" min="6" max="6"/>
    <col width="18" customWidth="1" style="847" min="7" max="11"/>
    <col width="13.28515625" customWidth="1" style="847" min="14" max="15"/>
  </cols>
  <sheetData>
    <row r="1" ht="27.95" customHeight="1" s="847">
      <c r="A1" s="891" t="inlineStr">
        <is>
          <t>SCOPE 1 — ÉMISSIONS DIRECTES</t>
        </is>
      </c>
      <c r="B1" s="994" t="n"/>
      <c r="C1" s="994" t="n"/>
      <c r="D1" s="994" t="n"/>
      <c r="E1" s="994" t="n"/>
      <c r="F1" s="994" t="n"/>
      <c r="G1" s="994" t="n"/>
      <c r="H1" s="994" t="n"/>
      <c r="I1" s="994" t="n"/>
      <c r="J1" s="994" t="n"/>
      <c r="K1" s="994" t="n"/>
      <c r="L1" s="878" t="n"/>
      <c r="M1" s="878" t="n"/>
      <c r="N1" s="231" t="inlineStr">
        <is>
          <t>🏠 Sommaire</t>
        </is>
      </c>
      <c r="O1" s="85" t="inlineStr">
        <is>
          <t>🏠 Sommaire</t>
        </is>
      </c>
    </row>
    <row r="2">
      <c r="A2" s="895" t="inlineStr">
        <is>
          <t>Conformément au GHG Protocol, seules les émissions de COMBUSTION sont comptabilisées en Scope 1. Les émissions AMONT sont en Scope 3 Cat. 3 et calculées automatiquement dans les colonnes J-K.</t>
        </is>
      </c>
    </row>
    <row r="4" ht="21.75" customHeight="1" s="847">
      <c r="A4" s="893" t="inlineStr">
        <is>
          <t>1A — COMBUSTION FIXE (chauffage, production de chaleur, cogénération)</t>
        </is>
      </c>
      <c r="B4" s="994" t="n"/>
      <c r="C4" s="994" t="n"/>
      <c r="D4" s="994" t="n"/>
      <c r="E4" s="994" t="n"/>
      <c r="F4" s="994" t="n"/>
      <c r="G4" s="994" t="n"/>
      <c r="H4" s="994" t="n"/>
      <c r="I4" s="994" t="n"/>
      <c r="J4" s="994" t="n"/>
      <c r="K4" s="994" t="n"/>
    </row>
    <row r="5" ht="45" customHeight="1" s="847">
      <c r="A5" s="2" t="inlineStr">
        <is>
          <t>Ligne</t>
        </is>
      </c>
      <c r="B5" s="2" t="inlineStr">
        <is>
          <t>Source / Équipement / Site</t>
        </is>
      </c>
      <c r="C5" s="2" t="inlineStr">
        <is>
          <t>Combustible</t>
        </is>
      </c>
      <c r="D5" s="2" t="inlineStr">
        <is>
          <t>Quantité consommée</t>
        </is>
      </c>
      <c r="E5" s="2" t="inlineStr">
        <is>
          <t>Unité</t>
        </is>
      </c>
      <c r="F5" s="2" t="inlineStr">
        <is>
          <t>ID FE</t>
        </is>
      </c>
      <c r="G5" s="2" t="inlineStr">
        <is>
          <t>FE Combustion (kgCO2e/u)</t>
        </is>
      </c>
      <c r="H5" s="2" t="inlineStr">
        <is>
          <t>Émissions Scope 1 (kgCO2e)</t>
        </is>
      </c>
      <c r="I5" s="2" t="inlineStr">
        <is>
          <t>Émissions Scope 1 (tCO2e)</t>
        </is>
      </c>
      <c r="J5" s="2" t="inlineStr">
        <is>
          <t>FE Amont (kgCO2e/u)</t>
        </is>
      </c>
      <c r="K5" s="2" t="inlineStr">
        <is>
          <t>Émissions amont → Scope 3 Cat.3 (kgCO2e)</t>
        </is>
      </c>
    </row>
    <row r="6">
      <c r="A6" t="n">
        <v>1</v>
      </c>
      <c r="B6" s="13" t="n"/>
      <c r="C6" s="13" t="n"/>
      <c r="D6" s="14" t="n">
        <v>0</v>
      </c>
      <c r="E6" s="26">
        <f>IF(C6="","",IF(OR(C6="Gaz naturel (PCI)",C6="Gaz naturel (PCS)"),"kWh",IF(OR(C6="Fioul domestique",C6="GPL"),"litre",IF(OR(C6="Fioul lourd",C6="Charbon (houille)"),"tonne",IF(C6="Propane","kg",IF(C6="Bois bûches","kWh",""))))))</f>
        <v/>
      </c>
      <c r="F6" s="26">
        <f>IF(C6="","",IF(C6="Gaz naturel (PCI)","FE001",IF(C6="Gaz naturel (PCS)","FE002",IF(C6="Fioul domestique","FE003",IF(C6="Fioul lourd","FE004",IF(C6="Charbon (houille)","FE005",IF(C6="GPL","FE006",IF(C6="Propane","FE007",IF(C6="Bois bûches","FE008","")))))))))</f>
        <v/>
      </c>
      <c r="G6" s="1006">
        <f>IF(F6="","",VLOOKUP(F6,Facteurs_Emission!$A$4:$E$108,5,FALSE()))</f>
        <v/>
      </c>
      <c r="H6" s="28">
        <f>IF(OR(D6=0,G6=""),0,D6*G6)</f>
        <v/>
      </c>
      <c r="I6" s="28">
        <f>H6/1000</f>
        <v/>
      </c>
      <c r="J6" s="1006">
        <f>IF(F6="","",VLOOKUP(F6,Facteurs_Emission!$A$4:$F$108,6,FALSE()))</f>
        <v/>
      </c>
      <c r="K6" s="28">
        <f>IF(OR(D6=0,J6=""),0,D6*J6)</f>
        <v/>
      </c>
    </row>
    <row r="7">
      <c r="A7" t="n">
        <v>2</v>
      </c>
      <c r="B7" s="13" t="n"/>
      <c r="C7" s="13" t="n"/>
      <c r="D7" s="14" t="n">
        <v>0</v>
      </c>
      <c r="E7" s="26">
        <f>IF(C7="","",IF(OR(C7="Gaz naturel (PCI)",C7="Gaz naturel (PCS)"),"kWh",IF(OR(C7="Fioul domestique",C7="GPL"),"litre",IF(OR(C7="Fioul lourd",C7="Charbon (houille)"),"tonne",IF(C7="Propane","kg",IF(C7="Bois bûches","kWh",""))))))</f>
        <v/>
      </c>
      <c r="F7" s="26">
        <f>IF(C7="","",IF(C7="Gaz naturel (PCI)","FE001",IF(C7="Gaz naturel (PCS)","FE002",IF(C7="Fioul domestique","FE003",IF(C7="Fioul lourd","FE004",IF(C7="Charbon (houille)","FE005",IF(C7="GPL","FE006",IF(C7="Propane","FE007",IF(C7="Bois bûches","FE008","")))))))))</f>
        <v/>
      </c>
      <c r="G7" s="1006">
        <f>IF(F7="","",VLOOKUP(F7,Facteurs_Emission!$A$4:$E$108,5,FALSE()))</f>
        <v/>
      </c>
      <c r="H7" s="28">
        <f>IF(OR(D7=0,G7=""),0,D7*G7)</f>
        <v/>
      </c>
      <c r="I7" s="28">
        <f>H7/1000</f>
        <v/>
      </c>
      <c r="J7" s="1006">
        <f>IF(F7="","",VLOOKUP(F7,Facteurs_Emission!$A$4:$F$108,6,FALSE()))</f>
        <v/>
      </c>
      <c r="K7" s="28">
        <f>IF(OR(D7=0,J7=""),0,D7*J7)</f>
        <v/>
      </c>
    </row>
    <row r="8">
      <c r="A8" t="n">
        <v>3</v>
      </c>
      <c r="B8" s="13" t="n"/>
      <c r="C8" s="13" t="n"/>
      <c r="D8" s="14" t="n">
        <v>0</v>
      </c>
      <c r="E8" s="26">
        <f>IF(C8="","",IF(OR(C8="Gaz naturel (PCI)",C8="Gaz naturel (PCS)"),"kWh",IF(OR(C8="Fioul domestique",C8="GPL"),"litre",IF(OR(C8="Fioul lourd",C8="Charbon (houille)"),"tonne",IF(C8="Propane","kg",IF(C8="Bois bûches","kWh",""))))))</f>
        <v/>
      </c>
      <c r="F8" s="26">
        <f>IF(C8="","",IF(C8="Gaz naturel (PCI)","FE001",IF(C8="Gaz naturel (PCS)","FE002",IF(C8="Fioul domestique","FE003",IF(C8="Fioul lourd","FE004",IF(C8="Charbon (houille)","FE005",IF(C8="GPL","FE006",IF(C8="Propane","FE007",IF(C8="Bois bûches","FE008","")))))))))</f>
        <v/>
      </c>
      <c r="G8" s="1006">
        <f>IF(F8="","",VLOOKUP(F8,Facteurs_Emission!$A$4:$E$108,5,FALSE()))</f>
        <v/>
      </c>
      <c r="H8" s="28">
        <f>IF(OR(D8=0,G8=""),0,D8*G8)</f>
        <v/>
      </c>
      <c r="I8" s="28">
        <f>H8/1000</f>
        <v/>
      </c>
      <c r="J8" s="1006">
        <f>IF(F8="","",VLOOKUP(F8,Facteurs_Emission!$A$4:$F$108,6,FALSE()))</f>
        <v/>
      </c>
      <c r="K8" s="28">
        <f>IF(OR(D8=0,J8=""),0,D8*J8)</f>
        <v/>
      </c>
    </row>
    <row r="9">
      <c r="A9" t="n">
        <v>4</v>
      </c>
      <c r="B9" s="13" t="n"/>
      <c r="C9" s="13" t="n"/>
      <c r="D9" s="14" t="n">
        <v>0</v>
      </c>
      <c r="E9" s="26">
        <f>IF(C9="","",IF(OR(C9="Gaz naturel (PCI)",C9="Gaz naturel (PCS)"),"kWh",IF(OR(C9="Fioul domestique",C9="GPL"),"litre",IF(OR(C9="Fioul lourd",C9="Charbon (houille)"),"tonne",IF(C9="Propane","kg",IF(C9="Bois bûches","kWh",""))))))</f>
        <v/>
      </c>
      <c r="F9" s="26">
        <f>IF(C9="","",IF(C9="Gaz naturel (PCI)","FE001",IF(C9="Gaz naturel (PCS)","FE002",IF(C9="Fioul domestique","FE003",IF(C9="Fioul lourd","FE004",IF(C9="Charbon (houille)","FE005",IF(C9="GPL","FE006",IF(C9="Propane","FE007",IF(C9="Bois bûches","FE008","")))))))))</f>
        <v/>
      </c>
      <c r="G9" s="1006">
        <f>IF(F9="","",VLOOKUP(F9,Facteurs_Emission!$A$4:$E$108,5,FALSE()))</f>
        <v/>
      </c>
      <c r="H9" s="28">
        <f>IF(OR(D9=0,G9=""),0,D9*G9)</f>
        <v/>
      </c>
      <c r="I9" s="28">
        <f>H9/1000</f>
        <v/>
      </c>
      <c r="J9" s="1006">
        <f>IF(F9="","",VLOOKUP(F9,Facteurs_Emission!$A$4:$F$108,6,FALSE()))</f>
        <v/>
      </c>
      <c r="K9" s="28">
        <f>IF(OR(D9=0,J9=""),0,D9*J9)</f>
        <v/>
      </c>
    </row>
    <row r="10">
      <c r="A10" t="n">
        <v>5</v>
      </c>
      <c r="B10" s="13" t="n"/>
      <c r="C10" s="13" t="n"/>
      <c r="D10" s="14" t="n">
        <v>0</v>
      </c>
      <c r="E10" s="26">
        <f>IF(C10="","",IF(OR(C10="Gaz naturel (PCI)",C10="Gaz naturel (PCS)"),"kWh",IF(OR(C10="Fioul domestique",C10="GPL"),"litre",IF(OR(C10="Fioul lourd",C10="Charbon (houille)"),"tonne",IF(C10="Propane","kg",IF(C10="Bois bûches","kWh",""))))))</f>
        <v/>
      </c>
      <c r="F10" s="26">
        <f>IF(C10="","",IF(C10="Gaz naturel (PCI)","FE001",IF(C10="Gaz naturel (PCS)","FE002",IF(C10="Fioul domestique","FE003",IF(C10="Fioul lourd","FE004",IF(C10="Charbon (houille)","FE005",IF(C10="GPL","FE006",IF(C10="Propane","FE007",IF(C10="Bois bûches","FE008","")))))))))</f>
        <v/>
      </c>
      <c r="G10" s="1006">
        <f>IF(F10="","",VLOOKUP(F10,Facteurs_Emission!$A$4:$E$108,5,FALSE()))</f>
        <v/>
      </c>
      <c r="H10" s="28">
        <f>IF(OR(D10=0,G10=""),0,D10*G10)</f>
        <v/>
      </c>
      <c r="I10" s="28">
        <f>H10/1000</f>
        <v/>
      </c>
      <c r="J10" s="1006">
        <f>IF(F10="","",VLOOKUP(F10,Facteurs_Emission!$A$4:$F$108,6,FALSE()))</f>
        <v/>
      </c>
      <c r="K10" s="28">
        <f>IF(OR(D10=0,J10=""),0,D10*J10)</f>
        <v/>
      </c>
    </row>
    <row r="11">
      <c r="A11" t="n">
        <v>6</v>
      </c>
      <c r="B11" s="13" t="n"/>
      <c r="C11" s="13" t="n"/>
      <c r="D11" s="14" t="n">
        <v>0</v>
      </c>
      <c r="E11" s="26">
        <f>IF(C11="","",IF(OR(C11="Gaz naturel (PCI)",C11="Gaz naturel (PCS)"),"kWh",IF(OR(C11="Fioul domestique",C11="GPL"),"litre",IF(OR(C11="Fioul lourd",C11="Charbon (houille)"),"tonne",IF(C11="Propane","kg",IF(C11="Bois bûches","kWh",""))))))</f>
        <v/>
      </c>
      <c r="F11" s="26">
        <f>IF(C11="","",IF(C11="Gaz naturel (PCI)","FE001",IF(C11="Gaz naturel (PCS)","FE002",IF(C11="Fioul domestique","FE003",IF(C11="Fioul lourd","FE004",IF(C11="Charbon (houille)","FE005",IF(C11="GPL","FE006",IF(C11="Propane","FE007",IF(C11="Bois bûches","FE008","")))))))))</f>
        <v/>
      </c>
      <c r="G11" s="1006">
        <f>IF(F11="","",VLOOKUP(F11,Facteurs_Emission!$A$4:$E$108,5,FALSE()))</f>
        <v/>
      </c>
      <c r="H11" s="28">
        <f>IF(OR(D11=0,G11=""),0,D11*G11)</f>
        <v/>
      </c>
      <c r="I11" s="28">
        <f>H11/1000</f>
        <v/>
      </c>
      <c r="J11" s="1006">
        <f>IF(F11="","",VLOOKUP(F11,Facteurs_Emission!$A$4:$F$108,6,FALSE()))</f>
        <v/>
      </c>
      <c r="K11" s="28">
        <f>IF(OR(D11=0,J11=""),0,D11*J11)</f>
        <v/>
      </c>
    </row>
    <row r="12">
      <c r="A12" t="n">
        <v>7</v>
      </c>
      <c r="B12" s="13" t="n"/>
      <c r="C12" s="13" t="n"/>
      <c r="D12" s="14" t="n">
        <v>0</v>
      </c>
      <c r="E12" s="26">
        <f>IF(C12="","",IF(OR(C12="Gaz naturel (PCI)",C12="Gaz naturel (PCS)"),"kWh",IF(OR(C12="Fioul domestique",C12="GPL"),"litre",IF(OR(C12="Fioul lourd",C12="Charbon (houille)"),"tonne",IF(C12="Propane","kg",IF(C12="Bois bûches","kWh",""))))))</f>
        <v/>
      </c>
      <c r="F12" s="26">
        <f>IF(C12="","",IF(C12="Gaz naturel (PCI)","FE001",IF(C12="Gaz naturel (PCS)","FE002",IF(C12="Fioul domestique","FE003",IF(C12="Fioul lourd","FE004",IF(C12="Charbon (houille)","FE005",IF(C12="GPL","FE006",IF(C12="Propane","FE007",IF(C12="Bois bûches","FE008","")))))))))</f>
        <v/>
      </c>
      <c r="G12" s="1006">
        <f>IF(F12="","",VLOOKUP(F12,Facteurs_Emission!$A$4:$E$108,5,FALSE()))</f>
        <v/>
      </c>
      <c r="H12" s="28">
        <f>IF(OR(D12=0,G12=""),0,D12*G12)</f>
        <v/>
      </c>
      <c r="I12" s="28">
        <f>H12/1000</f>
        <v/>
      </c>
      <c r="J12" s="1006">
        <f>IF(F12="","",VLOOKUP(F12,Facteurs_Emission!$A$4:$F$108,6,FALSE()))</f>
        <v/>
      </c>
      <c r="K12" s="28">
        <f>IF(OR(D12=0,J12=""),0,D12*J12)</f>
        <v/>
      </c>
    </row>
    <row r="13">
      <c r="A13" t="n">
        <v>8</v>
      </c>
      <c r="B13" s="13" t="n"/>
      <c r="C13" s="13" t="n"/>
      <c r="D13" s="14" t="n">
        <v>0</v>
      </c>
      <c r="E13" s="26">
        <f>IF(C13="","",IF(OR(C13="Gaz naturel (PCI)",C13="Gaz naturel (PCS)"),"kWh",IF(OR(C13="Fioul domestique",C13="GPL"),"litre",IF(OR(C13="Fioul lourd",C13="Charbon (houille)"),"tonne",IF(C13="Propane","kg",IF(C13="Bois bûches","kWh",""))))))</f>
        <v/>
      </c>
      <c r="F13" s="26">
        <f>IF(C13="","",IF(C13="Gaz naturel (PCI)","FE001",IF(C13="Gaz naturel (PCS)","FE002",IF(C13="Fioul domestique","FE003",IF(C13="Fioul lourd","FE004",IF(C13="Charbon (houille)","FE005",IF(C13="GPL","FE006",IF(C13="Propane","FE007",IF(C13="Bois bûches","FE008","")))))))))</f>
        <v/>
      </c>
      <c r="G13" s="1006">
        <f>IF(F13="","",VLOOKUP(F13,Facteurs_Emission!$A$4:$E$108,5,FALSE()))</f>
        <v/>
      </c>
      <c r="H13" s="28">
        <f>IF(OR(D13=0,G13=""),0,D13*G13)</f>
        <v/>
      </c>
      <c r="I13" s="28">
        <f>H13/1000</f>
        <v/>
      </c>
      <c r="J13" s="1006">
        <f>IF(F13="","",VLOOKUP(F13,Facteurs_Emission!$A$4:$F$108,6,FALSE()))</f>
        <v/>
      </c>
      <c r="K13" s="28">
        <f>IF(OR(D13=0,J13=""),0,D13*J13)</f>
        <v/>
      </c>
    </row>
    <row r="14">
      <c r="A14" t="n">
        <v>9</v>
      </c>
      <c r="B14" s="13" t="n"/>
      <c r="C14" s="13" t="n"/>
      <c r="D14" s="14" t="n">
        <v>0</v>
      </c>
      <c r="E14" s="26">
        <f>IF(C14="","",IF(OR(C14="Gaz naturel (PCI)",C14="Gaz naturel (PCS)"),"kWh",IF(OR(C14="Fioul domestique",C14="GPL"),"litre",IF(OR(C14="Fioul lourd",C14="Charbon (houille)"),"tonne",IF(C14="Propane","kg",IF(C14="Bois bûches","kWh",""))))))</f>
        <v/>
      </c>
      <c r="F14" s="26">
        <f>IF(C14="","",IF(C14="Gaz naturel (PCI)","FE001",IF(C14="Gaz naturel (PCS)","FE002",IF(C14="Fioul domestique","FE003",IF(C14="Fioul lourd","FE004",IF(C14="Charbon (houille)","FE005",IF(C14="GPL","FE006",IF(C14="Propane","FE007",IF(C14="Bois bûches","FE008","")))))))))</f>
        <v/>
      </c>
      <c r="G14" s="1006">
        <f>IF(F14="","",VLOOKUP(F14,Facteurs_Emission!$A$4:$E$108,5,FALSE()))</f>
        <v/>
      </c>
      <c r="H14" s="28">
        <f>IF(OR(D14=0,G14=""),0,D14*G14)</f>
        <v/>
      </c>
      <c r="I14" s="28">
        <f>H14/1000</f>
        <v/>
      </c>
      <c r="J14" s="1006">
        <f>IF(F14="","",VLOOKUP(F14,Facteurs_Emission!$A$4:$F$108,6,FALSE()))</f>
        <v/>
      </c>
      <c r="K14" s="28">
        <f>IF(OR(D14=0,J14=""),0,D14*J14)</f>
        <v/>
      </c>
    </row>
    <row r="15">
      <c r="A15" t="n">
        <v>10</v>
      </c>
      <c r="B15" s="13" t="n"/>
      <c r="C15" s="13" t="n"/>
      <c r="D15" s="14" t="n">
        <v>0</v>
      </c>
      <c r="E15" s="26">
        <f>IF(C15="","",IF(OR(C15="Gaz naturel (PCI)",C15="Gaz naturel (PCS)"),"kWh",IF(OR(C15="Fioul domestique",C15="GPL"),"litre",IF(OR(C15="Fioul lourd",C15="Charbon (houille)"),"tonne",IF(C15="Propane","kg",IF(C15="Bois bûches","kWh",""))))))</f>
        <v/>
      </c>
      <c r="F15" s="26">
        <f>IF(C15="","",IF(C15="Gaz naturel (PCI)","FE001",IF(C15="Gaz naturel (PCS)","FE002",IF(C15="Fioul domestique","FE003",IF(C15="Fioul lourd","FE004",IF(C15="Charbon (houille)","FE005",IF(C15="GPL","FE006",IF(C15="Propane","FE007",IF(C15="Bois bûches","FE008","")))))))))</f>
        <v/>
      </c>
      <c r="G15" s="1006">
        <f>IF(F15="","",VLOOKUP(F15,Facteurs_Emission!$A$4:$E$108,5,FALSE()))</f>
        <v/>
      </c>
      <c r="H15" s="28">
        <f>IF(OR(D15=0,G15=""),0,D15*G15)</f>
        <v/>
      </c>
      <c r="I15" s="28">
        <f>H15/1000</f>
        <v/>
      </c>
      <c r="J15" s="1006">
        <f>IF(F15="","",VLOOKUP(F15,Facteurs_Emission!$A$4:$F$108,6,FALSE()))</f>
        <v/>
      </c>
      <c r="K15" s="28">
        <f>IF(OR(D15=0,J15=""),0,D15*J15)</f>
        <v/>
      </c>
    </row>
    <row r="16">
      <c r="A16" s="18" t="n"/>
      <c r="B16" s="18" t="inlineStr">
        <is>
          <t>SOUS-TOTAL COMBUSTION FIXE</t>
        </is>
      </c>
      <c r="C16" s="18" t="n"/>
      <c r="D16" s="18" t="n"/>
      <c r="E16" s="18" t="n"/>
      <c r="F16" s="18" t="n"/>
      <c r="G16" s="18" t="n"/>
      <c r="H16" s="29">
        <f>SUM(H6:H15)</f>
        <v/>
      </c>
      <c r="I16" s="29">
        <f>SUM(I6:I15)</f>
        <v/>
      </c>
      <c r="J16" s="18" t="n"/>
      <c r="K16" s="29">
        <f>SUM(K6:K15)</f>
        <v/>
      </c>
    </row>
    <row r="18" ht="21.75" customHeight="1" s="847">
      <c r="A18" s="893" t="inlineStr">
        <is>
          <t>1B — COMBUSTION MOBILE (véhicules détenus ou contrôlés par l'entreprise)</t>
        </is>
      </c>
      <c r="B18" s="994" t="n"/>
      <c r="C18" s="994" t="n"/>
      <c r="D18" s="994" t="n"/>
      <c r="E18" s="994" t="n"/>
      <c r="F18" s="994" t="n"/>
      <c r="G18" s="994" t="n"/>
      <c r="H18" s="994" t="n"/>
      <c r="I18" s="994" t="n"/>
      <c r="J18" s="994" t="n"/>
      <c r="K18" s="994" t="n"/>
    </row>
    <row r="19" ht="45" customHeight="1" s="847">
      <c r="A19" s="2" t="inlineStr">
        <is>
          <t>Ligne</t>
        </is>
      </c>
      <c r="B19" s="2" t="inlineStr">
        <is>
          <t>Source / Équipement / Site</t>
        </is>
      </c>
      <c r="C19" s="2" t="inlineStr">
        <is>
          <t>Combustible</t>
        </is>
      </c>
      <c r="D19" s="2" t="inlineStr">
        <is>
          <t>Quantité consommée</t>
        </is>
      </c>
      <c r="E19" s="2" t="inlineStr">
        <is>
          <t>Unité</t>
        </is>
      </c>
      <c r="F19" s="2" t="inlineStr">
        <is>
          <t>ID FE</t>
        </is>
      </c>
      <c r="G19" s="2" t="inlineStr">
        <is>
          <t>FE Combustion (kgCO2e/u)</t>
        </is>
      </c>
      <c r="H19" s="2" t="inlineStr">
        <is>
          <t>Émissions Scope 1 (kgCO2e)</t>
        </is>
      </c>
      <c r="I19" s="2" t="inlineStr">
        <is>
          <t>Émissions Scope 1 (tCO2e)</t>
        </is>
      </c>
      <c r="J19" s="2" t="inlineStr">
        <is>
          <t>FE Amont (kgCO2e/u)</t>
        </is>
      </c>
      <c r="K19" s="2" t="inlineStr">
        <is>
          <t>Émissions amont → Scope 3 Cat.3 (kgCO2e)</t>
        </is>
      </c>
    </row>
    <row r="20">
      <c r="A20" t="n">
        <v>1</v>
      </c>
      <c r="B20" s="13" t="n"/>
      <c r="C20" s="13" t="n"/>
      <c r="D20" s="14" t="n">
        <v>0</v>
      </c>
      <c r="E20" s="26">
        <f>IF(C20="","",IF(C20="GNV","kg","litre"))</f>
        <v/>
      </c>
      <c r="F20" s="26">
        <f>IF(C20="","",IF(C20="Essence SP95/SP98","FE010",IF(C20="Diesel / Gazole","FE011",IF(C20="E85 (Superéthanol)","FE012",IF(C20="B100 (Biodiesel pur)","FE013",IF(C20="GNV","FE014",""))))))</f>
        <v/>
      </c>
      <c r="G20" s="1006">
        <f>IF(F20="","",VLOOKUP(F20,Facteurs_Emission!$A$4:$E$108,5,FALSE()))</f>
        <v/>
      </c>
      <c r="H20" s="28">
        <f>IF(OR(D20=0,G20=""),0,D20*G20)</f>
        <v/>
      </c>
      <c r="I20" s="28">
        <f>H20/1000</f>
        <v/>
      </c>
      <c r="J20" s="1006">
        <f>IF(F20="","",VLOOKUP(F20,Facteurs_Emission!$A$4:$F$108,6,FALSE()))</f>
        <v/>
      </c>
      <c r="K20" s="28">
        <f>IF(OR(D20=0,J20=""),0,D20*J20)</f>
        <v/>
      </c>
    </row>
    <row r="21">
      <c r="A21" t="n">
        <v>2</v>
      </c>
      <c r="B21" s="13" t="n"/>
      <c r="C21" s="13" t="n"/>
      <c r="D21" s="14" t="n">
        <v>0</v>
      </c>
      <c r="E21" s="26">
        <f>IF(C21="","",IF(C21="GNV","kg","litre"))</f>
        <v/>
      </c>
      <c r="F21" s="26">
        <f>IF(C21="","",IF(C21="Essence SP95/SP98","FE010",IF(C21="Diesel / Gazole","FE011",IF(C21="E85 (Superéthanol)","FE012",IF(C21="B100 (Biodiesel pur)","FE013",IF(C21="GNV","FE014",""))))))</f>
        <v/>
      </c>
      <c r="G21" s="1006">
        <f>IF(F21="","",VLOOKUP(F21,Facteurs_Emission!$A$4:$E$108,5,FALSE()))</f>
        <v/>
      </c>
      <c r="H21" s="28">
        <f>IF(OR(D21=0,G21=""),0,D21*G21)</f>
        <v/>
      </c>
      <c r="I21" s="28">
        <f>H21/1000</f>
        <v/>
      </c>
      <c r="J21" s="1006">
        <f>IF(F21="","",VLOOKUP(F21,Facteurs_Emission!$A$4:$F$108,6,FALSE()))</f>
        <v/>
      </c>
      <c r="K21" s="28">
        <f>IF(OR(D21=0,J21=""),0,D21*J21)</f>
        <v/>
      </c>
    </row>
    <row r="22">
      <c r="A22" t="n">
        <v>3</v>
      </c>
      <c r="B22" s="13" t="n"/>
      <c r="C22" s="13" t="n"/>
      <c r="D22" s="14" t="n">
        <v>0</v>
      </c>
      <c r="E22" s="26">
        <f>IF(C22="","",IF(C22="GNV","kg","litre"))</f>
        <v/>
      </c>
      <c r="F22" s="26">
        <f>IF(C22="","",IF(C22="Essence SP95/SP98","FE010",IF(C22="Diesel / Gazole","FE011",IF(C22="E85 (Superéthanol)","FE012",IF(C22="B100 (Biodiesel pur)","FE013",IF(C22="GNV","FE014",""))))))</f>
        <v/>
      </c>
      <c r="G22" s="1006">
        <f>IF(F22="","",VLOOKUP(F22,Facteurs_Emission!$A$4:$E$108,5,FALSE()))</f>
        <v/>
      </c>
      <c r="H22" s="28">
        <f>IF(OR(D22=0,G22=""),0,D22*G22)</f>
        <v/>
      </c>
      <c r="I22" s="28">
        <f>H22/1000</f>
        <v/>
      </c>
      <c r="J22" s="1006">
        <f>IF(F22="","",VLOOKUP(F22,Facteurs_Emission!$A$4:$F$108,6,FALSE()))</f>
        <v/>
      </c>
      <c r="K22" s="28">
        <f>IF(OR(D22=0,J22=""),0,D22*J22)</f>
        <v/>
      </c>
    </row>
    <row r="23">
      <c r="A23" t="n">
        <v>4</v>
      </c>
      <c r="B23" s="13" t="n"/>
      <c r="C23" s="13" t="n"/>
      <c r="D23" s="14" t="n">
        <v>0</v>
      </c>
      <c r="E23" s="26">
        <f>IF(C23="","",IF(C23="GNV","kg","litre"))</f>
        <v/>
      </c>
      <c r="F23" s="26">
        <f>IF(C23="","",IF(C23="Essence SP95/SP98","FE010",IF(C23="Diesel / Gazole","FE011",IF(C23="E85 (Superéthanol)","FE012",IF(C23="B100 (Biodiesel pur)","FE013",IF(C23="GNV","FE014",""))))))</f>
        <v/>
      </c>
      <c r="G23" s="1006">
        <f>IF(F23="","",VLOOKUP(F23,Facteurs_Emission!$A$4:$E$108,5,FALSE()))</f>
        <v/>
      </c>
      <c r="H23" s="28">
        <f>IF(OR(D23=0,G23=""),0,D23*G23)</f>
        <v/>
      </c>
      <c r="I23" s="28">
        <f>H23/1000</f>
        <v/>
      </c>
      <c r="J23" s="1006">
        <f>IF(F23="","",VLOOKUP(F23,Facteurs_Emission!$A$4:$F$108,6,FALSE()))</f>
        <v/>
      </c>
      <c r="K23" s="28">
        <f>IF(OR(D23=0,J23=""),0,D23*J23)</f>
        <v/>
      </c>
    </row>
    <row r="24">
      <c r="A24" t="n">
        <v>5</v>
      </c>
      <c r="B24" s="13" t="n"/>
      <c r="C24" s="13" t="n"/>
      <c r="D24" s="14" t="n">
        <v>0</v>
      </c>
      <c r="E24" s="26">
        <f>IF(C24="","",IF(C24="GNV","kg","litre"))</f>
        <v/>
      </c>
      <c r="F24" s="26">
        <f>IF(C24="","",IF(C24="Essence SP95/SP98","FE010",IF(C24="Diesel / Gazole","FE011",IF(C24="E85 (Superéthanol)","FE012",IF(C24="B100 (Biodiesel pur)","FE013",IF(C24="GNV","FE014",""))))))</f>
        <v/>
      </c>
      <c r="G24" s="1006">
        <f>IF(F24="","",VLOOKUP(F24,Facteurs_Emission!$A$4:$E$108,5,FALSE()))</f>
        <v/>
      </c>
      <c r="H24" s="28">
        <f>IF(OR(D24=0,G24=""),0,D24*G24)</f>
        <v/>
      </c>
      <c r="I24" s="28">
        <f>H24/1000</f>
        <v/>
      </c>
      <c r="J24" s="1006">
        <f>IF(F24="","",VLOOKUP(F24,Facteurs_Emission!$A$4:$F$108,6,FALSE()))</f>
        <v/>
      </c>
      <c r="K24" s="28">
        <f>IF(OR(D24=0,J24=""),0,D24*J24)</f>
        <v/>
      </c>
    </row>
    <row r="25">
      <c r="A25" t="n">
        <v>6</v>
      </c>
      <c r="B25" s="13" t="n"/>
      <c r="C25" s="13" t="n"/>
      <c r="D25" s="14" t="n">
        <v>0</v>
      </c>
      <c r="E25" s="26">
        <f>IF(C25="","",IF(C25="GNV","kg","litre"))</f>
        <v/>
      </c>
      <c r="F25" s="26">
        <f>IF(C25="","",IF(C25="Essence SP95/SP98","FE010",IF(C25="Diesel / Gazole","FE011",IF(C25="E85 (Superéthanol)","FE012",IF(C25="B100 (Biodiesel pur)","FE013",IF(C25="GNV","FE014",""))))))</f>
        <v/>
      </c>
      <c r="G25" s="1006">
        <f>IF(F25="","",VLOOKUP(F25,Facteurs_Emission!$A$4:$E$108,5,FALSE()))</f>
        <v/>
      </c>
      <c r="H25" s="28">
        <f>IF(OR(D25=0,G25=""),0,D25*G25)</f>
        <v/>
      </c>
      <c r="I25" s="28">
        <f>H25/1000</f>
        <v/>
      </c>
      <c r="J25" s="1006">
        <f>IF(F25="","",VLOOKUP(F25,Facteurs_Emission!$A$4:$F$108,6,FALSE()))</f>
        <v/>
      </c>
      <c r="K25" s="28">
        <f>IF(OR(D25=0,J25=""),0,D25*J25)</f>
        <v/>
      </c>
    </row>
    <row r="26">
      <c r="A26" t="n">
        <v>7</v>
      </c>
      <c r="B26" s="13" t="n"/>
      <c r="C26" s="13" t="n"/>
      <c r="D26" s="14" t="n">
        <v>0</v>
      </c>
      <c r="E26" s="26">
        <f>IF(C26="","",IF(C26="GNV","kg","litre"))</f>
        <v/>
      </c>
      <c r="F26" s="26">
        <f>IF(C26="","",IF(C26="Essence SP95/SP98","FE010",IF(C26="Diesel / Gazole","FE011",IF(C26="E85 (Superéthanol)","FE012",IF(C26="B100 (Biodiesel pur)","FE013",IF(C26="GNV","FE014",""))))))</f>
        <v/>
      </c>
      <c r="G26" s="1006">
        <f>IF(F26="","",VLOOKUP(F26,Facteurs_Emission!$A$4:$E$108,5,FALSE()))</f>
        <v/>
      </c>
      <c r="H26" s="28">
        <f>IF(OR(D26=0,G26=""),0,D26*G26)</f>
        <v/>
      </c>
      <c r="I26" s="28">
        <f>H26/1000</f>
        <v/>
      </c>
      <c r="J26" s="1006">
        <f>IF(F26="","",VLOOKUP(F26,Facteurs_Emission!$A$4:$F$108,6,FALSE()))</f>
        <v/>
      </c>
      <c r="K26" s="28">
        <f>IF(OR(D26=0,J26=""),0,D26*J26)</f>
        <v/>
      </c>
    </row>
    <row r="27">
      <c r="A27" t="n">
        <v>8</v>
      </c>
      <c r="B27" s="13" t="n"/>
      <c r="C27" s="13" t="n"/>
      <c r="D27" s="14" t="n">
        <v>0</v>
      </c>
      <c r="E27" s="26">
        <f>IF(C27="","",IF(C27="GNV","kg","litre"))</f>
        <v/>
      </c>
      <c r="F27" s="26">
        <f>IF(C27="","",IF(C27="Essence SP95/SP98","FE010",IF(C27="Diesel / Gazole","FE011",IF(C27="E85 (Superéthanol)","FE012",IF(C27="B100 (Biodiesel pur)","FE013",IF(C27="GNV","FE014",""))))))</f>
        <v/>
      </c>
      <c r="G27" s="1006">
        <f>IF(F27="","",VLOOKUP(F27,Facteurs_Emission!$A$4:$E$108,5,FALSE()))</f>
        <v/>
      </c>
      <c r="H27" s="28">
        <f>IF(OR(D27=0,G27=""),0,D27*G27)</f>
        <v/>
      </c>
      <c r="I27" s="28">
        <f>H27/1000</f>
        <v/>
      </c>
      <c r="J27" s="1006">
        <f>IF(F27="","",VLOOKUP(F27,Facteurs_Emission!$A$4:$F$108,6,FALSE()))</f>
        <v/>
      </c>
      <c r="K27" s="28">
        <f>IF(OR(D27=0,J27=""),0,D27*J27)</f>
        <v/>
      </c>
    </row>
    <row r="28">
      <c r="A28" t="n">
        <v>9</v>
      </c>
      <c r="B28" s="13" t="n"/>
      <c r="C28" s="13" t="n"/>
      <c r="D28" s="14" t="n">
        <v>0</v>
      </c>
      <c r="E28" s="26">
        <f>IF(C28="","",IF(C28="GNV","kg","litre"))</f>
        <v/>
      </c>
      <c r="F28" s="26">
        <f>IF(C28="","",IF(C28="Essence SP95/SP98","FE010",IF(C28="Diesel / Gazole","FE011",IF(C28="E85 (Superéthanol)","FE012",IF(C28="B100 (Biodiesel pur)","FE013",IF(C28="GNV","FE014",""))))))</f>
        <v/>
      </c>
      <c r="G28" s="1006">
        <f>IF(F28="","",VLOOKUP(F28,Facteurs_Emission!$A$4:$E$108,5,FALSE()))</f>
        <v/>
      </c>
      <c r="H28" s="28">
        <f>IF(OR(D28=0,G28=""),0,D28*G28)</f>
        <v/>
      </c>
      <c r="I28" s="28">
        <f>H28/1000</f>
        <v/>
      </c>
      <c r="J28" s="1006">
        <f>IF(F28="","",VLOOKUP(F28,Facteurs_Emission!$A$4:$F$108,6,FALSE()))</f>
        <v/>
      </c>
      <c r="K28" s="28">
        <f>IF(OR(D28=0,J28=""),0,D28*J28)</f>
        <v/>
      </c>
    </row>
    <row r="29">
      <c r="A29" t="n">
        <v>10</v>
      </c>
      <c r="B29" s="13" t="n"/>
      <c r="C29" s="13" t="n"/>
      <c r="D29" s="14" t="n">
        <v>0</v>
      </c>
      <c r="E29" s="26">
        <f>IF(C29="","",IF(C29="GNV","kg","litre"))</f>
        <v/>
      </c>
      <c r="F29" s="26">
        <f>IF(C29="","",IF(C29="Essence SP95/SP98","FE010",IF(C29="Diesel / Gazole","FE011",IF(C29="E85 (Superéthanol)","FE012",IF(C29="B100 (Biodiesel pur)","FE013",IF(C29="GNV","FE014",""))))))</f>
        <v/>
      </c>
      <c r="G29" s="1006">
        <f>IF(F29="","",VLOOKUP(F29,Facteurs_Emission!$A$4:$E$108,5,FALSE()))</f>
        <v/>
      </c>
      <c r="H29" s="28">
        <f>IF(OR(D29=0,G29=""),0,D29*G29)</f>
        <v/>
      </c>
      <c r="I29" s="28">
        <f>H29/1000</f>
        <v/>
      </c>
      <c r="J29" s="1006">
        <f>IF(F29="","",VLOOKUP(F29,Facteurs_Emission!$A$4:$F$108,6,FALSE()))</f>
        <v/>
      </c>
      <c r="K29" s="28">
        <f>IF(OR(D29=0,J29=""),0,D29*J29)</f>
        <v/>
      </c>
    </row>
    <row r="30">
      <c r="A30" s="18" t="n"/>
      <c r="B30" s="18" t="inlineStr">
        <is>
          <t>SOUS-TOTAL COMBUSTION MOBILE</t>
        </is>
      </c>
      <c r="C30" s="18" t="n"/>
      <c r="D30" s="18" t="n"/>
      <c r="E30" s="18" t="n"/>
      <c r="F30" s="18" t="n"/>
      <c r="G30" s="18" t="n"/>
      <c r="H30" s="29">
        <f>SUM(H20:H29)</f>
        <v/>
      </c>
      <c r="I30" s="29">
        <f>SUM(I20:I29)</f>
        <v/>
      </c>
      <c r="J30" s="18" t="n"/>
      <c r="K30" s="29">
        <f>SUM(K20:K29)</f>
        <v/>
      </c>
    </row>
    <row r="32" ht="21.75" customHeight="1" s="847">
      <c r="A32" s="893" t="inlineStr">
        <is>
          <t>1C — ÉMISSIONS DE PROCESS (réactions chimiques, procédés industriels)</t>
        </is>
      </c>
      <c r="B32" s="994" t="n"/>
      <c r="C32" s="994" t="n"/>
      <c r="D32" s="994" t="n"/>
      <c r="E32" s="994" t="n"/>
      <c r="F32" s="994" t="n"/>
      <c r="G32" s="994" t="n"/>
      <c r="H32" s="994" t="n"/>
      <c r="I32" s="994" t="n"/>
      <c r="J32" s="994" t="n"/>
      <c r="K32" s="994" t="n"/>
    </row>
    <row r="33" ht="30" customHeight="1" s="847">
      <c r="A33" s="2" t="inlineStr">
        <is>
          <t>Ligne</t>
        </is>
      </c>
      <c r="B33" s="2" t="inlineStr">
        <is>
          <t>Process / Source</t>
        </is>
      </c>
      <c r="C33" s="2" t="inlineStr">
        <is>
          <t>Gaz émis</t>
        </is>
      </c>
      <c r="D33" s="2" t="inlineStr">
        <is>
          <t>Quantité émise (kg)</t>
        </is>
      </c>
      <c r="E33" s="2" t="inlineStr">
        <is>
          <t>Unité</t>
        </is>
      </c>
      <c r="F33" s="2" t="inlineStr">
        <is>
          <t>PRG</t>
        </is>
      </c>
      <c r="G33" s="2" t="n"/>
      <c r="H33" s="2" t="inlineStr">
        <is>
          <t>Émissions (kgCO2e)</t>
        </is>
      </c>
      <c r="I33" s="2" t="inlineStr">
        <is>
          <t>Émissions (tCO2e)</t>
        </is>
      </c>
    </row>
    <row r="34">
      <c r="A34" t="n">
        <v>1</v>
      </c>
      <c r="B34" s="13" t="n"/>
      <c r="C34" s="13" t="n"/>
      <c r="D34" s="14" t="n">
        <v>0</v>
      </c>
      <c r="E34" t="inlineStr">
        <is>
          <t>kg</t>
        </is>
      </c>
      <c r="F34" s="26">
        <f>IF(C34="","",IF(C34="CO2",1,IF(C34="CH4 (fossile)",29.8,IF(C34="N2O",273,IF(C34="HFC (R-410A)",2088,IF(C34="SF6",25200,0))))))</f>
        <v/>
      </c>
      <c r="H34" s="28">
        <f>IF(OR(D34=0,F34=""),0,D34*F34)</f>
        <v/>
      </c>
      <c r="I34" s="28">
        <f>IF(H34=0,0,H34/1000)</f>
        <v/>
      </c>
    </row>
    <row r="35">
      <c r="A35" t="n">
        <v>2</v>
      </c>
      <c r="B35" s="13" t="n"/>
      <c r="C35" s="13" t="n"/>
      <c r="D35" s="14" t="n">
        <v>0</v>
      </c>
      <c r="E35" t="inlineStr">
        <is>
          <t>kg</t>
        </is>
      </c>
      <c r="F35" s="26">
        <f>IF(C35="","",IF(C35="CO2",1,IF(C35="CH4 (fossile)",29.8,IF(C35="N2O",273,IF(C35="HFC (R-410A)",2088,IF(C35="SF6",25200,0))))))</f>
        <v/>
      </c>
      <c r="H35" s="28">
        <f>IF(OR(D35=0,F35=""),0,D35*F35)</f>
        <v/>
      </c>
      <c r="I35" s="28">
        <f>IF(H35=0,0,H35/1000)</f>
        <v/>
      </c>
    </row>
    <row r="36">
      <c r="A36" t="n">
        <v>3</v>
      </c>
      <c r="B36" s="13" t="n"/>
      <c r="C36" s="13" t="n"/>
      <c r="D36" s="14" t="n">
        <v>0</v>
      </c>
      <c r="E36" t="inlineStr">
        <is>
          <t>kg</t>
        </is>
      </c>
      <c r="F36" s="26">
        <f>IF(C36="","",IF(C36="CO2",1,IF(C36="CH4 (fossile)",29.8,IF(C36="N2O",273,IF(C36="HFC (R-410A)",2088,IF(C36="SF6",25200,0))))))</f>
        <v/>
      </c>
      <c r="H36" s="28">
        <f>IF(OR(D36=0,F36=""),0,D36*F36)</f>
        <v/>
      </c>
      <c r="I36" s="28">
        <f>IF(H36=0,0,H36/1000)</f>
        <v/>
      </c>
    </row>
    <row r="37">
      <c r="A37" t="n">
        <v>4</v>
      </c>
      <c r="B37" s="13" t="n"/>
      <c r="C37" s="13" t="n"/>
      <c r="D37" s="14" t="n">
        <v>0</v>
      </c>
      <c r="E37" t="inlineStr">
        <is>
          <t>kg</t>
        </is>
      </c>
      <c r="F37" s="26">
        <f>IF(C37="","",IF(C37="CO2",1,IF(C37="CH4 (fossile)",29.8,IF(C37="N2O",273,IF(C37="HFC (R-410A)",2088,IF(C37="SF6",25200,0))))))</f>
        <v/>
      </c>
      <c r="H37" s="28">
        <f>IF(OR(D37=0,F37=""),0,D37*F37)</f>
        <v/>
      </c>
      <c r="I37" s="28">
        <f>IF(H37=0,0,H37/1000)</f>
        <v/>
      </c>
    </row>
    <row r="38">
      <c r="A38" t="n">
        <v>5</v>
      </c>
      <c r="B38" s="13" t="n"/>
      <c r="C38" s="13" t="n"/>
      <c r="D38" s="14" t="n">
        <v>0</v>
      </c>
      <c r="E38" t="inlineStr">
        <is>
          <t>kg</t>
        </is>
      </c>
      <c r="F38" s="26">
        <f>IF(C38="","",IF(C38="CO2",1,IF(C38="CH4 (fossile)",29.8,IF(C38="N2O",273,IF(C38="HFC (R-410A)",2088,IF(C38="SF6",25200,0))))))</f>
        <v/>
      </c>
      <c r="H38" s="28">
        <f>IF(OR(D38=0,F38=""),0,D38*F38)</f>
        <v/>
      </c>
      <c r="I38" s="28">
        <f>IF(H38=0,0,H38/1000)</f>
        <v/>
      </c>
    </row>
    <row r="39">
      <c r="A39" t="n">
        <v>6</v>
      </c>
      <c r="B39" s="13" t="n"/>
      <c r="C39" s="13" t="n"/>
      <c r="D39" s="14" t="n">
        <v>0</v>
      </c>
      <c r="E39" t="inlineStr">
        <is>
          <t>kg</t>
        </is>
      </c>
      <c r="F39" s="26">
        <f>IF(C39="","",IF(C39="CO2",1,IF(C39="CH4 (fossile)",29.8,IF(C39="N2O",273,IF(C39="HFC (R-410A)",2088,IF(C39="SF6",25200,0))))))</f>
        <v/>
      </c>
      <c r="H39" s="28">
        <f>IF(OR(D39=0,F39=""),0,D39*F39)</f>
        <v/>
      </c>
      <c r="I39" s="28">
        <f>IF(H39=0,0,H39/1000)</f>
        <v/>
      </c>
    </row>
    <row r="40">
      <c r="A40" t="n">
        <v>7</v>
      </c>
      <c r="B40" s="13" t="n"/>
      <c r="C40" s="13" t="n"/>
      <c r="D40" s="14" t="n">
        <v>0</v>
      </c>
      <c r="E40" t="inlineStr">
        <is>
          <t>kg</t>
        </is>
      </c>
      <c r="F40" s="26">
        <f>IF(C40="","",IF(C40="CO2",1,IF(C40="CH4 (fossile)",29.8,IF(C40="N2O",273,IF(C40="HFC (R-410A)",2088,IF(C40="SF6",25200,0))))))</f>
        <v/>
      </c>
      <c r="H40" s="28">
        <f>IF(OR(D40=0,F40=""),0,D40*F40)</f>
        <v/>
      </c>
      <c r="I40" s="28">
        <f>IF(H40=0,0,H40/1000)</f>
        <v/>
      </c>
    </row>
    <row r="41">
      <c r="A41" t="n">
        <v>8</v>
      </c>
      <c r="B41" s="13" t="n"/>
      <c r="C41" s="13" t="n"/>
      <c r="D41" s="14" t="n">
        <v>0</v>
      </c>
      <c r="E41" t="inlineStr">
        <is>
          <t>kg</t>
        </is>
      </c>
      <c r="F41" s="26">
        <f>IF(C41="","",IF(C41="CO2",1,IF(C41="CH4 (fossile)",29.8,IF(C41="N2O",273,IF(C41="HFC (R-410A)",2088,IF(C41="SF6",25200,0))))))</f>
        <v/>
      </c>
      <c r="H41" s="28">
        <f>IF(OR(D41=0,F41=""),0,D41*F41)</f>
        <v/>
      </c>
      <c r="I41" s="28">
        <f>IF(H41=0,0,H41/1000)</f>
        <v/>
      </c>
    </row>
    <row r="42">
      <c r="A42" s="18" t="n"/>
      <c r="B42" s="18" t="inlineStr">
        <is>
          <t>SOUS-TOTAL PROCESS</t>
        </is>
      </c>
      <c r="C42" s="18" t="n"/>
      <c r="D42" s="18" t="n"/>
      <c r="E42" s="18" t="n"/>
      <c r="F42" s="18" t="n"/>
      <c r="G42" s="18" t="n"/>
      <c r="H42" s="29">
        <f>SUM(H34:H41)</f>
        <v/>
      </c>
      <c r="I42" s="29">
        <f>SUM(I34:I41)</f>
        <v/>
      </c>
      <c r="J42" s="18" t="n"/>
      <c r="K42" s="18" t="n"/>
    </row>
    <row r="44" ht="21.75" customHeight="1" s="847">
      <c r="A44" s="893" t="inlineStr">
        <is>
          <t>1D — ÉMISSIONS FUGITIVES (fuites de fluides frigorigènes, fuites de gaz)</t>
        </is>
      </c>
      <c r="B44" s="994" t="n"/>
      <c r="C44" s="994" t="n"/>
      <c r="D44" s="994" t="n"/>
      <c r="E44" s="994" t="n"/>
      <c r="F44" s="994" t="n"/>
      <c r="G44" s="994" t="n"/>
      <c r="H44" s="994" t="n"/>
      <c r="I44" s="994" t="n"/>
      <c r="J44" s="994" t="n"/>
      <c r="K44" s="994" t="n"/>
    </row>
    <row r="45" ht="30" customHeight="1" s="847">
      <c r="A45" s="2" t="inlineStr">
        <is>
          <t>Ligne</t>
        </is>
      </c>
      <c r="B45" s="2" t="inlineStr">
        <is>
          <t>Source / Équipement</t>
        </is>
      </c>
      <c r="C45" s="2" t="inlineStr">
        <is>
          <t>Fluide</t>
        </is>
      </c>
      <c r="D45" s="2" t="inlineStr">
        <is>
          <t>Quantité fuitée (kg)</t>
        </is>
      </c>
      <c r="E45" s="2" t="inlineStr">
        <is>
          <t>Unité</t>
        </is>
      </c>
      <c r="F45" s="2" t="inlineStr">
        <is>
          <t>ID FE</t>
        </is>
      </c>
      <c r="G45" s="2" t="inlineStr">
        <is>
          <t>FE (kgCO2e/kg)</t>
        </is>
      </c>
      <c r="H45" s="2" t="inlineStr">
        <is>
          <t>Émissions (kgCO2e)</t>
        </is>
      </c>
      <c r="I45" s="2" t="inlineStr">
        <is>
          <t>Émissions (tCO2e)</t>
        </is>
      </c>
    </row>
    <row r="46">
      <c r="A46" t="n">
        <v>1</v>
      </c>
      <c r="B46" s="13" t="n"/>
      <c r="C46" s="13" t="n"/>
      <c r="D46" s="14" t="n">
        <v>0</v>
      </c>
      <c r="E46" t="inlineStr">
        <is>
          <t>kg</t>
        </is>
      </c>
      <c r="F46" s="26">
        <f>IF(C46="","",IF(C46="R-410A (fuite)","FE130",IF(C46="R-134a (fuite)","FE131",IF(C46="R-32 (fuite)","FE132",IF(C46="R-290 Propane (fuite)","FE133",IF(C46="CO2 / R-744 (fuite)","FE134",""))))))</f>
        <v/>
      </c>
      <c r="G46" s="1007">
        <f>IF(F46="","",VLOOKUP(F46,Facteurs_Emission!$A$4:$E$108,5,FALSE()))</f>
        <v/>
      </c>
      <c r="H46" s="28">
        <f>IF(OR(D46=0,G46=""),0,D46*G46)</f>
        <v/>
      </c>
      <c r="I46" s="28">
        <f>H46/1000</f>
        <v/>
      </c>
    </row>
    <row r="47">
      <c r="A47" t="n">
        <v>2</v>
      </c>
      <c r="B47" s="13" t="n"/>
      <c r="C47" s="13" t="n"/>
      <c r="D47" s="14" t="n">
        <v>0</v>
      </c>
      <c r="E47" t="inlineStr">
        <is>
          <t>kg</t>
        </is>
      </c>
      <c r="F47" s="26">
        <f>IF(C47="","",IF(C47="R-410A (fuite)","FE130",IF(C47="R-134a (fuite)","FE131",IF(C47="R-32 (fuite)","FE132",IF(C47="R-290 Propane (fuite)","FE133",IF(C47="CO2 / R-744 (fuite)","FE134",""))))))</f>
        <v/>
      </c>
      <c r="G47" s="1007">
        <f>IF(F47="","",VLOOKUP(F47,Facteurs_Emission!$A$4:$E$108,5,FALSE()))</f>
        <v/>
      </c>
      <c r="H47" s="28">
        <f>IF(OR(D47=0,G47=""),0,D47*G47)</f>
        <v/>
      </c>
      <c r="I47" s="28">
        <f>H47/1000</f>
        <v/>
      </c>
    </row>
    <row r="48">
      <c r="A48" t="n">
        <v>3</v>
      </c>
      <c r="B48" s="13" t="n"/>
      <c r="C48" s="13" t="n"/>
      <c r="D48" s="14" t="n">
        <v>0</v>
      </c>
      <c r="E48" t="inlineStr">
        <is>
          <t>kg</t>
        </is>
      </c>
      <c r="F48" s="26">
        <f>IF(C48="","",IF(C48="R-410A (fuite)","FE130",IF(C48="R-134a (fuite)","FE131",IF(C48="R-32 (fuite)","FE132",IF(C48="R-290 Propane (fuite)","FE133",IF(C48="CO2 / R-744 (fuite)","FE134",""))))))</f>
        <v/>
      </c>
      <c r="G48" s="1007">
        <f>IF(F48="","",VLOOKUP(F48,Facteurs_Emission!$A$4:$E$108,5,FALSE()))</f>
        <v/>
      </c>
      <c r="H48" s="28">
        <f>IF(OR(D48=0,G48=""),0,D48*G48)</f>
        <v/>
      </c>
      <c r="I48" s="28">
        <f>H48/1000</f>
        <v/>
      </c>
    </row>
    <row r="49">
      <c r="A49" t="n">
        <v>4</v>
      </c>
      <c r="B49" s="13" t="n"/>
      <c r="C49" s="13" t="n"/>
      <c r="D49" s="14" t="n">
        <v>0</v>
      </c>
      <c r="E49" t="inlineStr">
        <is>
          <t>kg</t>
        </is>
      </c>
      <c r="F49" s="26">
        <f>IF(C49="","",IF(C49="R-410A (fuite)","FE130",IF(C49="R-134a (fuite)","FE131",IF(C49="R-32 (fuite)","FE132",IF(C49="R-290 Propane (fuite)","FE133",IF(C49="CO2 / R-744 (fuite)","FE134",""))))))</f>
        <v/>
      </c>
      <c r="G49" s="1007">
        <f>IF(F49="","",VLOOKUP(F49,Facteurs_Emission!$A$4:$E$108,5,FALSE()))</f>
        <v/>
      </c>
      <c r="H49" s="28">
        <f>IF(OR(D49=0,G49=""),0,D49*G49)</f>
        <v/>
      </c>
      <c r="I49" s="28">
        <f>H49/1000</f>
        <v/>
      </c>
    </row>
    <row r="50">
      <c r="A50" t="n">
        <v>5</v>
      </c>
      <c r="B50" s="13" t="n"/>
      <c r="C50" s="13" t="n"/>
      <c r="D50" s="14" t="n">
        <v>0</v>
      </c>
      <c r="E50" t="inlineStr">
        <is>
          <t>kg</t>
        </is>
      </c>
      <c r="F50" s="26">
        <f>IF(C50="","",IF(C50="R-410A (fuite)","FE130",IF(C50="R-134a (fuite)","FE131",IF(C50="R-32 (fuite)","FE132",IF(C50="R-290 Propane (fuite)","FE133",IF(C50="CO2 / R-744 (fuite)","FE134",""))))))</f>
        <v/>
      </c>
      <c r="G50" s="1007">
        <f>IF(F50="","",VLOOKUP(F50,Facteurs_Emission!$A$4:$E$108,5,FALSE()))</f>
        <v/>
      </c>
      <c r="H50" s="28">
        <f>IF(OR(D50=0,G50=""),0,D50*G50)</f>
        <v/>
      </c>
      <c r="I50" s="28">
        <f>H50/1000</f>
        <v/>
      </c>
    </row>
    <row r="51">
      <c r="A51" t="n">
        <v>6</v>
      </c>
      <c r="B51" s="13" t="n"/>
      <c r="C51" s="13" t="n"/>
      <c r="D51" s="14" t="n">
        <v>0</v>
      </c>
      <c r="E51" t="inlineStr">
        <is>
          <t>kg</t>
        </is>
      </c>
      <c r="F51" s="26">
        <f>IF(C51="","",IF(C51="R-410A (fuite)","FE130",IF(C51="R-134a (fuite)","FE131",IF(C51="R-32 (fuite)","FE132",IF(C51="R-290 Propane (fuite)","FE133",IF(C51="CO2 / R-744 (fuite)","FE134",""))))))</f>
        <v/>
      </c>
      <c r="G51" s="1007">
        <f>IF(F51="","",VLOOKUP(F51,Facteurs_Emission!$A$4:$E$108,5,FALSE()))</f>
        <v/>
      </c>
      <c r="H51" s="28">
        <f>IF(OR(D51=0,G51=""),0,D51*G51)</f>
        <v/>
      </c>
      <c r="I51" s="28">
        <f>H51/1000</f>
        <v/>
      </c>
    </row>
    <row r="52">
      <c r="A52" t="n">
        <v>7</v>
      </c>
      <c r="B52" s="13" t="n"/>
      <c r="C52" s="13" t="n"/>
      <c r="D52" s="14" t="n">
        <v>0</v>
      </c>
      <c r="E52" t="inlineStr">
        <is>
          <t>kg</t>
        </is>
      </c>
      <c r="F52" s="26">
        <f>IF(C52="","",IF(C52="R-410A (fuite)","FE130",IF(C52="R-134a (fuite)","FE131",IF(C52="R-32 (fuite)","FE132",IF(C52="R-290 Propane (fuite)","FE133",IF(C52="CO2 / R-744 (fuite)","FE134",""))))))</f>
        <v/>
      </c>
      <c r="G52" s="1007">
        <f>IF(F52="","",VLOOKUP(F52,Facteurs_Emission!$A$4:$E$108,5,FALSE()))</f>
        <v/>
      </c>
      <c r="H52" s="28">
        <f>IF(OR(D52=0,G52=""),0,D52*G52)</f>
        <v/>
      </c>
      <c r="I52" s="28">
        <f>H52/1000</f>
        <v/>
      </c>
    </row>
    <row r="53">
      <c r="A53" t="n">
        <v>8</v>
      </c>
      <c r="B53" s="13" t="n"/>
      <c r="C53" s="13" t="n"/>
      <c r="D53" s="14" t="n">
        <v>0</v>
      </c>
      <c r="E53" t="inlineStr">
        <is>
          <t>kg</t>
        </is>
      </c>
      <c r="F53" s="26">
        <f>IF(C53="","",IF(C53="R-410A (fuite)","FE130",IF(C53="R-134a (fuite)","FE131",IF(C53="R-32 (fuite)","FE132",IF(C53="R-290 Propane (fuite)","FE133",IF(C53="CO2 / R-744 (fuite)","FE134",""))))))</f>
        <v/>
      </c>
      <c r="G53" s="1007">
        <f>IF(F53="","",VLOOKUP(F53,Facteurs_Emission!$A$4:$E$108,5,FALSE()))</f>
        <v/>
      </c>
      <c r="H53" s="28">
        <f>IF(OR(D53=0,G53=""),0,D53*G53)</f>
        <v/>
      </c>
      <c r="I53" s="28">
        <f>H53/1000</f>
        <v/>
      </c>
    </row>
    <row r="54">
      <c r="A54" s="18" t="n"/>
      <c r="B54" s="18" t="inlineStr">
        <is>
          <t>SOUS-TOTAL FUGITIVES</t>
        </is>
      </c>
      <c r="C54" s="18" t="n"/>
      <c r="D54" s="18" t="n"/>
      <c r="E54" s="18" t="n"/>
      <c r="F54" s="18" t="n"/>
      <c r="G54" s="18" t="n"/>
      <c r="H54" s="29">
        <f>SUM(H46:H53)</f>
        <v/>
      </c>
      <c r="I54" s="29">
        <f>SUM(I46:I53)</f>
        <v/>
      </c>
      <c r="J54" s="18" t="n"/>
      <c r="K54" s="18" t="n"/>
    </row>
    <row r="56" ht="15.75" customHeight="1" s="847">
      <c r="A56" s="894" t="inlineStr">
        <is>
          <t>TOTAL SCOPE 1 — ÉMISSIONS DIRECTES</t>
        </is>
      </c>
      <c r="B56" s="994" t="n"/>
      <c r="C56" s="994" t="n"/>
      <c r="D56" s="994" t="n"/>
      <c r="E56" s="994" t="n"/>
      <c r="F56" s="994" t="n"/>
      <c r="G56" s="1008" t="n"/>
      <c r="H56" s="31">
        <f>H16+H30+H42+H54</f>
        <v/>
      </c>
      <c r="I56" s="32">
        <f>I16+I30+I42+I54</f>
        <v/>
      </c>
      <c r="J56" s="33" t="n"/>
      <c r="K56" s="33" t="n"/>
    </row>
    <row r="57">
      <c r="B57" s="892" t="inlineStr">
        <is>
          <t>dont émissions amont associées → Scope 3 Cat.3</t>
        </is>
      </c>
      <c r="K57" s="28">
        <f>K16+K30</f>
        <v/>
      </c>
    </row>
  </sheetData>
  <mergeCells count="7">
    <mergeCell ref="A18:K18"/>
    <mergeCell ref="A4:K4"/>
    <mergeCell ref="A56:G56"/>
    <mergeCell ref="A2:K2"/>
    <mergeCell ref="A32:K32"/>
    <mergeCell ref="A44:K44"/>
    <mergeCell ref="A1:K1"/>
  </mergeCells>
  <dataValidations count="4">
    <dataValidation sqref="C6:C15" showDropDown="0" showInputMessage="0" showErrorMessage="0" allowBlank="1" errorTitle="Erreur de saisie" error="Valeur non autorisée" type="list">
      <formula1>"Gaz naturel (PCI),Gaz naturel (PCS),Fioul domestique,Fioul lourd,Charbon (houille),GPL,Propane,Bois bûches"</formula1>
      <formula2>0</formula2>
    </dataValidation>
    <dataValidation sqref="C20:C29" showDropDown="0" showInputMessage="0" showErrorMessage="0" allowBlank="1" errorTitle="Erreur de saisie" error="Valeur non autorisée" type="list">
      <formula1>"Essence SP95/SP98,Diesel / Gazole,E85 (Superéthanol),B100 (Biodiesel pur),GNV"</formula1>
      <formula2>0</formula2>
    </dataValidation>
    <dataValidation sqref="C34:C41" showDropDown="0" showInputMessage="0" showErrorMessage="0" allowBlank="1" errorTitle="Erreur de saisie" error="Valeur non autorisée" type="list">
      <formula1>"CO2,CH4 (fossile),N2O,HFC (R-410A),SF6"</formula1>
      <formula2>0</formula2>
    </dataValidation>
    <dataValidation sqref="C46:C53" showDropDown="0" showInputMessage="0" showErrorMessage="0" allowBlank="1" errorTitle="Erreur de saisie" error="Valeur non autorisée" type="list">
      <formula1>"R-410A (fuite),R-134a (fuite),R-32 (fuite),R-290 Propane (fuite),CO2 / R-744 (fuite)"</formula1>
      <formula2>0</formula2>
    </dataValidation>
  </dataValidation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8.xml><?xml version="1.0" encoding="utf-8"?>
<worksheet xmlns="http://schemas.openxmlformats.org/spreadsheetml/2006/main">
  <sheetPr>
    <tabColor rgb="FFE65100"/>
    <outlinePr summaryBelow="1" summaryRight="1"/>
    <pageSetUpPr/>
  </sheetPr>
  <dimension ref="A1:O34"/>
  <sheetViews>
    <sheetView showGridLines="0" zoomScaleNormal="100" workbookViewId="0">
      <pane ySplit="4" topLeftCell="A12" activePane="bottomLeft" state="frozen"/>
      <selection pane="bottomLeft" activeCell="B33" sqref="B33"/>
    </sheetView>
  </sheetViews>
  <sheetFormatPr baseColWidth="10" defaultColWidth="8.7109375" defaultRowHeight="15"/>
  <cols>
    <col width="6" customWidth="1" style="847" min="1" max="1"/>
    <col width="28" customWidth="1" style="847" min="2" max="2"/>
    <col width="22" customWidth="1" style="847" min="3" max="3"/>
    <col width="18" customWidth="1" style="847" min="4" max="4"/>
    <col width="14" customWidth="1" style="847" min="5" max="5"/>
    <col width="16" customWidth="1" style="847" min="6" max="11"/>
    <col width="13.28515625" customWidth="1" style="847" min="14" max="15"/>
  </cols>
  <sheetData>
    <row r="1" ht="27.95" customHeight="1" s="847">
      <c r="A1" s="891" t="inlineStr">
        <is>
          <t>SCOPE 2 — ÉMISSIONS INDIRECTES LIÉES À L'ÉNERGIE</t>
        </is>
      </c>
      <c r="B1" s="994" t="n"/>
      <c r="C1" s="994" t="n"/>
      <c r="D1" s="994" t="n"/>
      <c r="E1" s="994" t="n"/>
      <c r="F1" s="994" t="n"/>
      <c r="G1" s="994" t="n"/>
      <c r="H1" s="994" t="n"/>
      <c r="I1" s="994" t="n"/>
      <c r="J1" s="994" t="n"/>
      <c r="K1" s="994" t="n"/>
      <c r="L1" s="878" t="n"/>
      <c r="M1" s="878" t="n"/>
      <c r="N1" s="231" t="inlineStr">
        <is>
          <t>🏠 Sommaire</t>
        </is>
      </c>
      <c r="O1" s="85" t="inlineStr">
        <is>
          <t>🏠 Sommaire</t>
        </is>
      </c>
    </row>
    <row r="2">
      <c r="A2" s="892" t="inlineStr">
        <is>
          <t>Double reporting obligatoire : Location-based (LB) ET Market-based (MB). En l'absence de GO/PPA, le MB utilise le mix résiduel (AIB 2023).</t>
        </is>
      </c>
    </row>
    <row r="4" ht="21.75" customHeight="1" s="847">
      <c r="A4" s="893" t="inlineStr">
        <is>
          <t>2A — ÉLECTRICITÉ ACHETÉE ET CONSOMMÉE</t>
        </is>
      </c>
      <c r="B4" s="994" t="n"/>
      <c r="C4" s="994" t="n"/>
      <c r="D4" s="994" t="n"/>
      <c r="E4" s="994" t="n"/>
      <c r="F4" s="994" t="n"/>
      <c r="G4" s="994" t="n"/>
      <c r="H4" s="994" t="n"/>
      <c r="I4" s="994" t="n"/>
      <c r="J4" s="994" t="n"/>
      <c r="K4" s="994" t="n"/>
    </row>
    <row r="5" ht="45" customHeight="1" s="847">
      <c r="A5" s="2" t="inlineStr">
        <is>
          <t>Ligne</t>
        </is>
      </c>
      <c r="B5" s="2" t="inlineStr">
        <is>
          <t>Site / Usage</t>
        </is>
      </c>
      <c r="C5" s="2" t="inlineStr">
        <is>
          <t>Pays / Source</t>
        </is>
      </c>
      <c r="D5" s="2" t="inlineStr">
        <is>
          <t>Consommation (kWh)</t>
        </is>
      </c>
      <c r="E5" s="2" t="inlineStr">
        <is>
          <t>GO/PPA? (O/N)</t>
        </is>
      </c>
      <c r="F5" s="2" t="inlineStr">
        <is>
          <t>FE LB (kgCO2e/kWh)</t>
        </is>
      </c>
      <c r="G5" s="2" t="inlineStr">
        <is>
          <t>Émissions LB (kgCO2e)</t>
        </is>
      </c>
      <c r="H5" s="2" t="inlineStr">
        <is>
          <t>Émissions LB (tCO2e)</t>
        </is>
      </c>
      <c r="I5" s="2" t="inlineStr">
        <is>
          <t>FE MB (kgCO2e/kWh)</t>
        </is>
      </c>
      <c r="J5" s="2" t="inlineStr">
        <is>
          <t>Émissions MB (kgCO2e)</t>
        </is>
      </c>
      <c r="K5" s="2" t="inlineStr">
        <is>
          <t>Émissions MB (tCO2e)</t>
        </is>
      </c>
    </row>
    <row r="6">
      <c r="A6" t="n">
        <v>1</v>
      </c>
      <c r="B6" s="13" t="n"/>
      <c r="C6" s="13" t="n"/>
      <c r="D6" s="14" t="n">
        <v>0</v>
      </c>
      <c r="E6" s="13" t="n"/>
      <c r="F6" s="1006">
        <f>IF(C6="","",IF(C6="France",Facteurs_Emission!G20,IF(C6="Allemagne",Facteurs_Emission!G22,IF(C6="Europe (UE27)",Facteurs_Emission!G23,IF(C6="USA",Facteurs_Emission!G24,IF(C6="Chine",Facteurs_Emission!G25,0))))))</f>
        <v/>
      </c>
      <c r="G6" s="28">
        <f>IF(OR(D6=0,F6=""),0,D6*F6)</f>
        <v/>
      </c>
      <c r="H6" s="28">
        <f>IF(G6=0,0,G6/1000)</f>
        <v/>
      </c>
      <c r="I6" s="1006">
        <f>IF(C6="","",IF(E6="O",Facteurs_Emission!G26,IF(C6="France",Facteurs_Emission!H20,IF(C6="Allemagne",Facteurs_Emission!H22,IF(C6="Europe (UE27)",Facteurs_Emission!H23,IF(C6="USA",Facteurs_Emission!H24,IF(C6="Chine",Facteurs_Emission!H25,0)))))))</f>
        <v/>
      </c>
      <c r="J6" s="28">
        <f>IF(OR(D6=0,I6=""),0,D6*I6)</f>
        <v/>
      </c>
      <c r="K6" s="28">
        <f>IF(J6=0,0,J6/1000)</f>
        <v/>
      </c>
    </row>
    <row r="7">
      <c r="A7" t="n">
        <v>2</v>
      </c>
      <c r="B7" s="13" t="n"/>
      <c r="C7" s="13" t="n"/>
      <c r="D7" s="14" t="n">
        <v>0</v>
      </c>
      <c r="E7" s="13" t="n"/>
      <c r="F7" s="1006">
        <f>IF(C7="","",IF(C7="France",Facteurs_Emission!G20,IF(C7="Allemagne",Facteurs_Emission!G22,IF(C7="Europe (UE27)",Facteurs_Emission!G23,IF(C7="USA",Facteurs_Emission!G24,IF(C7="Chine",Facteurs_Emission!G25,0))))))</f>
        <v/>
      </c>
      <c r="G7" s="28">
        <f>IF(OR(D7=0,F7=""),0,D7*F7)</f>
        <v/>
      </c>
      <c r="H7" s="28">
        <f>IF(G7=0,0,G7/1000)</f>
        <v/>
      </c>
      <c r="I7" s="1006">
        <f>IF(C7="","",IF(E7="O",Facteurs_Emission!G26,IF(C7="France",Facteurs_Emission!H20,IF(C7="Allemagne",Facteurs_Emission!H22,IF(C7="Europe (UE27)",Facteurs_Emission!H23,IF(C7="USA",Facteurs_Emission!H24,IF(C7="Chine",Facteurs_Emission!H25,0)))))))</f>
        <v/>
      </c>
      <c r="J7" s="28">
        <f>IF(OR(D7=0,I7=""),0,D7*I7)</f>
        <v/>
      </c>
      <c r="K7" s="28">
        <f>IF(J7=0,0,J7/1000)</f>
        <v/>
      </c>
    </row>
    <row r="8">
      <c r="A8" t="n">
        <v>3</v>
      </c>
      <c r="B8" s="13" t="n"/>
      <c r="C8" s="13" t="n"/>
      <c r="D8" s="14" t="n">
        <v>0</v>
      </c>
      <c r="E8" s="13" t="n"/>
      <c r="F8" s="1006">
        <f>IF(C8="","",IF(C8="France",Facteurs_Emission!G20,IF(C8="Allemagne",Facteurs_Emission!G22,IF(C8="Europe (UE27)",Facteurs_Emission!G23,IF(C8="USA",Facteurs_Emission!G24,IF(C8="Chine",Facteurs_Emission!G25,0))))))</f>
        <v/>
      </c>
      <c r="G8" s="28">
        <f>IF(OR(D8=0,F8=""),0,D8*F8)</f>
        <v/>
      </c>
      <c r="H8" s="28">
        <f>IF(G8=0,0,G8/1000)</f>
        <v/>
      </c>
      <c r="I8" s="1006">
        <f>IF(C8="","",IF(E8="O",Facteurs_Emission!G26,IF(C8="France",Facteurs_Emission!H20,IF(C8="Allemagne",Facteurs_Emission!H22,IF(C8="Europe (UE27)",Facteurs_Emission!H23,IF(C8="USA",Facteurs_Emission!H24,IF(C8="Chine",Facteurs_Emission!H25,0)))))))</f>
        <v/>
      </c>
      <c r="J8" s="28">
        <f>IF(OR(D8=0,I8=""),0,D8*I8)</f>
        <v/>
      </c>
      <c r="K8" s="28">
        <f>IF(J8=0,0,J8/1000)</f>
        <v/>
      </c>
    </row>
    <row r="9">
      <c r="A9" t="n">
        <v>4</v>
      </c>
      <c r="B9" s="13" t="n"/>
      <c r="C9" s="13" t="n"/>
      <c r="D9" s="14" t="n">
        <v>0</v>
      </c>
      <c r="E9" s="13" t="n"/>
      <c r="F9" s="1006">
        <f>IF(C9="","",IF(C9="France",Facteurs_Emission!G20,IF(C9="Allemagne",Facteurs_Emission!G22,IF(C9="Europe (UE27)",Facteurs_Emission!G23,IF(C9="USA",Facteurs_Emission!G24,IF(C9="Chine",Facteurs_Emission!G25,0))))))</f>
        <v/>
      </c>
      <c r="G9" s="28">
        <f>IF(OR(D9=0,F9=""),0,D9*F9)</f>
        <v/>
      </c>
      <c r="H9" s="28">
        <f>IF(G9=0,0,G9/1000)</f>
        <v/>
      </c>
      <c r="I9" s="1006">
        <f>IF(C9="","",IF(E9="O",Facteurs_Emission!G26,IF(C9="France",Facteurs_Emission!H20,IF(C9="Allemagne",Facteurs_Emission!H22,IF(C9="Europe (UE27)",Facteurs_Emission!H23,IF(C9="USA",Facteurs_Emission!H24,IF(C9="Chine",Facteurs_Emission!H25,0)))))))</f>
        <v/>
      </c>
      <c r="J9" s="28">
        <f>IF(OR(D9=0,I9=""),0,D9*I9)</f>
        <v/>
      </c>
      <c r="K9" s="28">
        <f>IF(J9=0,0,J9/1000)</f>
        <v/>
      </c>
    </row>
    <row r="10">
      <c r="A10" t="n">
        <v>5</v>
      </c>
      <c r="B10" s="13" t="n"/>
      <c r="C10" s="13" t="n"/>
      <c r="D10" s="14" t="n">
        <v>0</v>
      </c>
      <c r="E10" s="13" t="n"/>
      <c r="F10" s="1006">
        <f>IF(C10="","",IF(C10="France",Facteurs_Emission!G20,IF(C10="Allemagne",Facteurs_Emission!G22,IF(C10="Europe (UE27)",Facteurs_Emission!G23,IF(C10="USA",Facteurs_Emission!G24,IF(C10="Chine",Facteurs_Emission!G25,0))))))</f>
        <v/>
      </c>
      <c r="G10" s="28">
        <f>IF(OR(D10=0,F10=""),0,D10*F10)</f>
        <v/>
      </c>
      <c r="H10" s="28">
        <f>IF(G10=0,0,G10/1000)</f>
        <v/>
      </c>
      <c r="I10" s="1006">
        <f>IF(C10="","",IF(E10="O",Facteurs_Emission!G26,IF(C10="France",Facteurs_Emission!H20,IF(C10="Allemagne",Facteurs_Emission!H22,IF(C10="Europe (UE27)",Facteurs_Emission!H23,IF(C10="USA",Facteurs_Emission!H24,IF(C10="Chine",Facteurs_Emission!H25,0)))))))</f>
        <v/>
      </c>
      <c r="J10" s="28">
        <f>IF(OR(D10=0,I10=""),0,D10*I10)</f>
        <v/>
      </c>
      <c r="K10" s="28">
        <f>IF(J10=0,0,J10/1000)</f>
        <v/>
      </c>
    </row>
    <row r="11">
      <c r="A11" t="n">
        <v>6</v>
      </c>
      <c r="B11" s="13" t="n"/>
      <c r="C11" s="13" t="n"/>
      <c r="D11" s="14" t="n">
        <v>0</v>
      </c>
      <c r="E11" s="13" t="n"/>
      <c r="F11" s="1006">
        <f>IF(C11="","",IF(C11="France",Facteurs_Emission!G20,IF(C11="Allemagne",Facteurs_Emission!G22,IF(C11="Europe (UE27)",Facteurs_Emission!G23,IF(C11="USA",Facteurs_Emission!G24,IF(C11="Chine",Facteurs_Emission!G25,0))))))</f>
        <v/>
      </c>
      <c r="G11" s="28">
        <f>IF(OR(D11=0,F11=""),0,D11*F11)</f>
        <v/>
      </c>
      <c r="H11" s="28">
        <f>IF(G11=0,0,G11/1000)</f>
        <v/>
      </c>
      <c r="I11" s="1006">
        <f>IF(C11="","",IF(E11="O",Facteurs_Emission!G26,IF(C11="France",Facteurs_Emission!H20,IF(C11="Allemagne",Facteurs_Emission!H22,IF(C11="Europe (UE27)",Facteurs_Emission!H23,IF(C11="USA",Facteurs_Emission!H24,IF(C11="Chine",Facteurs_Emission!H25,0)))))))</f>
        <v/>
      </c>
      <c r="J11" s="28">
        <f>IF(OR(D11=0,I11=""),0,D11*I11)</f>
        <v/>
      </c>
      <c r="K11" s="28">
        <f>IF(J11=0,0,J11/1000)</f>
        <v/>
      </c>
    </row>
    <row r="12">
      <c r="A12" t="n">
        <v>7</v>
      </c>
      <c r="B12" s="13" t="n"/>
      <c r="C12" s="13" t="n"/>
      <c r="D12" s="14" t="n">
        <v>0</v>
      </c>
      <c r="E12" s="13" t="n"/>
      <c r="F12" s="1006">
        <f>IF(C12="","",IF(C12="France",Facteurs_Emission!G20,IF(C12="Allemagne",Facteurs_Emission!G22,IF(C12="Europe (UE27)",Facteurs_Emission!G23,IF(C12="USA",Facteurs_Emission!G24,IF(C12="Chine",Facteurs_Emission!G25,0))))))</f>
        <v/>
      </c>
      <c r="G12" s="28">
        <f>IF(OR(D12=0,F12=""),0,D12*F12)</f>
        <v/>
      </c>
      <c r="H12" s="28">
        <f>IF(G12=0,0,G12/1000)</f>
        <v/>
      </c>
      <c r="I12" s="1006">
        <f>IF(C12="","",IF(E12="O",Facteurs_Emission!G26,IF(C12="France",Facteurs_Emission!H20,IF(C12="Allemagne",Facteurs_Emission!H22,IF(C12="Europe (UE27)",Facteurs_Emission!H23,IF(C12="USA",Facteurs_Emission!H24,IF(C12="Chine",Facteurs_Emission!H25,0)))))))</f>
        <v/>
      </c>
      <c r="J12" s="28">
        <f>IF(OR(D12=0,I12=""),0,D12*I12)</f>
        <v/>
      </c>
      <c r="K12" s="28">
        <f>IF(J12=0,0,J12/1000)</f>
        <v/>
      </c>
    </row>
    <row r="13">
      <c r="A13" t="n">
        <v>8</v>
      </c>
      <c r="B13" s="13" t="n"/>
      <c r="C13" s="13" t="n"/>
      <c r="D13" s="14" t="n">
        <v>0</v>
      </c>
      <c r="E13" s="13" t="n"/>
      <c r="F13" s="1006">
        <f>IF(C13="","",IF(C13="France",Facteurs_Emission!G20,IF(C13="Allemagne",Facteurs_Emission!G22,IF(C13="Europe (UE27)",Facteurs_Emission!G23,IF(C13="USA",Facteurs_Emission!G24,IF(C13="Chine",Facteurs_Emission!G25,0))))))</f>
        <v/>
      </c>
      <c r="G13" s="28">
        <f>IF(OR(D13=0,F13=""),0,D13*F13)</f>
        <v/>
      </c>
      <c r="H13" s="28">
        <f>IF(G13=0,0,G13/1000)</f>
        <v/>
      </c>
      <c r="I13" s="1006">
        <f>IF(C13="","",IF(E13="O",Facteurs_Emission!G26,IF(C13="France",Facteurs_Emission!H20,IF(C13="Allemagne",Facteurs_Emission!H22,IF(C13="Europe (UE27)",Facteurs_Emission!H23,IF(C13="USA",Facteurs_Emission!H24,IF(C13="Chine",Facteurs_Emission!H25,0)))))))</f>
        <v/>
      </c>
      <c r="J13" s="28">
        <f>IF(OR(D13=0,I13=""),0,D13*I13)</f>
        <v/>
      </c>
      <c r="K13" s="28">
        <f>IF(J13=0,0,J13/1000)</f>
        <v/>
      </c>
    </row>
    <row r="14">
      <c r="A14" t="n">
        <v>9</v>
      </c>
      <c r="B14" s="13" t="n"/>
      <c r="C14" s="13" t="n"/>
      <c r="D14" s="14" t="n">
        <v>0</v>
      </c>
      <c r="E14" s="13" t="n"/>
      <c r="F14" s="1006">
        <f>IF(C14="","",IF(C14="France",Facteurs_Emission!G20,IF(C14="Allemagne",Facteurs_Emission!G22,IF(C14="Europe (UE27)",Facteurs_Emission!G23,IF(C14="USA",Facteurs_Emission!G24,IF(C14="Chine",Facteurs_Emission!G25,0))))))</f>
        <v/>
      </c>
      <c r="G14" s="28">
        <f>IF(OR(D14=0,F14=""),0,D14*F14)</f>
        <v/>
      </c>
      <c r="H14" s="28">
        <f>IF(G14=0,0,G14/1000)</f>
        <v/>
      </c>
      <c r="I14" s="1006">
        <f>IF(C14="","",IF(E14="O",Facteurs_Emission!G26,IF(C14="France",Facteurs_Emission!H20,IF(C14="Allemagne",Facteurs_Emission!H22,IF(C14="Europe (UE27)",Facteurs_Emission!H23,IF(C14="USA",Facteurs_Emission!H24,IF(C14="Chine",Facteurs_Emission!H25,0)))))))</f>
        <v/>
      </c>
      <c r="J14" s="28">
        <f>IF(OR(D14=0,I14=""),0,D14*I14)</f>
        <v/>
      </c>
      <c r="K14" s="28">
        <f>IF(J14=0,0,J14/1000)</f>
        <v/>
      </c>
    </row>
    <row r="15">
      <c r="A15" t="n">
        <v>10</v>
      </c>
      <c r="B15" s="13" t="n"/>
      <c r="C15" s="13" t="n"/>
      <c r="D15" s="14" t="n">
        <v>0</v>
      </c>
      <c r="E15" s="13" t="n"/>
      <c r="F15" s="1006">
        <f>IF(C15="","",IF(C15="France",Facteurs_Emission!G20,IF(C15="Allemagne",Facteurs_Emission!G22,IF(C15="Europe (UE27)",Facteurs_Emission!G23,IF(C15="USA",Facteurs_Emission!G24,IF(C15="Chine",Facteurs_Emission!G25,0))))))</f>
        <v/>
      </c>
      <c r="G15" s="28">
        <f>IF(OR(D15=0,F15=""),0,D15*F15)</f>
        <v/>
      </c>
      <c r="H15" s="28">
        <f>IF(G15=0,0,G15/1000)</f>
        <v/>
      </c>
      <c r="I15" s="1006">
        <f>IF(C15="","",IF(E15="O",Facteurs_Emission!G26,IF(C15="France",Facteurs_Emission!H20,IF(C15="Allemagne",Facteurs_Emission!H22,IF(C15="Europe (UE27)",Facteurs_Emission!H23,IF(C15="USA",Facteurs_Emission!H24,IF(C15="Chine",Facteurs_Emission!H25,0)))))))</f>
        <v/>
      </c>
      <c r="J15" s="28">
        <f>IF(OR(D15=0,I15=""),0,D15*I15)</f>
        <v/>
      </c>
      <c r="K15" s="28">
        <f>IF(J15=0,0,J15/1000)</f>
        <v/>
      </c>
    </row>
    <row r="16">
      <c r="A16" s="18" t="n"/>
      <c r="B16" s="18" t="inlineStr">
        <is>
          <t>SOUS-TOTAL ÉLECTRICITÉ</t>
        </is>
      </c>
      <c r="C16" s="18" t="n"/>
      <c r="D16" s="34">
        <f>SUM(D6:D15)</f>
        <v/>
      </c>
      <c r="E16" s="18" t="n"/>
      <c r="F16" s="18" t="n"/>
      <c r="G16" s="29">
        <f>SUM(G6:G15)</f>
        <v/>
      </c>
      <c r="H16" s="29">
        <f>SUM(H6:H15)</f>
        <v/>
      </c>
      <c r="I16" s="18" t="n"/>
      <c r="J16" s="29">
        <f>SUM(J6:J15)</f>
        <v/>
      </c>
      <c r="K16" s="29">
        <f>SUM(K6:K15)</f>
        <v/>
      </c>
    </row>
    <row r="17">
      <c r="B17" s="892" t="inlineStr">
        <is>
          <t>→ Émissions amont électricité (→ Scope 3 Cat.3)</t>
        </is>
      </c>
      <c r="D17" s="35">
        <f>D16</f>
        <v/>
      </c>
      <c r="G17" s="796">
        <f>D16*Facteurs_Emission!H21</f>
        <v/>
      </c>
      <c r="H17" s="796">
        <f>G17/1000</f>
        <v/>
      </c>
    </row>
    <row r="18">
      <c r="B18" s="892" t="inlineStr">
        <is>
          <t>→ Pertes transport &amp; distribution (→ Scope 3 Cat.3)</t>
        </is>
      </c>
      <c r="D18" s="35">
        <f>D16*Facteurs_Emission!G29</f>
        <v/>
      </c>
      <c r="G18" s="796">
        <f>IF(D18=0,0,D18*Facteurs_Emission!G20)</f>
        <v/>
      </c>
      <c r="H18" s="796">
        <f>G18/1000</f>
        <v/>
      </c>
    </row>
    <row r="20" ht="21.75" customHeight="1" s="847">
      <c r="A20" s="893" t="inlineStr">
        <is>
          <t>2B — CHALEUR, VAPEUR, FROID ACHETÉS</t>
        </is>
      </c>
      <c r="B20" s="994" t="n"/>
      <c r="C20" s="994" t="n"/>
      <c r="D20" s="994" t="n"/>
      <c r="E20" s="994" t="n"/>
      <c r="F20" s="994" t="n"/>
      <c r="G20" s="994" t="n"/>
      <c r="H20" s="994" t="n"/>
    </row>
    <row r="21" ht="30" customHeight="1" s="847">
      <c r="A21" s="2" t="inlineStr">
        <is>
          <t>Ligne</t>
        </is>
      </c>
      <c r="B21" s="2" t="inlineStr">
        <is>
          <t>Site / Source</t>
        </is>
      </c>
      <c r="C21" s="2" t="inlineStr">
        <is>
          <t>Type</t>
        </is>
      </c>
      <c r="D21" s="2" t="inlineStr">
        <is>
          <t>Consommation (kWh)</t>
        </is>
      </c>
      <c r="E21" s="2" t="inlineStr">
        <is>
          <t>ID FE</t>
        </is>
      </c>
      <c r="F21" s="2" t="inlineStr">
        <is>
          <t>FE (kgCO2e/kWh)</t>
        </is>
      </c>
      <c r="G21" s="2" t="inlineStr">
        <is>
          <t>Émissions (kgCO2e)</t>
        </is>
      </c>
      <c r="H21" s="2" t="inlineStr">
        <is>
          <t>Émissions (tCO2e)</t>
        </is>
      </c>
    </row>
    <row r="22">
      <c r="A22" t="n">
        <v>1</v>
      </c>
      <c r="B22" s="13" t="n"/>
      <c r="C22" s="13" t="n"/>
      <c r="D22" s="14" t="n">
        <v>0</v>
      </c>
      <c r="E22" s="26">
        <f>IF(C22="","",IF(C22="Réseau de chaleur urbain","FE027",IF(C22="Réseau de froid urbain","FE028","FE027")))</f>
        <v/>
      </c>
      <c r="F22" s="1006">
        <f>IF(E22="","",VLOOKUP(E22,Facteurs_Emission!$A$4:$G$108,7,FALSE()))</f>
        <v/>
      </c>
      <c r="G22" s="28">
        <f>IF(OR(D22=0,F22=""),0,D22*F22)</f>
        <v/>
      </c>
      <c r="H22" s="28">
        <f>IF(G22=0,0,G22/1000)</f>
        <v/>
      </c>
    </row>
    <row r="23">
      <c r="A23" t="n">
        <v>2</v>
      </c>
      <c r="B23" s="13" t="n"/>
      <c r="C23" s="13" t="n"/>
      <c r="D23" s="14" t="n">
        <v>0</v>
      </c>
      <c r="E23" s="26">
        <f>IF(C23="","",IF(C23="Réseau de chaleur urbain","FE027",IF(C23="Réseau de froid urbain","FE028","FE027")))</f>
        <v/>
      </c>
      <c r="F23" s="1006">
        <f>IF(E23="","",VLOOKUP(E23,Facteurs_Emission!$A$4:$G$108,7,FALSE()))</f>
        <v/>
      </c>
      <c r="G23" s="28">
        <f>IF(OR(D23=0,F23=""),0,D23*F23)</f>
        <v/>
      </c>
      <c r="H23" s="28">
        <f>IF(G23=0,0,G23/1000)</f>
        <v/>
      </c>
    </row>
    <row r="24">
      <c r="A24" t="n">
        <v>3</v>
      </c>
      <c r="B24" s="13" t="n"/>
      <c r="C24" s="13" t="n"/>
      <c r="D24" s="14" t="n">
        <v>0</v>
      </c>
      <c r="E24" s="26">
        <f>IF(C24="","",IF(C24="Réseau de chaleur urbain","FE027",IF(C24="Réseau de froid urbain","FE028","FE027")))</f>
        <v/>
      </c>
      <c r="F24" s="1006">
        <f>IF(E24="","",VLOOKUP(E24,Facteurs_Emission!$A$4:$G$108,7,FALSE()))</f>
        <v/>
      </c>
      <c r="G24" s="28">
        <f>IF(OR(D24=0,F24=""),0,D24*F24)</f>
        <v/>
      </c>
      <c r="H24" s="28">
        <f>IF(G24=0,0,G24/1000)</f>
        <v/>
      </c>
    </row>
    <row r="25">
      <c r="A25" t="n">
        <v>4</v>
      </c>
      <c r="B25" s="13" t="n"/>
      <c r="C25" s="13" t="n"/>
      <c r="D25" s="14" t="n">
        <v>0</v>
      </c>
      <c r="E25" s="26">
        <f>IF(C25="","",IF(C25="Réseau de chaleur urbain","FE027",IF(C25="Réseau de froid urbain","FE028","FE027")))</f>
        <v/>
      </c>
      <c r="F25" s="1006">
        <f>IF(E25="","",VLOOKUP(E25,Facteurs_Emission!$A$4:$G$108,7,FALSE()))</f>
        <v/>
      </c>
      <c r="G25" s="28">
        <f>IF(OR(D25=0,F25=""),0,D25*F25)</f>
        <v/>
      </c>
      <c r="H25" s="28">
        <f>IF(G25=0,0,G25/1000)</f>
        <v/>
      </c>
    </row>
    <row r="26">
      <c r="A26" t="n">
        <v>5</v>
      </c>
      <c r="B26" s="13" t="n"/>
      <c r="C26" s="13" t="n"/>
      <c r="D26" s="14" t="n">
        <v>0</v>
      </c>
      <c r="E26" s="26">
        <f>IF(C26="","",IF(C26="Réseau de chaleur urbain","FE027",IF(C26="Réseau de froid urbain","FE028","FE027")))</f>
        <v/>
      </c>
      <c r="F26" s="1006">
        <f>IF(E26="","",VLOOKUP(E26,Facteurs_Emission!$A$4:$G$108,7,FALSE()))</f>
        <v/>
      </c>
      <c r="G26" s="28">
        <f>IF(OR(D26=0,F26=""),0,D26*F26)</f>
        <v/>
      </c>
      <c r="H26" s="28">
        <f>IF(G26=0,0,G26/1000)</f>
        <v/>
      </c>
    </row>
    <row r="27">
      <c r="A27" t="n">
        <v>6</v>
      </c>
      <c r="B27" s="13" t="n"/>
      <c r="C27" s="13" t="n"/>
      <c r="D27" s="14" t="n">
        <v>0</v>
      </c>
      <c r="E27" s="26">
        <f>IF(C27="","",IF(C27="Réseau de chaleur urbain","FE027",IF(C27="Réseau de froid urbain","FE028","FE027")))</f>
        <v/>
      </c>
      <c r="F27" s="1006">
        <f>IF(E27="","",VLOOKUP(E27,Facteurs_Emission!$A$4:$G$108,7,FALSE()))</f>
        <v/>
      </c>
      <c r="G27" s="28">
        <f>IF(OR(D27=0,F27=""),0,D27*F27)</f>
        <v/>
      </c>
      <c r="H27" s="28">
        <f>IF(G27=0,0,G27/1000)</f>
        <v/>
      </c>
    </row>
    <row r="28">
      <c r="A28" t="n">
        <v>7</v>
      </c>
      <c r="B28" s="13" t="n"/>
      <c r="C28" s="13" t="n"/>
      <c r="D28" s="14" t="n">
        <v>0</v>
      </c>
      <c r="E28" s="26">
        <f>IF(C28="","",IF(C28="Réseau de chaleur urbain","FE027",IF(C28="Réseau de froid urbain","FE028","FE027")))</f>
        <v/>
      </c>
      <c r="F28" s="1006">
        <f>IF(E28="","",VLOOKUP(E28,Facteurs_Emission!$A$4:$G$108,7,FALSE()))</f>
        <v/>
      </c>
      <c r="G28" s="28">
        <f>IF(OR(D28=0,F28=""),0,D28*F28)</f>
        <v/>
      </c>
      <c r="H28" s="28">
        <f>IF(G28=0,0,G28/1000)</f>
        <v/>
      </c>
    </row>
    <row r="29">
      <c r="A29" s="18" t="n"/>
      <c r="B29" s="18" t="inlineStr">
        <is>
          <t>SOUS-TOTAL CHALEUR/VAPEUR/FROID</t>
        </is>
      </c>
      <c r="C29" s="18" t="n"/>
      <c r="D29" s="18" t="n"/>
      <c r="E29" s="18" t="n"/>
      <c r="F29" s="18" t="n"/>
      <c r="G29" s="29">
        <f>SUM(G22:G28)</f>
        <v/>
      </c>
      <c r="H29" s="29">
        <f>SUM(H22:H28)</f>
        <v/>
      </c>
    </row>
    <row r="31" ht="15.75" customHeight="1" s="847">
      <c r="A31" s="894" t="inlineStr">
        <is>
          <t>TOTAL SCOPE 2 — LOCATION-BASED</t>
        </is>
      </c>
      <c r="B31" s="994" t="n"/>
      <c r="C31" s="994" t="n"/>
      <c r="D31" s="994" t="n"/>
      <c r="E31" s="994" t="n"/>
      <c r="F31" s="1008" t="n"/>
      <c r="G31" s="37">
        <f>G16+G29</f>
        <v/>
      </c>
      <c r="H31" s="38">
        <f>H16+H29</f>
        <v/>
      </c>
      <c r="I31" s="33" t="n"/>
      <c r="J31" s="33" t="n"/>
      <c r="K31" s="33" t="n"/>
    </row>
    <row r="32" ht="15.75" customHeight="1" s="847">
      <c r="A32" s="896" t="inlineStr">
        <is>
          <t>TOTAL SCOPE 2 — MARKET-BASED</t>
        </is>
      </c>
      <c r="B32" s="994" t="n"/>
      <c r="C32" s="994" t="n"/>
      <c r="D32" s="994" t="n"/>
      <c r="E32" s="994" t="n"/>
      <c r="F32" s="1008" t="n"/>
      <c r="G32" s="39" t="n"/>
      <c r="H32" s="39" t="n"/>
      <c r="I32" s="39" t="n"/>
      <c r="J32" s="40">
        <f>J16</f>
        <v/>
      </c>
      <c r="K32" s="41">
        <f>K16</f>
        <v/>
      </c>
    </row>
    <row r="34">
      <c r="B34" s="892" t="inlineStr">
        <is>
          <t>Émissions amont associées → Scope 3 Cat.3</t>
        </is>
      </c>
      <c r="G34" s="797">
        <f>G17+G18</f>
        <v/>
      </c>
      <c r="H34" s="28">
        <f>H17+H18</f>
        <v/>
      </c>
    </row>
  </sheetData>
  <mergeCells count="6">
    <mergeCell ref="A4:K4"/>
    <mergeCell ref="A20:H20"/>
    <mergeCell ref="A32:F32"/>
    <mergeCell ref="A2:K2"/>
    <mergeCell ref="A31:F31"/>
    <mergeCell ref="A1:K1"/>
  </mergeCells>
  <dataValidations count="3">
    <dataValidation sqref="C6:C15" showDropDown="0" showInputMessage="0" showErrorMessage="0" allowBlank="1" errorTitle="Erreur de saisie" error="Valeur non autorisée" type="list">
      <formula1>"France,Allemagne,Europe (UE27),USA,Chine"</formula1>
      <formula2>0</formula2>
    </dataValidation>
    <dataValidation sqref="E6:E15" showDropDown="0" showInputMessage="0" showErrorMessage="0" allowBlank="1" errorTitle="Erreur de saisie" error="Valeur non autorisée" type="list">
      <formula1>"O,N"</formula1>
      <formula2>0</formula2>
    </dataValidation>
    <dataValidation sqref="C22:C28" showDropDown="0" showInputMessage="0" showErrorMessage="0" allowBlank="1" errorTitle="Erreur de saisie" error="Valeur non autorisée" type="list">
      <formula1>"Réseau de chaleur urbain,Réseau de froid urbain,Vapeur achetée"</formula1>
      <formula2>0</formula2>
    </dataValidation>
  </dataValidation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9.xml><?xml version="1.0" encoding="utf-8"?>
<worksheet xmlns="http://schemas.openxmlformats.org/spreadsheetml/2006/main">
  <sheetPr>
    <tabColor rgb="FF0D47A1"/>
    <outlinePr summaryBelow="1" summaryRight="1"/>
    <pageSetUpPr/>
  </sheetPr>
  <dimension ref="A1:O158"/>
  <sheetViews>
    <sheetView showGridLines="0" zoomScaleNormal="100" workbookViewId="0">
      <pane ySplit="3" topLeftCell="A155" activePane="bottomLeft" state="frozen"/>
      <selection pane="bottomLeft" activeCell="I139" sqref="I139"/>
    </sheetView>
  </sheetViews>
  <sheetFormatPr baseColWidth="10" defaultColWidth="8.7109375" defaultRowHeight="15"/>
  <cols>
    <col width="6" customWidth="1" style="847" min="1" max="1"/>
    <col width="36" customWidth="1" style="847" min="2" max="2"/>
    <col width="24" customWidth="1" style="847" min="3" max="3"/>
    <col width="16" customWidth="1" style="847" min="4" max="4"/>
    <col width="23.5703125" customWidth="1" style="847" min="5" max="5"/>
    <col width="10" customWidth="1" style="847" min="6" max="6"/>
    <col width="18" customWidth="1" style="847" min="7" max="9"/>
    <col width="14" customWidth="1" style="847" min="10" max="10"/>
    <col width="18" customWidth="1" style="847" min="11" max="12"/>
    <col width="13.28515625" customWidth="1" style="847" min="14" max="15"/>
  </cols>
  <sheetData>
    <row r="1" ht="27.95" customHeight="1" s="847">
      <c r="A1" s="891" t="inlineStr">
        <is>
          <t>SCOPE 3 — ÉMISSIONS INDIRECTES DE LA CHAÎNE DE VALEUR</t>
        </is>
      </c>
      <c r="B1" s="994" t="n"/>
      <c r="C1" s="994" t="n"/>
      <c r="D1" s="994" t="n"/>
      <c r="E1" s="994" t="n"/>
      <c r="F1" s="994" t="n"/>
      <c r="G1" s="994" t="n"/>
      <c r="H1" s="994" t="n"/>
      <c r="I1" s="994" t="n"/>
      <c r="J1" s="994" t="n"/>
      <c r="K1" s="994" t="n"/>
      <c r="L1" s="994" t="n"/>
      <c r="M1" s="878" t="n"/>
      <c r="N1" s="231" t="inlineStr">
        <is>
          <t>🏠 Sommaire</t>
        </is>
      </c>
      <c r="O1" s="85" t="inlineStr">
        <is>
          <t>🏠 Sommaire</t>
        </is>
      </c>
    </row>
    <row r="2">
      <c r="A2" s="897" t="inlineStr">
        <is>
          <t>15 catégories selon le GHG Protocol Corporate Value Chain (Scope 3) Standard (2011).</t>
        </is>
      </c>
    </row>
    <row r="4" ht="21.75" customHeight="1" s="847">
      <c r="A4" s="843" t="inlineStr">
        <is>
          <t>Catégorie 1 — Achats de biens et services (amont)</t>
        </is>
      </c>
      <c r="B4" s="994" t="n"/>
      <c r="C4" s="994" t="n"/>
      <c r="D4" s="994" t="n"/>
      <c r="E4" s="994" t="n"/>
      <c r="F4" s="994" t="n"/>
      <c r="G4" s="994" t="n"/>
      <c r="H4" s="994" t="n"/>
      <c r="I4" s="994" t="n"/>
      <c r="J4" s="994" t="n"/>
      <c r="K4" s="994" t="n"/>
      <c r="L4" s="994" t="n"/>
    </row>
    <row r="5">
      <c r="A5" s="892" t="inlineStr">
        <is>
          <t>Méthode recommandée : données physiques (quantité × FE matériau) OU fallback monétaire (k€ × FE/k€)</t>
        </is>
      </c>
    </row>
    <row r="6" ht="30" customHeight="1" s="847">
      <c r="A6" s="2" t="inlineStr">
        <is>
          <t>Ligne</t>
        </is>
      </c>
      <c r="B6" s="2" t="inlineStr">
        <is>
          <t>Description</t>
        </is>
      </c>
      <c r="C6" s="2" t="inlineStr">
        <is>
          <t>Matériau/Service</t>
        </is>
      </c>
      <c r="D6" s="2" t="inlineStr">
        <is>
          <t>Quantité</t>
        </is>
      </c>
      <c r="E6" s="2" t="inlineStr">
        <is>
          <t>Unité</t>
        </is>
      </c>
      <c r="F6" s="2" t="inlineStr">
        <is>
          <t>ID FE</t>
        </is>
      </c>
      <c r="G6" s="2" t="inlineStr">
        <is>
          <t>FE (kgCO2e/u)</t>
        </is>
      </c>
      <c r="H6" s="2" t="inlineStr">
        <is>
          <t>Émissions (kgCO2e)</t>
        </is>
      </c>
      <c r="I6" s="2" t="inlineStr">
        <is>
          <t>Émissions (tCO2e)</t>
        </is>
      </c>
      <c r="J6" s="2" t="inlineStr">
        <is>
          <t>Qualité</t>
        </is>
      </c>
      <c r="K6" s="2" t="inlineStr">
        <is>
          <t>Méthode</t>
        </is>
      </c>
      <c r="L6" s="2" t="inlineStr">
        <is>
          <t>Incertitude (%)</t>
        </is>
      </c>
    </row>
    <row r="7">
      <c r="A7" s="3" t="n">
        <v>1</v>
      </c>
      <c r="B7" s="13" t="n"/>
      <c r="C7" s="13" t="n"/>
      <c r="D7" s="14" t="n">
        <v>0</v>
      </c>
      <c r="E7" s="3" t="n"/>
      <c r="F7" s="3" t="n"/>
      <c r="G7" s="3" t="n"/>
      <c r="H7" s="42">
        <f>IF(OR(D7=0,G7=""),0,D7*G7)</f>
        <v/>
      </c>
      <c r="I7" s="42">
        <f>H7/1000</f>
        <v/>
      </c>
      <c r="J7" s="13" t="n"/>
      <c r="K7" s="13" t="n"/>
      <c r="L7" s="3" t="n"/>
    </row>
    <row r="8">
      <c r="A8" s="3" t="n">
        <v>2</v>
      </c>
      <c r="B8" s="13" t="n"/>
      <c r="C8" s="13" t="n"/>
      <c r="D8" s="14" t="n">
        <v>0</v>
      </c>
      <c r="E8" s="3" t="n"/>
      <c r="F8" s="3" t="n"/>
      <c r="G8" s="3" t="n"/>
      <c r="H8" s="42">
        <f>IF(OR(D8=0,G8=""),0,D8*G8)</f>
        <v/>
      </c>
      <c r="I8" s="42">
        <f>H8/1000</f>
        <v/>
      </c>
      <c r="J8" s="13" t="n"/>
      <c r="K8" s="13" t="n"/>
      <c r="L8" s="3" t="n"/>
    </row>
    <row r="9">
      <c r="A9" s="3" t="n">
        <v>3</v>
      </c>
      <c r="B9" s="13" t="n"/>
      <c r="C9" s="13" t="n"/>
      <c r="D9" s="14" t="n">
        <v>0</v>
      </c>
      <c r="E9" s="3" t="n"/>
      <c r="F9" s="3" t="n"/>
      <c r="G9" s="3" t="n"/>
      <c r="H9" s="42">
        <f>IF(OR(D9=0,G9=""),0,D9*G9)</f>
        <v/>
      </c>
      <c r="I9" s="42">
        <f>H9/1000</f>
        <v/>
      </c>
      <c r="J9" s="13" t="n"/>
      <c r="K9" s="13" t="n"/>
      <c r="L9" s="3" t="n"/>
    </row>
    <row r="10">
      <c r="A10" s="3" t="n">
        <v>4</v>
      </c>
      <c r="B10" s="13" t="n"/>
      <c r="C10" s="13" t="n"/>
      <c r="D10" s="14" t="n">
        <v>0</v>
      </c>
      <c r="E10" s="3" t="n"/>
      <c r="F10" s="3" t="n"/>
      <c r="G10" s="3" t="n"/>
      <c r="H10" s="42">
        <f>IF(OR(D10=0,G10=""),0,D10*G10)</f>
        <v/>
      </c>
      <c r="I10" s="42">
        <f>H10/1000</f>
        <v/>
      </c>
      <c r="J10" s="13" t="n"/>
      <c r="K10" s="13" t="n"/>
      <c r="L10" s="3" t="n"/>
    </row>
    <row r="11">
      <c r="A11" s="3" t="n">
        <v>5</v>
      </c>
      <c r="B11" s="13" t="n"/>
      <c r="C11" s="13" t="n"/>
      <c r="D11" s="14" t="n">
        <v>0</v>
      </c>
      <c r="E11" s="3" t="n"/>
      <c r="F11" s="3" t="n"/>
      <c r="G11" s="3" t="n"/>
      <c r="H11" s="42">
        <f>IF(OR(D11=0,G11=""),0,D11*G11)</f>
        <v/>
      </c>
      <c r="I11" s="42">
        <f>H11/1000</f>
        <v/>
      </c>
      <c r="J11" s="13" t="n"/>
      <c r="K11" s="13" t="n"/>
      <c r="L11" s="3" t="n"/>
    </row>
    <row r="12">
      <c r="A12" s="3" t="n">
        <v>6</v>
      </c>
      <c r="B12" s="13" t="n"/>
      <c r="C12" s="13" t="n"/>
      <c r="D12" s="14" t="n">
        <v>0</v>
      </c>
      <c r="E12" s="3" t="n"/>
      <c r="F12" s="3" t="n"/>
      <c r="G12" s="3" t="n"/>
      <c r="H12" s="42">
        <f>IF(OR(D12=0,G12=""),0,D12*G12)</f>
        <v/>
      </c>
      <c r="I12" s="42">
        <f>H12/1000</f>
        <v/>
      </c>
      <c r="J12" s="13" t="n"/>
      <c r="K12" s="13" t="n"/>
      <c r="L12" s="3" t="n"/>
    </row>
    <row r="13">
      <c r="A13" s="3" t="n">
        <v>7</v>
      </c>
      <c r="B13" s="13" t="n"/>
      <c r="C13" s="13" t="n"/>
      <c r="D13" s="14" t="n">
        <v>0</v>
      </c>
      <c r="E13" s="3" t="n"/>
      <c r="F13" s="3" t="n"/>
      <c r="G13" s="3" t="n"/>
      <c r="H13" s="42">
        <f>IF(OR(D13=0,G13=""),0,D13*G13)</f>
        <v/>
      </c>
      <c r="I13" s="42">
        <f>H13/1000</f>
        <v/>
      </c>
      <c r="J13" s="13" t="n"/>
      <c r="K13" s="13" t="n"/>
      <c r="L13" s="3" t="n"/>
    </row>
    <row r="14">
      <c r="A14" s="3" t="n">
        <v>8</v>
      </c>
      <c r="B14" s="13" t="n"/>
      <c r="C14" s="13" t="n"/>
      <c r="D14" s="14" t="n">
        <v>0</v>
      </c>
      <c r="E14" s="3" t="n"/>
      <c r="F14" s="3" t="n"/>
      <c r="G14" s="3" t="n"/>
      <c r="H14" s="42">
        <f>IF(OR(D14=0,G14=""),0,D14*G14)</f>
        <v/>
      </c>
      <c r="I14" s="42">
        <f>H14/1000</f>
        <v/>
      </c>
      <c r="J14" s="13" t="n"/>
      <c r="K14" s="13" t="n"/>
      <c r="L14" s="3" t="n"/>
    </row>
    <row r="15">
      <c r="A15" s="3" t="n">
        <v>9</v>
      </c>
      <c r="B15" s="13" t="n"/>
      <c r="C15" s="13" t="n"/>
      <c r="D15" s="14" t="n">
        <v>0</v>
      </c>
      <c r="E15" s="3" t="n"/>
      <c r="F15" s="3" t="n"/>
      <c r="G15" s="3" t="n"/>
      <c r="H15" s="42">
        <f>IF(OR(D15=0,G15=""),0,D15*G15)</f>
        <v/>
      </c>
      <c r="I15" s="42">
        <f>H15/1000</f>
        <v/>
      </c>
      <c r="J15" s="13" t="n"/>
      <c r="K15" s="13" t="n"/>
      <c r="L15" s="3" t="n"/>
    </row>
    <row r="16">
      <c r="A16" s="3" t="n">
        <v>10</v>
      </c>
      <c r="B16" s="13" t="n"/>
      <c r="C16" s="13" t="n"/>
      <c r="D16" s="14" t="n">
        <v>0</v>
      </c>
      <c r="E16" s="3" t="n"/>
      <c r="F16" s="3" t="n"/>
      <c r="G16" s="3" t="n"/>
      <c r="H16" s="42">
        <f>IF(OR(D16=0,G16=""),0,D16*G16)</f>
        <v/>
      </c>
      <c r="I16" s="42">
        <f>H16/1000</f>
        <v/>
      </c>
      <c r="J16" s="13" t="n"/>
      <c r="K16" s="13" t="n"/>
      <c r="L16" s="3" t="n"/>
    </row>
    <row r="17">
      <c r="A17" s="3" t="n">
        <v>11</v>
      </c>
      <c r="B17" s="13" t="n"/>
      <c r="C17" s="13" t="n"/>
      <c r="D17" s="14" t="n">
        <v>0</v>
      </c>
      <c r="E17" s="3" t="n"/>
      <c r="F17" s="3" t="n"/>
      <c r="G17" s="3" t="n"/>
      <c r="H17" s="42">
        <f>IF(OR(D17=0,G17=""),0,D17*G17)</f>
        <v/>
      </c>
      <c r="I17" s="42">
        <f>H17/1000</f>
        <v/>
      </c>
      <c r="J17" s="13" t="n"/>
      <c r="K17" s="13" t="n"/>
      <c r="L17" s="3" t="n"/>
    </row>
    <row r="18">
      <c r="A18" s="3" t="n">
        <v>12</v>
      </c>
      <c r="B18" s="13" t="n"/>
      <c r="C18" s="13" t="n"/>
      <c r="D18" s="14" t="n">
        <v>0</v>
      </c>
      <c r="E18" s="3" t="n"/>
      <c r="F18" s="3" t="n"/>
      <c r="G18" s="3" t="n"/>
      <c r="H18" s="42">
        <f>IF(OR(D18=0,G18=""),0,D18*G18)</f>
        <v/>
      </c>
      <c r="I18" s="42">
        <f>H18/1000</f>
        <v/>
      </c>
      <c r="J18" s="13" t="n"/>
      <c r="K18" s="13" t="n"/>
      <c r="L18" s="3" t="n"/>
    </row>
    <row r="19">
      <c r="A19" s="18" t="n"/>
      <c r="B19" s="18" t="inlineStr">
        <is>
          <t>SOUS-TOTAL Cat. 1</t>
        </is>
      </c>
      <c r="C19" s="18" t="n"/>
      <c r="D19" s="18" t="n"/>
      <c r="E19" s="18" t="n"/>
      <c r="F19" s="18" t="n"/>
      <c r="G19" s="18" t="n"/>
      <c r="H19" s="29">
        <f>SUM(H7:H18)</f>
        <v/>
      </c>
      <c r="I19" s="29">
        <f>SUM(I7:I18)</f>
        <v/>
      </c>
      <c r="J19" s="18" t="n"/>
      <c r="K19" s="18" t="n"/>
      <c r="L19" s="18" t="n"/>
    </row>
    <row r="21" ht="21.75" customHeight="1" s="847">
      <c r="A21" s="843" t="inlineStr">
        <is>
          <t>Catégorie 2 — Biens d'équipement (amont)</t>
        </is>
      </c>
      <c r="B21" s="994" t="n"/>
      <c r="C21" s="994" t="n"/>
      <c r="D21" s="994" t="n"/>
      <c r="E21" s="994" t="n"/>
      <c r="F21" s="994" t="n"/>
      <c r="G21" s="994" t="n"/>
      <c r="H21" s="994" t="n"/>
      <c r="I21" s="994" t="n"/>
      <c r="J21" s="994" t="n"/>
      <c r="K21" s="994" t="n"/>
      <c r="L21" s="994" t="n"/>
    </row>
    <row r="22">
      <c r="A22" s="892" t="inlineStr">
        <is>
          <t>Immobilisations : ordinateurs, mobilier, véhicules, machines, bâtiments. Amortir sur durée de vie.</t>
        </is>
      </c>
    </row>
    <row r="23" ht="30" customHeight="1" s="847">
      <c r="A23" s="2" t="inlineStr">
        <is>
          <t>Ligne</t>
        </is>
      </c>
      <c r="B23" s="2" t="inlineStr">
        <is>
          <t>Description</t>
        </is>
      </c>
      <c r="C23" s="2" t="inlineStr">
        <is>
          <t>Matériau/Service</t>
        </is>
      </c>
      <c r="D23" s="2" t="inlineStr">
        <is>
          <t>Quantité</t>
        </is>
      </c>
      <c r="E23" s="2" t="inlineStr">
        <is>
          <t>Unité</t>
        </is>
      </c>
      <c r="F23" s="2" t="inlineStr">
        <is>
          <t>ID FE</t>
        </is>
      </c>
      <c r="G23" s="2" t="inlineStr">
        <is>
          <t>FE (kgCO2e/u)</t>
        </is>
      </c>
      <c r="H23" s="2" t="inlineStr">
        <is>
          <t>Émissions (kgCO2e)</t>
        </is>
      </c>
      <c r="I23" s="2" t="inlineStr">
        <is>
          <t>Émissions (tCO2e)</t>
        </is>
      </c>
      <c r="J23" s="2" t="inlineStr">
        <is>
          <t>Qualité</t>
        </is>
      </c>
      <c r="K23" s="2" t="inlineStr">
        <is>
          <t>Méthode</t>
        </is>
      </c>
      <c r="L23" s="2" t="inlineStr">
        <is>
          <t>Incertitude (%)</t>
        </is>
      </c>
    </row>
    <row r="24">
      <c r="A24" s="3" t="n">
        <v>1</v>
      </c>
      <c r="B24" s="13" t="n"/>
      <c r="C24" s="13" t="n"/>
      <c r="D24" s="14" t="n">
        <v>0</v>
      </c>
      <c r="E24" s="3" t="n"/>
      <c r="F24" s="3" t="n"/>
      <c r="G24" s="3" t="n"/>
      <c r="H24" s="42">
        <f>IF(OR(D24=0,G24=""),0,D24*G24)</f>
        <v/>
      </c>
      <c r="I24" s="42">
        <f>H24/1000</f>
        <v/>
      </c>
      <c r="J24" s="13" t="n"/>
      <c r="K24" s="13" t="n"/>
      <c r="L24" s="3" t="n"/>
    </row>
    <row r="25">
      <c r="A25" s="3" t="n">
        <v>2</v>
      </c>
      <c r="B25" s="13" t="n"/>
      <c r="C25" s="13" t="n"/>
      <c r="D25" s="14" t="n">
        <v>0</v>
      </c>
      <c r="E25" s="3" t="n"/>
      <c r="F25" s="3" t="n"/>
      <c r="G25" s="3" t="n"/>
      <c r="H25" s="42">
        <f>IF(OR(D25=0,G25=""),0,D25*G25)</f>
        <v/>
      </c>
      <c r="I25" s="42">
        <f>H25/1000</f>
        <v/>
      </c>
      <c r="J25" s="13" t="n"/>
      <c r="K25" s="13" t="n"/>
      <c r="L25" s="3" t="n"/>
    </row>
    <row r="26">
      <c r="A26" s="3" t="n">
        <v>3</v>
      </c>
      <c r="B26" s="13" t="n"/>
      <c r="C26" s="13" t="n"/>
      <c r="D26" s="14" t="n">
        <v>0</v>
      </c>
      <c r="E26" s="3" t="n"/>
      <c r="F26" s="3" t="n"/>
      <c r="G26" s="3" t="n"/>
      <c r="H26" s="42">
        <f>IF(OR(D26=0,G26=""),0,D26*G26)</f>
        <v/>
      </c>
      <c r="I26" s="42">
        <f>H26/1000</f>
        <v/>
      </c>
      <c r="J26" s="13" t="n"/>
      <c r="K26" s="13" t="n"/>
      <c r="L26" s="3" t="n"/>
    </row>
    <row r="27">
      <c r="A27" s="3" t="n">
        <v>4</v>
      </c>
      <c r="B27" s="13" t="n"/>
      <c r="C27" s="13" t="n"/>
      <c r="D27" s="14" t="n">
        <v>0</v>
      </c>
      <c r="E27" s="3" t="n"/>
      <c r="F27" s="3" t="n"/>
      <c r="G27" s="3" t="n"/>
      <c r="H27" s="42">
        <f>IF(OR(D27=0,G27=""),0,D27*G27)</f>
        <v/>
      </c>
      <c r="I27" s="42">
        <f>H27/1000</f>
        <v/>
      </c>
      <c r="J27" s="13" t="n"/>
      <c r="K27" s="13" t="n"/>
      <c r="L27" s="3" t="n"/>
    </row>
    <row r="28">
      <c r="A28" s="3" t="n">
        <v>5</v>
      </c>
      <c r="B28" s="13" t="n"/>
      <c r="C28" s="13" t="n"/>
      <c r="D28" s="14" t="n">
        <v>0</v>
      </c>
      <c r="E28" s="3" t="n"/>
      <c r="F28" s="3" t="n"/>
      <c r="G28" s="3" t="n"/>
      <c r="H28" s="42">
        <f>IF(OR(D28=0,G28=""),0,D28*G28)</f>
        <v/>
      </c>
      <c r="I28" s="42">
        <f>H28/1000</f>
        <v/>
      </c>
      <c r="J28" s="13" t="n"/>
      <c r="K28" s="13" t="n"/>
      <c r="L28" s="3" t="n"/>
    </row>
    <row r="29">
      <c r="A29" s="3" t="n">
        <v>6</v>
      </c>
      <c r="B29" s="13" t="n"/>
      <c r="C29" s="13" t="n"/>
      <c r="D29" s="14" t="n">
        <v>0</v>
      </c>
      <c r="E29" s="3" t="n"/>
      <c r="F29" s="3" t="n"/>
      <c r="G29" s="3" t="n"/>
      <c r="H29" s="42">
        <f>IF(OR(D29=0,G29=""),0,D29*G29)</f>
        <v/>
      </c>
      <c r="I29" s="42">
        <f>H29/1000</f>
        <v/>
      </c>
      <c r="J29" s="13" t="n"/>
      <c r="K29" s="13" t="n"/>
      <c r="L29" s="3" t="n"/>
    </row>
    <row r="30">
      <c r="A30" s="18" t="n"/>
      <c r="B30" s="18" t="inlineStr">
        <is>
          <t>SOUS-TOTAL Cat. 2</t>
        </is>
      </c>
      <c r="C30" s="18" t="n"/>
      <c r="D30" s="18" t="n"/>
      <c r="E30" s="18" t="n"/>
      <c r="F30" s="18" t="n"/>
      <c r="G30" s="18" t="n"/>
      <c r="H30" s="29">
        <f>SUM(H24:H29)</f>
        <v/>
      </c>
      <c r="I30" s="29">
        <f>SUM(I24:I29)</f>
        <v/>
      </c>
      <c r="J30" s="18" t="n"/>
      <c r="K30" s="18" t="n"/>
      <c r="L30" s="18" t="n"/>
    </row>
    <row r="32" ht="21.75" customHeight="1" s="847">
      <c r="A32" s="843" t="inlineStr">
        <is>
          <t>Catégorie 3 — Activités liées aux combustibles et à l'énergie (amont)</t>
        </is>
      </c>
      <c r="B32" s="994" t="n"/>
      <c r="C32" s="994" t="n"/>
      <c r="D32" s="994" t="n"/>
      <c r="E32" s="994" t="n"/>
      <c r="F32" s="994" t="n"/>
      <c r="G32" s="994" t="n"/>
      <c r="H32" s="994" t="n"/>
      <c r="I32" s="994" t="n"/>
      <c r="J32" s="994" t="n"/>
      <c r="K32" s="994" t="n"/>
      <c r="L32" s="994" t="n"/>
    </row>
    <row r="33">
      <c r="A33" s="892" t="inlineStr">
        <is>
          <t>CALCULÉE AUTOMATIQUEMENT à partir des données Scope 1 et Scope 2.</t>
        </is>
      </c>
    </row>
    <row r="34" ht="30" customHeight="1" s="847">
      <c r="A34" s="2" t="inlineStr">
        <is>
          <t>Ligne</t>
        </is>
      </c>
      <c r="B34" s="2" t="inlineStr">
        <is>
          <t>Description</t>
        </is>
      </c>
      <c r="C34" s="2" t="inlineStr">
        <is>
          <t>Matériau/Service</t>
        </is>
      </c>
      <c r="D34" s="2" t="inlineStr">
        <is>
          <t>Quantité</t>
        </is>
      </c>
      <c r="E34" s="2" t="inlineStr">
        <is>
          <t>Unité</t>
        </is>
      </c>
      <c r="F34" s="2" t="inlineStr">
        <is>
          <t>ID FE</t>
        </is>
      </c>
      <c r="G34" s="2" t="inlineStr">
        <is>
          <t>FE (kgCO2e/u)</t>
        </is>
      </c>
      <c r="H34" s="2" t="inlineStr">
        <is>
          <t>Émissions (kgCO2e)</t>
        </is>
      </c>
      <c r="I34" s="2" t="inlineStr">
        <is>
          <t>Émissions (tCO2e)</t>
        </is>
      </c>
      <c r="J34" s="2" t="inlineStr">
        <is>
          <t>Qualité</t>
        </is>
      </c>
      <c r="K34" s="2" t="inlineStr">
        <is>
          <t>Méthode</t>
        </is>
      </c>
      <c r="L34" s="2" t="inlineStr">
        <is>
          <t>Incertitude (%)</t>
        </is>
      </c>
    </row>
    <row r="35">
      <c r="A35" s="3" t="n"/>
      <c r="B35" s="3" t="inlineStr">
        <is>
          <t>Émissions amont des combustibles (Scope 1)</t>
        </is>
      </c>
      <c r="C35" s="3" t="n"/>
      <c r="D35" s="3" t="n"/>
      <c r="E35" s="3" t="n"/>
      <c r="F35" s="3" t="n"/>
      <c r="G35" s="3" t="n"/>
      <c r="H35" s="28">
        <f>Scope_1!K57</f>
        <v/>
      </c>
      <c r="I35" s="28">
        <f>H35/1000</f>
        <v/>
      </c>
      <c r="J35" s="3" t="n">
        <v>2</v>
      </c>
      <c r="K35" s="3" t="inlineStr">
        <is>
          <t>Données primaires</t>
        </is>
      </c>
      <c r="L35" s="3" t="n"/>
    </row>
    <row r="36">
      <c r="A36" s="3" t="n"/>
      <c r="B36" s="3" t="inlineStr">
        <is>
          <t>Émissions amont production et T&amp;D électricité</t>
        </is>
      </c>
      <c r="C36" s="3" t="n"/>
      <c r="D36" s="3" t="n"/>
      <c r="E36" s="3" t="n"/>
      <c r="F36" s="3" t="n"/>
      <c r="G36" s="3" t="n"/>
      <c r="H36" s="28">
        <f>Scope_2!G17</f>
        <v/>
      </c>
      <c r="I36" s="28">
        <f>H36/1000</f>
        <v/>
      </c>
      <c r="J36" s="3" t="n">
        <v>2</v>
      </c>
      <c r="K36" s="3" t="inlineStr">
        <is>
          <t>Données primaires</t>
        </is>
      </c>
      <c r="L36" s="3" t="n"/>
    </row>
    <row r="37">
      <c r="A37" s="3" t="n"/>
      <c r="B37" s="3" t="inlineStr">
        <is>
          <t>Pertes transport &amp; distribution</t>
        </is>
      </c>
      <c r="C37" s="3" t="n"/>
      <c r="D37" s="3" t="n"/>
      <c r="E37" s="3" t="n"/>
      <c r="F37" s="3" t="n"/>
      <c r="G37" s="3" t="n"/>
      <c r="H37" s="28">
        <f>Scope_2!G18</f>
        <v/>
      </c>
      <c r="I37" s="28">
        <f>H37/1000</f>
        <v/>
      </c>
      <c r="J37" s="3" t="n">
        <v>2</v>
      </c>
      <c r="K37" s="3" t="inlineStr">
        <is>
          <t>Données primaires</t>
        </is>
      </c>
      <c r="L37" s="3" t="n"/>
    </row>
    <row r="38">
      <c r="A38" s="18" t="n"/>
      <c r="B38" s="18" t="inlineStr">
        <is>
          <t>SOUS-TOTAL Cat. 3</t>
        </is>
      </c>
      <c r="C38" s="18" t="n"/>
      <c r="D38" s="18" t="n"/>
      <c r="E38" s="18" t="n"/>
      <c r="F38" s="18" t="n"/>
      <c r="G38" s="18" t="n"/>
      <c r="H38" s="29">
        <f>SUM(H35:H37)</f>
        <v/>
      </c>
      <c r="I38" s="29">
        <f>SUM(I35:I37)</f>
        <v/>
      </c>
      <c r="J38" s="18" t="n"/>
      <c r="K38" s="18" t="n"/>
      <c r="L38" s="18" t="n"/>
    </row>
    <row r="40" ht="21.75" customHeight="1" s="847">
      <c r="A40" s="843" t="inlineStr">
        <is>
          <t>Catégorie 4 — Transport et distribution amont</t>
        </is>
      </c>
      <c r="B40" s="994" t="n"/>
      <c r="C40" s="994" t="n"/>
      <c r="D40" s="994" t="n"/>
      <c r="E40" s="994" t="n"/>
      <c r="F40" s="994" t="n"/>
      <c r="G40" s="994" t="n"/>
      <c r="H40" s="994" t="n"/>
      <c r="I40" s="994" t="n"/>
      <c r="J40" s="994" t="n"/>
      <c r="K40" s="994" t="n"/>
      <c r="L40" s="994" t="n"/>
    </row>
    <row r="41">
      <c r="A41" s="892" t="inlineStr">
        <is>
          <t>Transport marchandises achetées. Formule : tonnes × km × FE (kgCO2e/t.km)</t>
        </is>
      </c>
    </row>
    <row r="42" ht="30" customHeight="1" s="847">
      <c r="A42" s="2" t="inlineStr">
        <is>
          <t>Ligne</t>
        </is>
      </c>
      <c r="B42" s="2" t="inlineStr">
        <is>
          <t>Description</t>
        </is>
      </c>
      <c r="C42" s="2" t="inlineStr">
        <is>
          <t>Matériau/Service</t>
        </is>
      </c>
      <c r="D42" s="2" t="inlineStr">
        <is>
          <t>Quantité</t>
        </is>
      </c>
      <c r="E42" s="2" t="inlineStr">
        <is>
          <t>Unité</t>
        </is>
      </c>
      <c r="F42" s="2" t="inlineStr">
        <is>
          <t>ID FE</t>
        </is>
      </c>
      <c r="G42" s="2" t="inlineStr">
        <is>
          <t>FE (kgCO2e/u)</t>
        </is>
      </c>
      <c r="H42" s="2" t="inlineStr">
        <is>
          <t>Émissions (kgCO2e)</t>
        </is>
      </c>
      <c r="I42" s="2" t="inlineStr">
        <is>
          <t>Émissions (tCO2e)</t>
        </is>
      </c>
      <c r="J42" s="2" t="inlineStr">
        <is>
          <t>Qualité</t>
        </is>
      </c>
      <c r="K42" s="2" t="inlineStr">
        <is>
          <t>Méthode</t>
        </is>
      </c>
      <c r="L42" s="2" t="inlineStr">
        <is>
          <t>Incertitude (%)</t>
        </is>
      </c>
    </row>
    <row r="43">
      <c r="A43" s="3" t="n">
        <v>1</v>
      </c>
      <c r="B43" s="13" t="n"/>
      <c r="C43" s="13" t="n"/>
      <c r="D43" s="14" t="n">
        <v>0</v>
      </c>
      <c r="E43" s="3" t="n"/>
      <c r="F43" s="3" t="n"/>
      <c r="G43" s="3" t="n"/>
      <c r="H43" s="42">
        <f>IF(OR(D43=0,G43=""),0,D43*G43)</f>
        <v/>
      </c>
      <c r="I43" s="42">
        <f>H43/1000</f>
        <v/>
      </c>
      <c r="J43" s="13" t="n"/>
      <c r="K43" s="13" t="n"/>
      <c r="L43" s="3" t="n"/>
    </row>
    <row r="44">
      <c r="A44" s="3" t="n">
        <v>2</v>
      </c>
      <c r="B44" s="13" t="n"/>
      <c r="C44" s="13" t="n"/>
      <c r="D44" s="14" t="n">
        <v>0</v>
      </c>
      <c r="E44" s="3" t="n"/>
      <c r="F44" s="3" t="n"/>
      <c r="G44" s="3" t="n"/>
      <c r="H44" s="42">
        <f>IF(OR(D44=0,G44=""),0,D44*G44)</f>
        <v/>
      </c>
      <c r="I44" s="42">
        <f>H44/1000</f>
        <v/>
      </c>
      <c r="J44" s="13" t="n"/>
      <c r="K44" s="13" t="n"/>
      <c r="L44" s="3" t="n"/>
    </row>
    <row r="45">
      <c r="A45" s="3" t="n">
        <v>3</v>
      </c>
      <c r="B45" s="13" t="n"/>
      <c r="C45" s="13" t="n"/>
      <c r="D45" s="14" t="n">
        <v>0</v>
      </c>
      <c r="E45" s="3" t="n"/>
      <c r="F45" s="3" t="n"/>
      <c r="G45" s="3" t="n"/>
      <c r="H45" s="42">
        <f>IF(OR(D45=0,G45=""),0,D45*G45)</f>
        <v/>
      </c>
      <c r="I45" s="42">
        <f>H45/1000</f>
        <v/>
      </c>
      <c r="J45" s="13" t="n"/>
      <c r="K45" s="13" t="n"/>
      <c r="L45" s="3" t="n"/>
    </row>
    <row r="46">
      <c r="A46" s="3" t="n">
        <v>4</v>
      </c>
      <c r="B46" s="13" t="n"/>
      <c r="C46" s="13" t="n"/>
      <c r="D46" s="14" t="n">
        <v>0</v>
      </c>
      <c r="E46" s="3" t="n"/>
      <c r="F46" s="3" t="n"/>
      <c r="G46" s="3" t="n"/>
      <c r="H46" s="42">
        <f>IF(OR(D46=0,G46=""),0,D46*G46)</f>
        <v/>
      </c>
      <c r="I46" s="42">
        <f>H46/1000</f>
        <v/>
      </c>
      <c r="J46" s="13" t="n"/>
      <c r="K46" s="13" t="n"/>
      <c r="L46" s="3" t="n"/>
    </row>
    <row r="47">
      <c r="A47" s="3" t="n">
        <v>5</v>
      </c>
      <c r="B47" s="13" t="n"/>
      <c r="C47" s="13" t="n"/>
      <c r="D47" s="14" t="n">
        <v>0</v>
      </c>
      <c r="E47" s="3" t="n"/>
      <c r="F47" s="3" t="n"/>
      <c r="G47" s="3" t="n"/>
      <c r="H47" s="42">
        <f>IF(OR(D47=0,G47=""),0,D47*G47)</f>
        <v/>
      </c>
      <c r="I47" s="42">
        <f>H47/1000</f>
        <v/>
      </c>
      <c r="J47" s="13" t="n"/>
      <c r="K47" s="13" t="n"/>
      <c r="L47" s="3" t="n"/>
    </row>
    <row r="48">
      <c r="A48" s="3" t="n">
        <v>6</v>
      </c>
      <c r="B48" s="13" t="n"/>
      <c r="C48" s="13" t="n"/>
      <c r="D48" s="14" t="n">
        <v>0</v>
      </c>
      <c r="E48" s="3" t="n"/>
      <c r="F48" s="3" t="n"/>
      <c r="G48" s="3" t="n"/>
      <c r="H48" s="42">
        <f>IF(OR(D48=0,G48=""),0,D48*G48)</f>
        <v/>
      </c>
      <c r="I48" s="42">
        <f>H48/1000</f>
        <v/>
      </c>
      <c r="J48" s="13" t="n"/>
      <c r="K48" s="13" t="n"/>
      <c r="L48" s="3" t="n"/>
    </row>
    <row r="49">
      <c r="A49" s="3" t="n">
        <v>7</v>
      </c>
      <c r="B49" s="13" t="n"/>
      <c r="C49" s="13" t="n"/>
      <c r="D49" s="14" t="n">
        <v>0</v>
      </c>
      <c r="E49" s="3" t="n"/>
      <c r="F49" s="3" t="n"/>
      <c r="G49" s="3" t="n"/>
      <c r="H49" s="42">
        <f>IF(OR(D49=0,G49=""),0,D49*G49)</f>
        <v/>
      </c>
      <c r="I49" s="42">
        <f>H49/1000</f>
        <v/>
      </c>
      <c r="J49" s="13" t="n"/>
      <c r="K49" s="13" t="n"/>
      <c r="L49" s="3" t="n"/>
    </row>
    <row r="50">
      <c r="A50" s="3" t="n">
        <v>8</v>
      </c>
      <c r="B50" s="13" t="n"/>
      <c r="C50" s="13" t="n"/>
      <c r="D50" s="14" t="n">
        <v>0</v>
      </c>
      <c r="E50" s="3" t="n"/>
      <c r="F50" s="3" t="n"/>
      <c r="G50" s="3" t="n"/>
      <c r="H50" s="42">
        <f>IF(OR(D50=0,G50=""),0,D50*G50)</f>
        <v/>
      </c>
      <c r="I50" s="42">
        <f>H50/1000</f>
        <v/>
      </c>
      <c r="J50" s="13" t="n"/>
      <c r="K50" s="13" t="n"/>
      <c r="L50" s="3" t="n"/>
    </row>
    <row r="51">
      <c r="A51" s="18" t="n"/>
      <c r="B51" s="18" t="inlineStr">
        <is>
          <t>SOUS-TOTAL Cat. 4</t>
        </is>
      </c>
      <c r="C51" s="18" t="n"/>
      <c r="D51" s="18" t="n"/>
      <c r="E51" s="18" t="n"/>
      <c r="F51" s="18" t="n"/>
      <c r="G51" s="18" t="n"/>
      <c r="H51" s="29">
        <f>SUM(H43:H50)</f>
        <v/>
      </c>
      <c r="I51" s="29">
        <f>SUM(I43:I50)</f>
        <v/>
      </c>
      <c r="J51" s="18" t="n"/>
      <c r="K51" s="18" t="n"/>
      <c r="L51" s="18" t="n"/>
    </row>
    <row r="53" ht="21.75" customHeight="1" s="847">
      <c r="A53" s="843" t="inlineStr">
        <is>
          <t>Catégorie 5 — Déchets générés (exploitation)</t>
        </is>
      </c>
      <c r="B53" s="994" t="n"/>
      <c r="C53" s="994" t="n"/>
      <c r="D53" s="994" t="n"/>
      <c r="E53" s="994" t="n"/>
      <c r="F53" s="994" t="n"/>
      <c r="G53" s="994" t="n"/>
      <c r="H53" s="994" t="n"/>
      <c r="I53" s="994" t="n"/>
      <c r="J53" s="994" t="n"/>
      <c r="K53" s="994" t="n"/>
      <c r="L53" s="994" t="n"/>
    </row>
    <row r="54">
      <c r="A54" s="892" t="inlineStr">
        <is>
          <t>Référence automatique vers l'onglet Dechets.</t>
        </is>
      </c>
    </row>
    <row r="55" ht="30" customHeight="1" s="847">
      <c r="A55" s="2" t="inlineStr">
        <is>
          <t>Ligne</t>
        </is>
      </c>
      <c r="B55" s="2" t="inlineStr">
        <is>
          <t>Description</t>
        </is>
      </c>
      <c r="C55" s="2" t="inlineStr">
        <is>
          <t>Matériau/Service</t>
        </is>
      </c>
      <c r="D55" s="2" t="inlineStr">
        <is>
          <t>Quantité</t>
        </is>
      </c>
      <c r="E55" s="2" t="inlineStr">
        <is>
          <t>Unité</t>
        </is>
      </c>
      <c r="F55" s="2" t="inlineStr">
        <is>
          <t>ID FE</t>
        </is>
      </c>
      <c r="G55" s="2" t="inlineStr">
        <is>
          <t>FE (kgCO2e/u)</t>
        </is>
      </c>
      <c r="H55" s="2" t="inlineStr">
        <is>
          <t>Émissions (kgCO2e)</t>
        </is>
      </c>
      <c r="I55" s="2" t="inlineStr">
        <is>
          <t>Émissions (tCO2e)</t>
        </is>
      </c>
      <c r="J55" s="2" t="inlineStr">
        <is>
          <t>Qualité</t>
        </is>
      </c>
      <c r="K55" s="2" t="inlineStr">
        <is>
          <t>Méthode</t>
        </is>
      </c>
      <c r="L55" s="2" t="inlineStr">
        <is>
          <t>Incertitude (%)</t>
        </is>
      </c>
    </row>
    <row r="56">
      <c r="A56" s="3" t="n"/>
      <c r="B56" s="3" t="inlineStr">
        <is>
          <t>Total déchets (voir onglet Dechets)</t>
        </is>
      </c>
      <c r="C56" s="3" t="n"/>
      <c r="D56" s="3" t="n"/>
      <c r="E56" s="3" t="n"/>
      <c r="F56" s="3" t="n"/>
      <c r="G56" s="3" t="n"/>
      <c r="H56" s="28">
        <f>Dechets!F13</f>
        <v/>
      </c>
      <c r="I56" s="28">
        <f>H56/1000</f>
        <v/>
      </c>
      <c r="J56" s="3" t="n">
        <v>2</v>
      </c>
      <c r="K56" s="3" t="inlineStr">
        <is>
          <t>Données primaires</t>
        </is>
      </c>
      <c r="L56" s="3" t="n"/>
    </row>
    <row r="57">
      <c r="A57" s="18" t="n"/>
      <c r="B57" s="18" t="inlineStr">
        <is>
          <t>SOUS-TOTAL Cat. 5</t>
        </is>
      </c>
      <c r="C57" s="18" t="n"/>
      <c r="D57" s="18" t="n"/>
      <c r="E57" s="18" t="n"/>
      <c r="F57" s="18" t="n"/>
      <c r="G57" s="18" t="n"/>
      <c r="H57" s="29">
        <f>SUM(H56:H56)</f>
        <v/>
      </c>
      <c r="I57" s="29">
        <f>SUM(I56:I56)</f>
        <v/>
      </c>
      <c r="J57" s="18" t="n"/>
      <c r="K57" s="18" t="n"/>
      <c r="L57" s="18" t="n"/>
    </row>
    <row r="59" ht="21.75" customHeight="1" s="847">
      <c r="A59" s="843" t="inlineStr">
        <is>
          <t>Catégorie 6 — Déplacements professionnels</t>
        </is>
      </c>
      <c r="B59" s="994" t="n"/>
      <c r="C59" s="994" t="n"/>
      <c r="D59" s="994" t="n"/>
      <c r="E59" s="994" t="n"/>
      <c r="F59" s="994" t="n"/>
      <c r="G59" s="994" t="n"/>
      <c r="H59" s="994" t="n"/>
      <c r="I59" s="994" t="n"/>
      <c r="J59" s="994" t="n"/>
      <c r="K59" s="994" t="n"/>
      <c r="L59" s="994" t="n"/>
    </row>
    <row r="60">
      <c r="A60" s="892" t="inlineStr">
        <is>
          <t>Référence automatique vers l'onglet Transport.</t>
        </is>
      </c>
    </row>
    <row r="61" ht="30" customHeight="1" s="847">
      <c r="A61" s="2" t="inlineStr">
        <is>
          <t>Ligne</t>
        </is>
      </c>
      <c r="B61" s="2" t="inlineStr">
        <is>
          <t>Description</t>
        </is>
      </c>
      <c r="C61" s="2" t="inlineStr">
        <is>
          <t>Matériau/Service</t>
        </is>
      </c>
      <c r="D61" s="2" t="inlineStr">
        <is>
          <t>Quantité</t>
        </is>
      </c>
      <c r="E61" s="2" t="inlineStr">
        <is>
          <t>Unité</t>
        </is>
      </c>
      <c r="F61" s="2" t="inlineStr">
        <is>
          <t>ID FE</t>
        </is>
      </c>
      <c r="G61" s="2" t="inlineStr">
        <is>
          <t>FE (kgCO2e/u)</t>
        </is>
      </c>
      <c r="H61" s="2" t="inlineStr">
        <is>
          <t>Émissions (kgCO2e)</t>
        </is>
      </c>
      <c r="I61" s="2" t="inlineStr">
        <is>
          <t>Émissions (tCO2e)</t>
        </is>
      </c>
      <c r="J61" s="2" t="inlineStr">
        <is>
          <t>Qualité</t>
        </is>
      </c>
      <c r="K61" s="2" t="inlineStr">
        <is>
          <t>Méthode</t>
        </is>
      </c>
      <c r="L61" s="2" t="inlineStr">
        <is>
          <t>Incertitude (%)</t>
        </is>
      </c>
    </row>
    <row r="62">
      <c r="A62" s="3" t="n"/>
      <c r="B62" s="3" t="inlineStr">
        <is>
          <t>Total déplacements professionnels</t>
        </is>
      </c>
      <c r="C62" s="3" t="n"/>
      <c r="D62" s="3" t="n"/>
      <c r="E62" s="3" t="n"/>
      <c r="F62" s="3" t="n"/>
      <c r="G62" s="3" t="n"/>
      <c r="H62" s="28">
        <f>Transport!I17</f>
        <v/>
      </c>
      <c r="I62" s="28">
        <f>H62/1000</f>
        <v/>
      </c>
      <c r="J62" s="3" t="n">
        <v>2</v>
      </c>
      <c r="K62" s="3" t="inlineStr">
        <is>
          <t>Données primaires</t>
        </is>
      </c>
      <c r="L62" s="3" t="n"/>
    </row>
    <row r="63">
      <c r="A63" s="18" t="n"/>
      <c r="B63" s="18" t="inlineStr">
        <is>
          <t>SOUS-TOTAL Cat. 6</t>
        </is>
      </c>
      <c r="C63" s="18" t="n"/>
      <c r="D63" s="18" t="n"/>
      <c r="E63" s="18" t="n"/>
      <c r="F63" s="18" t="n"/>
      <c r="G63" s="18" t="n"/>
      <c r="H63" s="29">
        <f>SUM(H62:H62)</f>
        <v/>
      </c>
      <c r="I63" s="29">
        <f>SUM(I62:I62)</f>
        <v/>
      </c>
      <c r="J63" s="18" t="n"/>
      <c r="K63" s="18" t="n"/>
      <c r="L63" s="18" t="n"/>
    </row>
    <row r="65" ht="21.75" customHeight="1" s="847">
      <c r="A65" s="843" t="inlineStr">
        <is>
          <t>Catégorie 7 — Déplacements domicile-travail</t>
        </is>
      </c>
      <c r="B65" s="994" t="n"/>
      <c r="C65" s="994" t="n"/>
      <c r="D65" s="994" t="n"/>
      <c r="E65" s="994" t="n"/>
      <c r="F65" s="994" t="n"/>
      <c r="G65" s="994" t="n"/>
      <c r="H65" s="994" t="n"/>
      <c r="I65" s="994" t="n"/>
      <c r="J65" s="994" t="n"/>
      <c r="K65" s="994" t="n"/>
      <c r="L65" s="994" t="n"/>
    </row>
    <row r="66">
      <c r="A66" s="892" t="inlineStr">
        <is>
          <t>Référence automatique vers l'onglet Transport.</t>
        </is>
      </c>
    </row>
    <row r="67" ht="30" customHeight="1" s="847">
      <c r="A67" s="2" t="inlineStr">
        <is>
          <t>Ligne</t>
        </is>
      </c>
      <c r="B67" s="2" t="inlineStr">
        <is>
          <t>Description</t>
        </is>
      </c>
      <c r="C67" s="2" t="inlineStr">
        <is>
          <t>Matériau/Service</t>
        </is>
      </c>
      <c r="D67" s="2" t="inlineStr">
        <is>
          <t>Quantité</t>
        </is>
      </c>
      <c r="E67" s="2" t="inlineStr">
        <is>
          <t>Unité</t>
        </is>
      </c>
      <c r="F67" s="2" t="inlineStr">
        <is>
          <t>ID FE</t>
        </is>
      </c>
      <c r="G67" s="2" t="inlineStr">
        <is>
          <t>FE (kgCO2e/u)</t>
        </is>
      </c>
      <c r="H67" s="2" t="inlineStr">
        <is>
          <t>Émissions (kgCO2e)</t>
        </is>
      </c>
      <c r="I67" s="2" t="inlineStr">
        <is>
          <t>Émissions (tCO2e)</t>
        </is>
      </c>
      <c r="J67" s="2" t="inlineStr">
        <is>
          <t>Qualité</t>
        </is>
      </c>
      <c r="K67" s="2" t="inlineStr">
        <is>
          <t>Méthode</t>
        </is>
      </c>
      <c r="L67" s="2" t="inlineStr">
        <is>
          <t>Incertitude (%)</t>
        </is>
      </c>
    </row>
    <row r="68">
      <c r="A68" s="3" t="n"/>
      <c r="B68" s="3" t="inlineStr">
        <is>
          <t>Total domicile-travail</t>
        </is>
      </c>
      <c r="C68" s="3" t="n"/>
      <c r="D68" s="3" t="n"/>
      <c r="E68" s="3" t="n"/>
      <c r="F68" s="3" t="n"/>
      <c r="G68" s="3" t="n"/>
      <c r="H68" s="28">
        <f>Transport!H29</f>
        <v/>
      </c>
      <c r="I68" s="28">
        <f>H68/1000</f>
        <v/>
      </c>
      <c r="J68" s="3" t="n">
        <v>2</v>
      </c>
      <c r="K68" s="3" t="inlineStr">
        <is>
          <t>Données primaires</t>
        </is>
      </c>
      <c r="L68" s="3" t="n"/>
    </row>
    <row r="69">
      <c r="A69" s="18" t="n"/>
      <c r="B69" s="18" t="inlineStr">
        <is>
          <t>SOUS-TOTAL Cat. 7</t>
        </is>
      </c>
      <c r="C69" s="18" t="n"/>
      <c r="D69" s="18" t="n"/>
      <c r="E69" s="18" t="n"/>
      <c r="F69" s="18" t="n"/>
      <c r="G69" s="18" t="n"/>
      <c r="H69" s="29">
        <f>SUM(H68:H68)</f>
        <v/>
      </c>
      <c r="I69" s="29">
        <f>SUM(I68:I68)</f>
        <v/>
      </c>
      <c r="J69" s="18" t="n"/>
      <c r="K69" s="18" t="n"/>
      <c r="L69" s="18" t="n"/>
    </row>
    <row r="71" ht="21.75" customHeight="1" s="847">
      <c r="A71" s="843" t="inlineStr">
        <is>
          <t>Catégorie 8 — Actifs loués amont</t>
        </is>
      </c>
      <c r="B71" s="994" t="n"/>
      <c r="C71" s="994" t="n"/>
      <c r="D71" s="994" t="n"/>
      <c r="E71" s="994" t="n"/>
      <c r="F71" s="994" t="n"/>
      <c r="G71" s="994" t="n"/>
      <c r="H71" s="994" t="n"/>
      <c r="I71" s="994" t="n"/>
      <c r="J71" s="994" t="n"/>
      <c r="K71" s="994" t="n"/>
      <c r="L71" s="994" t="n"/>
    </row>
    <row r="72">
      <c r="A72" s="892" t="inlineStr">
        <is>
          <t>Saisie manuelle — Actifs loués amont</t>
        </is>
      </c>
    </row>
    <row r="73" ht="30" customHeight="1" s="847">
      <c r="A73" s="2" t="inlineStr">
        <is>
          <t>Ligne</t>
        </is>
      </c>
      <c r="B73" s="2" t="inlineStr">
        <is>
          <t>Description</t>
        </is>
      </c>
      <c r="C73" s="2" t="inlineStr">
        <is>
          <t>Matériau/Service</t>
        </is>
      </c>
      <c r="D73" s="2" t="inlineStr">
        <is>
          <t>Quantité</t>
        </is>
      </c>
      <c r="E73" s="2" t="inlineStr">
        <is>
          <t>Unité</t>
        </is>
      </c>
      <c r="F73" s="2" t="inlineStr">
        <is>
          <t>ID FE</t>
        </is>
      </c>
      <c r="G73" s="2" t="inlineStr">
        <is>
          <t>FE (kgCO2e/u)</t>
        </is>
      </c>
      <c r="H73" s="2" t="inlineStr">
        <is>
          <t>Émissions (kgCO2e)</t>
        </is>
      </c>
      <c r="I73" s="2" t="inlineStr">
        <is>
          <t>Émissions (tCO2e)</t>
        </is>
      </c>
      <c r="J73" s="2" t="inlineStr">
        <is>
          <t>Qualité</t>
        </is>
      </c>
      <c r="K73" s="2" t="inlineStr">
        <is>
          <t>Méthode</t>
        </is>
      </c>
      <c r="L73" s="2" t="inlineStr">
        <is>
          <t>Incertitude (%)</t>
        </is>
      </c>
    </row>
    <row r="74">
      <c r="A74" s="3" t="n">
        <v>1</v>
      </c>
      <c r="B74" s="13" t="n"/>
      <c r="C74" s="13" t="n"/>
      <c r="D74" s="14" t="n">
        <v>0</v>
      </c>
      <c r="E74" s="3" t="n"/>
      <c r="F74" s="3" t="n"/>
      <c r="G74" s="3" t="n"/>
      <c r="H74" s="42">
        <f>IF(OR(D74=0,G74=""),0,D74*G74)</f>
        <v/>
      </c>
      <c r="I74" s="42">
        <f>H74/1000</f>
        <v/>
      </c>
      <c r="J74" s="13" t="n"/>
      <c r="K74" s="13" t="n"/>
      <c r="L74" s="3" t="n"/>
    </row>
    <row r="75">
      <c r="A75" s="3" t="n">
        <v>2</v>
      </c>
      <c r="B75" s="13" t="n"/>
      <c r="C75" s="13" t="n"/>
      <c r="D75" s="14" t="n">
        <v>0</v>
      </c>
      <c r="E75" s="3" t="n"/>
      <c r="F75" s="3" t="n"/>
      <c r="G75" s="3" t="n"/>
      <c r="H75" s="42">
        <f>IF(OR(D75=0,G75=""),0,D75*G75)</f>
        <v/>
      </c>
      <c r="I75" s="42">
        <f>H75/1000</f>
        <v/>
      </c>
      <c r="J75" s="13" t="n"/>
      <c r="K75" s="13" t="n"/>
      <c r="L75" s="3" t="n"/>
    </row>
    <row r="76">
      <c r="A76" s="3" t="n">
        <v>3</v>
      </c>
      <c r="B76" s="13" t="n"/>
      <c r="C76" s="13" t="n"/>
      <c r="D76" s="14" t="n">
        <v>0</v>
      </c>
      <c r="E76" s="3" t="n"/>
      <c r="F76" s="3" t="n"/>
      <c r="G76" s="3" t="n"/>
      <c r="H76" s="42">
        <f>IF(OR(D76=0,G76=""),0,D76*G76)</f>
        <v/>
      </c>
      <c r="I76" s="42">
        <f>H76/1000</f>
        <v/>
      </c>
      <c r="J76" s="13" t="n"/>
      <c r="K76" s="13" t="n"/>
      <c r="L76" s="3" t="n"/>
    </row>
    <row r="77">
      <c r="A77" s="18" t="n"/>
      <c r="B77" s="18" t="inlineStr">
        <is>
          <t>SOUS-TOTAL Cat. 8</t>
        </is>
      </c>
      <c r="C77" s="18" t="n"/>
      <c r="D77" s="18" t="n"/>
      <c r="E77" s="18" t="n"/>
      <c r="F77" s="18" t="n"/>
      <c r="G77" s="18" t="n"/>
      <c r="H77" s="29">
        <f>SUM(H74:H76)</f>
        <v/>
      </c>
      <c r="I77" s="29">
        <f>SUM(I74:I76)</f>
        <v/>
      </c>
      <c r="J77" s="18" t="n"/>
      <c r="K77" s="18" t="n"/>
      <c r="L77" s="18" t="n"/>
    </row>
    <row r="79" ht="21.75" customHeight="1" s="847">
      <c r="A79" s="843" t="inlineStr">
        <is>
          <t>Catégorie 9 — Transport et distribution aval</t>
        </is>
      </c>
      <c r="B79" s="994" t="n"/>
      <c r="C79" s="994" t="n"/>
      <c r="D79" s="994" t="n"/>
      <c r="E79" s="994" t="n"/>
      <c r="F79" s="994" t="n"/>
      <c r="G79" s="994" t="n"/>
      <c r="H79" s="994" t="n"/>
      <c r="I79" s="994" t="n"/>
      <c r="J79" s="994" t="n"/>
      <c r="K79" s="994" t="n"/>
      <c r="L79" s="994" t="n"/>
    </row>
    <row r="80">
      <c r="A80" s="892" t="inlineStr">
        <is>
          <t>Saisie manuelle — Transport et distribution aval</t>
        </is>
      </c>
    </row>
    <row r="81" ht="30" customHeight="1" s="847">
      <c r="A81" s="2" t="inlineStr">
        <is>
          <t>Ligne</t>
        </is>
      </c>
      <c r="B81" s="2" t="inlineStr">
        <is>
          <t>Description</t>
        </is>
      </c>
      <c r="C81" s="2" t="inlineStr">
        <is>
          <t>Matériau/Service</t>
        </is>
      </c>
      <c r="D81" s="2" t="inlineStr">
        <is>
          <t>Quantité</t>
        </is>
      </c>
      <c r="E81" s="2" t="inlineStr">
        <is>
          <t>Unité</t>
        </is>
      </c>
      <c r="F81" s="2" t="inlineStr">
        <is>
          <t>ID FE</t>
        </is>
      </c>
      <c r="G81" s="2" t="inlineStr">
        <is>
          <t>FE (kgCO2e/u)</t>
        </is>
      </c>
      <c r="H81" s="2" t="inlineStr">
        <is>
          <t>Émissions (kgCO2e)</t>
        </is>
      </c>
      <c r="I81" s="2" t="inlineStr">
        <is>
          <t>Émissions (tCO2e)</t>
        </is>
      </c>
      <c r="J81" s="2" t="inlineStr">
        <is>
          <t>Qualité</t>
        </is>
      </c>
      <c r="K81" s="2" t="inlineStr">
        <is>
          <t>Méthode</t>
        </is>
      </c>
      <c r="L81" s="2" t="inlineStr">
        <is>
          <t>Incertitude (%)</t>
        </is>
      </c>
    </row>
    <row r="82">
      <c r="A82" s="3" t="n">
        <v>1</v>
      </c>
      <c r="B82" s="13" t="n"/>
      <c r="C82" s="13" t="n"/>
      <c r="D82" s="14" t="n">
        <v>0</v>
      </c>
      <c r="E82" s="3" t="n"/>
      <c r="F82" s="3" t="n"/>
      <c r="G82" s="3" t="n"/>
      <c r="H82" s="42">
        <f>IF(OR(D82=0,G82=""),0,D82*G82)</f>
        <v/>
      </c>
      <c r="I82" s="42">
        <f>H82/1000</f>
        <v/>
      </c>
      <c r="J82" s="13" t="n"/>
      <c r="K82" s="13" t="n"/>
      <c r="L82" s="3" t="n"/>
    </row>
    <row r="83">
      <c r="A83" s="3" t="n">
        <v>2</v>
      </c>
      <c r="B83" s="13" t="n"/>
      <c r="C83" s="13" t="n"/>
      <c r="D83" s="14" t="n">
        <v>0</v>
      </c>
      <c r="E83" s="3" t="n"/>
      <c r="F83" s="3" t="n"/>
      <c r="G83" s="3" t="n"/>
      <c r="H83" s="42">
        <f>IF(OR(D83=0,G83=""),0,D83*G83)</f>
        <v/>
      </c>
      <c r="I83" s="42">
        <f>H83/1000</f>
        <v/>
      </c>
      <c r="J83" s="13" t="n"/>
      <c r="K83" s="13" t="n"/>
      <c r="L83" s="3" t="n"/>
    </row>
    <row r="84">
      <c r="A84" s="3" t="n">
        <v>3</v>
      </c>
      <c r="B84" s="13" t="n"/>
      <c r="C84" s="13" t="n"/>
      <c r="D84" s="14" t="n">
        <v>0</v>
      </c>
      <c r="E84" s="3" t="n"/>
      <c r="F84" s="3" t="n"/>
      <c r="G84" s="3" t="n"/>
      <c r="H84" s="42">
        <f>IF(OR(D84=0,G84=""),0,D84*G84)</f>
        <v/>
      </c>
      <c r="I84" s="42">
        <f>H84/1000</f>
        <v/>
      </c>
      <c r="J84" s="13" t="n"/>
      <c r="K84" s="13" t="n"/>
      <c r="L84" s="3" t="n"/>
    </row>
    <row r="85">
      <c r="A85" s="3" t="n">
        <v>4</v>
      </c>
      <c r="B85" s="13" t="n"/>
      <c r="C85" s="13" t="n"/>
      <c r="D85" s="14" t="n">
        <v>0</v>
      </c>
      <c r="E85" s="3" t="n"/>
      <c r="F85" s="3" t="n"/>
      <c r="G85" s="3" t="n"/>
      <c r="H85" s="42">
        <f>IF(OR(D85=0,G85=""),0,D85*G85)</f>
        <v/>
      </c>
      <c r="I85" s="42">
        <f>H85/1000</f>
        <v/>
      </c>
      <c r="J85" s="13" t="n"/>
      <c r="K85" s="13" t="n"/>
      <c r="L85" s="3" t="n"/>
    </row>
    <row r="86">
      <c r="A86" s="3" t="n">
        <v>5</v>
      </c>
      <c r="B86" s="13" t="n"/>
      <c r="C86" s="13" t="n"/>
      <c r="D86" s="14" t="n">
        <v>0</v>
      </c>
      <c r="E86" s="3" t="n"/>
      <c r="F86" s="3" t="n"/>
      <c r="G86" s="3" t="n"/>
      <c r="H86" s="42">
        <f>IF(OR(D86=0,G86=""),0,D86*G86)</f>
        <v/>
      </c>
      <c r="I86" s="42">
        <f>H86/1000</f>
        <v/>
      </c>
      <c r="J86" s="13" t="n"/>
      <c r="K86" s="13" t="n"/>
      <c r="L86" s="3" t="n"/>
    </row>
    <row r="87">
      <c r="A87" s="18" t="n"/>
      <c r="B87" s="18" t="inlineStr">
        <is>
          <t>SOUS-TOTAL Cat. 9</t>
        </is>
      </c>
      <c r="C87" s="18" t="n"/>
      <c r="D87" s="18" t="n"/>
      <c r="E87" s="18" t="n"/>
      <c r="F87" s="18" t="n"/>
      <c r="G87" s="18" t="n"/>
      <c r="H87" s="29">
        <f>SUM(H82:H86)</f>
        <v/>
      </c>
      <c r="I87" s="29">
        <f>SUM(I82:I86)</f>
        <v/>
      </c>
      <c r="J87" s="18" t="n"/>
      <c r="K87" s="18" t="n"/>
      <c r="L87" s="18" t="n"/>
    </row>
    <row r="89" ht="21.75" customHeight="1" s="847">
      <c r="A89" s="843" t="inlineStr">
        <is>
          <t>Catégorie 10 — Transformation des produits vendus</t>
        </is>
      </c>
      <c r="B89" s="994" t="n"/>
      <c r="C89" s="994" t="n"/>
      <c r="D89" s="994" t="n"/>
      <c r="E89" s="994" t="n"/>
      <c r="F89" s="994" t="n"/>
      <c r="G89" s="994" t="n"/>
      <c r="H89" s="994" t="n"/>
      <c r="I89" s="994" t="n"/>
      <c r="J89" s="994" t="n"/>
      <c r="K89" s="994" t="n"/>
      <c r="L89" s="994" t="n"/>
    </row>
    <row r="90">
      <c r="A90" s="892" t="inlineStr">
        <is>
          <t>Saisie manuelle — Transformation des produits vendus</t>
        </is>
      </c>
    </row>
    <row r="91" ht="30" customHeight="1" s="847">
      <c r="A91" s="2" t="inlineStr">
        <is>
          <t>Ligne</t>
        </is>
      </c>
      <c r="B91" s="2" t="inlineStr">
        <is>
          <t>Description</t>
        </is>
      </c>
      <c r="C91" s="2" t="inlineStr">
        <is>
          <t>Matériau/Service</t>
        </is>
      </c>
      <c r="D91" s="2" t="inlineStr">
        <is>
          <t>Quantité</t>
        </is>
      </c>
      <c r="E91" s="2" t="inlineStr">
        <is>
          <t>Unité</t>
        </is>
      </c>
      <c r="F91" s="2" t="inlineStr">
        <is>
          <t>ID FE</t>
        </is>
      </c>
      <c r="G91" s="2" t="inlineStr">
        <is>
          <t>FE (kgCO2e/u)</t>
        </is>
      </c>
      <c r="H91" s="2" t="inlineStr">
        <is>
          <t>Émissions (kgCO2e)</t>
        </is>
      </c>
      <c r="I91" s="2" t="inlineStr">
        <is>
          <t>Émissions (tCO2e)</t>
        </is>
      </c>
      <c r="J91" s="2" t="inlineStr">
        <is>
          <t>Qualité</t>
        </is>
      </c>
      <c r="K91" s="2" t="inlineStr">
        <is>
          <t>Méthode</t>
        </is>
      </c>
      <c r="L91" s="2" t="inlineStr">
        <is>
          <t>Incertitude (%)</t>
        </is>
      </c>
    </row>
    <row r="92">
      <c r="A92" s="3" t="n">
        <v>1</v>
      </c>
      <c r="B92" s="13" t="n"/>
      <c r="C92" s="13" t="n"/>
      <c r="D92" s="14" t="n">
        <v>0</v>
      </c>
      <c r="E92" s="3" t="n"/>
      <c r="F92" s="3" t="n"/>
      <c r="G92" s="3" t="n"/>
      <c r="H92" s="42">
        <f>IF(OR(D92=0,G92=""),0,D92*G92)</f>
        <v/>
      </c>
      <c r="I92" s="42">
        <f>H92/1000</f>
        <v/>
      </c>
      <c r="J92" s="13" t="n"/>
      <c r="K92" s="13" t="n"/>
      <c r="L92" s="3" t="n"/>
    </row>
    <row r="93">
      <c r="A93" s="3" t="n">
        <v>2</v>
      </c>
      <c r="B93" s="13" t="n"/>
      <c r="C93" s="13" t="n"/>
      <c r="D93" s="14" t="n">
        <v>0</v>
      </c>
      <c r="E93" s="3" t="n"/>
      <c r="F93" s="3" t="n"/>
      <c r="G93" s="3" t="n"/>
      <c r="H93" s="42">
        <f>IF(OR(D93=0,G93=""),0,D93*G93)</f>
        <v/>
      </c>
      <c r="I93" s="42">
        <f>H93/1000</f>
        <v/>
      </c>
      <c r="J93" s="13" t="n"/>
      <c r="K93" s="13" t="n"/>
      <c r="L93" s="3" t="n"/>
    </row>
    <row r="94">
      <c r="A94" s="3" t="n">
        <v>3</v>
      </c>
      <c r="B94" s="13" t="n"/>
      <c r="C94" s="13" t="n"/>
      <c r="D94" s="14" t="n">
        <v>0</v>
      </c>
      <c r="E94" s="3" t="n"/>
      <c r="F94" s="3" t="n"/>
      <c r="G94" s="3" t="n"/>
      <c r="H94" s="42">
        <f>IF(OR(D94=0,G94=""),0,D94*G94)</f>
        <v/>
      </c>
      <c r="I94" s="42">
        <f>H94/1000</f>
        <v/>
      </c>
      <c r="J94" s="13" t="n"/>
      <c r="K94" s="13" t="n"/>
      <c r="L94" s="3" t="n"/>
    </row>
    <row r="95">
      <c r="A95" s="18" t="n"/>
      <c r="B95" s="18" t="inlineStr">
        <is>
          <t>SOUS-TOTAL Cat. 10</t>
        </is>
      </c>
      <c r="C95" s="18" t="n"/>
      <c r="D95" s="18" t="n"/>
      <c r="E95" s="18" t="n"/>
      <c r="F95" s="18" t="n"/>
      <c r="G95" s="18" t="n"/>
      <c r="H95" s="29">
        <f>SUM(H92:H94)</f>
        <v/>
      </c>
      <c r="I95" s="29">
        <f>SUM(I92:I94)</f>
        <v/>
      </c>
      <c r="J95" s="18" t="n"/>
      <c r="K95" s="18" t="n"/>
      <c r="L95" s="18" t="n"/>
    </row>
    <row r="97" ht="21.75" customHeight="1" s="847">
      <c r="A97" s="843" t="inlineStr">
        <is>
          <t>Catégorie 11 — Utilisation des produits vendus</t>
        </is>
      </c>
      <c r="B97" s="994" t="n"/>
      <c r="C97" s="994" t="n"/>
      <c r="D97" s="994" t="n"/>
      <c r="E97" s="994" t="n"/>
      <c r="F97" s="994" t="n"/>
      <c r="G97" s="994" t="n"/>
      <c r="H97" s="994" t="n"/>
      <c r="I97" s="994" t="n"/>
      <c r="J97" s="994" t="n"/>
      <c r="K97" s="994" t="n"/>
      <c r="L97" s="994" t="n"/>
    </row>
    <row r="98">
      <c r="A98" s="892" t="inlineStr">
        <is>
          <t>Saisie manuelle — Utilisation des produits vendus</t>
        </is>
      </c>
    </row>
    <row r="99" ht="30" customHeight="1" s="847">
      <c r="A99" s="2" t="inlineStr">
        <is>
          <t>Ligne</t>
        </is>
      </c>
      <c r="B99" s="2" t="inlineStr">
        <is>
          <t>Description</t>
        </is>
      </c>
      <c r="C99" s="2" t="inlineStr">
        <is>
          <t>Matériau/Service</t>
        </is>
      </c>
      <c r="D99" s="2" t="inlineStr">
        <is>
          <t>Quantité</t>
        </is>
      </c>
      <c r="E99" s="2" t="inlineStr">
        <is>
          <t>Unité</t>
        </is>
      </c>
      <c r="F99" s="2" t="inlineStr">
        <is>
          <t>ID FE</t>
        </is>
      </c>
      <c r="G99" s="2" t="inlineStr">
        <is>
          <t>FE (kgCO2e/u)</t>
        </is>
      </c>
      <c r="H99" s="2" t="inlineStr">
        <is>
          <t>Émissions (kgCO2e)</t>
        </is>
      </c>
      <c r="I99" s="2" t="inlineStr">
        <is>
          <t>Émissions (tCO2e)</t>
        </is>
      </c>
      <c r="J99" s="2" t="inlineStr">
        <is>
          <t>Qualité</t>
        </is>
      </c>
      <c r="K99" s="2" t="inlineStr">
        <is>
          <t>Méthode</t>
        </is>
      </c>
      <c r="L99" s="2" t="inlineStr">
        <is>
          <t>Incertitude (%)</t>
        </is>
      </c>
    </row>
    <row r="100">
      <c r="A100" s="3" t="n">
        <v>1</v>
      </c>
      <c r="B100" s="13" t="n"/>
      <c r="C100" s="13" t="n"/>
      <c r="D100" s="14" t="n">
        <v>0</v>
      </c>
      <c r="E100" s="3" t="n"/>
      <c r="F100" s="3" t="n"/>
      <c r="G100" s="3" t="n"/>
      <c r="H100" s="42">
        <f>IF(OR(D100=0,G100=""),0,D100*G100)</f>
        <v/>
      </c>
      <c r="I100" s="42">
        <f>H100/1000</f>
        <v/>
      </c>
      <c r="J100" s="13" t="n"/>
      <c r="K100" s="13" t="n"/>
      <c r="L100" s="3" t="n"/>
    </row>
    <row r="101">
      <c r="A101" s="3" t="n">
        <v>2</v>
      </c>
      <c r="B101" s="13" t="n"/>
      <c r="C101" s="13" t="n"/>
      <c r="D101" s="14" t="n">
        <v>0</v>
      </c>
      <c r="E101" s="3" t="n"/>
      <c r="F101" s="3" t="n"/>
      <c r="G101" s="3" t="n"/>
      <c r="H101" s="42">
        <f>IF(OR(D101=0,G101=""),0,D101*G101)</f>
        <v/>
      </c>
      <c r="I101" s="42">
        <f>H101/1000</f>
        <v/>
      </c>
      <c r="J101" s="13" t="n"/>
      <c r="K101" s="13" t="n"/>
      <c r="L101" s="3" t="n"/>
    </row>
    <row r="102">
      <c r="A102" s="3" t="n">
        <v>3</v>
      </c>
      <c r="B102" s="13" t="n"/>
      <c r="C102" s="13" t="n"/>
      <c r="D102" s="14" t="n">
        <v>0</v>
      </c>
      <c r="E102" s="3" t="n"/>
      <c r="F102" s="3" t="n"/>
      <c r="G102" s="3" t="n"/>
      <c r="H102" s="42">
        <f>IF(OR(D102=0,G102=""),0,D102*G102)</f>
        <v/>
      </c>
      <c r="I102" s="42">
        <f>H102/1000</f>
        <v/>
      </c>
      <c r="J102" s="13" t="n"/>
      <c r="K102" s="13" t="n"/>
      <c r="L102" s="3" t="n"/>
    </row>
    <row r="103">
      <c r="A103" s="3" t="n">
        <v>4</v>
      </c>
      <c r="B103" s="13" t="n"/>
      <c r="C103" s="13" t="n"/>
      <c r="D103" s="14" t="n">
        <v>0</v>
      </c>
      <c r="E103" s="3" t="n"/>
      <c r="F103" s="3" t="n"/>
      <c r="G103" s="3" t="n"/>
      <c r="H103" s="42">
        <f>IF(OR(D103=0,G103=""),0,D103*G103)</f>
        <v/>
      </c>
      <c r="I103" s="42">
        <f>H103/1000</f>
        <v/>
      </c>
      <c r="J103" s="13" t="n"/>
      <c r="K103" s="13" t="n"/>
      <c r="L103" s="3" t="n"/>
    </row>
    <row r="104">
      <c r="A104" s="3" t="n">
        <v>5</v>
      </c>
      <c r="B104" s="13" t="n"/>
      <c r="C104" s="13" t="n"/>
      <c r="D104" s="14" t="n">
        <v>0</v>
      </c>
      <c r="E104" s="3" t="n"/>
      <c r="F104" s="3" t="n"/>
      <c r="G104" s="3" t="n"/>
      <c r="H104" s="42">
        <f>IF(OR(D104=0,G104=""),0,D104*G104)</f>
        <v/>
      </c>
      <c r="I104" s="42">
        <f>H104/1000</f>
        <v/>
      </c>
      <c r="J104" s="13" t="n"/>
      <c r="K104" s="13" t="n"/>
      <c r="L104" s="3" t="n"/>
    </row>
    <row r="105">
      <c r="A105" s="18" t="n"/>
      <c r="B105" s="18" t="inlineStr">
        <is>
          <t>SOUS-TOTAL Cat. 11</t>
        </is>
      </c>
      <c r="C105" s="18" t="n"/>
      <c r="D105" s="18" t="n"/>
      <c r="E105" s="18" t="n"/>
      <c r="F105" s="18" t="n"/>
      <c r="G105" s="18" t="n"/>
      <c r="H105" s="29">
        <f>SUM(H100:H104)</f>
        <v/>
      </c>
      <c r="I105" s="29">
        <f>SUM(I100:I104)</f>
        <v/>
      </c>
      <c r="J105" s="18" t="n"/>
      <c r="K105" s="18" t="n"/>
      <c r="L105" s="18" t="n"/>
    </row>
    <row r="107" ht="21.75" customHeight="1" s="847">
      <c r="A107" s="843" t="inlineStr">
        <is>
          <t>Catégorie 12 — Fin de vie des produits vendus</t>
        </is>
      </c>
      <c r="B107" s="994" t="n"/>
      <c r="C107" s="994" t="n"/>
      <c r="D107" s="994" t="n"/>
      <c r="E107" s="994" t="n"/>
      <c r="F107" s="994" t="n"/>
      <c r="G107" s="994" t="n"/>
      <c r="H107" s="994" t="n"/>
      <c r="I107" s="994" t="n"/>
      <c r="J107" s="994" t="n"/>
      <c r="K107" s="994" t="n"/>
      <c r="L107" s="994" t="n"/>
    </row>
    <row r="108">
      <c r="A108" s="892" t="inlineStr">
        <is>
          <t>Saisie manuelle — Fin de vie des produits vendus</t>
        </is>
      </c>
    </row>
    <row r="109" ht="30" customHeight="1" s="847">
      <c r="A109" s="2" t="inlineStr">
        <is>
          <t>Ligne</t>
        </is>
      </c>
      <c r="B109" s="2" t="inlineStr">
        <is>
          <t>Description</t>
        </is>
      </c>
      <c r="C109" s="2" t="inlineStr">
        <is>
          <t>Matériau/Service</t>
        </is>
      </c>
      <c r="D109" s="2" t="inlineStr">
        <is>
          <t>Quantité</t>
        </is>
      </c>
      <c r="E109" s="2" t="inlineStr">
        <is>
          <t>Unité</t>
        </is>
      </c>
      <c r="F109" s="2" t="inlineStr">
        <is>
          <t>ID FE</t>
        </is>
      </c>
      <c r="G109" s="2" t="inlineStr">
        <is>
          <t>FE (kgCO2e/u)</t>
        </is>
      </c>
      <c r="H109" s="2" t="inlineStr">
        <is>
          <t>Émissions (kgCO2e)</t>
        </is>
      </c>
      <c r="I109" s="2" t="inlineStr">
        <is>
          <t>Émissions (tCO2e)</t>
        </is>
      </c>
      <c r="J109" s="2" t="inlineStr">
        <is>
          <t>Qualité</t>
        </is>
      </c>
      <c r="K109" s="2" t="inlineStr">
        <is>
          <t>Méthode</t>
        </is>
      </c>
      <c r="L109" s="2" t="inlineStr">
        <is>
          <t>Incertitude (%)</t>
        </is>
      </c>
    </row>
    <row r="110">
      <c r="A110" s="3" t="n">
        <v>1</v>
      </c>
      <c r="B110" s="13" t="n"/>
      <c r="C110" s="13" t="n"/>
      <c r="D110" s="14" t="n">
        <v>0</v>
      </c>
      <c r="E110" s="3" t="n"/>
      <c r="F110" s="3" t="n"/>
      <c r="G110" s="3" t="n"/>
      <c r="H110" s="42">
        <f>IF(OR(D110=0,G110=""),0,D110*G110)</f>
        <v/>
      </c>
      <c r="I110" s="42">
        <f>H110/1000</f>
        <v/>
      </c>
      <c r="J110" s="13" t="n"/>
      <c r="K110" s="13" t="n"/>
      <c r="L110" s="3" t="n"/>
    </row>
    <row r="111">
      <c r="A111" s="3" t="n">
        <v>2</v>
      </c>
      <c r="B111" s="13" t="n"/>
      <c r="C111" s="13" t="n"/>
      <c r="D111" s="14" t="n">
        <v>0</v>
      </c>
      <c r="E111" s="3" t="n"/>
      <c r="F111" s="3" t="n"/>
      <c r="G111" s="3" t="n"/>
      <c r="H111" s="42">
        <f>IF(OR(D111=0,G111=""),0,D111*G111)</f>
        <v/>
      </c>
      <c r="I111" s="42">
        <f>H111/1000</f>
        <v/>
      </c>
      <c r="J111" s="13" t="n"/>
      <c r="K111" s="13" t="n"/>
      <c r="L111" s="3" t="n"/>
    </row>
    <row r="112">
      <c r="A112" s="3" t="n">
        <v>3</v>
      </c>
      <c r="B112" s="13" t="n"/>
      <c r="C112" s="13" t="n"/>
      <c r="D112" s="14" t="n">
        <v>0</v>
      </c>
      <c r="E112" s="3" t="n"/>
      <c r="F112" s="3" t="n"/>
      <c r="G112" s="3" t="n"/>
      <c r="H112" s="42">
        <f>IF(OR(D112=0,G112=""),0,D112*G112)</f>
        <v/>
      </c>
      <c r="I112" s="42">
        <f>H112/1000</f>
        <v/>
      </c>
      <c r="J112" s="13" t="n"/>
      <c r="K112" s="13" t="n"/>
      <c r="L112" s="3" t="n"/>
    </row>
    <row r="113">
      <c r="A113" s="18" t="n"/>
      <c r="B113" s="18" t="inlineStr">
        <is>
          <t>SOUS-TOTAL Cat. 12</t>
        </is>
      </c>
      <c r="C113" s="18" t="n"/>
      <c r="D113" s="18" t="n"/>
      <c r="E113" s="18" t="n"/>
      <c r="F113" s="18" t="n"/>
      <c r="G113" s="18" t="n"/>
      <c r="H113" s="29">
        <f>SUM(H110:H112)</f>
        <v/>
      </c>
      <c r="I113" s="29">
        <f>SUM(I110:I112)</f>
        <v/>
      </c>
      <c r="J113" s="18" t="n"/>
      <c r="K113" s="18" t="n"/>
      <c r="L113" s="18" t="n"/>
    </row>
    <row r="115" ht="21.75" customHeight="1" s="847">
      <c r="A115" s="843" t="inlineStr">
        <is>
          <t>Catégorie 13 — Actifs loués aval</t>
        </is>
      </c>
      <c r="B115" s="994" t="n"/>
      <c r="C115" s="994" t="n"/>
      <c r="D115" s="994" t="n"/>
      <c r="E115" s="994" t="n"/>
      <c r="F115" s="994" t="n"/>
      <c r="G115" s="994" t="n"/>
      <c r="H115" s="994" t="n"/>
      <c r="I115" s="994" t="n"/>
      <c r="J115" s="994" t="n"/>
      <c r="K115" s="994" t="n"/>
      <c r="L115" s="994" t="n"/>
    </row>
    <row r="116">
      <c r="A116" s="892" t="inlineStr">
        <is>
          <t>Saisie manuelle — Actifs loués aval</t>
        </is>
      </c>
    </row>
    <row r="117" ht="30" customHeight="1" s="847">
      <c r="A117" s="2" t="inlineStr">
        <is>
          <t>Ligne</t>
        </is>
      </c>
      <c r="B117" s="2" t="inlineStr">
        <is>
          <t>Description</t>
        </is>
      </c>
      <c r="C117" s="2" t="inlineStr">
        <is>
          <t>Matériau/Service</t>
        </is>
      </c>
      <c r="D117" s="2" t="inlineStr">
        <is>
          <t>Quantité</t>
        </is>
      </c>
      <c r="E117" s="2" t="inlineStr">
        <is>
          <t>Unité</t>
        </is>
      </c>
      <c r="F117" s="2" t="inlineStr">
        <is>
          <t>ID FE</t>
        </is>
      </c>
      <c r="G117" s="2" t="inlineStr">
        <is>
          <t>FE (kgCO2e/u)</t>
        </is>
      </c>
      <c r="H117" s="2" t="inlineStr">
        <is>
          <t>Émissions (kgCO2e)</t>
        </is>
      </c>
      <c r="I117" s="2" t="inlineStr">
        <is>
          <t>Émissions (tCO2e)</t>
        </is>
      </c>
      <c r="J117" s="2" t="inlineStr">
        <is>
          <t>Qualité</t>
        </is>
      </c>
      <c r="K117" s="2" t="inlineStr">
        <is>
          <t>Méthode</t>
        </is>
      </c>
      <c r="L117" s="2" t="inlineStr">
        <is>
          <t>Incertitude (%)</t>
        </is>
      </c>
    </row>
    <row r="118">
      <c r="A118" s="3" t="n">
        <v>1</v>
      </c>
      <c r="B118" s="13" t="n"/>
      <c r="C118" s="13" t="n"/>
      <c r="D118" s="14" t="n">
        <v>0</v>
      </c>
      <c r="E118" s="3" t="n"/>
      <c r="F118" s="3" t="n"/>
      <c r="G118" s="3" t="n"/>
      <c r="H118" s="42">
        <f>IF(OR(D118=0,G118=""),0,D118*G118)</f>
        <v/>
      </c>
      <c r="I118" s="42">
        <f>H118/1000</f>
        <v/>
      </c>
      <c r="J118" s="13" t="n"/>
      <c r="K118" s="13" t="n"/>
      <c r="L118" s="3" t="n"/>
    </row>
    <row r="119">
      <c r="A119" s="3" t="n">
        <v>2</v>
      </c>
      <c r="B119" s="13" t="n"/>
      <c r="C119" s="13" t="n"/>
      <c r="D119" s="14" t="n">
        <v>0</v>
      </c>
      <c r="E119" s="3" t="n"/>
      <c r="F119" s="3" t="n"/>
      <c r="G119" s="3" t="n"/>
      <c r="H119" s="42">
        <f>IF(OR(D119=0,G119=""),0,D119*G119)</f>
        <v/>
      </c>
      <c r="I119" s="42">
        <f>H119/1000</f>
        <v/>
      </c>
      <c r="J119" s="13" t="n"/>
      <c r="K119" s="13" t="n"/>
      <c r="L119" s="3" t="n"/>
    </row>
    <row r="120">
      <c r="A120" s="3" t="n">
        <v>3</v>
      </c>
      <c r="B120" s="13" t="n"/>
      <c r="C120" s="13" t="n"/>
      <c r="D120" s="14" t="n">
        <v>0</v>
      </c>
      <c r="E120" s="3" t="n"/>
      <c r="F120" s="3" t="n"/>
      <c r="G120" s="3" t="n"/>
      <c r="H120" s="42">
        <f>IF(OR(D120=0,G120=""),0,D120*G120)</f>
        <v/>
      </c>
      <c r="I120" s="42">
        <f>H120/1000</f>
        <v/>
      </c>
      <c r="J120" s="13" t="n"/>
      <c r="K120" s="13" t="n"/>
      <c r="L120" s="3" t="n"/>
    </row>
    <row r="121">
      <c r="A121" s="18" t="n"/>
      <c r="B121" s="18" t="inlineStr">
        <is>
          <t>SOUS-TOTAL Cat. 13</t>
        </is>
      </c>
      <c r="C121" s="18" t="n"/>
      <c r="D121" s="18" t="n"/>
      <c r="E121" s="18" t="n"/>
      <c r="F121" s="18" t="n"/>
      <c r="G121" s="18" t="n"/>
      <c r="H121" s="29">
        <f>SUM(H118:H120)</f>
        <v/>
      </c>
      <c r="I121" s="29">
        <f>SUM(I118:I120)</f>
        <v/>
      </c>
      <c r="J121" s="18" t="n"/>
      <c r="K121" s="18" t="n"/>
      <c r="L121" s="18" t="n"/>
    </row>
    <row r="123" ht="21.75" customHeight="1" s="847">
      <c r="A123" s="843" t="inlineStr">
        <is>
          <t>Catégorie 14 — Franchises</t>
        </is>
      </c>
      <c r="B123" s="994" t="n"/>
      <c r="C123" s="994" t="n"/>
      <c r="D123" s="994" t="n"/>
      <c r="E123" s="994" t="n"/>
      <c r="F123" s="994" t="n"/>
      <c r="G123" s="994" t="n"/>
      <c r="H123" s="994" t="n"/>
      <c r="I123" s="994" t="n"/>
      <c r="J123" s="994" t="n"/>
      <c r="K123" s="994" t="n"/>
      <c r="L123" s="994" t="n"/>
    </row>
    <row r="124">
      <c r="A124" s="892" t="inlineStr">
        <is>
          <t>Saisie manuelle — Franchises</t>
        </is>
      </c>
    </row>
    <row r="125" ht="30" customHeight="1" s="847">
      <c r="A125" s="2" t="inlineStr">
        <is>
          <t>Ligne</t>
        </is>
      </c>
      <c r="B125" s="2" t="inlineStr">
        <is>
          <t>Description</t>
        </is>
      </c>
      <c r="C125" s="2" t="inlineStr">
        <is>
          <t>Matériau/Service</t>
        </is>
      </c>
      <c r="D125" s="2" t="inlineStr">
        <is>
          <t>Quantité</t>
        </is>
      </c>
      <c r="E125" s="2" t="inlineStr">
        <is>
          <t>Unité</t>
        </is>
      </c>
      <c r="F125" s="2" t="inlineStr">
        <is>
          <t>ID FE</t>
        </is>
      </c>
      <c r="G125" s="2" t="inlineStr">
        <is>
          <t>FE (kgCO2e/u)</t>
        </is>
      </c>
      <c r="H125" s="2" t="inlineStr">
        <is>
          <t>Émissions (kgCO2e)</t>
        </is>
      </c>
      <c r="I125" s="2" t="inlineStr">
        <is>
          <t>Émissions (tCO2e)</t>
        </is>
      </c>
      <c r="J125" s="2" t="inlineStr">
        <is>
          <t>Qualité</t>
        </is>
      </c>
      <c r="K125" s="2" t="inlineStr">
        <is>
          <t>Méthode</t>
        </is>
      </c>
      <c r="L125" s="2" t="inlineStr">
        <is>
          <t>Incertitude (%)</t>
        </is>
      </c>
    </row>
    <row r="126">
      <c r="A126" s="3" t="n">
        <v>1</v>
      </c>
      <c r="B126" s="13" t="n"/>
      <c r="C126" s="13" t="n"/>
      <c r="D126" s="14" t="n">
        <v>0</v>
      </c>
      <c r="E126" s="3" t="n"/>
      <c r="F126" s="3" t="n"/>
      <c r="G126" s="3" t="n"/>
      <c r="H126" s="42">
        <f>IF(OR(D126=0,G126=""),0,D126*G126)</f>
        <v/>
      </c>
      <c r="I126" s="42">
        <f>H126/1000</f>
        <v/>
      </c>
      <c r="J126" s="13" t="n"/>
      <c r="K126" s="13" t="n"/>
      <c r="L126" s="3" t="n"/>
    </row>
    <row r="127">
      <c r="A127" s="3" t="n">
        <v>2</v>
      </c>
      <c r="B127" s="13" t="n"/>
      <c r="C127" s="13" t="n"/>
      <c r="D127" s="14" t="n">
        <v>0</v>
      </c>
      <c r="E127" s="3" t="n"/>
      <c r="F127" s="3" t="n"/>
      <c r="G127" s="3" t="n"/>
      <c r="H127" s="42">
        <f>IF(OR(D127=0,G127=""),0,D127*G127)</f>
        <v/>
      </c>
      <c r="I127" s="42">
        <f>H127/1000</f>
        <v/>
      </c>
      <c r="J127" s="13" t="n"/>
      <c r="K127" s="13" t="n"/>
      <c r="L127" s="3" t="n"/>
    </row>
    <row r="128">
      <c r="A128" s="3" t="n">
        <v>3</v>
      </c>
      <c r="B128" s="13" t="n"/>
      <c r="C128" s="13" t="n"/>
      <c r="D128" s="14" t="n">
        <v>0</v>
      </c>
      <c r="E128" s="3" t="n"/>
      <c r="F128" s="3" t="n"/>
      <c r="G128" s="3" t="n"/>
      <c r="H128" s="42">
        <f>IF(OR(D128=0,G128=""),0,D128*G128)</f>
        <v/>
      </c>
      <c r="I128" s="42">
        <f>H128/1000</f>
        <v/>
      </c>
      <c r="J128" s="13" t="n"/>
      <c r="K128" s="13" t="n"/>
      <c r="L128" s="3" t="n"/>
    </row>
    <row r="129">
      <c r="A129" s="18" t="n"/>
      <c r="B129" s="18" t="inlineStr">
        <is>
          <t>SOUS-TOTAL Cat. 14</t>
        </is>
      </c>
      <c r="C129" s="18" t="n"/>
      <c r="D129" s="18" t="n"/>
      <c r="E129" s="18" t="n"/>
      <c r="F129" s="18" t="n"/>
      <c r="G129" s="18" t="n"/>
      <c r="H129" s="29">
        <f>SUM(H126:H128)</f>
        <v/>
      </c>
      <c r="I129" s="29">
        <f>SUM(I126:I128)</f>
        <v/>
      </c>
      <c r="J129" s="18" t="n"/>
      <c r="K129" s="18" t="n"/>
      <c r="L129" s="18" t="n"/>
    </row>
    <row r="131" ht="21.75" customHeight="1" s="847">
      <c r="A131" s="843" t="inlineStr">
        <is>
          <t>Catégorie 15 — Investissements</t>
        </is>
      </c>
      <c r="B131" s="994" t="n"/>
      <c r="C131" s="994" t="n"/>
      <c r="D131" s="994" t="n"/>
      <c r="E131" s="994" t="n"/>
      <c r="F131" s="994" t="n"/>
      <c r="G131" s="994" t="n"/>
      <c r="H131" s="994" t="n"/>
      <c r="I131" s="994" t="n"/>
      <c r="J131" s="994" t="n"/>
      <c r="K131" s="994" t="n"/>
      <c r="L131" s="994" t="n"/>
    </row>
    <row r="132">
      <c r="A132" s="892" t="inlineStr">
        <is>
          <t>Saisie manuelle — Investissements</t>
        </is>
      </c>
    </row>
    <row r="133" ht="30" customHeight="1" s="847">
      <c r="A133" s="2" t="inlineStr">
        <is>
          <t>Ligne</t>
        </is>
      </c>
      <c r="B133" s="2" t="inlineStr">
        <is>
          <t>Description</t>
        </is>
      </c>
      <c r="C133" s="2" t="inlineStr">
        <is>
          <t>Matériau/Service</t>
        </is>
      </c>
      <c r="D133" s="2" t="inlineStr">
        <is>
          <t>Quantité</t>
        </is>
      </c>
      <c r="E133" s="2" t="inlineStr">
        <is>
          <t>Unité</t>
        </is>
      </c>
      <c r="F133" s="2" t="inlineStr">
        <is>
          <t>ID FE</t>
        </is>
      </c>
      <c r="G133" s="2" t="inlineStr">
        <is>
          <t>FE (kgCO2e/u)</t>
        </is>
      </c>
      <c r="H133" s="2" t="inlineStr">
        <is>
          <t>Émissions (kgCO2e)</t>
        </is>
      </c>
      <c r="I133" s="2" t="inlineStr">
        <is>
          <t>Émissions (tCO2e)</t>
        </is>
      </c>
      <c r="J133" s="2" t="inlineStr">
        <is>
          <t>Qualité</t>
        </is>
      </c>
      <c r="K133" s="2" t="inlineStr">
        <is>
          <t>Méthode</t>
        </is>
      </c>
      <c r="L133" s="2" t="inlineStr">
        <is>
          <t>Incertitude (%)</t>
        </is>
      </c>
    </row>
    <row r="134">
      <c r="A134" s="3" t="n">
        <v>1</v>
      </c>
      <c r="B134" s="13" t="n"/>
      <c r="C134" s="13" t="n"/>
      <c r="D134" s="14" t="n">
        <v>0</v>
      </c>
      <c r="E134" s="3" t="n"/>
      <c r="F134" s="3" t="n"/>
      <c r="G134" s="3" t="n"/>
      <c r="H134" s="42">
        <f>IF(OR(D134=0,G134=""),0,D134*G134)</f>
        <v/>
      </c>
      <c r="I134" s="42">
        <f>H134/1000</f>
        <v/>
      </c>
      <c r="J134" s="13" t="n"/>
      <c r="K134" s="13" t="n"/>
      <c r="L134" s="3" t="n"/>
    </row>
    <row r="135">
      <c r="A135" s="3" t="n">
        <v>2</v>
      </c>
      <c r="B135" s="13" t="n"/>
      <c r="C135" s="13" t="n"/>
      <c r="D135" s="14" t="n">
        <v>0</v>
      </c>
      <c r="E135" s="3" t="n"/>
      <c r="F135" s="3" t="n"/>
      <c r="G135" s="3" t="n"/>
      <c r="H135" s="42">
        <f>IF(OR(D135=0,G135=""),0,D135*G135)</f>
        <v/>
      </c>
      <c r="I135" s="42">
        <f>H135/1000</f>
        <v/>
      </c>
      <c r="J135" s="13" t="n"/>
      <c r="K135" s="13" t="n"/>
      <c r="L135" s="3" t="n"/>
    </row>
    <row r="136">
      <c r="A136" s="3" t="n">
        <v>3</v>
      </c>
      <c r="B136" s="13" t="n"/>
      <c r="C136" s="13" t="n"/>
      <c r="D136" s="14" t="n">
        <v>0</v>
      </c>
      <c r="E136" s="3" t="n"/>
      <c r="F136" s="3" t="n"/>
      <c r="G136" s="3" t="n"/>
      <c r="H136" s="42">
        <f>IF(OR(D136=0,G136=""),0,D136*G136)</f>
        <v/>
      </c>
      <c r="I136" s="42">
        <f>H136/1000</f>
        <v/>
      </c>
      <c r="J136" s="13" t="n"/>
      <c r="K136" s="13" t="n"/>
      <c r="L136" s="3" t="n"/>
    </row>
    <row r="137">
      <c r="A137" s="18" t="n"/>
      <c r="B137" s="18" t="inlineStr">
        <is>
          <t>SOUS-TOTAL Cat. 15</t>
        </is>
      </c>
      <c r="C137" s="18" t="n"/>
      <c r="D137" s="18" t="n"/>
      <c r="E137" s="18" t="n"/>
      <c r="F137" s="18" t="n"/>
      <c r="G137" s="18" t="n"/>
      <c r="H137" s="29">
        <f>SUM(H134:H136)</f>
        <v/>
      </c>
      <c r="I137" s="29">
        <f>SUM(I134:I136)</f>
        <v/>
      </c>
      <c r="J137" s="18" t="n"/>
      <c r="K137" s="18" t="n"/>
      <c r="L137" s="18" t="n"/>
    </row>
    <row r="139" ht="15.75" customHeight="1" s="847">
      <c r="A139" s="894" t="inlineStr">
        <is>
          <t>TOTAL SCOPE 3 — ÉMISSIONS CHAÎNE DE VALEUR</t>
        </is>
      </c>
      <c r="B139" s="994" t="n"/>
      <c r="C139" s="994" t="n"/>
      <c r="D139" s="994" t="n"/>
      <c r="E139" s="994" t="n"/>
      <c r="F139" s="994" t="n"/>
      <c r="G139" s="1008" t="n"/>
      <c r="H139" s="33" t="n"/>
      <c r="I139" s="32">
        <f>I19+I30+I38+I51+I57+I63+I69+I77+I87+I95+I105+I113+I121+I129+I137</f>
        <v/>
      </c>
      <c r="J139" s="33" t="n"/>
      <c r="K139" s="33" t="n"/>
      <c r="L139" s="33" t="n"/>
    </row>
    <row r="142" ht="21.75" customHeight="1" s="847">
      <c r="A142" s="843" t="inlineStr">
        <is>
          <t>RÉCAPITULATIF 15 CATÉGORIES SCOPE 3</t>
        </is>
      </c>
      <c r="B142" s="994" t="n"/>
      <c r="C142" s="994" t="n"/>
      <c r="D142" s="994" t="n"/>
      <c r="E142" s="994" t="n"/>
      <c r="F142" s="994" t="n"/>
      <c r="G142" s="994" t="n"/>
    </row>
    <row r="143">
      <c r="A143" s="2" t="inlineStr">
        <is>
          <t>N°</t>
        </is>
      </c>
      <c r="B143" s="2" t="inlineStr">
        <is>
          <t>Catégorie</t>
        </is>
      </c>
      <c r="C143" s="2" t="inlineStr">
        <is>
          <t>tCO2e</t>
        </is>
      </c>
      <c r="D143" s="2" t="inlineStr">
        <is>
          <t>% Scope 3</t>
        </is>
      </c>
      <c r="E143" s="2" t="inlineStr">
        <is>
          <t>Significativité</t>
        </is>
      </c>
    </row>
    <row r="144">
      <c r="A144" s="3" t="n">
        <v>1</v>
      </c>
      <c r="B144" s="3" t="inlineStr">
        <is>
          <t>Achats de biens et services</t>
        </is>
      </c>
      <c r="C144" s="42">
        <f>I19</f>
        <v/>
      </c>
      <c r="D144" s="1009">
        <f>IF($I$139=0,0,C144/$I$139)</f>
        <v/>
      </c>
      <c r="E144" s="3">
        <f>IF(D144&gt;0.05,"SIGNIFICATIF","Non significatif")</f>
        <v/>
      </c>
    </row>
    <row r="145">
      <c r="A145" s="3" t="n">
        <v>2</v>
      </c>
      <c r="B145" s="3" t="inlineStr">
        <is>
          <t>Biens d'équipement</t>
        </is>
      </c>
      <c r="C145" s="42">
        <f>I30</f>
        <v/>
      </c>
      <c r="D145" s="1009">
        <f>IF($I$139=0,0,C145/$I$139)</f>
        <v/>
      </c>
      <c r="E145" s="3">
        <f>IF(D145&gt;0.05,"SIGNIFICATIF","Non significatif")</f>
        <v/>
      </c>
    </row>
    <row r="146">
      <c r="A146" s="3" t="n">
        <v>3</v>
      </c>
      <c r="B146" s="3" t="inlineStr">
        <is>
          <t>Combustibles et énergie (amont)</t>
        </is>
      </c>
      <c r="C146" s="42">
        <f>I38</f>
        <v/>
      </c>
      <c r="D146" s="1009">
        <f>IF($I$139=0,0,C146/$I$139)</f>
        <v/>
      </c>
      <c r="E146" s="3">
        <f>IF(D146&gt;0.05,"SIGNIFICATIF","Non significatif")</f>
        <v/>
      </c>
    </row>
    <row r="147">
      <c r="A147" s="3" t="n">
        <v>4</v>
      </c>
      <c r="B147" s="3" t="inlineStr">
        <is>
          <t>Transport amont</t>
        </is>
      </c>
      <c r="C147" s="42">
        <f>I51</f>
        <v/>
      </c>
      <c r="D147" s="1009">
        <f>IF($I$139=0,0,C147/$I$139)</f>
        <v/>
      </c>
      <c r="E147" s="3">
        <f>IF(D147&gt;0.05,"SIGNIFICATIF","Non significatif")</f>
        <v/>
      </c>
    </row>
    <row r="148">
      <c r="A148" s="3" t="n">
        <v>5</v>
      </c>
      <c r="B148" s="3" t="inlineStr">
        <is>
          <t>Déchets</t>
        </is>
      </c>
      <c r="C148" s="42">
        <f>I57</f>
        <v/>
      </c>
      <c r="D148" s="1009">
        <f>IF($I$139=0,0,C148/$I$139)</f>
        <v/>
      </c>
      <c r="E148" s="3">
        <f>IF(D148&gt;0.05,"SIGNIFICATIF","Non significatif")</f>
        <v/>
      </c>
    </row>
    <row r="149">
      <c r="A149" s="3" t="n">
        <v>6</v>
      </c>
      <c r="B149" s="3" t="inlineStr">
        <is>
          <t>Déplacements professionnels</t>
        </is>
      </c>
      <c r="C149" s="42">
        <f>I63</f>
        <v/>
      </c>
      <c r="D149" s="1009">
        <f>IF($I$139=0,0,C149/$I$139)</f>
        <v/>
      </c>
      <c r="E149" s="3">
        <f>IF(D149&gt;0.05,"SIGNIFICATIF","Non significatif")</f>
        <v/>
      </c>
    </row>
    <row r="150">
      <c r="A150" s="3" t="n">
        <v>7</v>
      </c>
      <c r="B150" s="3" t="inlineStr">
        <is>
          <t>Domicile-travail</t>
        </is>
      </c>
      <c r="C150" s="42">
        <f>I69</f>
        <v/>
      </c>
      <c r="D150" s="1009">
        <f>IF($I$139=0,0,C150/$I$139)</f>
        <v/>
      </c>
      <c r="E150" s="3">
        <f>IF(D150&gt;0.05,"SIGNIFICATIF","Non significatif")</f>
        <v/>
      </c>
    </row>
    <row r="151">
      <c r="A151" s="3" t="n">
        <v>8</v>
      </c>
      <c r="B151" s="3" t="inlineStr">
        <is>
          <t>Actifs loués amont</t>
        </is>
      </c>
      <c r="C151" s="42">
        <f>I77</f>
        <v/>
      </c>
      <c r="D151" s="1009">
        <f>IF($I$139=0,0,C151/$I$139)</f>
        <v/>
      </c>
      <c r="E151" s="3">
        <f>IF(D151&gt;0.05,"SIGNIFICATIF","Non significatif")</f>
        <v/>
      </c>
    </row>
    <row r="152">
      <c r="A152" s="3" t="n">
        <v>9</v>
      </c>
      <c r="B152" s="3" t="inlineStr">
        <is>
          <t>Transport aval</t>
        </is>
      </c>
      <c r="C152" s="42">
        <f>I87</f>
        <v/>
      </c>
      <c r="D152" s="1009">
        <f>IF($I$139=0,0,C152/$I$139)</f>
        <v/>
      </c>
      <c r="E152" s="3">
        <f>IF(D152&gt;0.05,"SIGNIFICATIF","Non significatif")</f>
        <v/>
      </c>
    </row>
    <row r="153">
      <c r="A153" s="3" t="n">
        <v>10</v>
      </c>
      <c r="B153" s="3" t="inlineStr">
        <is>
          <t>Transformation produits vendus</t>
        </is>
      </c>
      <c r="C153" s="42">
        <f>I95</f>
        <v/>
      </c>
      <c r="D153" s="1009">
        <f>IF($I$139=0,0,C153/$I$139)</f>
        <v/>
      </c>
      <c r="E153" s="3">
        <f>IF(D153&gt;0.05,"SIGNIFICATIF","Non significatif")</f>
        <v/>
      </c>
    </row>
    <row r="154">
      <c r="A154" s="3" t="n">
        <v>11</v>
      </c>
      <c r="B154" s="3" t="inlineStr">
        <is>
          <t>Utilisation produits vendus</t>
        </is>
      </c>
      <c r="C154" s="42">
        <f>I105</f>
        <v/>
      </c>
      <c r="D154" s="1009">
        <f>IF($I$139=0,0,C154/$I$139)</f>
        <v/>
      </c>
      <c r="E154" s="3">
        <f>IF(D154&gt;0.05,"SIGNIFICATIF","Non significatif")</f>
        <v/>
      </c>
    </row>
    <row r="155">
      <c r="A155" s="3" t="n">
        <v>12</v>
      </c>
      <c r="B155" s="3" t="inlineStr">
        <is>
          <t>Fin de vie produits</t>
        </is>
      </c>
      <c r="C155" s="42">
        <f>I113</f>
        <v/>
      </c>
      <c r="D155" s="1009">
        <f>IF($I$139=0,0,C155/$I$139)</f>
        <v/>
      </c>
      <c r="E155" s="3">
        <f>IF(D155&gt;0.05,"SIGNIFICATIF","Non significatif")</f>
        <v/>
      </c>
    </row>
    <row r="156">
      <c r="A156" s="3" t="n">
        <v>13</v>
      </c>
      <c r="B156" s="3" t="inlineStr">
        <is>
          <t>Actifs loués aval</t>
        </is>
      </c>
      <c r="C156" s="42">
        <f>I121</f>
        <v/>
      </c>
      <c r="D156" s="1009">
        <f>IF($I$139=0,0,C156/$I$139)</f>
        <v/>
      </c>
      <c r="E156" s="3">
        <f>IF(D156&gt;0.05,"SIGNIFICATIF","Non significatif")</f>
        <v/>
      </c>
    </row>
    <row r="157">
      <c r="A157" s="3" t="n">
        <v>14</v>
      </c>
      <c r="B157" s="3" t="inlineStr">
        <is>
          <t>Franchises</t>
        </is>
      </c>
      <c r="C157" s="42">
        <f>I129</f>
        <v/>
      </c>
      <c r="D157" s="1009">
        <f>IF($I$139=0,0,C157/$I$139)</f>
        <v/>
      </c>
      <c r="E157" s="3">
        <f>IF(D157&gt;0.05,"SIGNIFICATIF","Non significatif")</f>
        <v/>
      </c>
    </row>
    <row r="158">
      <c r="A158" s="3" t="n">
        <v>15</v>
      </c>
      <c r="B158" s="3" t="inlineStr">
        <is>
          <t>Investissements</t>
        </is>
      </c>
      <c r="C158" s="42">
        <f>I137</f>
        <v/>
      </c>
      <c r="D158" s="1009">
        <f>IF($I$139=0,0,C158/$I$139)</f>
        <v/>
      </c>
      <c r="E158" s="3">
        <f>IF(D158&gt;0.05,"SIGNIFICATIF","Non significatif")</f>
        <v/>
      </c>
    </row>
  </sheetData>
  <mergeCells count="34">
    <mergeCell ref="A54:L54"/>
    <mergeCell ref="A90:L90"/>
    <mergeCell ref="A108:L108"/>
    <mergeCell ref="A41:L41"/>
    <mergeCell ref="A89:L89"/>
    <mergeCell ref="A66:L66"/>
    <mergeCell ref="A80:L80"/>
    <mergeCell ref="A21:L21"/>
    <mergeCell ref="A2:L2"/>
    <mergeCell ref="A71:L71"/>
    <mergeCell ref="A33:L33"/>
    <mergeCell ref="A116:L116"/>
    <mergeCell ref="A5:L5"/>
    <mergeCell ref="A32:L32"/>
    <mergeCell ref="A97:L97"/>
    <mergeCell ref="A22:L22"/>
    <mergeCell ref="A142:G142"/>
    <mergeCell ref="A53:L53"/>
    <mergeCell ref="A131:L131"/>
    <mergeCell ref="A4:L4"/>
    <mergeCell ref="A72:L72"/>
    <mergeCell ref="A115:L115"/>
    <mergeCell ref="A40:L40"/>
    <mergeCell ref="A59:L59"/>
    <mergeCell ref="A98:L98"/>
    <mergeCell ref="A60:L60"/>
    <mergeCell ref="A107:L107"/>
    <mergeCell ref="A132:L132"/>
    <mergeCell ref="A1:L1"/>
    <mergeCell ref="A123:L123"/>
    <mergeCell ref="A139:G139"/>
    <mergeCell ref="A79:L79"/>
    <mergeCell ref="A124:L124"/>
    <mergeCell ref="A65:L65"/>
  </mergeCells>
  <conditionalFormatting sqref="E144:E158">
    <cfRule type="expression" priority="2" dxfId="9">
      <formula>NOT(ISERROR(SEARCH("SIGNIFICATIF",E144)))</formula>
    </cfRule>
    <cfRule type="expression" priority="3" dxfId="8">
      <formula>NOT(ISERROR(SEARCH("Non significatif",E144)))</formula>
    </cfRule>
  </conditionalFormatting>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0.xml><?xml version="1.0" encoding="utf-8"?>
<worksheet xmlns="http://schemas.openxmlformats.org/spreadsheetml/2006/main">
  <sheetPr>
    <tabColor rgb="FFF9A825"/>
    <outlinePr summaryBelow="1" summaryRight="1"/>
    <pageSetUpPr/>
  </sheetPr>
  <dimension ref="A1:O37"/>
  <sheetViews>
    <sheetView showGridLines="0" zoomScaleNormal="100" workbookViewId="0">
      <pane ySplit="3" topLeftCell="A7" activePane="bottomLeft" state="frozen"/>
      <selection pane="bottomLeft" activeCell="A18" sqref="A18:E18"/>
    </sheetView>
  </sheetViews>
  <sheetFormatPr baseColWidth="10" defaultColWidth="8.7109375" defaultRowHeight="15"/>
  <cols>
    <col width="51.140625" customWidth="1" style="847" min="1" max="1"/>
    <col width="16" customWidth="1" style="847" min="2" max="3"/>
    <col width="18" customWidth="1" style="847" min="4" max="4"/>
    <col width="14" customWidth="1" style="847" min="5" max="6"/>
    <col width="16" customWidth="1" style="847" min="7" max="8"/>
    <col width="13.28515625" customWidth="1" style="847" min="14" max="15"/>
  </cols>
  <sheetData>
    <row r="1" ht="27.95" customHeight="1" s="847">
      <c r="A1" s="891" t="inlineStr">
        <is>
          <t>SUIVI ÉNERGÉTIQUE — VENTILATION ESRS E1-5 §37-38</t>
        </is>
      </c>
      <c r="B1" s="994" t="n"/>
      <c r="C1" s="994" t="n"/>
      <c r="D1" s="994" t="n"/>
      <c r="E1" s="994" t="n"/>
      <c r="F1" s="878" t="n"/>
      <c r="G1" s="878" t="n"/>
      <c r="H1" s="878" t="n"/>
      <c r="I1" s="878" t="n"/>
      <c r="J1" s="878" t="n"/>
      <c r="K1" s="878" t="n"/>
      <c r="L1" s="878" t="n"/>
      <c r="M1" s="878" t="n"/>
      <c r="N1" s="231" t="inlineStr">
        <is>
          <t>🏠 Sommaire</t>
        </is>
      </c>
      <c r="O1" s="85" t="inlineStr">
        <is>
          <t>🏠 Sommaire</t>
        </is>
      </c>
    </row>
    <row r="3" ht="21.75" customHeight="1" s="847">
      <c r="A3" s="843" t="inlineStr">
        <is>
          <t>A — CONSOMMATION D'ÉNERGIE NON-RENOUVELABLE</t>
        </is>
      </c>
      <c r="B3" s="994" t="n"/>
      <c r="C3" s="994" t="n"/>
      <c r="D3" s="994" t="n"/>
      <c r="E3" s="994" t="n"/>
    </row>
    <row r="4">
      <c r="A4" s="2" t="inlineStr">
        <is>
          <t>Poste</t>
        </is>
      </c>
      <c r="B4" s="2" t="inlineStr">
        <is>
          <t>Quantité</t>
        </is>
      </c>
      <c r="C4" s="2" t="inlineStr">
        <is>
          <t>Unité d'origine</t>
        </is>
      </c>
      <c r="D4" s="2" t="inlineStr">
        <is>
          <t>Conversion MWh</t>
        </is>
      </c>
      <c r="E4" s="2" t="inlineStr">
        <is>
          <t>MWh</t>
        </is>
      </c>
    </row>
    <row r="5">
      <c r="A5" s="3" t="inlineStr">
        <is>
          <t>(i) Charbon et dérivés</t>
        </is>
      </c>
      <c r="B5" s="14" t="n">
        <v>0</v>
      </c>
      <c r="C5" s="3" t="inlineStr">
        <is>
          <t>tonnes</t>
        </is>
      </c>
      <c r="D5" s="42">
        <f>B5*7.22</f>
        <v/>
      </c>
      <c r="E5" s="42">
        <f>D5</f>
        <v/>
      </c>
    </row>
    <row r="6">
      <c r="A6" s="3" t="inlineStr">
        <is>
          <t>(ii) Pétrole brut et dérivés</t>
        </is>
      </c>
      <c r="B6" s="14" t="n">
        <v>0</v>
      </c>
      <c r="C6" s="3" t="inlineStr">
        <is>
          <t>litres</t>
        </is>
      </c>
      <c r="D6" s="42">
        <f>B6*0.01008</f>
        <v/>
      </c>
      <c r="E6" s="42">
        <f>D6</f>
        <v/>
      </c>
    </row>
    <row r="7">
      <c r="A7" s="3" t="inlineStr">
        <is>
          <t>(iii) Gaz naturel</t>
        </is>
      </c>
      <c r="B7" s="14" t="n">
        <v>0</v>
      </c>
      <c r="C7" s="3" t="inlineStr">
        <is>
          <t>kWh</t>
        </is>
      </c>
      <c r="D7" s="42">
        <f>B7/1000</f>
        <v/>
      </c>
      <c r="E7" s="42">
        <f>D7</f>
        <v/>
      </c>
    </row>
    <row r="8">
      <c r="A8" s="3" t="inlineStr">
        <is>
          <t>(iv) Autres non-renouvelables</t>
        </is>
      </c>
      <c r="B8" s="14" t="n">
        <v>0</v>
      </c>
      <c r="C8" s="3" t="inlineStr">
        <is>
          <t>MWh</t>
        </is>
      </c>
      <c r="D8" s="42">
        <f>B8</f>
        <v/>
      </c>
      <c r="E8" s="42">
        <f>D8</f>
        <v/>
      </c>
    </row>
    <row r="9">
      <c r="A9" s="3" t="inlineStr">
        <is>
          <t>(v) Électricité achetée non-ENR</t>
        </is>
      </c>
      <c r="B9" s="14" t="n">
        <v>0</v>
      </c>
      <c r="C9" s="3" t="inlineStr">
        <is>
          <t>kWh</t>
        </is>
      </c>
      <c r="D9" s="42">
        <f>B9/1000</f>
        <v/>
      </c>
      <c r="E9" s="42">
        <f>D9</f>
        <v/>
      </c>
    </row>
    <row r="10">
      <c r="A10" s="44" t="inlineStr">
        <is>
          <t>TOTAL A — Non-renouvelable</t>
        </is>
      </c>
      <c r="B10" s="44" t="n"/>
      <c r="C10" s="44" t="n"/>
      <c r="D10" s="44" t="n"/>
      <c r="E10" s="45">
        <f>SUM(E5:E9)</f>
        <v>0</v>
      </c>
    </row>
    <row r="12" ht="21.75" customHeight="1" s="847">
      <c r="A12" s="843" t="inlineStr">
        <is>
          <t>B — CONSOMMATION D'ÉNERGIE RENOUVELABLE</t>
        </is>
      </c>
      <c r="B12" s="994" t="n"/>
      <c r="C12" s="994" t="n"/>
      <c r="D12" s="994" t="n"/>
      <c r="E12" s="994" t="n"/>
    </row>
    <row r="13">
      <c r="A13" s="3" t="inlineStr">
        <is>
          <t>(i) Combustibles renouvelables (biomasse)</t>
        </is>
      </c>
      <c r="B13" s="14" t="n">
        <v>0</v>
      </c>
      <c r="C13" s="3" t="inlineStr">
        <is>
          <t>kWh</t>
        </is>
      </c>
      <c r="D13" s="42">
        <f>B13/1000</f>
        <v/>
      </c>
      <c r="E13" s="42">
        <f>D13</f>
        <v/>
      </c>
    </row>
    <row r="14">
      <c r="A14" s="3" t="inlineStr">
        <is>
          <t>(ii) Électricité achetée ENR (GO/PPA)</t>
        </is>
      </c>
      <c r="B14" s="14" t="n">
        <v>0</v>
      </c>
      <c r="C14" s="3" t="inlineStr">
        <is>
          <t>kWh</t>
        </is>
      </c>
      <c r="D14" s="42">
        <f>B14/1000</f>
        <v/>
      </c>
      <c r="E14" s="42">
        <f>D14</f>
        <v/>
      </c>
    </row>
    <row r="15">
      <c r="A15" s="3" t="inlineStr">
        <is>
          <t>(iii) Autoprod. renouvelable (PV, éolien)</t>
        </is>
      </c>
      <c r="B15" s="14" t="n">
        <v>0</v>
      </c>
      <c r="C15" s="3" t="inlineStr">
        <is>
          <t>MWh</t>
        </is>
      </c>
      <c r="D15" s="42">
        <f>B15</f>
        <v/>
      </c>
      <c r="E15" s="42">
        <f>D15</f>
        <v/>
      </c>
    </row>
    <row r="16">
      <c r="A16" s="46" t="inlineStr">
        <is>
          <t>TOTAL B — Renouvelable</t>
        </is>
      </c>
      <c r="B16" s="46" t="n"/>
      <c r="C16" s="46" t="n"/>
      <c r="D16" s="46" t="n"/>
      <c r="E16" s="47">
        <f>SUM(E13:E15)</f>
        <v>0</v>
      </c>
    </row>
    <row r="18" ht="21.75" customHeight="1" s="847">
      <c r="A18" s="843" t="inlineStr">
        <is>
          <t>C — TOTAUX ET INDICATEURS</t>
        </is>
      </c>
      <c r="B18" s="994" t="n"/>
      <c r="C18" s="994" t="n"/>
      <c r="D18" s="994" t="n"/>
      <c r="E18" s="994" t="n"/>
    </row>
    <row r="19">
      <c r="A19" s="48" t="inlineStr">
        <is>
          <t>Total consommation énergie (MWh)</t>
        </is>
      </c>
      <c r="B19" s="33" t="n"/>
      <c r="C19" s="33" t="n"/>
      <c r="D19" s="33" t="n"/>
      <c r="E19" s="38">
        <f>E10+E16</f>
        <v>0</v>
      </c>
    </row>
    <row r="20">
      <c r="A20" s="804" t="inlineStr">
        <is>
          <t>Part énergie renouvelable (%)</t>
        </is>
      </c>
      <c r="B20" s="798" t="n"/>
      <c r="C20" s="799" t="n"/>
      <c r="D20" s="800" t="n"/>
      <c r="E20" s="1009">
        <f>IF(E19=0,0,ROUND(E16/E19*100,1))</f>
        <v>0</v>
      </c>
    </row>
    <row r="21">
      <c r="A21" s="805" t="inlineStr">
        <is>
          <t>Intensité énergétique (MWh/M€ CA)</t>
        </is>
      </c>
      <c r="B21" s="801" t="n"/>
      <c r="C21" s="802" t="n"/>
      <c r="D21" s="803" t="n"/>
      <c r="E21" s="110">
        <f>IF(Paramètres!B9=0,0,E19/(Paramètres!B9/1000000))</f>
        <v/>
      </c>
    </row>
    <row r="23" ht="21.75" customHeight="1" s="847">
      <c r="A23" s="843" t="inlineStr">
        <is>
          <t>D — SUIVI MENSUEL DÉTAILLÉ</t>
        </is>
      </c>
      <c r="B23" s="994" t="n"/>
      <c r="C23" s="994" t="n"/>
      <c r="D23" s="994" t="n"/>
      <c r="E23" s="994" t="n"/>
      <c r="F23" s="994" t="n"/>
      <c r="G23" s="994" t="n"/>
      <c r="H23" s="994" t="n"/>
    </row>
    <row r="24" ht="30" customHeight="1" s="847">
      <c r="A24" s="2" t="inlineStr">
        <is>
          <t>Mois</t>
        </is>
      </c>
      <c r="B24" s="2" t="inlineStr">
        <is>
          <t>Électricité (kWh)</t>
        </is>
      </c>
      <c r="C24" s="2" t="inlineStr">
        <is>
          <t>Gaz naturel (kWh)</t>
        </is>
      </c>
      <c r="D24" s="2" t="inlineStr">
        <is>
          <t>Fioul (litres)</t>
        </is>
      </c>
      <c r="E24" s="2" t="inlineStr">
        <is>
          <t>Chaleur réseau (kWh)</t>
        </is>
      </c>
      <c r="F24" s="2" t="inlineStr">
        <is>
          <t>ENR autoprod. (kWh)</t>
        </is>
      </c>
      <c r="G24" s="2" t="inlineStr">
        <is>
          <t>Total énergie (kWh)</t>
        </is>
      </c>
      <c r="H24" s="2" t="inlineStr">
        <is>
          <t>Coût total (€)</t>
        </is>
      </c>
    </row>
    <row r="25">
      <c r="A25" s="3" t="inlineStr">
        <is>
          <t>Janvier</t>
        </is>
      </c>
      <c r="B25" s="14" t="n">
        <v>0</v>
      </c>
      <c r="C25" s="14" t="n">
        <v>0</v>
      </c>
      <c r="D25" s="14" t="n">
        <v>0</v>
      </c>
      <c r="E25" s="14" t="n">
        <v>0</v>
      </c>
      <c r="F25" s="14" t="n">
        <v>0</v>
      </c>
      <c r="G25" s="51">
        <f>B25+C25+(D25*10.08)+E25+F25</f>
        <v/>
      </c>
      <c r="H25" s="15" t="n">
        <v>0</v>
      </c>
    </row>
    <row r="26">
      <c r="A26" s="3" t="inlineStr">
        <is>
          <t>Février</t>
        </is>
      </c>
      <c r="B26" s="14" t="n">
        <v>0</v>
      </c>
      <c r="C26" s="14" t="n">
        <v>0</v>
      </c>
      <c r="D26" s="14" t="n">
        <v>0</v>
      </c>
      <c r="E26" s="14" t="n">
        <v>0</v>
      </c>
      <c r="F26" s="14" t="n">
        <v>0</v>
      </c>
      <c r="G26" s="51">
        <f>B26+C26+(D26*10.08)+E26+F26</f>
        <v/>
      </c>
      <c r="H26" s="15" t="n">
        <v>0</v>
      </c>
    </row>
    <row r="27">
      <c r="A27" s="3" t="inlineStr">
        <is>
          <t>Mars</t>
        </is>
      </c>
      <c r="B27" s="14" t="n">
        <v>0</v>
      </c>
      <c r="C27" s="14" t="n">
        <v>0</v>
      </c>
      <c r="D27" s="14" t="n">
        <v>0</v>
      </c>
      <c r="E27" s="14" t="n">
        <v>0</v>
      </c>
      <c r="F27" s="14" t="n">
        <v>0</v>
      </c>
      <c r="G27" s="51">
        <f>B27+C27+(D27*10.08)+E27+F27</f>
        <v/>
      </c>
      <c r="H27" s="15" t="n">
        <v>0</v>
      </c>
    </row>
    <row r="28">
      <c r="A28" s="3" t="inlineStr">
        <is>
          <t>Avril</t>
        </is>
      </c>
      <c r="B28" s="14" t="n">
        <v>0</v>
      </c>
      <c r="C28" s="14" t="n">
        <v>0</v>
      </c>
      <c r="D28" s="14" t="n">
        <v>0</v>
      </c>
      <c r="E28" s="14" t="n">
        <v>0</v>
      </c>
      <c r="F28" s="14" t="n">
        <v>0</v>
      </c>
      <c r="G28" s="51">
        <f>B28+C28+(D28*10.08)+E28+F28</f>
        <v/>
      </c>
      <c r="H28" s="15" t="n">
        <v>0</v>
      </c>
    </row>
    <row r="29">
      <c r="A29" s="3" t="inlineStr">
        <is>
          <t>Mai</t>
        </is>
      </c>
      <c r="B29" s="14" t="n">
        <v>0</v>
      </c>
      <c r="C29" s="14" t="n">
        <v>0</v>
      </c>
      <c r="D29" s="14" t="n">
        <v>0</v>
      </c>
      <c r="E29" s="14" t="n">
        <v>0</v>
      </c>
      <c r="F29" s="14" t="n">
        <v>0</v>
      </c>
      <c r="G29" s="51">
        <f>B29+C29+(D29*10.08)+E29+F29</f>
        <v/>
      </c>
      <c r="H29" s="15" t="n">
        <v>0</v>
      </c>
    </row>
    <row r="30">
      <c r="A30" s="3" t="inlineStr">
        <is>
          <t>Juin</t>
        </is>
      </c>
      <c r="B30" s="14" t="n">
        <v>0</v>
      </c>
      <c r="C30" s="14" t="n">
        <v>0</v>
      </c>
      <c r="D30" s="14" t="n">
        <v>0</v>
      </c>
      <c r="E30" s="14" t="n">
        <v>0</v>
      </c>
      <c r="F30" s="14" t="n">
        <v>0</v>
      </c>
      <c r="G30" s="51">
        <f>B30+C30+(D30*10.08)+E30+F30</f>
        <v/>
      </c>
      <c r="H30" s="15" t="n">
        <v>0</v>
      </c>
    </row>
    <row r="31">
      <c r="A31" s="3" t="inlineStr">
        <is>
          <t>Juillet</t>
        </is>
      </c>
      <c r="B31" s="14" t="n">
        <v>0</v>
      </c>
      <c r="C31" s="14" t="n">
        <v>0</v>
      </c>
      <c r="D31" s="14" t="n">
        <v>0</v>
      </c>
      <c r="E31" s="14" t="n">
        <v>0</v>
      </c>
      <c r="F31" s="14" t="n">
        <v>0</v>
      </c>
      <c r="G31" s="51">
        <f>B31+C31+(D31*10.08)+E31+F31</f>
        <v/>
      </c>
      <c r="H31" s="15" t="n">
        <v>0</v>
      </c>
    </row>
    <row r="32">
      <c r="A32" s="3" t="inlineStr">
        <is>
          <t>Août</t>
        </is>
      </c>
      <c r="B32" s="14" t="n">
        <v>0</v>
      </c>
      <c r="C32" s="14" t="n">
        <v>0</v>
      </c>
      <c r="D32" s="14" t="n">
        <v>0</v>
      </c>
      <c r="E32" s="14" t="n">
        <v>0</v>
      </c>
      <c r="F32" s="14" t="n">
        <v>0</v>
      </c>
      <c r="G32" s="51">
        <f>B32+C32+(D32*10.08)+E32+F32</f>
        <v/>
      </c>
      <c r="H32" s="15" t="n">
        <v>0</v>
      </c>
    </row>
    <row r="33">
      <c r="A33" s="3" t="inlineStr">
        <is>
          <t>Septembre</t>
        </is>
      </c>
      <c r="B33" s="14" t="n">
        <v>0</v>
      </c>
      <c r="C33" s="14" t="n">
        <v>0</v>
      </c>
      <c r="D33" s="14" t="n">
        <v>0</v>
      </c>
      <c r="E33" s="14" t="n">
        <v>0</v>
      </c>
      <c r="F33" s="14" t="n">
        <v>0</v>
      </c>
      <c r="G33" s="51">
        <f>B33+C33+(D33*10.08)+E33+F33</f>
        <v/>
      </c>
      <c r="H33" s="15" t="n">
        <v>0</v>
      </c>
    </row>
    <row r="34">
      <c r="A34" s="3" t="inlineStr">
        <is>
          <t>Octobre</t>
        </is>
      </c>
      <c r="B34" s="14" t="n">
        <v>0</v>
      </c>
      <c r="C34" s="14" t="n">
        <v>0</v>
      </c>
      <c r="D34" s="14" t="n">
        <v>0</v>
      </c>
      <c r="E34" s="14" t="n">
        <v>0</v>
      </c>
      <c r="F34" s="14" t="n">
        <v>0</v>
      </c>
      <c r="G34" s="51">
        <f>B34+C34+(D34*10.08)+E34+F34</f>
        <v/>
      </c>
      <c r="H34" s="15" t="n">
        <v>0</v>
      </c>
    </row>
    <row r="35">
      <c r="A35" s="3" t="inlineStr">
        <is>
          <t>Novembre</t>
        </is>
      </c>
      <c r="B35" s="14" t="n">
        <v>0</v>
      </c>
      <c r="C35" s="14" t="n">
        <v>0</v>
      </c>
      <c r="D35" s="14" t="n">
        <v>0</v>
      </c>
      <c r="E35" s="14" t="n">
        <v>0</v>
      </c>
      <c r="F35" s="14" t="n">
        <v>0</v>
      </c>
      <c r="G35" s="51">
        <f>B35+C35+(D35*10.08)+E35+F35</f>
        <v/>
      </c>
      <c r="H35" s="15" t="n">
        <v>0</v>
      </c>
    </row>
    <row r="36">
      <c r="A36" s="3" t="inlineStr">
        <is>
          <t>Décembre</t>
        </is>
      </c>
      <c r="B36" s="14" t="n">
        <v>0</v>
      </c>
      <c r="C36" s="14" t="n">
        <v>0</v>
      </c>
      <c r="D36" s="14" t="n">
        <v>0</v>
      </c>
      <c r="E36" s="14" t="n">
        <v>0</v>
      </c>
      <c r="F36" s="14" t="n">
        <v>0</v>
      </c>
      <c r="G36" s="51">
        <f>B36+C36+(D36*10.08)+E36+F36</f>
        <v/>
      </c>
      <c r="H36" s="15" t="n">
        <v>0</v>
      </c>
    </row>
    <row r="37">
      <c r="A37" s="18" t="inlineStr">
        <is>
          <t>TOTAL ANNUEL</t>
        </is>
      </c>
      <c r="B37" s="34">
        <f>SUM(B25:B36)</f>
        <v/>
      </c>
      <c r="C37" s="34">
        <f>SUM(C25:C36)</f>
        <v/>
      </c>
      <c r="D37" s="34">
        <f>SUM(D25:D36)</f>
        <v/>
      </c>
      <c r="E37" s="34">
        <f>SUM(E25:E36)</f>
        <v/>
      </c>
      <c r="F37" s="34">
        <f>SUM(F25:F36)</f>
        <v/>
      </c>
      <c r="G37" s="34">
        <f>SUM(G25:G36)</f>
        <v/>
      </c>
      <c r="H37" s="34">
        <f>SUM(H25:H36)</f>
        <v/>
      </c>
    </row>
  </sheetData>
  <mergeCells count="5">
    <mergeCell ref="A12:E12"/>
    <mergeCell ref="A1:E1"/>
    <mergeCell ref="A23:H23"/>
    <mergeCell ref="A18:E18"/>
    <mergeCell ref="A3:E3"/>
  </mergeCell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tabColor rgb="FF1565C0"/>
    <outlinePr summaryBelow="1" summaryRight="1"/>
    <pageSetUpPr/>
  </sheetPr>
  <dimension ref="A1:O29"/>
  <sheetViews>
    <sheetView showGridLines="0" zoomScaleNormal="100" workbookViewId="0">
      <pane ySplit="3" topLeftCell="A20" activePane="bottomLeft" state="frozen"/>
      <selection pane="bottomLeft" activeCell="C21" sqref="C21"/>
    </sheetView>
  </sheetViews>
  <sheetFormatPr baseColWidth="10" defaultColWidth="8.7109375" defaultRowHeight="15"/>
  <cols>
    <col width="6" customWidth="1" style="847" min="1" max="1"/>
    <col width="28" customWidth="1" style="847" min="2" max="3"/>
    <col width="16" customWidth="1" style="847" min="4" max="6"/>
    <col width="10" customWidth="1" style="847" min="7" max="7"/>
    <col width="18" customWidth="1" style="847" min="8" max="9"/>
    <col width="14" customWidth="1" style="847" min="10" max="10"/>
    <col width="17.140625" customWidth="1" style="847" min="14" max="14"/>
    <col width="13.28515625" customWidth="1" style="847" min="15" max="15"/>
  </cols>
  <sheetData>
    <row r="1" ht="27.95" customHeight="1" s="847">
      <c r="A1" s="891" t="inlineStr">
        <is>
          <t>TRANSPORT — DÉPLACEMENTS PROFESSIONNELS ET DOMICILE-TRAVAIL</t>
        </is>
      </c>
      <c r="B1" s="994" t="n"/>
      <c r="C1" s="994" t="n"/>
      <c r="D1" s="994" t="n"/>
      <c r="E1" s="994" t="n"/>
      <c r="F1" s="994" t="n"/>
      <c r="G1" s="994" t="n"/>
      <c r="H1" s="994" t="n"/>
      <c r="I1" s="994" t="n"/>
      <c r="J1" s="994" t="n"/>
      <c r="K1" s="878" t="n"/>
      <c r="L1" s="878" t="n"/>
      <c r="M1" s="878" t="n"/>
      <c r="N1" s="231" t="inlineStr">
        <is>
          <t>🏠 Sommaire</t>
        </is>
      </c>
      <c r="O1" s="85" t="inlineStr">
        <is>
          <t>🏠 Sommaire</t>
        </is>
      </c>
    </row>
    <row r="3" ht="21.75" customHeight="1" s="847">
      <c r="A3" s="893" t="inlineStr">
        <is>
          <t>A — DÉPLACEMENTS PROFESSIONNELS (Scope 3 Cat. 6)</t>
        </is>
      </c>
      <c r="B3" s="994" t="n"/>
      <c r="C3" s="994" t="n"/>
      <c r="D3" s="994" t="n"/>
      <c r="E3" s="994" t="n"/>
      <c r="F3" s="994" t="n"/>
      <c r="G3" s="994" t="n"/>
      <c r="H3" s="994" t="n"/>
      <c r="I3" s="994" t="n"/>
      <c r="J3" s="994" t="n"/>
    </row>
    <row r="4" ht="30" customHeight="1" s="847">
      <c r="A4" s="2" t="inlineStr">
        <is>
          <t>Ligne</t>
        </is>
      </c>
      <c r="B4" s="2" t="inlineStr">
        <is>
          <t>Description du trajet</t>
        </is>
      </c>
      <c r="C4" s="2" t="inlineStr">
        <is>
          <t>Mode de transport</t>
        </is>
      </c>
      <c r="D4" s="2" t="inlineStr">
        <is>
          <t>Distance (km)</t>
        </is>
      </c>
      <c r="E4" s="2" t="inlineStr">
        <is>
          <t>Nb voyages</t>
        </is>
      </c>
      <c r="F4" s="2" t="inlineStr">
        <is>
          <t>Total km.passager</t>
        </is>
      </c>
      <c r="G4" s="2" t="inlineStr">
        <is>
          <t>ID FE</t>
        </is>
      </c>
      <c r="H4" s="2" t="inlineStr">
        <is>
          <t>FE (kgCO2e/km)</t>
        </is>
      </c>
      <c r="I4" s="2" t="inlineStr">
        <is>
          <t>Émissions (kgCO2e)</t>
        </is>
      </c>
      <c r="J4" s="2" t="inlineStr">
        <is>
          <t>tCO2e</t>
        </is>
      </c>
    </row>
    <row r="5">
      <c r="A5" s="3" t="n">
        <v>1</v>
      </c>
      <c r="B5" s="13" t="n"/>
      <c r="C5" s="13" t="n"/>
      <c r="D5" s="14" t="n">
        <v>0</v>
      </c>
      <c r="E5" s="14" t="n">
        <v>0</v>
      </c>
      <c r="F5" s="51">
        <f>D5*E5</f>
        <v/>
      </c>
      <c r="G5" s="26">
        <f>IF(C5="","",IF(C5="Voiture thermique","FE030",IF(C5="Voiture diesel","FE031",IF(C5="Voiture essence","FE032",IF(C5="Voiture électrique","FE033",IF(C5="TGV","FE035",IF(C5="TER","FE036",IF(C5="Métro/Tramway","FE037",IF(C5="Bus urbain","FE038",IF(C5="Avion CC éco (avec RF)","FE039_RF",IF(C5="Avion MC éco (avec RF)","FE040_RF",IF(C5="Avion LC éco (avec RF)","FE041_RF",IF(C5="Avion LC business (avec RF)","FE042","")))))))))))))</f>
        <v/>
      </c>
      <c r="H5" s="52">
        <f>IF(G5="","",VLOOKUP(G5,Facteurs_Emission!$A$4:$E$108,5,FALSE()))</f>
        <v/>
      </c>
      <c r="I5" s="28">
        <f>IF(OR(F5=0,H5=""),0,F5*H5)</f>
        <v/>
      </c>
      <c r="J5" s="28">
        <f>I5/1000</f>
        <v/>
      </c>
    </row>
    <row r="6">
      <c r="A6" s="3" t="n">
        <v>2</v>
      </c>
      <c r="B6" s="13" t="n"/>
      <c r="C6" s="13" t="n"/>
      <c r="D6" s="14" t="n">
        <v>0</v>
      </c>
      <c r="E6" s="14" t="n">
        <v>0</v>
      </c>
      <c r="F6" s="51">
        <f>D6*E6</f>
        <v/>
      </c>
      <c r="G6" s="26">
        <f>IF(C6="","",IF(C6="Voiture thermique","FE030",IF(C6="Voiture diesel","FE031",IF(C6="Voiture essence","FE032",IF(C6="Voiture électrique","FE033",IF(C6="TGV","FE035",IF(C6="TER","FE036",IF(C6="Métro/Tramway","FE037",IF(C6="Bus urbain","FE038",IF(C6="Avion CC éco (avec RF)","FE039_RF",IF(C6="Avion MC éco (avec RF)","FE040_RF",IF(C6="Avion LC éco (avec RF)","FE041_RF",IF(C6="Avion LC business (avec RF)","FE042","")))))))))))))</f>
        <v/>
      </c>
      <c r="H6" s="52">
        <f>IF(G6="","",VLOOKUP(G6,Facteurs_Emission!$A$4:$E$108,5,FALSE()))</f>
        <v/>
      </c>
      <c r="I6" s="28">
        <f>IF(OR(F6=0,H6=""),0,F6*H6)</f>
        <v/>
      </c>
      <c r="J6" s="28">
        <f>I6/1000</f>
        <v/>
      </c>
    </row>
    <row r="7">
      <c r="A7" s="3" t="n">
        <v>3</v>
      </c>
      <c r="B7" s="13" t="n"/>
      <c r="C7" s="13" t="n"/>
      <c r="D7" s="14" t="n">
        <v>0</v>
      </c>
      <c r="E7" s="14" t="n">
        <v>0</v>
      </c>
      <c r="F7" s="51">
        <f>D7*E7</f>
        <v/>
      </c>
      <c r="G7" s="26">
        <f>IF(C7="","",IF(C7="Voiture thermique","FE030",IF(C7="Voiture diesel","FE031",IF(C7="Voiture essence","FE032",IF(C7="Voiture électrique","FE033",IF(C7="TGV","FE035",IF(C7="TER","FE036",IF(C7="Métro/Tramway","FE037",IF(C7="Bus urbain","FE038",IF(C7="Avion CC éco (avec RF)","FE039_RF",IF(C7="Avion MC éco (avec RF)","FE040_RF",IF(C7="Avion LC éco (avec RF)","FE041_RF",IF(C7="Avion LC business (avec RF)","FE042","")))))))))))))</f>
        <v/>
      </c>
      <c r="H7" s="52">
        <f>IF(G7="","",VLOOKUP(G7,Facteurs_Emission!$A$4:$E$108,5,FALSE()))</f>
        <v/>
      </c>
      <c r="I7" s="28">
        <f>IF(OR(F7=0,H7=""),0,F7*H7)</f>
        <v/>
      </c>
      <c r="J7" s="28">
        <f>I7/1000</f>
        <v/>
      </c>
    </row>
    <row r="8">
      <c r="A8" s="3" t="n">
        <v>4</v>
      </c>
      <c r="B8" s="13" t="n"/>
      <c r="C8" s="13" t="n"/>
      <c r="D8" s="14" t="n">
        <v>0</v>
      </c>
      <c r="E8" s="14" t="n">
        <v>0</v>
      </c>
      <c r="F8" s="51">
        <f>D8*E8</f>
        <v/>
      </c>
      <c r="G8" s="26">
        <f>IF(C8="","",IF(C8="Voiture thermique","FE030",IF(C8="Voiture diesel","FE031",IF(C8="Voiture essence","FE032",IF(C8="Voiture électrique","FE033",IF(C8="TGV","FE035",IF(C8="TER","FE036",IF(C8="Métro/Tramway","FE037",IF(C8="Bus urbain","FE038",IF(C8="Avion CC éco (avec RF)","FE039_RF",IF(C8="Avion MC éco (avec RF)","FE040_RF",IF(C8="Avion LC éco (avec RF)","FE041_RF",IF(C8="Avion LC business (avec RF)","FE042","")))))))))))))</f>
        <v/>
      </c>
      <c r="H8" s="52">
        <f>IF(G8="","",VLOOKUP(G8,Facteurs_Emission!$A$4:$E$108,5,FALSE()))</f>
        <v/>
      </c>
      <c r="I8" s="28">
        <f>IF(OR(F8=0,H8=""),0,F8*H8)</f>
        <v/>
      </c>
      <c r="J8" s="28">
        <f>I8/1000</f>
        <v/>
      </c>
    </row>
    <row r="9">
      <c r="A9" s="3" t="n">
        <v>5</v>
      </c>
      <c r="B9" s="13" t="n"/>
      <c r="C9" s="13" t="n"/>
      <c r="D9" s="14" t="n">
        <v>0</v>
      </c>
      <c r="E9" s="14" t="n">
        <v>0</v>
      </c>
      <c r="F9" s="51">
        <f>D9*E9</f>
        <v/>
      </c>
      <c r="G9" s="26">
        <f>IF(C9="","",IF(C9="Voiture thermique","FE030",IF(C9="Voiture diesel","FE031",IF(C9="Voiture essence","FE032",IF(C9="Voiture électrique","FE033",IF(C9="TGV","FE035",IF(C9="TER","FE036",IF(C9="Métro/Tramway","FE037",IF(C9="Bus urbain","FE038",IF(C9="Avion CC éco (avec RF)","FE039_RF",IF(C9="Avion MC éco (avec RF)","FE040_RF",IF(C9="Avion LC éco (avec RF)","FE041_RF",IF(C9="Avion LC business (avec RF)","FE042","")))))))))))))</f>
        <v/>
      </c>
      <c r="H9" s="52">
        <f>IF(G9="","",VLOOKUP(G9,Facteurs_Emission!$A$4:$E$108,5,FALSE()))</f>
        <v/>
      </c>
      <c r="I9" s="28">
        <f>IF(OR(F9=0,H9=""),0,F9*H9)</f>
        <v/>
      </c>
      <c r="J9" s="28">
        <f>I9/1000</f>
        <v/>
      </c>
    </row>
    <row r="10">
      <c r="A10" s="3" t="n">
        <v>6</v>
      </c>
      <c r="B10" s="13" t="n"/>
      <c r="C10" s="13" t="n"/>
      <c r="D10" s="14" t="n">
        <v>0</v>
      </c>
      <c r="E10" s="14" t="n">
        <v>0</v>
      </c>
      <c r="F10" s="51">
        <f>D10*E10</f>
        <v/>
      </c>
      <c r="G10" s="26">
        <f>IF(C10="","",IF(C10="Voiture thermique","FE030",IF(C10="Voiture diesel","FE031",IF(C10="Voiture essence","FE032",IF(C10="Voiture électrique","FE033",IF(C10="TGV","FE035",IF(C10="TER","FE036",IF(C10="Métro/Tramway","FE037",IF(C10="Bus urbain","FE038",IF(C10="Avion CC éco (avec RF)","FE039_RF",IF(C10="Avion MC éco (avec RF)","FE040_RF",IF(C10="Avion LC éco (avec RF)","FE041_RF",IF(C10="Avion LC business (avec RF)","FE042","")))))))))))))</f>
        <v/>
      </c>
      <c r="H10" s="52">
        <f>IF(G10="","",VLOOKUP(G10,Facteurs_Emission!$A$4:$E$108,5,FALSE()))</f>
        <v/>
      </c>
      <c r="I10" s="28">
        <f>IF(OR(F10=0,H10=""),0,F10*H10)</f>
        <v/>
      </c>
      <c r="J10" s="28">
        <f>I10/1000</f>
        <v/>
      </c>
    </row>
    <row r="11">
      <c r="A11" s="3" t="n">
        <v>7</v>
      </c>
      <c r="B11" s="13" t="n"/>
      <c r="C11" s="13" t="n"/>
      <c r="D11" s="14" t="n">
        <v>0</v>
      </c>
      <c r="E11" s="14" t="n">
        <v>0</v>
      </c>
      <c r="F11" s="51">
        <f>D11*E11</f>
        <v/>
      </c>
      <c r="G11" s="26">
        <f>IF(C11="","",IF(C11="Voiture thermique","FE030",IF(C11="Voiture diesel","FE031",IF(C11="Voiture essence","FE032",IF(C11="Voiture électrique","FE033",IF(C11="TGV","FE035",IF(C11="TER","FE036",IF(C11="Métro/Tramway","FE037",IF(C11="Bus urbain","FE038",IF(C11="Avion CC éco (avec RF)","FE039_RF",IF(C11="Avion MC éco (avec RF)","FE040_RF",IF(C11="Avion LC éco (avec RF)","FE041_RF",IF(C11="Avion LC business (avec RF)","FE042","")))))))))))))</f>
        <v/>
      </c>
      <c r="H11" s="52">
        <f>IF(G11="","",VLOOKUP(G11,Facteurs_Emission!$A$4:$E$108,5,FALSE()))</f>
        <v/>
      </c>
      <c r="I11" s="28">
        <f>IF(OR(F11=0,H11=""),0,F11*H11)</f>
        <v/>
      </c>
      <c r="J11" s="28">
        <f>I11/1000</f>
        <v/>
      </c>
    </row>
    <row r="12">
      <c r="A12" s="3" t="n">
        <v>8</v>
      </c>
      <c r="B12" s="13" t="n"/>
      <c r="C12" s="13" t="n"/>
      <c r="D12" s="14" t="n">
        <v>0</v>
      </c>
      <c r="E12" s="14" t="n">
        <v>0</v>
      </c>
      <c r="F12" s="51">
        <f>D12*E12</f>
        <v/>
      </c>
      <c r="G12" s="26">
        <f>IF(C12="","",IF(C12="Voiture thermique","FE030",IF(C12="Voiture diesel","FE031",IF(C12="Voiture essence","FE032",IF(C12="Voiture électrique","FE033",IF(C12="TGV","FE035",IF(C12="TER","FE036",IF(C12="Métro/Tramway","FE037",IF(C12="Bus urbain","FE038",IF(C12="Avion CC éco (avec RF)","FE039_RF",IF(C12="Avion MC éco (avec RF)","FE040_RF",IF(C12="Avion LC éco (avec RF)","FE041_RF",IF(C12="Avion LC business (avec RF)","FE042","")))))))))))))</f>
        <v/>
      </c>
      <c r="H12" s="52">
        <f>IF(G12="","",VLOOKUP(G12,Facteurs_Emission!$A$4:$E$108,5,FALSE()))</f>
        <v/>
      </c>
      <c r="I12" s="28">
        <f>IF(OR(F12=0,H12=""),0,F12*H12)</f>
        <v/>
      </c>
      <c r="J12" s="28">
        <f>I12/1000</f>
        <v/>
      </c>
    </row>
    <row r="13">
      <c r="A13" s="3" t="n">
        <v>9</v>
      </c>
      <c r="B13" s="13" t="n"/>
      <c r="C13" s="13" t="n"/>
      <c r="D13" s="14" t="n">
        <v>0</v>
      </c>
      <c r="E13" s="14" t="n">
        <v>0</v>
      </c>
      <c r="F13" s="51">
        <f>D13*E13</f>
        <v/>
      </c>
      <c r="G13" s="26">
        <f>IF(C13="","",IF(C13="Voiture thermique","FE030",IF(C13="Voiture diesel","FE031",IF(C13="Voiture essence","FE032",IF(C13="Voiture électrique","FE033",IF(C13="TGV","FE035",IF(C13="TER","FE036",IF(C13="Métro/Tramway","FE037",IF(C13="Bus urbain","FE038",IF(C13="Avion CC éco (avec RF)","FE039_RF",IF(C13="Avion MC éco (avec RF)","FE040_RF",IF(C13="Avion LC éco (avec RF)","FE041_RF",IF(C13="Avion LC business (avec RF)","FE042","")))))))))))))</f>
        <v/>
      </c>
      <c r="H13" s="52">
        <f>IF(G13="","",VLOOKUP(G13,Facteurs_Emission!$A$4:$E$108,5,FALSE()))</f>
        <v/>
      </c>
      <c r="I13" s="28">
        <f>IF(OR(F13=0,H13=""),0,F13*H13)</f>
        <v/>
      </c>
      <c r="J13" s="28">
        <f>I13/1000</f>
        <v/>
      </c>
    </row>
    <row r="14">
      <c r="A14" s="3" t="n">
        <v>10</v>
      </c>
      <c r="B14" s="13" t="n"/>
      <c r="C14" s="13" t="n"/>
      <c r="D14" s="14" t="n">
        <v>0</v>
      </c>
      <c r="E14" s="14" t="n">
        <v>0</v>
      </c>
      <c r="F14" s="51">
        <f>D14*E14</f>
        <v/>
      </c>
      <c r="G14" s="26">
        <f>IF(C14="","",IF(C14="Voiture thermique","FE030",IF(C14="Voiture diesel","FE031",IF(C14="Voiture essence","FE032",IF(C14="Voiture électrique","FE033",IF(C14="TGV","FE035",IF(C14="TER","FE036",IF(C14="Métro/Tramway","FE037",IF(C14="Bus urbain","FE038",IF(C14="Avion CC éco (avec RF)","FE039_RF",IF(C14="Avion MC éco (avec RF)","FE040_RF",IF(C14="Avion LC éco (avec RF)","FE041_RF",IF(C14="Avion LC business (avec RF)","FE042","")))))))))))))</f>
        <v/>
      </c>
      <c r="H14" s="52">
        <f>IF(G14="","",VLOOKUP(G14,Facteurs_Emission!$A$4:$E$108,5,FALSE()))</f>
        <v/>
      </c>
      <c r="I14" s="28">
        <f>IF(OR(F14=0,H14=""),0,F14*H14)</f>
        <v/>
      </c>
      <c r="J14" s="28">
        <f>I14/1000</f>
        <v/>
      </c>
    </row>
    <row r="15">
      <c r="A15" s="3" t="n">
        <v>11</v>
      </c>
      <c r="B15" s="13" t="n"/>
      <c r="C15" s="13" t="n"/>
      <c r="D15" s="14" t="n">
        <v>0</v>
      </c>
      <c r="E15" s="14" t="n">
        <v>0</v>
      </c>
      <c r="F15" s="51">
        <f>D15*E15</f>
        <v/>
      </c>
      <c r="G15" s="26">
        <f>IF(C15="","",IF(C15="Voiture thermique","FE030",IF(C15="Voiture diesel","FE031",IF(C15="Voiture essence","FE032",IF(C15="Voiture électrique","FE033",IF(C15="TGV","FE035",IF(C15="TER","FE036",IF(C15="Métro/Tramway","FE037",IF(C15="Bus urbain","FE038",IF(C15="Avion CC éco (avec RF)","FE039_RF",IF(C15="Avion MC éco (avec RF)","FE040_RF",IF(C15="Avion LC éco (avec RF)","FE041_RF",IF(C15="Avion LC business (avec RF)","FE042","")))))))))))))</f>
        <v/>
      </c>
      <c r="H15" s="52">
        <f>IF(G15="","",VLOOKUP(G15,Facteurs_Emission!$A$4:$E$108,5,FALSE()))</f>
        <v/>
      </c>
      <c r="I15" s="28">
        <f>IF(OR(F15=0,H15=""),0,F15*H15)</f>
        <v/>
      </c>
      <c r="J15" s="28">
        <f>I15/1000</f>
        <v/>
      </c>
    </row>
    <row r="16">
      <c r="A16" s="3" t="n">
        <v>12</v>
      </c>
      <c r="B16" s="13" t="n"/>
      <c r="C16" s="13" t="n"/>
      <c r="D16" s="14" t="n">
        <v>0</v>
      </c>
      <c r="E16" s="14" t="n">
        <v>0</v>
      </c>
      <c r="F16" s="51">
        <f>D16*E16</f>
        <v/>
      </c>
      <c r="G16" s="26">
        <f>IF(C16="","",IF(C16="Voiture thermique","FE030",IF(C16="Voiture diesel","FE031",IF(C16="Voiture essence","FE032",IF(C16="Voiture électrique","FE033",IF(C16="TGV","FE035",IF(C16="TER","FE036",IF(C16="Métro/Tramway","FE037",IF(C16="Bus urbain","FE038",IF(C16="Avion CC éco (avec RF)","FE039_RF",IF(C16="Avion MC éco (avec RF)","FE040_RF",IF(C16="Avion LC éco (avec RF)","FE041_RF",IF(C16="Avion LC business (avec RF)","FE042","")))))))))))))</f>
        <v/>
      </c>
      <c r="H16" s="52">
        <f>IF(G16="","",VLOOKUP(G16,Facteurs_Emission!$A$4:$E$108,5,FALSE()))</f>
        <v/>
      </c>
      <c r="I16" s="28">
        <f>IF(OR(F16=0,H16=""),0,F16*H16)</f>
        <v/>
      </c>
      <c r="J16" s="28">
        <f>I16/1000</f>
        <v/>
      </c>
    </row>
    <row r="17">
      <c r="A17" s="18" t="n"/>
      <c r="B17" s="18" t="inlineStr">
        <is>
          <t>SOUS-TOTAL DÉPLACEMENTS PROFESSIONNELS</t>
        </is>
      </c>
      <c r="C17" s="18" t="n"/>
      <c r="D17" s="18" t="n"/>
      <c r="E17" s="18" t="n"/>
      <c r="F17" s="18" t="n"/>
      <c r="G17" s="18" t="n"/>
      <c r="H17" s="18" t="n"/>
      <c r="I17" s="29">
        <f>SUM(I5:I16)</f>
        <v/>
      </c>
      <c r="J17" s="29">
        <f>SUM(J5:J16)</f>
        <v/>
      </c>
    </row>
    <row r="19" ht="21.75" customHeight="1" s="847">
      <c r="A19" s="893" t="inlineStr">
        <is>
          <t>B — DÉPLACEMENTS DOMICILE-TRAVAIL (Scope 3 Cat. 7)</t>
        </is>
      </c>
      <c r="B19" s="994" t="n"/>
      <c r="C19" s="994" t="n"/>
      <c r="D19" s="994" t="n"/>
      <c r="E19" s="994" t="n"/>
      <c r="F19" s="994" t="n"/>
      <c r="G19" s="994" t="n"/>
      <c r="H19" s="994" t="n"/>
      <c r="I19" s="994" t="n"/>
    </row>
    <row r="20" ht="45" customHeight="1" s="847">
      <c r="A20" s="2" t="inlineStr">
        <is>
          <t>Mode</t>
        </is>
      </c>
      <c r="B20" s="2" t="inlineStr">
        <is>
          <t>Nb salariés</t>
        </is>
      </c>
      <c r="C20" s="2" t="inlineStr">
        <is>
          <t>Distance A/R moy. (km)</t>
        </is>
      </c>
      <c r="D20" s="2" t="inlineStr">
        <is>
          <t>Jours/an</t>
        </is>
      </c>
      <c r="E20" s="2" t="inlineStr">
        <is>
          <t>Total km.pass</t>
        </is>
      </c>
      <c r="F20" s="2" t="inlineStr">
        <is>
          <t>ID FE</t>
        </is>
      </c>
      <c r="G20" s="2" t="inlineStr">
        <is>
          <t>FE (kgCO2e/km)</t>
        </is>
      </c>
      <c r="H20" s="2" t="inlineStr">
        <is>
          <t>Émissions (kgCO2e)</t>
        </is>
      </c>
      <c r="I20" s="2" t="inlineStr">
        <is>
          <t>tCO2e</t>
        </is>
      </c>
    </row>
    <row r="21">
      <c r="A21" s="3" t="inlineStr">
        <is>
          <t>Voiture thermique (seul)</t>
        </is>
      </c>
      <c r="B21" s="14" t="n">
        <v>0</v>
      </c>
      <c r="C21" s="14" t="n">
        <v>0</v>
      </c>
      <c r="D21" s="13" t="n">
        <v>220</v>
      </c>
      <c r="E21" s="51">
        <f>B21*C21*D21</f>
        <v/>
      </c>
      <c r="F21" s="3" t="inlineStr">
        <is>
          <t>FE030</t>
        </is>
      </c>
      <c r="G21" s="1006">
        <f>IF(F21="","",VLOOKUP(F21,Facteurs_Emission!$A$4:$E$108,5,FALSE()))</f>
        <v/>
      </c>
      <c r="H21" s="42">
        <f>E21*G21</f>
        <v/>
      </c>
      <c r="I21" s="42">
        <f>H21/1000</f>
        <v/>
      </c>
    </row>
    <row r="22">
      <c r="A22" s="3" t="inlineStr">
        <is>
          <t>Voiture thermique (covoit. 2 pers.)</t>
        </is>
      </c>
      <c r="B22" s="14" t="n">
        <v>0</v>
      </c>
      <c r="C22" s="14" t="n">
        <v>0</v>
      </c>
      <c r="D22" s="13" t="n">
        <v>220</v>
      </c>
      <c r="E22" s="51">
        <f>B22*C22*D22</f>
        <v/>
      </c>
      <c r="F22" s="3" t="inlineStr">
        <is>
          <t>FE030</t>
        </is>
      </c>
      <c r="G22" s="1006">
        <f>IF(F22="","",VLOOKUP(F22,Facteurs_Emission!$A$4:$E$108,5,FALSE())/2)</f>
        <v/>
      </c>
      <c r="H22" s="42">
        <f>E22*G22</f>
        <v/>
      </c>
      <c r="I22" s="42">
        <f>H22/1000</f>
        <v/>
      </c>
    </row>
    <row r="23">
      <c r="A23" s="3" t="inlineStr">
        <is>
          <t>Voiture électrique</t>
        </is>
      </c>
      <c r="B23" s="14" t="n">
        <v>0</v>
      </c>
      <c r="C23" s="14" t="n">
        <v>0</v>
      </c>
      <c r="D23" s="13" t="n">
        <v>220</v>
      </c>
      <c r="E23" s="51">
        <f>B23*C23*D23</f>
        <v/>
      </c>
      <c r="F23" s="3" t="inlineStr">
        <is>
          <t>FE033</t>
        </is>
      </c>
      <c r="G23" s="1006">
        <f>IF(F23="","",VLOOKUP(F23,Facteurs_Emission!$A$4:$E$108,5,FALSE()))</f>
        <v/>
      </c>
      <c r="H23" s="42">
        <f>E23*G23</f>
        <v/>
      </c>
      <c r="I23" s="42">
        <f>H23/1000</f>
        <v/>
      </c>
    </row>
    <row r="24">
      <c r="A24" s="3" t="inlineStr">
        <is>
          <t>Métro / Tramway</t>
        </is>
      </c>
      <c r="B24" s="14" t="n">
        <v>0</v>
      </c>
      <c r="C24" s="14" t="n">
        <v>0</v>
      </c>
      <c r="D24" s="13" t="n">
        <v>220</v>
      </c>
      <c r="E24" s="51">
        <f>B24*C24*D24</f>
        <v/>
      </c>
      <c r="F24" s="3" t="inlineStr">
        <is>
          <t>FE037</t>
        </is>
      </c>
      <c r="G24" s="1006">
        <f>IF(F24="","",VLOOKUP(F24,Facteurs_Emission!$A$4:$E$108,5,FALSE()))</f>
        <v/>
      </c>
      <c r="H24" s="42">
        <f>E24*G24</f>
        <v/>
      </c>
      <c r="I24" s="42">
        <f>H24/1000</f>
        <v/>
      </c>
    </row>
    <row r="25">
      <c r="A25" s="3" t="inlineStr">
        <is>
          <t>Bus urbain</t>
        </is>
      </c>
      <c r="B25" s="14" t="n">
        <v>0</v>
      </c>
      <c r="C25" s="14" t="n">
        <v>0</v>
      </c>
      <c r="D25" s="13" t="n">
        <v>220</v>
      </c>
      <c r="E25" s="51">
        <f>B25*C25*D25</f>
        <v/>
      </c>
      <c r="F25" s="3" t="inlineStr">
        <is>
          <t>FE038</t>
        </is>
      </c>
      <c r="G25" s="1006">
        <f>IF(F25="","",VLOOKUP(F25,Facteurs_Emission!$A$4:$E$108,5,FALSE()))</f>
        <v/>
      </c>
      <c r="H25" s="42">
        <f>E25*G25</f>
        <v/>
      </c>
      <c r="I25" s="42">
        <f>H25/1000</f>
        <v/>
      </c>
    </row>
    <row r="26">
      <c r="A26" s="3" t="inlineStr">
        <is>
          <t>TER / RER</t>
        </is>
      </c>
      <c r="B26" s="14" t="n">
        <v>0</v>
      </c>
      <c r="C26" s="14" t="n">
        <v>0</v>
      </c>
      <c r="D26" s="13" t="n">
        <v>220</v>
      </c>
      <c r="E26" s="51">
        <f>B26*C26*D26</f>
        <v/>
      </c>
      <c r="F26" s="3" t="inlineStr">
        <is>
          <t>FE036</t>
        </is>
      </c>
      <c r="G26" s="1006">
        <f>IF(F26="","",VLOOKUP(F26,Facteurs_Emission!$A$4:$E$108,5,FALSE()))</f>
        <v/>
      </c>
      <c r="H26" s="42">
        <f>E26*G26</f>
        <v/>
      </c>
      <c r="I26" s="42">
        <f>H26/1000</f>
        <v/>
      </c>
    </row>
    <row r="27">
      <c r="A27" s="3" t="inlineStr">
        <is>
          <t>Vélo / trottinette</t>
        </is>
      </c>
      <c r="B27" s="14" t="n">
        <v>0</v>
      </c>
      <c r="C27" s="14" t="n">
        <v>0</v>
      </c>
      <c r="D27" s="13" t="n">
        <v>220</v>
      </c>
      <c r="E27" s="51">
        <f>B27*C27*D27</f>
        <v/>
      </c>
      <c r="F27" s="3" t="n"/>
      <c r="G27" s="3" t="n">
        <v>0</v>
      </c>
      <c r="H27" s="42">
        <f>E27*G27</f>
        <v/>
      </c>
      <c r="I27" s="42">
        <f>H27/1000</f>
        <v/>
      </c>
    </row>
    <row r="28">
      <c r="A28" s="3" t="inlineStr">
        <is>
          <t>Marche à pied</t>
        </is>
      </c>
      <c r="B28" s="14" t="n">
        <v>0</v>
      </c>
      <c r="C28" s="14" t="n">
        <v>0</v>
      </c>
      <c r="D28" s="13" t="n">
        <v>220</v>
      </c>
      <c r="E28" s="51">
        <f>B28*C28*D28</f>
        <v/>
      </c>
      <c r="F28" s="3" t="n"/>
      <c r="G28" s="3" t="n">
        <v>0</v>
      </c>
      <c r="H28" s="42">
        <f>E28*G28</f>
        <v/>
      </c>
      <c r="I28" s="42">
        <f>H28/1000</f>
        <v/>
      </c>
    </row>
    <row r="29">
      <c r="A29" s="18" t="inlineStr">
        <is>
          <t>SOUS-TOTAL DOMICILE-TRAVAIL</t>
        </is>
      </c>
      <c r="B29" s="18" t="n"/>
      <c r="C29" s="18" t="n"/>
      <c r="D29" s="18" t="n"/>
      <c r="E29" s="18" t="n"/>
      <c r="F29" s="18" t="n"/>
      <c r="G29" s="18" t="n"/>
      <c r="H29" s="29">
        <f>SUM(H21:H28)</f>
        <v/>
      </c>
      <c r="I29" s="29">
        <f>SUM(I21:I28)</f>
        <v/>
      </c>
    </row>
  </sheetData>
  <mergeCells count="3">
    <mergeCell ref="A1:J1"/>
    <mergeCell ref="A19:I19"/>
    <mergeCell ref="A3:J3"/>
  </mergeCells>
  <dataValidations count="1">
    <dataValidation sqref="C5:C16" showDropDown="0" showInputMessage="0" showErrorMessage="0" allowBlank="1" errorTitle="Erreur de saisie" error="Valeur non autorisée" type="list">
      <formula1>"Voiture thermique,Voiture diesel,Voiture essence,Voiture électrique,TGV,TER,Métro/Tramway,Bus urbain,Avion CC éco (avec RF),Avion MC éco (avec RF),Avion LC éco (avec RF),Avion LC business (avec RF)"</formula1>
      <formula2>0</formula2>
    </dataValidation>
  </dataValidation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tabColor rgb="FF795548"/>
    <outlinePr summaryBelow="1" summaryRight="1"/>
    <pageSetUpPr/>
  </sheetPr>
  <dimension ref="A1:O36"/>
  <sheetViews>
    <sheetView showGridLines="0" zoomScaleNormal="100" workbookViewId="0">
      <pane ySplit="3" topLeftCell="A4" activePane="bottomLeft" state="frozen"/>
      <selection pane="bottomLeft" activeCell="A1" sqref="A1:K1"/>
    </sheetView>
  </sheetViews>
  <sheetFormatPr baseColWidth="10" defaultColWidth="8.7109375" defaultRowHeight="15"/>
  <cols>
    <col width="6" customWidth="1" style="847" min="1" max="1"/>
    <col width="25" customWidth="1" style="847" min="2" max="2"/>
    <col width="30" customWidth="1" style="847" min="3" max="3"/>
    <col width="14" customWidth="1" style="847" min="4" max="4"/>
    <col width="12" customWidth="1" style="847" min="5" max="5"/>
    <col width="10" customWidth="1" style="847" min="6" max="6"/>
    <col width="16" customWidth="1" style="847" min="7" max="11"/>
    <col width="13.28515625" customWidth="1" style="847" min="14" max="15"/>
  </cols>
  <sheetData>
    <row r="1" ht="27.95" customHeight="1" s="847">
      <c r="A1" s="891" t="inlineStr">
        <is>
          <t>ACHATS DE MATIÈRES PREMIÈRES ET INTRANTS — SCOPE 3 CAT. 1</t>
        </is>
      </c>
      <c r="B1" s="994" t="n"/>
      <c r="C1" s="994" t="n"/>
      <c r="D1" s="994" t="n"/>
      <c r="E1" s="994" t="n"/>
      <c r="F1" s="994" t="n"/>
      <c r="G1" s="994" t="n"/>
      <c r="H1" s="994" t="n"/>
      <c r="I1" s="994" t="n"/>
      <c r="J1" s="994" t="n"/>
      <c r="K1" s="994" t="n"/>
      <c r="L1" s="878" t="n"/>
      <c r="M1" s="878" t="n"/>
      <c r="N1" s="231" t="inlineStr">
        <is>
          <t>🏠 Sommaire</t>
        </is>
      </c>
      <c r="O1" s="85" t="inlineStr">
        <is>
          <t>🏠 Sommaire</t>
        </is>
      </c>
    </row>
    <row r="3" ht="30" customHeight="1" s="847">
      <c r="A3" s="2" t="inlineStr">
        <is>
          <t>Ligne</t>
        </is>
      </c>
      <c r="B3" s="2" t="inlineStr">
        <is>
          <t>Fournisseur</t>
        </is>
      </c>
      <c r="C3" s="2" t="inlineStr">
        <is>
          <t>Matériau / Service</t>
        </is>
      </c>
      <c r="D3" s="2" t="inlineStr">
        <is>
          <t>Quantité</t>
        </is>
      </c>
      <c r="E3" s="2" t="inlineStr">
        <is>
          <t>Unité</t>
        </is>
      </c>
      <c r="F3" s="2" t="inlineStr">
        <is>
          <t>ID FE</t>
        </is>
      </c>
      <c r="G3" s="2" t="inlineStr">
        <is>
          <t>FE (kgCO2e/u)</t>
        </is>
      </c>
      <c r="H3" s="2" t="inlineStr">
        <is>
          <t>Émissions (kgCO2e)</t>
        </is>
      </c>
      <c r="I3" s="2" t="inlineStr">
        <is>
          <t>Émissions (tCO2e)</t>
        </is>
      </c>
      <c r="J3" s="2" t="inlineStr">
        <is>
          <t>Coût achat HT (€)</t>
        </is>
      </c>
      <c r="K3" s="2" t="inlineStr">
        <is>
          <t>Intensité (kgCO2e/€)</t>
        </is>
      </c>
    </row>
    <row r="4">
      <c r="A4" s="3" t="n">
        <v>1</v>
      </c>
      <c r="B4" s="13" t="n"/>
      <c r="C4" s="13" t="n"/>
      <c r="D4" s="14" t="n">
        <v>0</v>
      </c>
      <c r="E4" s="3" t="n"/>
      <c r="F4" s="3" t="n"/>
      <c r="G4" s="3" t="n"/>
      <c r="H4" s="42">
        <f>IF(OR(D4=0,G4=""),0,D4*G4)</f>
        <v/>
      </c>
      <c r="I4" s="42">
        <f>H4/1000</f>
        <v/>
      </c>
      <c r="J4" s="15" t="n">
        <v>0</v>
      </c>
      <c r="K4" s="53">
        <f>IF(J4=0,"—",H4/J4)</f>
        <v/>
      </c>
    </row>
    <row r="5">
      <c r="A5" s="3" t="n">
        <v>2</v>
      </c>
      <c r="B5" s="13" t="n"/>
      <c r="C5" s="13" t="n"/>
      <c r="D5" s="14" t="n">
        <v>0</v>
      </c>
      <c r="E5" s="3" t="n"/>
      <c r="F5" s="3" t="n"/>
      <c r="G5" s="3" t="n"/>
      <c r="H5" s="42">
        <f>IF(OR(D5=0,G5=""),0,D5*G5)</f>
        <v/>
      </c>
      <c r="I5" s="42">
        <f>H5/1000</f>
        <v/>
      </c>
      <c r="J5" s="15" t="n">
        <v>0</v>
      </c>
      <c r="K5" s="53">
        <f>IF(J5=0,"—",H5/J5)</f>
        <v/>
      </c>
    </row>
    <row r="6">
      <c r="A6" s="3" t="n">
        <v>3</v>
      </c>
      <c r="B6" s="13" t="n"/>
      <c r="C6" s="13" t="n"/>
      <c r="D6" s="14" t="n">
        <v>0</v>
      </c>
      <c r="E6" s="3" t="n"/>
      <c r="F6" s="3" t="n"/>
      <c r="G6" s="3" t="n"/>
      <c r="H6" s="42">
        <f>IF(OR(D6=0,G6=""),0,D6*G6)</f>
        <v/>
      </c>
      <c r="I6" s="42">
        <f>H6/1000</f>
        <v/>
      </c>
      <c r="J6" s="15" t="n">
        <v>0</v>
      </c>
      <c r="K6" s="53">
        <f>IF(J6=0,"—",H6/J6)</f>
        <v/>
      </c>
    </row>
    <row r="7">
      <c r="A7" s="3" t="n">
        <v>4</v>
      </c>
      <c r="B7" s="13" t="n"/>
      <c r="C7" s="13" t="n"/>
      <c r="D7" s="14" t="n">
        <v>0</v>
      </c>
      <c r="E7" s="3" t="n"/>
      <c r="F7" s="3" t="n"/>
      <c r="G7" s="3" t="n"/>
      <c r="H7" s="42">
        <f>IF(OR(D7=0,G7=""),0,D7*G7)</f>
        <v/>
      </c>
      <c r="I7" s="42">
        <f>H7/1000</f>
        <v/>
      </c>
      <c r="J7" s="15" t="n">
        <v>0</v>
      </c>
      <c r="K7" s="53">
        <f>IF(J7=0,"—",H7/J7)</f>
        <v/>
      </c>
    </row>
    <row r="8">
      <c r="A8" s="3" t="n">
        <v>5</v>
      </c>
      <c r="B8" s="13" t="n"/>
      <c r="C8" s="13" t="n"/>
      <c r="D8" s="14" t="n">
        <v>0</v>
      </c>
      <c r="E8" s="3" t="n"/>
      <c r="F8" s="3" t="n"/>
      <c r="G8" s="3" t="n"/>
      <c r="H8" s="42">
        <f>IF(OR(D8=0,G8=""),0,D8*G8)</f>
        <v/>
      </c>
      <c r="I8" s="42">
        <f>H8/1000</f>
        <v/>
      </c>
      <c r="J8" s="15" t="n">
        <v>0</v>
      </c>
      <c r="K8" s="53">
        <f>IF(J8=0,"—",H8/J8)</f>
        <v/>
      </c>
    </row>
    <row r="9">
      <c r="A9" s="3" t="n">
        <v>6</v>
      </c>
      <c r="B9" s="13" t="n"/>
      <c r="C9" s="13" t="n"/>
      <c r="D9" s="14" t="n">
        <v>0</v>
      </c>
      <c r="E9" s="3" t="n"/>
      <c r="F9" s="3" t="n"/>
      <c r="G9" s="3" t="n"/>
      <c r="H9" s="42">
        <f>IF(OR(D9=0,G9=""),0,D9*G9)</f>
        <v/>
      </c>
      <c r="I9" s="42">
        <f>H9/1000</f>
        <v/>
      </c>
      <c r="J9" s="15" t="n">
        <v>0</v>
      </c>
      <c r="K9" s="53">
        <f>IF(J9=0,"—",H9/J9)</f>
        <v/>
      </c>
    </row>
    <row r="10">
      <c r="A10" s="3" t="n">
        <v>7</v>
      </c>
      <c r="B10" s="13" t="n"/>
      <c r="C10" s="13" t="n"/>
      <c r="D10" s="14" t="n">
        <v>0</v>
      </c>
      <c r="E10" s="3" t="n"/>
      <c r="F10" s="3" t="n"/>
      <c r="G10" s="3" t="n"/>
      <c r="H10" s="42">
        <f>IF(OR(D10=0,G10=""),0,D10*G10)</f>
        <v/>
      </c>
      <c r="I10" s="42">
        <f>H10/1000</f>
        <v/>
      </c>
      <c r="J10" s="15" t="n">
        <v>0</v>
      </c>
      <c r="K10" s="53">
        <f>IF(J10=0,"—",H10/J10)</f>
        <v/>
      </c>
    </row>
    <row r="11">
      <c r="A11" s="3" t="n">
        <v>8</v>
      </c>
      <c r="B11" s="13" t="n"/>
      <c r="C11" s="13" t="n"/>
      <c r="D11" s="14" t="n">
        <v>0</v>
      </c>
      <c r="E11" s="3" t="n"/>
      <c r="F11" s="3" t="n"/>
      <c r="G11" s="3" t="n"/>
      <c r="H11" s="42">
        <f>IF(OR(D11=0,G11=""),0,D11*G11)</f>
        <v/>
      </c>
      <c r="I11" s="42">
        <f>H11/1000</f>
        <v/>
      </c>
      <c r="J11" s="15" t="n">
        <v>0</v>
      </c>
      <c r="K11" s="53">
        <f>IF(J11=0,"—",H11/J11)</f>
        <v/>
      </c>
    </row>
    <row r="12">
      <c r="A12" s="3" t="n">
        <v>9</v>
      </c>
      <c r="B12" s="13" t="n"/>
      <c r="C12" s="13" t="n"/>
      <c r="D12" s="14" t="n">
        <v>0</v>
      </c>
      <c r="E12" s="3" t="n"/>
      <c r="F12" s="3" t="n"/>
      <c r="G12" s="3" t="n"/>
      <c r="H12" s="42">
        <f>IF(OR(D12=0,G12=""),0,D12*G12)</f>
        <v/>
      </c>
      <c r="I12" s="42">
        <f>H12/1000</f>
        <v/>
      </c>
      <c r="J12" s="15" t="n">
        <v>0</v>
      </c>
      <c r="K12" s="53">
        <f>IF(J12=0,"—",H12/J12)</f>
        <v/>
      </c>
    </row>
    <row r="13">
      <c r="A13" s="3" t="n">
        <v>10</v>
      </c>
      <c r="B13" s="13" t="n"/>
      <c r="C13" s="13" t="n"/>
      <c r="D13" s="14" t="n">
        <v>0</v>
      </c>
      <c r="E13" s="3" t="n"/>
      <c r="F13" s="3" t="n"/>
      <c r="G13" s="3" t="n"/>
      <c r="H13" s="42">
        <f>IF(OR(D13=0,G13=""),0,D13*G13)</f>
        <v/>
      </c>
      <c r="I13" s="42">
        <f>H13/1000</f>
        <v/>
      </c>
      <c r="J13" s="15" t="n">
        <v>0</v>
      </c>
      <c r="K13" s="53">
        <f>IF(J13=0,"—",H13/J13)</f>
        <v/>
      </c>
    </row>
    <row r="14">
      <c r="A14" s="3" t="n">
        <v>11</v>
      </c>
      <c r="B14" s="13" t="n"/>
      <c r="C14" s="13" t="n"/>
      <c r="D14" s="14" t="n">
        <v>0</v>
      </c>
      <c r="E14" s="3" t="n"/>
      <c r="F14" s="3" t="n"/>
      <c r="G14" s="3" t="n"/>
      <c r="H14" s="42">
        <f>IF(OR(D14=0,G14=""),0,D14*G14)</f>
        <v/>
      </c>
      <c r="I14" s="42">
        <f>H14/1000</f>
        <v/>
      </c>
      <c r="J14" s="15" t="n">
        <v>0</v>
      </c>
      <c r="K14" s="53">
        <f>IF(J14=0,"—",H14/J14)</f>
        <v/>
      </c>
    </row>
    <row r="15">
      <c r="A15" s="3" t="n">
        <v>12</v>
      </c>
      <c r="B15" s="13" t="n"/>
      <c r="C15" s="13" t="n"/>
      <c r="D15" s="14" t="n">
        <v>0</v>
      </c>
      <c r="E15" s="3" t="n"/>
      <c r="F15" s="3" t="n"/>
      <c r="G15" s="3" t="n"/>
      <c r="H15" s="42">
        <f>IF(OR(D15=0,G15=""),0,D15*G15)</f>
        <v/>
      </c>
      <c r="I15" s="42">
        <f>H15/1000</f>
        <v/>
      </c>
      <c r="J15" s="15" t="n">
        <v>0</v>
      </c>
      <c r="K15" s="53">
        <f>IF(J15=0,"—",H15/J15)</f>
        <v/>
      </c>
    </row>
    <row r="16">
      <c r="A16" s="3" t="n">
        <v>13</v>
      </c>
      <c r="B16" s="13" t="n"/>
      <c r="C16" s="13" t="n"/>
      <c r="D16" s="14" t="n">
        <v>0</v>
      </c>
      <c r="E16" s="3" t="n"/>
      <c r="F16" s="3" t="n"/>
      <c r="G16" s="3" t="n"/>
      <c r="H16" s="42">
        <f>IF(OR(D16=0,G16=""),0,D16*G16)</f>
        <v/>
      </c>
      <c r="I16" s="42">
        <f>H16/1000</f>
        <v/>
      </c>
      <c r="J16" s="15" t="n">
        <v>0</v>
      </c>
      <c r="K16" s="53">
        <f>IF(J16=0,"—",H16/J16)</f>
        <v/>
      </c>
    </row>
    <row r="17">
      <c r="A17" s="3" t="n">
        <v>14</v>
      </c>
      <c r="B17" s="13" t="n"/>
      <c r="C17" s="13" t="n"/>
      <c r="D17" s="14" t="n">
        <v>0</v>
      </c>
      <c r="E17" s="3" t="n"/>
      <c r="F17" s="3" t="n"/>
      <c r="G17" s="3" t="n"/>
      <c r="H17" s="42">
        <f>IF(OR(D17=0,G17=""),0,D17*G17)</f>
        <v/>
      </c>
      <c r="I17" s="42">
        <f>H17/1000</f>
        <v/>
      </c>
      <c r="J17" s="15" t="n">
        <v>0</v>
      </c>
      <c r="K17" s="53">
        <f>IF(J17=0,"—",H17/J17)</f>
        <v/>
      </c>
    </row>
    <row r="18">
      <c r="A18" s="3" t="n">
        <v>15</v>
      </c>
      <c r="B18" s="13" t="n"/>
      <c r="C18" s="13" t="n"/>
      <c r="D18" s="14" t="n">
        <v>0</v>
      </c>
      <c r="E18" s="3" t="n"/>
      <c r="F18" s="3" t="n"/>
      <c r="G18" s="3" t="n"/>
      <c r="H18" s="42">
        <f>IF(OR(D18=0,G18=""),0,D18*G18)</f>
        <v/>
      </c>
      <c r="I18" s="42">
        <f>H18/1000</f>
        <v/>
      </c>
      <c r="J18" s="15" t="n">
        <v>0</v>
      </c>
      <c r="K18" s="53">
        <f>IF(J18=0,"—",H18/J18)</f>
        <v/>
      </c>
    </row>
    <row r="19">
      <c r="A19" s="3" t="n">
        <v>16</v>
      </c>
      <c r="B19" s="13" t="n"/>
      <c r="C19" s="13" t="n"/>
      <c r="D19" s="14" t="n">
        <v>0</v>
      </c>
      <c r="E19" s="3" t="n"/>
      <c r="F19" s="3" t="n"/>
      <c r="G19" s="3" t="n"/>
      <c r="H19" s="42">
        <f>IF(OR(D19=0,G19=""),0,D19*G19)</f>
        <v/>
      </c>
      <c r="I19" s="42">
        <f>H19/1000</f>
        <v/>
      </c>
      <c r="J19" s="15" t="n">
        <v>0</v>
      </c>
      <c r="K19" s="53">
        <f>IF(J19=0,"—",H19/J19)</f>
        <v/>
      </c>
    </row>
    <row r="20">
      <c r="A20" s="3" t="n">
        <v>17</v>
      </c>
      <c r="B20" s="13" t="n"/>
      <c r="C20" s="13" t="n"/>
      <c r="D20" s="14" t="n">
        <v>0</v>
      </c>
      <c r="E20" s="3" t="n"/>
      <c r="F20" s="3" t="n"/>
      <c r="G20" s="3" t="n"/>
      <c r="H20" s="42">
        <f>IF(OR(D20=0,G20=""),0,D20*G20)</f>
        <v/>
      </c>
      <c r="I20" s="42">
        <f>H20/1000</f>
        <v/>
      </c>
      <c r="J20" s="15" t="n">
        <v>0</v>
      </c>
      <c r="K20" s="53">
        <f>IF(J20=0,"—",H20/J20)</f>
        <v/>
      </c>
    </row>
    <row r="21">
      <c r="A21" s="3" t="n">
        <v>18</v>
      </c>
      <c r="B21" s="13" t="n"/>
      <c r="C21" s="13" t="n"/>
      <c r="D21" s="14" t="n">
        <v>0</v>
      </c>
      <c r="E21" s="3" t="n"/>
      <c r="F21" s="3" t="n"/>
      <c r="G21" s="3" t="n"/>
      <c r="H21" s="42">
        <f>IF(OR(D21=0,G21=""),0,D21*G21)</f>
        <v/>
      </c>
      <c r="I21" s="42">
        <f>H21/1000</f>
        <v/>
      </c>
      <c r="J21" s="15" t="n">
        <v>0</v>
      </c>
      <c r="K21" s="53">
        <f>IF(J21=0,"—",H21/J21)</f>
        <v/>
      </c>
    </row>
    <row r="22">
      <c r="A22" s="3" t="n">
        <v>19</v>
      </c>
      <c r="B22" s="13" t="n"/>
      <c r="C22" s="13" t="n"/>
      <c r="D22" s="14" t="n">
        <v>0</v>
      </c>
      <c r="E22" s="3" t="n"/>
      <c r="F22" s="3" t="n"/>
      <c r="G22" s="3" t="n"/>
      <c r="H22" s="42">
        <f>IF(OR(D22=0,G22=""),0,D22*G22)</f>
        <v/>
      </c>
      <c r="I22" s="42">
        <f>H22/1000</f>
        <v/>
      </c>
      <c r="J22" s="15" t="n">
        <v>0</v>
      </c>
      <c r="K22" s="53">
        <f>IF(J22=0,"—",H22/J22)</f>
        <v/>
      </c>
    </row>
    <row r="23">
      <c r="A23" s="3" t="n">
        <v>20</v>
      </c>
      <c r="B23" s="13" t="n"/>
      <c r="C23" s="13" t="n"/>
      <c r="D23" s="14" t="n">
        <v>0</v>
      </c>
      <c r="E23" s="3" t="n"/>
      <c r="F23" s="3" t="n"/>
      <c r="G23" s="3" t="n"/>
      <c r="H23" s="42">
        <f>IF(OR(D23=0,G23=""),0,D23*G23)</f>
        <v/>
      </c>
      <c r="I23" s="42">
        <f>H23/1000</f>
        <v/>
      </c>
      <c r="J23" s="15" t="n">
        <v>0</v>
      </c>
      <c r="K23" s="53">
        <f>IF(J23=0,"—",H23/J23)</f>
        <v/>
      </c>
    </row>
    <row r="24">
      <c r="A24" s="3" t="n">
        <v>21</v>
      </c>
      <c r="B24" s="13" t="n"/>
      <c r="C24" s="13" t="n"/>
      <c r="D24" s="14" t="n">
        <v>0</v>
      </c>
      <c r="E24" s="3" t="n"/>
      <c r="F24" s="3" t="n"/>
      <c r="G24" s="3" t="n"/>
      <c r="H24" s="42">
        <f>IF(OR(D24=0,G24=""),0,D24*G24)</f>
        <v/>
      </c>
      <c r="I24" s="42">
        <f>H24/1000</f>
        <v/>
      </c>
      <c r="J24" s="15" t="n">
        <v>0</v>
      </c>
      <c r="K24" s="53">
        <f>IF(J24=0,"—",H24/J24)</f>
        <v/>
      </c>
    </row>
    <row r="25">
      <c r="A25" s="3" t="n">
        <v>22</v>
      </c>
      <c r="B25" s="13" t="n"/>
      <c r="C25" s="13" t="n"/>
      <c r="D25" s="14" t="n">
        <v>0</v>
      </c>
      <c r="E25" s="3" t="n"/>
      <c r="F25" s="3" t="n"/>
      <c r="G25" s="3" t="n"/>
      <c r="H25" s="42">
        <f>IF(OR(D25=0,G25=""),0,D25*G25)</f>
        <v/>
      </c>
      <c r="I25" s="42">
        <f>H25/1000</f>
        <v/>
      </c>
      <c r="J25" s="15" t="n">
        <v>0</v>
      </c>
      <c r="K25" s="53">
        <f>IF(J25=0,"—",H25/J25)</f>
        <v/>
      </c>
    </row>
    <row r="26">
      <c r="A26" s="3" t="n">
        <v>23</v>
      </c>
      <c r="B26" s="13" t="n"/>
      <c r="C26" s="13" t="n"/>
      <c r="D26" s="14" t="n">
        <v>0</v>
      </c>
      <c r="E26" s="3" t="n"/>
      <c r="F26" s="3" t="n"/>
      <c r="G26" s="3" t="n"/>
      <c r="H26" s="42">
        <f>IF(OR(D26=0,G26=""),0,D26*G26)</f>
        <v/>
      </c>
      <c r="I26" s="42">
        <f>H26/1000</f>
        <v/>
      </c>
      <c r="J26" s="15" t="n">
        <v>0</v>
      </c>
      <c r="K26" s="53">
        <f>IF(J26=0,"—",H26/J26)</f>
        <v/>
      </c>
    </row>
    <row r="27">
      <c r="A27" s="3" t="n">
        <v>24</v>
      </c>
      <c r="B27" s="13" t="n"/>
      <c r="C27" s="13" t="n"/>
      <c r="D27" s="14" t="n">
        <v>0</v>
      </c>
      <c r="E27" s="3" t="n"/>
      <c r="F27" s="3" t="n"/>
      <c r="G27" s="3" t="n"/>
      <c r="H27" s="42">
        <f>IF(OR(D27=0,G27=""),0,D27*G27)</f>
        <v/>
      </c>
      <c r="I27" s="42">
        <f>H27/1000</f>
        <v/>
      </c>
      <c r="J27" s="15" t="n">
        <v>0</v>
      </c>
      <c r="K27" s="53">
        <f>IF(J27=0,"—",H27/J27)</f>
        <v/>
      </c>
    </row>
    <row r="28">
      <c r="A28" s="3" t="n">
        <v>25</v>
      </c>
      <c r="B28" s="13" t="n"/>
      <c r="C28" s="13" t="n"/>
      <c r="D28" s="14" t="n">
        <v>0</v>
      </c>
      <c r="E28" s="3" t="n"/>
      <c r="F28" s="3" t="n"/>
      <c r="G28" s="3" t="n"/>
      <c r="H28" s="42">
        <f>IF(OR(D28=0,G28=""),0,D28*G28)</f>
        <v/>
      </c>
      <c r="I28" s="42">
        <f>H28/1000</f>
        <v/>
      </c>
      <c r="J28" s="15" t="n">
        <v>0</v>
      </c>
      <c r="K28" s="53">
        <f>IF(J28=0,"—",H28/J28)</f>
        <v/>
      </c>
    </row>
    <row r="29">
      <c r="A29" s="3" t="n">
        <v>26</v>
      </c>
      <c r="B29" s="13" t="n"/>
      <c r="C29" s="13" t="n"/>
      <c r="D29" s="14" t="n">
        <v>0</v>
      </c>
      <c r="E29" s="3" t="n"/>
      <c r="F29" s="3" t="n"/>
      <c r="G29" s="3" t="n"/>
      <c r="H29" s="42">
        <f>IF(OR(D29=0,G29=""),0,D29*G29)</f>
        <v/>
      </c>
      <c r="I29" s="42">
        <f>H29/1000</f>
        <v/>
      </c>
      <c r="J29" s="15" t="n">
        <v>0</v>
      </c>
      <c r="K29" s="53">
        <f>IF(J29=0,"—",H29/J29)</f>
        <v/>
      </c>
    </row>
    <row r="30">
      <c r="A30" s="3" t="n">
        <v>27</v>
      </c>
      <c r="B30" s="13" t="n"/>
      <c r="C30" s="13" t="n"/>
      <c r="D30" s="14" t="n">
        <v>0</v>
      </c>
      <c r="E30" s="3" t="n"/>
      <c r="F30" s="3" t="n"/>
      <c r="G30" s="3" t="n"/>
      <c r="H30" s="42">
        <f>IF(OR(D30=0,G30=""),0,D30*G30)</f>
        <v/>
      </c>
      <c r="I30" s="42">
        <f>H30/1000</f>
        <v/>
      </c>
      <c r="J30" s="15" t="n">
        <v>0</v>
      </c>
      <c r="K30" s="53">
        <f>IF(J30=0,"—",H30/J30)</f>
        <v/>
      </c>
    </row>
    <row r="31">
      <c r="A31" s="3" t="n">
        <v>28</v>
      </c>
      <c r="B31" s="13" t="n"/>
      <c r="C31" s="13" t="n"/>
      <c r="D31" s="14" t="n">
        <v>0</v>
      </c>
      <c r="E31" s="3" t="n"/>
      <c r="F31" s="3" t="n"/>
      <c r="G31" s="3" t="n"/>
      <c r="H31" s="42">
        <f>IF(OR(D31=0,G31=""),0,D31*G31)</f>
        <v/>
      </c>
      <c r="I31" s="42">
        <f>H31/1000</f>
        <v/>
      </c>
      <c r="J31" s="15" t="n">
        <v>0</v>
      </c>
      <c r="K31" s="53">
        <f>IF(J31=0,"—",H31/J31)</f>
        <v/>
      </c>
    </row>
    <row r="32">
      <c r="A32" s="3" t="n">
        <v>29</v>
      </c>
      <c r="B32" s="13" t="n"/>
      <c r="C32" s="13" t="n"/>
      <c r="D32" s="14" t="n">
        <v>0</v>
      </c>
      <c r="E32" s="3" t="n"/>
      <c r="F32" s="3" t="n"/>
      <c r="G32" s="3" t="n"/>
      <c r="H32" s="42">
        <f>IF(OR(D32=0,G32=""),0,D32*G32)</f>
        <v/>
      </c>
      <c r="I32" s="42">
        <f>H32/1000</f>
        <v/>
      </c>
      <c r="J32" s="15" t="n">
        <v>0</v>
      </c>
      <c r="K32" s="53">
        <f>IF(J32=0,"—",H32/J32)</f>
        <v/>
      </c>
    </row>
    <row r="33">
      <c r="A33" s="3" t="n">
        <v>30</v>
      </c>
      <c r="B33" s="13" t="n"/>
      <c r="C33" s="13" t="n"/>
      <c r="D33" s="14" t="n">
        <v>0</v>
      </c>
      <c r="E33" s="3" t="n"/>
      <c r="F33" s="3" t="n"/>
      <c r="G33" s="3" t="n"/>
      <c r="H33" s="42">
        <f>IF(OR(D33=0,G33=""),0,D33*G33)</f>
        <v/>
      </c>
      <c r="I33" s="42">
        <f>H33/1000</f>
        <v/>
      </c>
      <c r="J33" s="15" t="n">
        <v>0</v>
      </c>
      <c r="K33" s="53">
        <f>IF(J33=0,"—",H33/J33)</f>
        <v/>
      </c>
    </row>
    <row r="34">
      <c r="A34" s="18" t="n"/>
      <c r="B34" s="18" t="inlineStr">
        <is>
          <t>TOTAL</t>
        </is>
      </c>
      <c r="C34" s="18" t="n"/>
      <c r="D34" s="18" t="n"/>
      <c r="E34" s="18" t="n"/>
      <c r="F34" s="18" t="n"/>
      <c r="G34" s="18" t="n"/>
      <c r="H34" s="29">
        <f>SUM(H4:H33)</f>
        <v/>
      </c>
      <c r="I34" s="29">
        <f>SUM(I4:I33)</f>
        <v/>
      </c>
      <c r="J34" s="54">
        <f>SUM(J4:J33)</f>
        <v/>
      </c>
      <c r="K34" s="18" t="n"/>
    </row>
    <row r="36">
      <c r="A36" t="inlineStr">
        <is>
          <t>Intensité carbone des achats (tCO2e/M€ achats)</t>
        </is>
      </c>
      <c r="D36" s="50">
        <f>IF(J34=0,0,I34/(J34/1000000))</f>
        <v/>
      </c>
    </row>
  </sheetData>
  <mergeCells count="1">
    <mergeCell ref="A1:K1"/>
  </mergeCell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tabColor rgb="FFE0E0E0"/>
    <outlinePr summaryBelow="1" summaryRight="1"/>
    <pageSetUpPr/>
  </sheetPr>
  <dimension ref="A1:O18"/>
  <sheetViews>
    <sheetView showGridLines="0" zoomScaleNormal="100" workbookViewId="0">
      <pane ySplit="3" topLeftCell="A4" activePane="bottomLeft" state="frozen"/>
      <selection pane="bottomLeft" activeCell="C21" sqref="C21"/>
    </sheetView>
  </sheetViews>
  <sheetFormatPr baseColWidth="10" defaultColWidth="8.7109375" defaultRowHeight="15"/>
  <cols>
    <col width="25" customWidth="1" style="847" min="1" max="1"/>
    <col width="28" customWidth="1" style="847" min="2" max="2"/>
    <col width="16" customWidth="1" style="847" min="3" max="3"/>
    <col width="10" customWidth="1" style="847" min="4" max="4"/>
    <col width="16" customWidth="1" style="847" min="5" max="7"/>
    <col width="20.28515625" customWidth="1" style="847" min="14" max="14"/>
    <col width="13.28515625" customWidth="1" style="847" min="15" max="15"/>
  </cols>
  <sheetData>
    <row r="1" ht="27.95" customHeight="1" s="847">
      <c r="A1" s="891" t="inlineStr">
        <is>
          <t>DÉCHETS GÉNÉRÉS — SCOPE 3 CATÉGORIE 5</t>
        </is>
      </c>
      <c r="B1" s="994" t="n"/>
      <c r="C1" s="994" t="n"/>
      <c r="D1" s="994" t="n"/>
      <c r="E1" s="994" t="n"/>
      <c r="F1" s="994" t="n"/>
      <c r="G1" s="994" t="n"/>
      <c r="H1" s="878" t="n"/>
      <c r="I1" s="878" t="n"/>
      <c r="J1" s="878" t="n"/>
      <c r="K1" s="878" t="n"/>
      <c r="L1" s="878" t="n"/>
      <c r="M1" s="878" t="n"/>
      <c r="N1" s="231" t="inlineStr">
        <is>
          <t>🏠 Sommaire</t>
        </is>
      </c>
      <c r="O1" s="85" t="inlineStr">
        <is>
          <t>🏠 Sommaire</t>
        </is>
      </c>
    </row>
    <row r="2">
      <c r="A2" s="898" t="inlineStr">
        <is>
          <t>⚠️ Conformément au GHG Protocol, les émissions comptabilisées sont celles du PROCESS de traitement, PAS les émissions évitées.</t>
        </is>
      </c>
    </row>
    <row r="3" ht="30" customHeight="1" s="847">
      <c r="A3" s="2" t="inlineStr">
        <is>
          <t>Type de déchet</t>
        </is>
      </c>
      <c r="B3" s="2" t="inlineStr">
        <is>
          <t>Filière de traitement</t>
        </is>
      </c>
      <c r="C3" s="2" t="inlineStr">
        <is>
          <t>Quantité (tonnes)</t>
        </is>
      </c>
      <c r="D3" s="2" t="inlineStr">
        <is>
          <t>ID FE</t>
        </is>
      </c>
      <c r="E3" s="2" t="inlineStr">
        <is>
          <t>FE process (kgCO2e/t)</t>
        </is>
      </c>
      <c r="F3" s="2" t="inlineStr">
        <is>
          <t>Émissions (kgCO2e)</t>
        </is>
      </c>
      <c r="G3" s="2" t="inlineStr">
        <is>
          <t>tCO2e</t>
        </is>
      </c>
    </row>
    <row r="4">
      <c r="A4" s="13" t="n"/>
      <c r="B4" s="13" t="n"/>
      <c r="C4" s="14" t="n">
        <v>0</v>
      </c>
      <c r="D4" s="26">
        <f>IF(B4="","",IF(B4="Enfouissement ISDND","FE090",IF(B4="Incinération avec récup. énergie","FE091",IF(B4="Recyclage (process)","FE092",IF(B4="Compostage","FE093",IF(B4="Méthanisation","FE094",IF(B4="DEEE","FE095","")))))))</f>
        <v/>
      </c>
      <c r="E4" s="55">
        <f>IF(D4="","",VLOOKUP(D4,Facteurs_Emission!$A$4:$G$108,7,FALSE()))</f>
        <v/>
      </c>
      <c r="F4" s="28">
        <f>IF(OR(C4=0,E4=""),0,C4*E4)</f>
        <v/>
      </c>
      <c r="G4" s="28">
        <f>F4/1000</f>
        <v/>
      </c>
    </row>
    <row r="5">
      <c r="A5" s="13" t="n"/>
      <c r="B5" s="13" t="n"/>
      <c r="C5" s="14" t="n">
        <v>0</v>
      </c>
      <c r="D5" s="26">
        <f>IF(B5="","",IF(B5="Enfouissement ISDND","FE090",IF(B5="Incinération avec récup. énergie","FE091",IF(B5="Recyclage (process)","FE092",IF(B5="Compostage","FE093",IF(B5="Méthanisation","FE094",IF(B5="DEEE","FE095","")))))))</f>
        <v/>
      </c>
      <c r="E5" s="55">
        <f>IF(D5="","",VLOOKUP(D5,Facteurs_Emission!$A$4:$G$108,7,FALSE()))</f>
        <v/>
      </c>
      <c r="F5" s="28">
        <f>IF(OR(C5=0,E5=""),0,C5*E5)</f>
        <v/>
      </c>
      <c r="G5" s="28">
        <f>F5/1000</f>
        <v/>
      </c>
    </row>
    <row r="6">
      <c r="A6" s="13" t="n"/>
      <c r="B6" s="13" t="n"/>
      <c r="C6" s="14" t="n">
        <v>0</v>
      </c>
      <c r="D6" s="26">
        <f>IF(B6="","",IF(B6="Enfouissement ISDND","FE090",IF(B6="Incinération avec récup. énergie","FE091",IF(B6="Recyclage (process)","FE092",IF(B6="Compostage","FE093",IF(B6="Méthanisation","FE094",IF(B6="DEEE","FE095","")))))))</f>
        <v/>
      </c>
      <c r="E6" s="55">
        <f>IF(D6="","",VLOOKUP(D6,Facteurs_Emission!$A$4:$G$108,7,FALSE()))</f>
        <v/>
      </c>
      <c r="F6" s="28">
        <f>IF(OR(C6=0,E6=""),0,C6*E6)</f>
        <v/>
      </c>
      <c r="G6" s="28">
        <f>F6/1000</f>
        <v/>
      </c>
    </row>
    <row r="7">
      <c r="A7" s="13" t="n"/>
      <c r="B7" s="13" t="n"/>
      <c r="C7" s="14" t="n">
        <v>0</v>
      </c>
      <c r="D7" s="26">
        <f>IF(B7="","",IF(B7="Enfouissement ISDND","FE090",IF(B7="Incinération avec récup. énergie","FE091",IF(B7="Recyclage (process)","FE092",IF(B7="Compostage","FE093",IF(B7="Méthanisation","FE094",IF(B7="DEEE","FE095","")))))))</f>
        <v/>
      </c>
      <c r="E7" s="55">
        <f>IF(D7="","",VLOOKUP(D7,Facteurs_Emission!$A$4:$G$108,7,FALSE()))</f>
        <v/>
      </c>
      <c r="F7" s="28">
        <f>IF(OR(C7=0,E7=""),0,C7*E7)</f>
        <v/>
      </c>
      <c r="G7" s="28">
        <f>F7/1000</f>
        <v/>
      </c>
    </row>
    <row r="8">
      <c r="A8" s="13" t="n"/>
      <c r="B8" s="13" t="n"/>
      <c r="C8" s="14" t="n">
        <v>0</v>
      </c>
      <c r="D8" s="26">
        <f>IF(B8="","",IF(B8="Enfouissement ISDND","FE090",IF(B8="Incinération avec récup. énergie","FE091",IF(B8="Recyclage (process)","FE092",IF(B8="Compostage","FE093",IF(B8="Méthanisation","FE094",IF(B8="DEEE","FE095","")))))))</f>
        <v/>
      </c>
      <c r="E8" s="55">
        <f>IF(D8="","",VLOOKUP(D8,Facteurs_Emission!$A$4:$G$108,7,FALSE()))</f>
        <v/>
      </c>
      <c r="F8" s="28">
        <f>IF(OR(C8=0,E8=""),0,C8*E8)</f>
        <v/>
      </c>
      <c r="G8" s="28">
        <f>F8/1000</f>
        <v/>
      </c>
    </row>
    <row r="9">
      <c r="A9" s="13" t="n"/>
      <c r="B9" s="13" t="n"/>
      <c r="C9" s="14" t="n">
        <v>0</v>
      </c>
      <c r="D9" s="26">
        <f>IF(B9="","",IF(B9="Enfouissement ISDND","FE090",IF(B9="Incinération avec récup. énergie","FE091",IF(B9="Recyclage (process)","FE092",IF(B9="Compostage","FE093",IF(B9="Méthanisation","FE094",IF(B9="DEEE","FE095","")))))))</f>
        <v/>
      </c>
      <c r="E9" s="55">
        <f>IF(D9="","",VLOOKUP(D9,Facteurs_Emission!$A$4:$G$108,7,FALSE()))</f>
        <v/>
      </c>
      <c r="F9" s="28">
        <f>IF(OR(C9=0,E9=""),0,C9*E9)</f>
        <v/>
      </c>
      <c r="G9" s="28">
        <f>F9/1000</f>
        <v/>
      </c>
    </row>
    <row r="10">
      <c r="A10" s="13" t="n"/>
      <c r="B10" s="13" t="n"/>
      <c r="C10" s="14" t="n">
        <v>0</v>
      </c>
      <c r="D10" s="26">
        <f>IF(B10="","",IF(B10="Enfouissement ISDND","FE090",IF(B10="Incinération avec récup. énergie","FE091",IF(B10="Recyclage (process)","FE092",IF(B10="Compostage","FE093",IF(B10="Méthanisation","FE094",IF(B10="DEEE","FE095","")))))))</f>
        <v/>
      </c>
      <c r="E10" s="55">
        <f>IF(D10="","",VLOOKUP(D10,Facteurs_Emission!$A$4:$G$108,7,FALSE()))</f>
        <v/>
      </c>
      <c r="F10" s="28">
        <f>IF(OR(C10=0,E10=""),0,C10*E10)</f>
        <v/>
      </c>
      <c r="G10" s="28">
        <f>F10/1000</f>
        <v/>
      </c>
    </row>
    <row r="11">
      <c r="A11" s="13" t="n"/>
      <c r="B11" s="13" t="n"/>
      <c r="C11" s="14" t="n">
        <v>0</v>
      </c>
      <c r="D11" s="26">
        <f>IF(B11="","",IF(B11="Enfouissement ISDND","FE090",IF(B11="Incinération avec récup. énergie","FE091",IF(B11="Recyclage (process)","FE092",IF(B11="Compostage","FE093",IF(B11="Méthanisation","FE094",IF(B11="DEEE","FE095","")))))))</f>
        <v/>
      </c>
      <c r="E11" s="55">
        <f>IF(D11="","",VLOOKUP(D11,Facteurs_Emission!$A$4:$G$108,7,FALSE()))</f>
        <v/>
      </c>
      <c r="F11" s="28">
        <f>IF(OR(C11=0,E11=""),0,C11*E11)</f>
        <v/>
      </c>
      <c r="G11" s="28">
        <f>F11/1000</f>
        <v/>
      </c>
    </row>
    <row r="12">
      <c r="A12" s="13" t="n"/>
      <c r="B12" s="13" t="n"/>
      <c r="C12" s="14" t="n">
        <v>0</v>
      </c>
      <c r="D12" s="26">
        <f>IF(B12="","",IF(B12="Enfouissement ISDND","FE090",IF(B12="Incinération avec récup. énergie","FE091",IF(B12="Recyclage (process)","FE092",IF(B12="Compostage","FE093",IF(B12="Méthanisation","FE094",IF(B12="DEEE","FE095","")))))))</f>
        <v/>
      </c>
      <c r="E12" s="55">
        <f>IF(D12="","",VLOOKUP(D12,Facteurs_Emission!$A$4:$G$108,7,FALSE()))</f>
        <v/>
      </c>
      <c r="F12" s="28">
        <f>IF(OR(C12=0,E12=""),0,C12*E12)</f>
        <v/>
      </c>
      <c r="G12" s="28">
        <f>F12/1000</f>
        <v/>
      </c>
    </row>
    <row r="13">
      <c r="A13" s="18" t="inlineStr">
        <is>
          <t>TOTAL</t>
        </is>
      </c>
      <c r="B13" s="18" t="n"/>
      <c r="C13" s="18" t="n"/>
      <c r="D13" s="18" t="n"/>
      <c r="E13" s="18" t="n"/>
      <c r="F13" s="29">
        <f>SUM(F4:F12)</f>
        <v/>
      </c>
      <c r="G13" s="29">
        <f>SUM(G4:G12)</f>
        <v/>
      </c>
    </row>
    <row r="15" ht="21.75" customHeight="1" s="847">
      <c r="A15" s="843" t="inlineStr">
        <is>
          <t>ÉMISSIONS ÉVITÉES PAR LE RECYCLAGE (hors Scope 3)</t>
        </is>
      </c>
      <c r="B15" s="994" t="n"/>
      <c r="C15" s="994" t="n"/>
      <c r="D15" s="994" t="n"/>
      <c r="E15" s="994" t="n"/>
      <c r="F15" s="994" t="n"/>
      <c r="G15" s="994" t="n"/>
    </row>
    <row r="16">
      <c r="A16" s="806" t="inlineStr">
        <is>
          <t>Tonnes recyclées</t>
        </is>
      </c>
      <c r="B16" s="807" t="n"/>
      <c r="C16" s="808">
        <f>SUMPRODUCT((B4:B12="Recyclage (process)")*(C4:C12))</f>
        <v/>
      </c>
    </row>
    <row r="17">
      <c r="A17" s="809" t="inlineStr">
        <is>
          <t>FE évitées (kgCO2e/t)</t>
        </is>
      </c>
      <c r="B17" s="810" t="n"/>
      <c r="C17" s="811" t="n">
        <v>-270</v>
      </c>
    </row>
    <row r="18">
      <c r="A18" s="812" t="inlineStr">
        <is>
          <t>Émissions évitées (tCO2e)</t>
        </is>
      </c>
      <c r="B18" s="813" t="n"/>
      <c r="C18" s="814">
        <f>C16*C17/1000</f>
        <v/>
      </c>
    </row>
  </sheetData>
  <mergeCells count="3">
    <mergeCell ref="A2:G2"/>
    <mergeCell ref="A1:G1"/>
    <mergeCell ref="A15:G15"/>
  </mergeCells>
  <dataValidations count="1">
    <dataValidation sqref="B4:B12" showDropDown="0" showInputMessage="0" showErrorMessage="0" allowBlank="1" errorTitle="Erreur de saisie" error="Valeur non autorisée" type="list">
      <formula1>"Enfouissement ISDND,Incinération avec récup. énergie,Recyclage (process),Compostage,Méthanisation,DEEE"</formula1>
      <formula2>0</formula2>
    </dataValidation>
  </dataValidation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tabColor rgb="FFBBDEFB"/>
    <outlinePr summaryBelow="1" summaryRight="1"/>
    <pageSetUpPr/>
  </sheetPr>
  <dimension ref="A1:O14"/>
  <sheetViews>
    <sheetView showGridLines="0" zoomScaleNormal="100" workbookViewId="0">
      <pane ySplit="3" topLeftCell="A4" activePane="bottomLeft" state="frozen"/>
      <selection pane="bottomLeft" activeCell="C19" sqref="C19"/>
    </sheetView>
  </sheetViews>
  <sheetFormatPr baseColWidth="10" defaultColWidth="8.7109375" defaultRowHeight="15"/>
  <cols>
    <col width="28.85546875" bestFit="1" customWidth="1" style="847" min="1" max="1"/>
    <col width="20" customWidth="1" style="847" min="2" max="3"/>
    <col width="16" customWidth="1" style="847" min="4" max="9"/>
    <col width="18.7109375" customWidth="1" style="847" min="14" max="14"/>
    <col width="13.28515625" customWidth="1" style="847" min="15" max="15"/>
  </cols>
  <sheetData>
    <row r="1" ht="27.95" customHeight="1" s="847">
      <c r="A1" s="891" t="inlineStr">
        <is>
          <t>CONSOMMATION D'EAU ET REJETS — ESRS E3</t>
        </is>
      </c>
      <c r="B1" s="994" t="n"/>
      <c r="C1" s="994" t="n"/>
      <c r="D1" s="994" t="n"/>
      <c r="E1" s="994" t="n"/>
      <c r="F1" s="994" t="n"/>
      <c r="G1" s="994" t="n"/>
      <c r="H1" s="994" t="n"/>
      <c r="I1" s="994" t="n"/>
      <c r="J1" s="878" t="n"/>
      <c r="K1" s="878" t="n"/>
      <c r="L1" s="878" t="n"/>
      <c r="M1" s="878" t="n"/>
      <c r="N1" s="231" t="inlineStr">
        <is>
          <t>🏠 Sommaire</t>
        </is>
      </c>
      <c r="O1" s="85" t="inlineStr">
        <is>
          <t>🏠 Sommaire</t>
        </is>
      </c>
    </row>
    <row r="3" ht="45" customHeight="1" s="847">
      <c r="A3" s="2" t="inlineStr">
        <is>
          <t>Site</t>
        </is>
      </c>
      <c r="B3" s="2" t="inlineStr">
        <is>
          <t>Consommation eau (m³)</t>
        </is>
      </c>
      <c r="C3" s="2" t="inlineStr">
        <is>
          <t>Eaux usées (m³)</t>
        </is>
      </c>
      <c r="D3" s="2" t="inlineStr">
        <is>
          <t>FE eau potable</t>
        </is>
      </c>
      <c r="E3" s="2" t="inlineStr">
        <is>
          <t>Émissions eau (kgCO2e)</t>
        </is>
      </c>
      <c r="F3" s="2" t="inlineStr">
        <is>
          <t>FE traitement</t>
        </is>
      </c>
      <c r="G3" s="2" t="inlineStr">
        <is>
          <t>Émissions traitement (kgCO2e)</t>
        </is>
      </c>
      <c r="H3" s="2" t="inlineStr">
        <is>
          <t>Total (kgCO2e)</t>
        </is>
      </c>
      <c r="I3" s="2" t="inlineStr">
        <is>
          <t>Total (tCO2e)</t>
        </is>
      </c>
    </row>
    <row r="4">
      <c r="A4" s="13" t="n"/>
      <c r="B4" s="14" t="n">
        <v>0</v>
      </c>
      <c r="C4" s="14" t="n">
        <v>0</v>
      </c>
      <c r="D4" s="56">
        <f>Facteurs_Emission!G82</f>
        <v/>
      </c>
      <c r="E4" s="42">
        <f>B4*D4</f>
        <v/>
      </c>
      <c r="F4" s="56">
        <f>Facteurs_Emission!G83</f>
        <v/>
      </c>
      <c r="G4" s="42">
        <f>C4*F4</f>
        <v/>
      </c>
      <c r="H4" s="42">
        <f>E4+G4</f>
        <v/>
      </c>
      <c r="I4" s="42">
        <f>H4/1000</f>
        <v/>
      </c>
    </row>
    <row r="5">
      <c r="A5" s="13" t="n"/>
      <c r="B5" s="14" t="n">
        <v>0</v>
      </c>
      <c r="C5" s="14" t="n">
        <v>0</v>
      </c>
      <c r="D5" s="56">
        <f>Facteurs_Emission!G82</f>
        <v/>
      </c>
      <c r="E5" s="42">
        <f>B5*D5</f>
        <v/>
      </c>
      <c r="F5" s="56">
        <f>Facteurs_Emission!G83</f>
        <v/>
      </c>
      <c r="G5" s="42">
        <f>C5*F5</f>
        <v/>
      </c>
      <c r="H5" s="42">
        <f>E5+G5</f>
        <v/>
      </c>
      <c r="I5" s="42">
        <f>H5/1000</f>
        <v/>
      </c>
    </row>
    <row r="6">
      <c r="A6" s="13" t="n"/>
      <c r="B6" s="14" t="n">
        <v>0</v>
      </c>
      <c r="C6" s="14" t="n">
        <v>0</v>
      </c>
      <c r="D6" s="56">
        <f>Facteurs_Emission!G82</f>
        <v/>
      </c>
      <c r="E6" s="42">
        <f>B6*D6</f>
        <v/>
      </c>
      <c r="F6" s="56">
        <f>Facteurs_Emission!G83</f>
        <v/>
      </c>
      <c r="G6" s="42">
        <f>C6*F6</f>
        <v/>
      </c>
      <c r="H6" s="42">
        <f>E6+G6</f>
        <v/>
      </c>
      <c r="I6" s="42">
        <f>H6/1000</f>
        <v/>
      </c>
    </row>
    <row r="7">
      <c r="A7" s="13" t="n"/>
      <c r="B7" s="14" t="n">
        <v>0</v>
      </c>
      <c r="C7" s="14" t="n">
        <v>0</v>
      </c>
      <c r="D7" s="56">
        <f>Facteurs_Emission!G82</f>
        <v/>
      </c>
      <c r="E7" s="42">
        <f>B7*D7</f>
        <v/>
      </c>
      <c r="F7" s="56">
        <f>Facteurs_Emission!G83</f>
        <v/>
      </c>
      <c r="G7" s="42">
        <f>C7*F7</f>
        <v/>
      </c>
      <c r="H7" s="42">
        <f>E7+G7</f>
        <v/>
      </c>
      <c r="I7" s="42">
        <f>H7/1000</f>
        <v/>
      </c>
    </row>
    <row r="8">
      <c r="A8" s="13" t="n"/>
      <c r="B8" s="14" t="n">
        <v>0</v>
      </c>
      <c r="C8" s="14" t="n">
        <v>0</v>
      </c>
      <c r="D8" s="56">
        <f>Facteurs_Emission!G82</f>
        <v/>
      </c>
      <c r="E8" s="42">
        <f>B8*D8</f>
        <v/>
      </c>
      <c r="F8" s="56">
        <f>Facteurs_Emission!G83</f>
        <v/>
      </c>
      <c r="G8" s="42">
        <f>C8*F8</f>
        <v/>
      </c>
      <c r="H8" s="42">
        <f>E8+G8</f>
        <v/>
      </c>
      <c r="I8" s="42">
        <f>H8/1000</f>
        <v/>
      </c>
    </row>
    <row r="9">
      <c r="A9" s="13" t="n"/>
      <c r="B9" s="14" t="n">
        <v>0</v>
      </c>
      <c r="C9" s="14" t="n">
        <v>0</v>
      </c>
      <c r="D9" s="56">
        <f>Facteurs_Emission!G82</f>
        <v/>
      </c>
      <c r="E9" s="42">
        <f>B9*D9</f>
        <v/>
      </c>
      <c r="F9" s="56">
        <f>Facteurs_Emission!G83</f>
        <v/>
      </c>
      <c r="G9" s="42">
        <f>C9*F9</f>
        <v/>
      </c>
      <c r="H9" s="42">
        <f>E9+G9</f>
        <v/>
      </c>
      <c r="I9" s="42">
        <f>H9/1000</f>
        <v/>
      </c>
    </row>
    <row r="10">
      <c r="A10" s="13" t="n"/>
      <c r="B10" s="14" t="n">
        <v>0</v>
      </c>
      <c r="C10" s="14" t="n">
        <v>0</v>
      </c>
      <c r="D10" s="56">
        <f>Facteurs_Emission!G82</f>
        <v/>
      </c>
      <c r="E10" s="42">
        <f>B10*D10</f>
        <v/>
      </c>
      <c r="F10" s="56">
        <f>Facteurs_Emission!G83</f>
        <v/>
      </c>
      <c r="G10" s="42">
        <f>C10*F10</f>
        <v/>
      </c>
      <c r="H10" s="42">
        <f>E10+G10</f>
        <v/>
      </c>
      <c r="I10" s="42">
        <f>H10/1000</f>
        <v/>
      </c>
    </row>
    <row r="11" ht="15.75" customHeight="1" s="847" thickBot="1">
      <c r="A11" s="279" t="n"/>
      <c r="B11" s="14" t="n">
        <v>0</v>
      </c>
      <c r="C11" s="14" t="n">
        <v>0</v>
      </c>
      <c r="D11" s="56">
        <f>Facteurs_Emission!G82</f>
        <v/>
      </c>
      <c r="E11" s="42">
        <f>B11*D11</f>
        <v/>
      </c>
      <c r="F11" s="56">
        <f>Facteurs_Emission!G83</f>
        <v/>
      </c>
      <c r="G11" s="42">
        <f>C11*F11</f>
        <v/>
      </c>
      <c r="H11" s="42">
        <f>E11+G11</f>
        <v/>
      </c>
      <c r="I11" s="42">
        <f>H11/1000</f>
        <v/>
      </c>
    </row>
    <row r="12" ht="15.75" customHeight="1" s="847" thickBot="1">
      <c r="A12" s="280" t="inlineStr">
        <is>
          <t>TOTAL</t>
        </is>
      </c>
      <c r="B12" s="278">
        <f>SUM(B4:B11)</f>
        <v/>
      </c>
      <c r="C12" s="29">
        <f>SUM(C4:C11)</f>
        <v/>
      </c>
      <c r="D12" s="18" t="n"/>
      <c r="E12" s="29">
        <f>SUM(E4:E11)</f>
        <v/>
      </c>
      <c r="F12" s="18" t="n"/>
      <c r="G12" s="29">
        <f>SUM(G4:G11)</f>
        <v/>
      </c>
      <c r="H12" s="29">
        <f>SUM(H4:H11)</f>
        <v/>
      </c>
      <c r="I12" s="29">
        <f>SUM(I4:I11)</f>
        <v/>
      </c>
    </row>
    <row r="14">
      <c r="A14" s="815" t="inlineStr">
        <is>
          <t>Intensité hydrique (m³/salarié)</t>
        </is>
      </c>
      <c r="B14" s="816">
        <f>IF(Paramètres!B11=0,0,B12/Paramètres!B11)</f>
        <v/>
      </c>
    </row>
  </sheetData>
  <mergeCells count="1">
    <mergeCell ref="A1:I1"/>
  </mergeCell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1B5E20"/>
    <outlinePr summaryBelow="1" summaryRight="1"/>
    <pageSetUpPr/>
  </sheetPr>
  <dimension ref="A1:O55"/>
  <sheetViews>
    <sheetView showGridLines="0" zoomScaleNormal="100" workbookViewId="0">
      <pane ySplit="4" topLeftCell="A16" activePane="bottomLeft" state="frozen"/>
      <selection pane="bottomLeft" activeCell="B17" sqref="B17"/>
    </sheetView>
  </sheetViews>
  <sheetFormatPr baseColWidth="10" defaultColWidth="8.7109375" defaultRowHeight="15"/>
  <cols>
    <col width="8" customWidth="1" style="847" min="1" max="1"/>
    <col width="40" customWidth="1" style="847" min="2" max="2"/>
    <col width="18" customWidth="1" style="847" min="3" max="3"/>
    <col width="12" customWidth="1" style="847" min="4" max="4"/>
    <col width="14" customWidth="1" style="847" min="5" max="5"/>
    <col width="18" customWidth="1" style="847" min="6" max="8"/>
    <col width="14" customWidth="1" style="847" min="9" max="9"/>
    <col width="18" customWidth="1" style="847" min="10" max="10"/>
    <col width="13.28515625" customWidth="1" style="847" min="14" max="15"/>
  </cols>
  <sheetData>
    <row r="1" ht="27.95" customHeight="1" s="847">
      <c r="A1" s="900" t="inlineStr">
        <is>
          <t>BILAN D'ÉMISSIONS DE GAZ À EFFET DE SERRE — SYNTHÈSE CONSOLIDÉE</t>
        </is>
      </c>
      <c r="B1" s="1010" t="n"/>
      <c r="C1" s="1010" t="n"/>
      <c r="D1" s="1010" t="n"/>
      <c r="E1" s="1010" t="n"/>
      <c r="F1" s="1010" t="n"/>
      <c r="G1" s="1010" t="n"/>
      <c r="H1" s="1010" t="n"/>
      <c r="I1" s="1010" t="n"/>
      <c r="J1" s="1010" t="n"/>
      <c r="K1" s="916" t="n"/>
      <c r="L1" s="916" t="n"/>
      <c r="M1" s="916" t="n"/>
      <c r="N1" s="232" t="inlineStr">
        <is>
          <t>🏠 Sommaire</t>
        </is>
      </c>
      <c r="O1" s="233" t="inlineStr">
        <is>
          <t>🏠 Sommaire</t>
        </is>
      </c>
    </row>
    <row r="2">
      <c r="A2" s="901" t="inlineStr">
        <is>
          <t>Format conforme BEGES réglementaire (Art. L229-25) et ESRS E1-6</t>
        </is>
      </c>
      <c r="B2" s="868" t="n"/>
      <c r="C2" s="868" t="n"/>
      <c r="D2" s="868" t="n"/>
      <c r="E2" s="868" t="n"/>
      <c r="F2" s="868" t="n"/>
      <c r="G2" s="868" t="n"/>
      <c r="H2" s="868" t="n"/>
      <c r="I2" s="868" t="n"/>
      <c r="J2" s="868" t="n"/>
      <c r="K2" s="868" t="n"/>
      <c r="L2" s="868" t="n"/>
      <c r="M2" s="868" t="n"/>
      <c r="N2" s="868" t="n"/>
      <c r="O2" s="868" t="n"/>
    </row>
    <row r="3">
      <c r="A3" s="868" t="n"/>
      <c r="B3" s="868" t="n"/>
      <c r="C3" s="868" t="n"/>
      <c r="D3" s="868" t="n"/>
      <c r="E3" s="868" t="n"/>
      <c r="F3" s="868" t="n"/>
      <c r="G3" s="868" t="n"/>
      <c r="H3" s="868" t="n"/>
      <c r="I3" s="868" t="n"/>
      <c r="J3" s="868" t="n"/>
      <c r="K3" s="868" t="n"/>
      <c r="L3" s="868" t="n"/>
      <c r="M3" s="868" t="n"/>
      <c r="N3" s="868" t="n"/>
      <c r="O3" s="868" t="n"/>
    </row>
    <row r="4" ht="30" customHeight="1" s="847">
      <c r="A4" s="91" t="inlineStr">
        <is>
          <t>Poste</t>
        </is>
      </c>
      <c r="B4" s="91" t="inlineStr">
        <is>
          <t>Description</t>
        </is>
      </c>
      <c r="C4" s="91" t="inlineStr">
        <is>
          <t>Émissions (tCO2e)</t>
        </is>
      </c>
      <c r="D4" s="91" t="inlineStr">
        <is>
          <t>% du total</t>
        </is>
      </c>
      <c r="E4" s="91" t="inlineStr">
        <is>
          <t>Incertitude (%)</t>
        </is>
      </c>
      <c r="F4" s="91" t="inlineStr">
        <is>
          <t>Borne basse</t>
        </is>
      </c>
      <c r="G4" s="91" t="inlineStr">
        <is>
          <t>Borne haute</t>
        </is>
      </c>
      <c r="H4" s="91" t="inlineStr">
        <is>
          <t>N-1 (tCO2e)</t>
        </is>
      </c>
      <c r="I4" s="91" t="inlineStr">
        <is>
          <t>Variation (%)</t>
        </is>
      </c>
      <c r="J4" s="91" t="inlineStr">
        <is>
          <t>Var. abs. (tCO2e)</t>
        </is>
      </c>
      <c r="K4" s="868" t="n"/>
      <c r="L4" s="868" t="n"/>
      <c r="M4" s="868" t="n"/>
      <c r="N4" s="868" t="n"/>
      <c r="O4" s="868" t="n"/>
    </row>
    <row r="5" ht="21.75" customHeight="1" s="847">
      <c r="A5" s="902" t="inlineStr">
        <is>
          <t>SCOPE 1 — ÉMISSIONS DIRECTES</t>
        </is>
      </c>
      <c r="B5" s="1010" t="n"/>
      <c r="C5" s="868" t="n"/>
      <c r="D5" s="868" t="n"/>
      <c r="E5" s="868" t="n"/>
      <c r="F5" s="868" t="n"/>
      <c r="G5" s="868" t="n"/>
      <c r="H5" s="868" t="n"/>
      <c r="I5" s="868" t="n"/>
      <c r="J5" s="868" t="n"/>
      <c r="K5" s="868" t="n"/>
      <c r="L5" s="868" t="n"/>
      <c r="M5" s="868" t="n"/>
      <c r="N5" s="868" t="n"/>
      <c r="O5" s="868" t="n"/>
    </row>
    <row r="6">
      <c r="A6" s="92" t="inlineStr">
        <is>
          <t>1A</t>
        </is>
      </c>
      <c r="B6" s="92" t="inlineStr">
        <is>
          <t>Combustion fixe</t>
        </is>
      </c>
      <c r="C6" s="42">
        <f>Scope_1!I16</f>
        <v>0</v>
      </c>
      <c r="D6" s="1009">
        <f>IF($C$47=0,0,C6/$C$47)</f>
        <v/>
      </c>
      <c r="E6" s="93" t="n">
        <v>7.5</v>
      </c>
      <c r="F6" s="42">
        <f>C6*(1-E6/100)</f>
        <v/>
      </c>
      <c r="G6" s="42">
        <f>C6*(1+E6/100)</f>
        <v/>
      </c>
      <c r="H6" s="57" t="n"/>
      <c r="I6" s="1009">
        <f>IF(H6=0,"—",(C6-H6)/H6)</f>
        <v/>
      </c>
      <c r="J6" s="42">
        <f>C6-H6</f>
        <v/>
      </c>
      <c r="K6" s="868" t="n"/>
      <c r="L6" s="868" t="n"/>
      <c r="M6" s="868" t="n"/>
      <c r="N6" s="868" t="n"/>
      <c r="O6" s="868" t="n"/>
    </row>
    <row r="7">
      <c r="A7" s="92" t="inlineStr">
        <is>
          <t>1B</t>
        </is>
      </c>
      <c r="B7" s="92" t="inlineStr">
        <is>
          <t>Combustion mobile</t>
        </is>
      </c>
      <c r="C7" s="42">
        <f>Scope_1!I30</f>
        <v>0</v>
      </c>
      <c r="D7" s="1009">
        <f>IF($C$47=0,0,C7/$C$47)</f>
        <v/>
      </c>
      <c r="E7" s="93" t="n">
        <v>12</v>
      </c>
      <c r="F7" s="42">
        <f>C7*(1-E7/100)</f>
        <v/>
      </c>
      <c r="G7" s="42">
        <f>C7*(1+E7/100)</f>
        <v/>
      </c>
      <c r="H7" s="57" t="n"/>
      <c r="I7" s="1009">
        <f>IF(H7=0,"—",(C7-H7)/H7)</f>
        <v/>
      </c>
      <c r="J7" s="42">
        <f>C7-H7</f>
        <v/>
      </c>
      <c r="K7" s="868" t="n"/>
      <c r="L7" s="868" t="n"/>
      <c r="M7" s="868" t="n"/>
      <c r="N7" s="868" t="n"/>
      <c r="O7" s="868" t="n"/>
    </row>
    <row r="8">
      <c r="A8" s="92" t="inlineStr">
        <is>
          <t>1C</t>
        </is>
      </c>
      <c r="B8" s="92" t="inlineStr">
        <is>
          <t>Émissions de process</t>
        </is>
      </c>
      <c r="C8" s="42">
        <f>Scope_1!I42</f>
        <v>0</v>
      </c>
      <c r="D8" s="1009">
        <f>IF($C$47=0,0,C8/$C$47)</f>
        <v/>
      </c>
      <c r="E8" s="93" t="n">
        <v>17.5</v>
      </c>
      <c r="F8" s="42">
        <f>C8*(1-E8/100)</f>
        <v/>
      </c>
      <c r="G8" s="42">
        <f>C8*(1+E8/100)</f>
        <v/>
      </c>
      <c r="H8" s="57" t="n"/>
      <c r="I8" s="1009">
        <f>IF(H8=0,"—",(C8-H8)/H8)</f>
        <v/>
      </c>
      <c r="J8" s="42">
        <f>C8-H8</f>
        <v/>
      </c>
      <c r="K8" s="868" t="n"/>
      <c r="L8" s="868" t="n"/>
      <c r="M8" s="868" t="n"/>
      <c r="N8" s="868" t="n"/>
      <c r="O8" s="868" t="n"/>
    </row>
    <row r="9">
      <c r="A9" s="92" t="inlineStr">
        <is>
          <t>1D</t>
        </is>
      </c>
      <c r="B9" s="92" t="inlineStr">
        <is>
          <t>Émissions fugitives</t>
        </is>
      </c>
      <c r="C9" s="42">
        <f>Scope_1!I54</f>
        <v>0</v>
      </c>
      <c r="D9" s="1009">
        <f>IF($C$47=0,0,C9/$C$47)</f>
        <v/>
      </c>
      <c r="E9" s="93" t="n">
        <v>15</v>
      </c>
      <c r="F9" s="42">
        <f>C9*(1-E9/100)</f>
        <v/>
      </c>
      <c r="G9" s="42">
        <f>C9*(1+E9/100)</f>
        <v/>
      </c>
      <c r="H9" s="57" t="n"/>
      <c r="I9" s="1009">
        <f>IF(H9=0,"—",(C9-H9)/H9)</f>
        <v/>
      </c>
      <c r="J9" s="42">
        <f>C9-H9</f>
        <v/>
      </c>
      <c r="K9" s="868" t="n"/>
      <c r="L9" s="868" t="n"/>
      <c r="M9" s="868" t="n"/>
      <c r="N9" s="868" t="n"/>
      <c r="O9" s="868" t="n"/>
    </row>
    <row r="10">
      <c r="A10" s="94" t="n"/>
      <c r="B10" s="95" t="inlineStr">
        <is>
          <t>TOTAL SCOPE 1</t>
        </is>
      </c>
      <c r="C10" s="105">
        <f>SUM(C6:C9)</f>
        <v>0</v>
      </c>
      <c r="D10" s="1011">
        <f>IF($C$47=0,0,C10/$C$47)</f>
        <v/>
      </c>
      <c r="E10" s="94" t="n"/>
      <c r="F10" s="105">
        <f>SUM(F6:F9)</f>
        <v/>
      </c>
      <c r="G10" s="105">
        <f>SUM(G6:G9)</f>
        <v/>
      </c>
      <c r="H10" s="94" t="n"/>
      <c r="I10" s="94" t="n"/>
      <c r="J10" s="94" t="n"/>
      <c r="K10" s="868" t="n"/>
      <c r="L10" s="868" t="n"/>
      <c r="M10" s="868" t="n"/>
      <c r="N10" s="868" t="n"/>
      <c r="O10" s="868" t="n"/>
    </row>
    <row r="11">
      <c r="A11" s="868" t="n"/>
      <c r="B11" s="868" t="n"/>
      <c r="C11" s="868" t="n"/>
      <c r="D11" s="868" t="n"/>
      <c r="E11" s="868" t="n"/>
      <c r="F11" s="868" t="n"/>
      <c r="G11" s="868" t="n"/>
      <c r="H11" s="868" t="n"/>
      <c r="I11" s="868" t="n"/>
      <c r="J11" s="868" t="n"/>
      <c r="K11" s="868" t="n"/>
      <c r="L11" s="868" t="n"/>
      <c r="M11" s="868" t="n"/>
      <c r="N11" s="868" t="n"/>
      <c r="O11" s="868" t="n"/>
    </row>
    <row r="12" ht="21.75" customHeight="1" s="847">
      <c r="A12" s="903" t="inlineStr">
        <is>
          <t>SCOPE 2 — ÉMISSIONS INDIRECTES ÉNERGIE</t>
        </is>
      </c>
      <c r="B12" s="1010" t="n"/>
      <c r="C12" s="868" t="n"/>
      <c r="D12" s="868" t="n"/>
      <c r="E12" s="868" t="n"/>
      <c r="F12" s="868" t="n"/>
      <c r="G12" s="868" t="n"/>
      <c r="H12" s="868" t="n"/>
      <c r="I12" s="868" t="n"/>
      <c r="J12" s="868" t="n"/>
      <c r="K12" s="868" t="n"/>
      <c r="L12" s="868" t="n"/>
      <c r="M12" s="868" t="n"/>
      <c r="N12" s="868" t="n"/>
      <c r="O12" s="868" t="n"/>
    </row>
    <row r="13">
      <c r="A13" s="92" t="inlineStr">
        <is>
          <t>2A-LB</t>
        </is>
      </c>
      <c r="B13" s="92" t="inlineStr">
        <is>
          <t>Électricité (location-based)</t>
        </is>
      </c>
      <c r="C13" s="42">
        <f>Scope_2!H16</f>
        <v>0</v>
      </c>
      <c r="D13" s="1009">
        <f>IF($C$47=0,0,C13/$C$47)</f>
        <v/>
      </c>
      <c r="E13" s="92" t="n">
        <v>10</v>
      </c>
      <c r="F13" s="42">
        <f>C13*(1-E13/100)</f>
        <v/>
      </c>
      <c r="G13" s="42">
        <f>C13*(1+E13/100)</f>
        <v/>
      </c>
      <c r="H13" s="92" t="n"/>
      <c r="I13" s="92" t="n"/>
      <c r="J13" s="92" t="n"/>
      <c r="K13" s="868" t="n"/>
      <c r="L13" s="868" t="n"/>
      <c r="M13" s="868" t="n"/>
      <c r="N13" s="868" t="n"/>
      <c r="O13" s="868" t="n"/>
    </row>
    <row r="14">
      <c r="A14" s="92" t="inlineStr">
        <is>
          <t>2B</t>
        </is>
      </c>
      <c r="B14" s="92" t="inlineStr">
        <is>
          <t>Chaleur / vapeur / froid</t>
        </is>
      </c>
      <c r="C14" s="42">
        <f>Scope_2!H29</f>
        <v>0</v>
      </c>
      <c r="D14" s="92" t="n"/>
      <c r="E14" s="92" t="n">
        <v>17.5</v>
      </c>
      <c r="F14" s="42">
        <f>C14*(1-E14/100)</f>
        <v/>
      </c>
      <c r="G14" s="42">
        <f>C14*(1+E14/100)</f>
        <v/>
      </c>
      <c r="H14" s="92" t="n"/>
      <c r="I14" s="92" t="n"/>
      <c r="J14" s="92" t="n"/>
      <c r="K14" s="868" t="n"/>
      <c r="L14" s="868" t="n"/>
      <c r="M14" s="868" t="n"/>
      <c r="N14" s="868" t="n"/>
      <c r="O14" s="868" t="n"/>
    </row>
    <row r="15">
      <c r="A15" s="96" t="n"/>
      <c r="B15" s="97" t="inlineStr">
        <is>
          <t>TOTAL SCOPE 2 (Location-based)</t>
        </is>
      </c>
      <c r="C15" s="45">
        <f>C13+C14</f>
        <v>0</v>
      </c>
      <c r="D15" s="96" t="n"/>
      <c r="E15" s="96" t="n"/>
      <c r="F15" s="96" t="n"/>
      <c r="G15" s="96" t="n"/>
      <c r="H15" s="96" t="n"/>
      <c r="I15" s="96" t="n"/>
      <c r="J15" s="96" t="n"/>
      <c r="K15" s="868" t="n"/>
      <c r="L15" s="868" t="n"/>
      <c r="M15" s="868" t="n"/>
      <c r="N15" s="868" t="n"/>
      <c r="O15" s="868" t="n"/>
    </row>
    <row r="16">
      <c r="A16" s="92" t="inlineStr">
        <is>
          <t>2A-MB</t>
        </is>
      </c>
      <c r="B16" s="92" t="inlineStr">
        <is>
          <t>Électricité (market-based)</t>
        </is>
      </c>
      <c r="C16" s="42">
        <f>Scope_2!K16</f>
        <v>0</v>
      </c>
      <c r="D16" s="92" t="n"/>
      <c r="E16" s="92" t="n"/>
      <c r="F16" s="92" t="n"/>
      <c r="G16" s="92" t="n"/>
      <c r="H16" s="92" t="n"/>
      <c r="I16" s="92" t="n"/>
      <c r="J16" s="92" t="n"/>
      <c r="K16" s="868" t="n"/>
      <c r="L16" s="868" t="n"/>
      <c r="M16" s="868" t="n"/>
      <c r="N16" s="868" t="n"/>
      <c r="O16" s="868" t="n"/>
    </row>
    <row r="17">
      <c r="A17" s="868" t="n"/>
      <c r="B17" s="817" t="inlineStr">
        <is>
          <t>TOTAL SCOPE 2 (Market-based)</t>
        </is>
      </c>
      <c r="C17" s="36">
        <f>C16+C14</f>
        <v>0</v>
      </c>
      <c r="D17" s="868" t="n"/>
      <c r="E17" s="868" t="n"/>
      <c r="F17" s="868" t="n"/>
      <c r="G17" s="868" t="n"/>
      <c r="H17" s="868" t="n"/>
      <c r="I17" s="868" t="n"/>
      <c r="J17" s="868" t="n"/>
      <c r="K17" s="868" t="n"/>
      <c r="L17" s="868" t="n"/>
      <c r="M17" s="868" t="n"/>
      <c r="N17" s="868" t="n"/>
      <c r="O17" s="868" t="n"/>
    </row>
    <row r="18">
      <c r="A18" s="868" t="n"/>
      <c r="B18" s="868" t="n"/>
      <c r="C18" s="868" t="n"/>
      <c r="D18" s="868" t="n"/>
      <c r="E18" s="868" t="n"/>
      <c r="F18" s="868" t="n"/>
      <c r="G18" s="868" t="n"/>
      <c r="H18" s="868" t="n"/>
      <c r="I18" s="868" t="n"/>
      <c r="J18" s="868" t="n"/>
      <c r="K18" s="868" t="n"/>
      <c r="L18" s="868" t="n"/>
      <c r="M18" s="868" t="n"/>
      <c r="N18" s="868" t="n"/>
      <c r="O18" s="868" t="n"/>
    </row>
    <row r="19" ht="21.75" customHeight="1" s="847">
      <c r="A19" s="899" t="inlineStr">
        <is>
          <t>SCOPE 3 — CHAÎNE DE VALEUR</t>
        </is>
      </c>
      <c r="B19" s="1010" t="n"/>
      <c r="C19" s="868" t="n"/>
      <c r="D19" s="868" t="n"/>
      <c r="E19" s="868" t="n"/>
      <c r="F19" s="868" t="n"/>
      <c r="G19" s="868" t="n"/>
      <c r="H19" s="868" t="n"/>
      <c r="I19" s="868" t="n"/>
      <c r="J19" s="868" t="n"/>
      <c r="K19" s="868" t="n"/>
      <c r="L19" s="868" t="n"/>
      <c r="M19" s="868" t="n"/>
      <c r="N19" s="868" t="n"/>
      <c r="O19" s="868" t="n"/>
    </row>
    <row r="20">
      <c r="A20" s="92" t="inlineStr">
        <is>
          <t>Cat.1</t>
        </is>
      </c>
      <c r="B20" s="92" t="inlineStr">
        <is>
          <t>Achats de biens et services</t>
        </is>
      </c>
      <c r="C20" s="42">
        <f>Scope_3!I19</f>
        <v>0</v>
      </c>
      <c r="D20" s="1009">
        <f>IF($C$47=0,0,C20/$C$47)</f>
        <v/>
      </c>
      <c r="E20" s="92" t="n">
        <v>30</v>
      </c>
      <c r="F20" s="42">
        <f>C20*(1-E20/100)</f>
        <v/>
      </c>
      <c r="G20" s="42">
        <f>C20*(1+E20/100)</f>
        <v/>
      </c>
      <c r="H20" s="57" t="n"/>
      <c r="I20" s="1009">
        <f>IF(H20=0,"—",(C20-H20)/H20)</f>
        <v/>
      </c>
      <c r="J20" s="42">
        <f>C20-H20</f>
        <v/>
      </c>
      <c r="K20" s="868" t="n"/>
      <c r="L20" s="868" t="n"/>
      <c r="M20" s="868" t="n"/>
      <c r="N20" s="868" t="n"/>
      <c r="O20" s="868" t="n"/>
    </row>
    <row r="21">
      <c r="A21" s="92" t="inlineStr">
        <is>
          <t>Cat.2</t>
        </is>
      </c>
      <c r="B21" s="92" t="inlineStr">
        <is>
          <t>Biens d'équipement</t>
        </is>
      </c>
      <c r="C21" s="42">
        <f>Scope_3!I30</f>
        <v>0</v>
      </c>
      <c r="D21" s="1009">
        <f>IF($C$47=0,0,C21/$C$47)</f>
        <v/>
      </c>
      <c r="E21" s="92" t="n">
        <v>30</v>
      </c>
      <c r="F21" s="42">
        <f>C21*(1-E21/100)</f>
        <v/>
      </c>
      <c r="G21" s="42">
        <f>C21*(1+E21/100)</f>
        <v/>
      </c>
      <c r="H21" s="57" t="n"/>
      <c r="I21" s="1009">
        <f>IF(H21=0,"—",(C21-H21)/H21)</f>
        <v/>
      </c>
      <c r="J21" s="42">
        <f>C21-H21</f>
        <v/>
      </c>
      <c r="K21" s="868" t="n"/>
      <c r="L21" s="868" t="n"/>
      <c r="M21" s="868" t="n"/>
      <c r="N21" s="868" t="n"/>
      <c r="O21" s="868" t="n"/>
    </row>
    <row r="22">
      <c r="A22" s="92" t="inlineStr">
        <is>
          <t>Cat.3</t>
        </is>
      </c>
      <c r="B22" s="92" t="inlineStr">
        <is>
          <t>Combustibles et énergie (amont)</t>
        </is>
      </c>
      <c r="C22" s="42">
        <f>Scope_3!I38</f>
        <v>0</v>
      </c>
      <c r="D22" s="1009">
        <f>IF($C$47=0,0,C22/$C$47)</f>
        <v/>
      </c>
      <c r="E22" s="92" t="n">
        <v>12</v>
      </c>
      <c r="F22" s="42">
        <f>C22*(1-E22/100)</f>
        <v/>
      </c>
      <c r="G22" s="42">
        <f>C22*(1+E22/100)</f>
        <v/>
      </c>
      <c r="H22" s="57" t="n"/>
      <c r="I22" s="1009">
        <f>IF(H22=0,"—",(C22-H22)/H22)</f>
        <v/>
      </c>
      <c r="J22" s="42">
        <f>C22-H22</f>
        <v/>
      </c>
      <c r="K22" s="868" t="n"/>
      <c r="L22" s="868" t="n"/>
      <c r="M22" s="868" t="n"/>
      <c r="N22" s="868" t="n"/>
      <c r="O22" s="868" t="n"/>
    </row>
    <row r="23">
      <c r="A23" s="92" t="inlineStr">
        <is>
          <t>Cat.4</t>
        </is>
      </c>
      <c r="B23" s="92" t="inlineStr">
        <is>
          <t>Transport amont</t>
        </is>
      </c>
      <c r="C23" s="42">
        <f>Scope_3!I51</f>
        <v>0</v>
      </c>
      <c r="D23" s="1009">
        <f>IF($C$47=0,0,C23/$C$47)</f>
        <v/>
      </c>
      <c r="E23" s="92" t="n">
        <v>20</v>
      </c>
      <c r="F23" s="42">
        <f>C23*(1-E23/100)</f>
        <v/>
      </c>
      <c r="G23" s="42">
        <f>C23*(1+E23/100)</f>
        <v/>
      </c>
      <c r="H23" s="57" t="n"/>
      <c r="I23" s="1009">
        <f>IF(H23=0,"—",(C23-H23)/H23)</f>
        <v/>
      </c>
      <c r="J23" s="42">
        <f>C23-H23</f>
        <v/>
      </c>
      <c r="K23" s="868" t="n"/>
      <c r="L23" s="868" t="n"/>
      <c r="M23" s="868" t="n"/>
      <c r="N23" s="868" t="n"/>
      <c r="O23" s="868" t="n"/>
    </row>
    <row r="24">
      <c r="A24" s="92" t="inlineStr">
        <is>
          <t>Cat.5</t>
        </is>
      </c>
      <c r="B24" s="92" t="inlineStr">
        <is>
          <t>Déchets</t>
        </is>
      </c>
      <c r="C24" s="42">
        <f>Scope_3!I57</f>
        <v>0</v>
      </c>
      <c r="D24" s="1009">
        <f>IF($C$47=0,0,C24/$C$47)</f>
        <v/>
      </c>
      <c r="E24" s="92" t="n">
        <v>30</v>
      </c>
      <c r="F24" s="42">
        <f>C24*(1-E24/100)</f>
        <v/>
      </c>
      <c r="G24" s="42">
        <f>C24*(1+E24/100)</f>
        <v/>
      </c>
      <c r="H24" s="57" t="n"/>
      <c r="I24" s="1009">
        <f>IF(H24=0,"—",(C24-H24)/H24)</f>
        <v/>
      </c>
      <c r="J24" s="42">
        <f>C24-H24</f>
        <v/>
      </c>
      <c r="K24" s="868" t="n"/>
      <c r="L24" s="868" t="n"/>
      <c r="M24" s="868" t="n"/>
      <c r="N24" s="868" t="n"/>
      <c r="O24" s="868" t="n"/>
    </row>
    <row r="25">
      <c r="A25" s="92" t="inlineStr">
        <is>
          <t>Cat.6</t>
        </is>
      </c>
      <c r="B25" s="92" t="inlineStr">
        <is>
          <t>Déplacements professionnels</t>
        </is>
      </c>
      <c r="C25" s="42">
        <f>Scope_3!I63</f>
        <v>0</v>
      </c>
      <c r="D25" s="1009">
        <f>IF($C$47=0,0,C25/$C$47)</f>
        <v/>
      </c>
      <c r="E25" s="92" t="n">
        <v>15</v>
      </c>
      <c r="F25" s="42">
        <f>C25*(1-E25/100)</f>
        <v/>
      </c>
      <c r="G25" s="42">
        <f>C25*(1+E25/100)</f>
        <v/>
      </c>
      <c r="H25" s="57" t="n"/>
      <c r="I25" s="1009">
        <f>IF(H25=0,"—",(C25-H25)/H25)</f>
        <v/>
      </c>
      <c r="J25" s="42">
        <f>C25-H25</f>
        <v/>
      </c>
      <c r="K25" s="868" t="n"/>
      <c r="L25" s="868" t="n"/>
      <c r="M25" s="868" t="n"/>
      <c r="N25" s="868" t="n"/>
      <c r="O25" s="868" t="n"/>
    </row>
    <row r="26">
      <c r="A26" s="92" t="inlineStr">
        <is>
          <t>Cat.7</t>
        </is>
      </c>
      <c r="B26" s="92" t="inlineStr">
        <is>
          <t>Domicile-travail</t>
        </is>
      </c>
      <c r="C26" s="42">
        <f>Scope_3!I69</f>
        <v>0</v>
      </c>
      <c r="D26" s="1009">
        <f>IF($C$47=0,0,C26/$C$47)</f>
        <v/>
      </c>
      <c r="E26" s="92" t="n">
        <v>25</v>
      </c>
      <c r="F26" s="42">
        <f>C26*(1-E26/100)</f>
        <v/>
      </c>
      <c r="G26" s="42">
        <f>C26*(1+E26/100)</f>
        <v/>
      </c>
      <c r="H26" s="57" t="n"/>
      <c r="I26" s="1009">
        <f>IF(H26=0,"—",(C26-H26)/H26)</f>
        <v/>
      </c>
      <c r="J26" s="42">
        <f>C26-H26</f>
        <v/>
      </c>
      <c r="K26" s="868" t="n"/>
      <c r="L26" s="868" t="n"/>
      <c r="M26" s="868" t="n"/>
      <c r="N26" s="868" t="n"/>
      <c r="O26" s="868" t="n"/>
    </row>
    <row r="27">
      <c r="A27" s="92" t="inlineStr">
        <is>
          <t>Cat.8</t>
        </is>
      </c>
      <c r="B27" s="92" t="inlineStr">
        <is>
          <t>Actifs loués amont</t>
        </is>
      </c>
      <c r="C27" s="42">
        <f>Scope_3!I77</f>
        <v>0</v>
      </c>
      <c r="D27" s="1009">
        <f>IF($C$47=0,0,C27/$C$47)</f>
        <v/>
      </c>
      <c r="E27" s="92" t="n">
        <v>30</v>
      </c>
      <c r="F27" s="42">
        <f>C27*(1-E27/100)</f>
        <v/>
      </c>
      <c r="G27" s="42">
        <f>C27*(1+E27/100)</f>
        <v/>
      </c>
      <c r="H27" s="57" t="n"/>
      <c r="I27" s="1009">
        <f>IF(H27=0,"—",(C27-H27)/H27)</f>
        <v/>
      </c>
      <c r="J27" s="42">
        <f>C27-H27</f>
        <v/>
      </c>
      <c r="K27" s="868" t="n"/>
      <c r="L27" s="868" t="n"/>
      <c r="M27" s="868" t="n"/>
      <c r="N27" s="868" t="n"/>
      <c r="O27" s="868" t="n"/>
    </row>
    <row r="28">
      <c r="A28" s="92" t="inlineStr">
        <is>
          <t>Cat.9</t>
        </is>
      </c>
      <c r="B28" s="92" t="inlineStr">
        <is>
          <t>Transport aval</t>
        </is>
      </c>
      <c r="C28" s="42">
        <f>Scope_3!I87</f>
        <v>0</v>
      </c>
      <c r="D28" s="1009">
        <f>IF($C$47=0,0,C28/$C$47)</f>
        <v/>
      </c>
      <c r="E28" s="92" t="n">
        <v>25</v>
      </c>
      <c r="F28" s="42">
        <f>C28*(1-E28/100)</f>
        <v/>
      </c>
      <c r="G28" s="42">
        <f>C28*(1+E28/100)</f>
        <v/>
      </c>
      <c r="H28" s="57" t="n"/>
      <c r="I28" s="1009">
        <f>IF(H28=0,"—",(C28-H28)/H28)</f>
        <v/>
      </c>
      <c r="J28" s="42">
        <f>C28-H28</f>
        <v/>
      </c>
      <c r="K28" s="868" t="n"/>
      <c r="L28" s="868" t="n"/>
      <c r="M28" s="868" t="n"/>
      <c r="N28" s="868" t="n"/>
      <c r="O28" s="868" t="n"/>
    </row>
    <row r="29">
      <c r="A29" s="92" t="inlineStr">
        <is>
          <t>Cat.10</t>
        </is>
      </c>
      <c r="B29" s="92" t="inlineStr">
        <is>
          <t>Transformation produits vendus</t>
        </is>
      </c>
      <c r="C29" s="42">
        <f>Scope_3!I95</f>
        <v>0</v>
      </c>
      <c r="D29" s="1009">
        <f>IF($C$47=0,0,C29/$C$47)</f>
        <v/>
      </c>
      <c r="E29" s="92" t="n">
        <v>40</v>
      </c>
      <c r="F29" s="42">
        <f>C29*(1-E29/100)</f>
        <v/>
      </c>
      <c r="G29" s="42">
        <f>C29*(1+E29/100)</f>
        <v/>
      </c>
      <c r="H29" s="57" t="n"/>
      <c r="I29" s="1009">
        <f>IF(H29=0,"—",(C29-H29)/H29)</f>
        <v/>
      </c>
      <c r="J29" s="42">
        <f>C29-H29</f>
        <v/>
      </c>
      <c r="K29" s="868" t="n"/>
      <c r="L29" s="868" t="n"/>
      <c r="M29" s="868" t="n"/>
      <c r="N29" s="868" t="n"/>
      <c r="O29" s="868" t="n"/>
    </row>
    <row r="30">
      <c r="A30" s="92" t="inlineStr">
        <is>
          <t>Cat.11</t>
        </is>
      </c>
      <c r="B30" s="92" t="inlineStr">
        <is>
          <t>Utilisation produits vendus</t>
        </is>
      </c>
      <c r="C30" s="42">
        <f>Scope_3!I105</f>
        <v>0</v>
      </c>
      <c r="D30" s="1009">
        <f>IF($C$47=0,0,C30/$C$47)</f>
        <v/>
      </c>
      <c r="E30" s="92" t="n">
        <v>50</v>
      </c>
      <c r="F30" s="42">
        <f>C30*(1-E30/100)</f>
        <v/>
      </c>
      <c r="G30" s="42">
        <f>C30*(1+E30/100)</f>
        <v/>
      </c>
      <c r="H30" s="57" t="n"/>
      <c r="I30" s="1009">
        <f>IF(H30=0,"—",(C30-H30)/H30)</f>
        <v/>
      </c>
      <c r="J30" s="42">
        <f>C30-H30</f>
        <v/>
      </c>
      <c r="K30" s="868" t="n"/>
      <c r="L30" s="868" t="n"/>
      <c r="M30" s="868" t="n"/>
      <c r="N30" s="868" t="n"/>
      <c r="O30" s="868" t="n"/>
    </row>
    <row r="31">
      <c r="A31" s="92" t="inlineStr">
        <is>
          <t>Cat.12</t>
        </is>
      </c>
      <c r="B31" s="92" t="inlineStr">
        <is>
          <t>Fin de vie produits</t>
        </is>
      </c>
      <c r="C31" s="42">
        <f>Scope_3!I113</f>
        <v>0</v>
      </c>
      <c r="D31" s="1009">
        <f>IF($C$47=0,0,C31/$C$47)</f>
        <v/>
      </c>
      <c r="E31" s="92" t="n">
        <v>40</v>
      </c>
      <c r="F31" s="42">
        <f>C31*(1-E31/100)</f>
        <v/>
      </c>
      <c r="G31" s="42">
        <f>C31*(1+E31/100)</f>
        <v/>
      </c>
      <c r="H31" s="57" t="n"/>
      <c r="I31" s="1009">
        <f>IF(H31=0,"—",(C31-H31)/H31)</f>
        <v/>
      </c>
      <c r="J31" s="42">
        <f>C31-H31</f>
        <v/>
      </c>
      <c r="K31" s="868" t="n"/>
      <c r="L31" s="868" t="n"/>
      <c r="M31" s="868" t="n"/>
      <c r="N31" s="868" t="n"/>
      <c r="O31" s="868" t="n"/>
    </row>
    <row r="32">
      <c r="A32" s="92" t="inlineStr">
        <is>
          <t>Cat.13</t>
        </is>
      </c>
      <c r="B32" s="92" t="inlineStr">
        <is>
          <t>Actifs loués aval</t>
        </is>
      </c>
      <c r="C32" s="42">
        <f>Scope_3!I121</f>
        <v>0</v>
      </c>
      <c r="D32" s="1009">
        <f>IF($C$47=0,0,C32/$C$47)</f>
        <v/>
      </c>
      <c r="E32" s="92" t="n">
        <v>30</v>
      </c>
      <c r="F32" s="42">
        <f>C32*(1-E32/100)</f>
        <v/>
      </c>
      <c r="G32" s="42">
        <f>C32*(1+E32/100)</f>
        <v/>
      </c>
      <c r="H32" s="57" t="n"/>
      <c r="I32" s="1009">
        <f>IF(H32=0,"—",(C32-H32)/H32)</f>
        <v/>
      </c>
      <c r="J32" s="42">
        <f>C32-H32</f>
        <v/>
      </c>
      <c r="K32" s="868" t="n"/>
      <c r="L32" s="868" t="n"/>
      <c r="M32" s="868" t="n"/>
      <c r="N32" s="868" t="n"/>
      <c r="O32" s="868" t="n"/>
    </row>
    <row r="33">
      <c r="A33" s="92" t="inlineStr">
        <is>
          <t>Cat.14</t>
        </is>
      </c>
      <c r="B33" s="92" t="inlineStr">
        <is>
          <t>Franchises</t>
        </is>
      </c>
      <c r="C33" s="42">
        <f>Scope_3!I129</f>
        <v>0</v>
      </c>
      <c r="D33" s="1009">
        <f>IF($C$47=0,0,C33/$C$47)</f>
        <v/>
      </c>
      <c r="E33" s="92" t="n">
        <v>30</v>
      </c>
      <c r="F33" s="42">
        <f>C33*(1-E33/100)</f>
        <v/>
      </c>
      <c r="G33" s="42">
        <f>C33*(1+E33/100)</f>
        <v/>
      </c>
      <c r="H33" s="57" t="n"/>
      <c r="I33" s="1009">
        <f>IF(H33=0,"—",(C33-H33)/H33)</f>
        <v/>
      </c>
      <c r="J33" s="42">
        <f>C33-H33</f>
        <v/>
      </c>
      <c r="K33" s="868" t="n"/>
      <c r="L33" s="868" t="n"/>
      <c r="M33" s="868" t="n"/>
      <c r="N33" s="868" t="n"/>
      <c r="O33" s="868" t="n"/>
    </row>
    <row r="34">
      <c r="A34" s="92" t="inlineStr">
        <is>
          <t>Cat.15</t>
        </is>
      </c>
      <c r="B34" s="92" t="inlineStr">
        <is>
          <t>Investissements</t>
        </is>
      </c>
      <c r="C34" s="42">
        <f>Scope_3!I137</f>
        <v>0</v>
      </c>
      <c r="D34" s="1009">
        <f>IF($C$47=0,0,C34/$C$47)</f>
        <v/>
      </c>
      <c r="E34" s="92" t="n">
        <v>50</v>
      </c>
      <c r="F34" s="42">
        <f>C34*(1-E34/100)</f>
        <v/>
      </c>
      <c r="G34" s="42">
        <f>C34*(1+E34/100)</f>
        <v/>
      </c>
      <c r="H34" s="57" t="n"/>
      <c r="I34" s="1009">
        <f>IF(H34=0,"—",(C34-H34)/H34)</f>
        <v/>
      </c>
      <c r="J34" s="42">
        <f>C34-H34</f>
        <v/>
      </c>
      <c r="K34" s="868" t="n"/>
      <c r="L34" s="868" t="n"/>
      <c r="M34" s="868" t="n"/>
      <c r="N34" s="868" t="n"/>
      <c r="O34" s="868" t="n"/>
    </row>
    <row r="35">
      <c r="A35" s="98" t="n"/>
      <c r="B35" s="99" t="inlineStr">
        <is>
          <t>TOTAL SCOPE 3</t>
        </is>
      </c>
      <c r="C35" s="107">
        <f>SUM(C20:C34)</f>
        <v>0</v>
      </c>
      <c r="D35" s="98" t="n"/>
      <c r="E35" s="98" t="n"/>
      <c r="F35" s="98" t="n"/>
      <c r="G35" s="98" t="n"/>
      <c r="H35" s="98" t="n"/>
      <c r="I35" s="98" t="n"/>
      <c r="J35" s="98" t="n"/>
      <c r="K35" s="868" t="n"/>
      <c r="L35" s="868" t="n"/>
      <c r="M35" s="868" t="n"/>
      <c r="N35" s="868" t="n"/>
      <c r="O35" s="868" t="n"/>
    </row>
    <row r="36">
      <c r="A36" s="868" t="n"/>
      <c r="B36" s="868" t="n"/>
      <c r="C36" s="868" t="n"/>
      <c r="D36" s="868" t="n"/>
      <c r="E36" s="868" t="n"/>
      <c r="F36" s="868" t="n"/>
      <c r="G36" s="868" t="n"/>
      <c r="H36" s="868" t="n"/>
      <c r="I36" s="868" t="n"/>
      <c r="J36" s="868" t="n"/>
      <c r="K36" s="868" t="n"/>
      <c r="L36" s="868" t="n"/>
      <c r="M36" s="868" t="n"/>
      <c r="N36" s="868" t="n"/>
      <c r="O36" s="868" t="n"/>
    </row>
    <row r="37">
      <c r="A37" s="100" t="n"/>
      <c r="B37" s="101" t="inlineStr">
        <is>
          <t>TOTAL SCOPE 1 + 2 (Location-based)</t>
        </is>
      </c>
      <c r="C37" s="108">
        <f>C10+C15</f>
        <v>0</v>
      </c>
      <c r="D37" s="100" t="n"/>
      <c r="E37" s="100" t="n"/>
      <c r="F37" s="100" t="n"/>
      <c r="G37" s="100" t="n"/>
      <c r="H37" s="100" t="n"/>
      <c r="I37" s="100" t="n"/>
      <c r="J37" s="100" t="n"/>
      <c r="K37" s="868" t="n"/>
      <c r="L37" s="868" t="n"/>
      <c r="M37" s="868" t="n"/>
      <c r="N37" s="868" t="n"/>
      <c r="O37" s="868" t="n"/>
    </row>
    <row r="38">
      <c r="A38" s="868" t="n"/>
      <c r="B38" s="868" t="n"/>
      <c r="C38" s="868" t="n"/>
      <c r="D38" s="868" t="n"/>
      <c r="E38" s="868" t="n"/>
      <c r="F38" s="868" t="n"/>
      <c r="G38" s="868" t="n"/>
      <c r="H38" s="868" t="n"/>
      <c r="I38" s="868" t="n"/>
      <c r="J38" s="868" t="n"/>
      <c r="K38" s="868" t="n"/>
      <c r="L38" s="868" t="n"/>
      <c r="M38" s="868" t="n"/>
      <c r="N38" s="868" t="n"/>
      <c r="O38" s="868" t="n"/>
    </row>
    <row r="39">
      <c r="A39" s="868" t="n"/>
      <c r="B39" s="868" t="n"/>
      <c r="C39" s="868" t="n"/>
      <c r="D39" s="868" t="n"/>
      <c r="E39" s="868" t="n"/>
      <c r="F39" s="868" t="n"/>
      <c r="G39" s="868" t="n"/>
      <c r="H39" s="868" t="n"/>
      <c r="I39" s="868" t="n"/>
      <c r="J39" s="868" t="n"/>
      <c r="K39" s="868" t="n"/>
      <c r="L39" s="868" t="n"/>
      <c r="M39" s="868" t="n"/>
      <c r="N39" s="868" t="n"/>
      <c r="O39" s="868" t="n"/>
    </row>
    <row r="40">
      <c r="A40" s="868" t="n"/>
      <c r="B40" s="868" t="n"/>
      <c r="C40" s="868" t="n"/>
      <c r="D40" s="868" t="n"/>
      <c r="E40" s="868" t="n"/>
      <c r="F40" s="868" t="n"/>
      <c r="G40" s="868" t="n"/>
      <c r="H40" s="868" t="n"/>
      <c r="I40" s="868" t="n"/>
      <c r="J40" s="868" t="n"/>
      <c r="K40" s="868" t="n"/>
      <c r="L40" s="868" t="n"/>
      <c r="M40" s="868" t="n"/>
      <c r="N40" s="868" t="n"/>
      <c r="O40" s="868" t="n"/>
    </row>
    <row r="41">
      <c r="A41" s="868" t="n"/>
      <c r="B41" s="868" t="n"/>
      <c r="C41" s="868" t="n"/>
      <c r="D41" s="868" t="n"/>
      <c r="E41" s="868" t="n"/>
      <c r="F41" s="868" t="n"/>
      <c r="G41" s="868" t="n"/>
      <c r="H41" s="868" t="n"/>
      <c r="I41" s="868" t="n"/>
      <c r="J41" s="868" t="n"/>
      <c r="K41" s="868" t="n"/>
      <c r="L41" s="868" t="n"/>
      <c r="M41" s="868" t="n"/>
      <c r="N41" s="868" t="n"/>
      <c r="O41" s="868" t="n"/>
    </row>
    <row r="42">
      <c r="A42" s="868" t="n"/>
      <c r="B42" s="868" t="n"/>
      <c r="C42" s="868" t="n"/>
      <c r="D42" s="868" t="n"/>
      <c r="E42" s="868" t="n"/>
      <c r="F42" s="868" t="n"/>
      <c r="G42" s="868" t="n"/>
      <c r="H42" s="868" t="n"/>
      <c r="I42" s="868" t="n"/>
      <c r="J42" s="868" t="n"/>
      <c r="K42" s="868" t="n"/>
      <c r="L42" s="868" t="n"/>
      <c r="M42" s="868" t="n"/>
      <c r="N42" s="868" t="n"/>
      <c r="O42" s="868" t="n"/>
    </row>
    <row r="43">
      <c r="A43" s="868" t="n"/>
      <c r="B43" s="868" t="n"/>
      <c r="C43" s="868" t="n"/>
      <c r="D43" s="868" t="n"/>
      <c r="E43" s="868" t="n"/>
      <c r="F43" s="868" t="n"/>
      <c r="G43" s="868" t="n"/>
      <c r="H43" s="868" t="n"/>
      <c r="I43" s="868" t="n"/>
      <c r="J43" s="868" t="n"/>
      <c r="K43" s="868" t="n"/>
      <c r="L43" s="868" t="n"/>
      <c r="M43" s="868" t="n"/>
      <c r="N43" s="868" t="n"/>
      <c r="O43" s="868" t="n"/>
    </row>
    <row r="44">
      <c r="A44" s="868" t="n"/>
      <c r="B44" s="868" t="n"/>
      <c r="C44" s="868" t="n"/>
      <c r="D44" s="868" t="n"/>
      <c r="E44" s="868" t="n"/>
      <c r="F44" s="868" t="n"/>
      <c r="G44" s="868" t="n"/>
      <c r="H44" s="868" t="n"/>
      <c r="I44" s="868" t="n"/>
      <c r="J44" s="868" t="n"/>
      <c r="K44" s="868" t="n"/>
      <c r="L44" s="868" t="n"/>
      <c r="M44" s="868" t="n"/>
      <c r="N44" s="868" t="n"/>
      <c r="O44" s="868" t="n"/>
    </row>
    <row r="45">
      <c r="A45" s="868" t="n"/>
      <c r="B45" s="868" t="n"/>
      <c r="C45" s="868" t="n"/>
      <c r="D45" s="868" t="n"/>
      <c r="E45" s="868" t="n"/>
      <c r="F45" s="868" t="n"/>
      <c r="G45" s="868" t="n"/>
      <c r="H45" s="868" t="n"/>
      <c r="I45" s="868" t="n"/>
      <c r="J45" s="868" t="n"/>
      <c r="K45" s="868" t="n"/>
      <c r="L45" s="868" t="n"/>
      <c r="M45" s="868" t="n"/>
      <c r="N45" s="868" t="n"/>
      <c r="O45" s="868" t="n"/>
    </row>
    <row r="46">
      <c r="A46" s="868" t="n"/>
      <c r="B46" s="868" t="n"/>
      <c r="C46" s="868" t="n"/>
      <c r="D46" s="868" t="n"/>
      <c r="E46" s="868" t="n"/>
      <c r="F46" s="868" t="n"/>
      <c r="G46" s="868" t="n"/>
      <c r="H46" s="868" t="n"/>
      <c r="I46" s="868" t="n"/>
      <c r="J46" s="868" t="n"/>
      <c r="K46" s="868" t="n"/>
      <c r="L46" s="868" t="n"/>
      <c r="M46" s="868" t="n"/>
      <c r="N46" s="868" t="n"/>
      <c r="O46" s="868" t="n"/>
    </row>
    <row r="47" ht="15.75" customHeight="1" s="847">
      <c r="A47" s="102" t="n"/>
      <c r="B47" s="103" t="inlineStr">
        <is>
          <t>TOTAL SCOPE 1 + 2 + 3</t>
        </is>
      </c>
      <c r="C47" s="32">
        <f>C10+C15+C35</f>
        <v>0</v>
      </c>
      <c r="D47" s="102" t="n"/>
      <c r="E47" s="102" t="n"/>
      <c r="F47" s="102" t="n"/>
      <c r="G47" s="102" t="n"/>
      <c r="H47" s="102" t="n"/>
      <c r="I47" s="102" t="n"/>
      <c r="J47" s="102" t="n"/>
      <c r="K47" s="868" t="n"/>
      <c r="L47" s="868" t="n"/>
      <c r="M47" s="868" t="n"/>
      <c r="N47" s="868" t="n"/>
      <c r="O47" s="868" t="n"/>
    </row>
    <row r="48">
      <c r="A48" s="868" t="n"/>
      <c r="B48" s="868" t="n"/>
      <c r="C48" s="868" t="n"/>
      <c r="D48" s="868" t="n"/>
      <c r="E48" s="868" t="n"/>
      <c r="F48" s="868" t="n"/>
      <c r="G48" s="868" t="n"/>
      <c r="H48" s="868" t="n"/>
      <c r="I48" s="868" t="n"/>
      <c r="J48" s="868" t="n"/>
      <c r="K48" s="868" t="n"/>
      <c r="L48" s="868" t="n"/>
      <c r="M48" s="868" t="n"/>
      <c r="N48" s="868" t="n"/>
      <c r="O48" s="868" t="n"/>
    </row>
    <row r="49" ht="21.75" customHeight="1" s="847">
      <c r="A49" s="899" t="inlineStr">
        <is>
          <t>INDICATEURS D'INTENSITÉ CARBONE</t>
        </is>
      </c>
      <c r="B49" s="1010" t="n"/>
      <c r="C49" s="1010" t="n"/>
      <c r="D49" s="1010" t="n"/>
      <c r="E49" s="868" t="n"/>
      <c r="F49" s="868" t="n"/>
      <c r="G49" s="868" t="n"/>
      <c r="H49" s="868" t="n"/>
      <c r="I49" s="868" t="n"/>
      <c r="J49" s="868" t="n"/>
      <c r="K49" s="868" t="n"/>
      <c r="L49" s="868" t="n"/>
      <c r="M49" s="868" t="n"/>
      <c r="N49" s="868" t="n"/>
      <c r="O49" s="868" t="n"/>
    </row>
    <row r="50">
      <c r="A50" s="868" t="n"/>
      <c r="B50" s="868" t="inlineStr">
        <is>
          <t>Intensité / CA (tCO2e/M€)</t>
        </is>
      </c>
      <c r="C50" s="50">
        <f>IF(Paramètres!B9=0,0,C47/(Paramètres!B9/1000000))</f>
        <v>0</v>
      </c>
      <c r="D50" s="868" t="n"/>
      <c r="E50" s="868" t="n"/>
      <c r="F50" s="868" t="n"/>
      <c r="G50" s="868" t="n"/>
      <c r="H50" s="868" t="n"/>
      <c r="I50" s="868" t="n"/>
      <c r="J50" s="868" t="n"/>
      <c r="K50" s="868" t="n"/>
      <c r="L50" s="868" t="n"/>
      <c r="M50" s="868" t="n"/>
      <c r="N50" s="868" t="n"/>
      <c r="O50" s="868" t="n"/>
    </row>
    <row r="51">
      <c r="A51" s="868" t="n"/>
      <c r="B51" s="868" t="inlineStr">
        <is>
          <t>Intensité / salarié (tCO2e/ETP)</t>
        </is>
      </c>
      <c r="C51" s="50">
        <f>IF(Paramètres!B11=0,0,C47/Paramètres!B11)</f>
        <v>0</v>
      </c>
      <c r="D51" s="868" t="n"/>
      <c r="E51" s="868" t="n"/>
      <c r="F51" s="868" t="n"/>
      <c r="G51" s="868" t="n"/>
      <c r="H51" s="868" t="n"/>
      <c r="I51" s="868" t="n"/>
      <c r="J51" s="868" t="n"/>
      <c r="K51" s="868" t="n"/>
      <c r="L51" s="868" t="n"/>
      <c r="M51" s="868" t="n"/>
      <c r="N51" s="868" t="n"/>
      <c r="O51" s="868" t="n"/>
    </row>
    <row r="52">
      <c r="A52" s="868" t="n"/>
      <c r="B52" s="868" t="inlineStr">
        <is>
          <t>Intensité / m² (kgCO2e/m²)</t>
        </is>
      </c>
      <c r="C52" s="50">
        <f>IF(Paramètres!B12=0,0,C47*1000/Paramètres!B12)</f>
        <v>0</v>
      </c>
      <c r="D52" s="868" t="n"/>
      <c r="E52" s="868" t="n"/>
      <c r="F52" s="868" t="n"/>
      <c r="G52" s="868" t="n"/>
      <c r="H52" s="868" t="n"/>
      <c r="I52" s="868" t="n"/>
      <c r="J52" s="868" t="n"/>
      <c r="K52" s="868" t="n"/>
      <c r="L52" s="868" t="n"/>
      <c r="M52" s="868" t="n"/>
      <c r="N52" s="868" t="n"/>
      <c r="O52" s="868" t="n"/>
    </row>
    <row r="53">
      <c r="A53" s="868" t="n"/>
      <c r="B53" s="868" t="inlineStr">
        <is>
          <t>Part Scope 1 (%)</t>
        </is>
      </c>
      <c r="C53" s="995">
        <f>IF(C47=0,0,ROUND(C10/C47*100,1))</f>
        <v>0</v>
      </c>
      <c r="D53" s="868" t="n"/>
      <c r="E53" s="868" t="n"/>
      <c r="F53" s="868" t="n"/>
      <c r="G53" s="868" t="n"/>
      <c r="H53" s="868" t="n"/>
      <c r="I53" s="868" t="n"/>
      <c r="J53" s="868" t="n"/>
      <c r="K53" s="868" t="n"/>
      <c r="L53" s="868" t="n"/>
      <c r="M53" s="868" t="n"/>
      <c r="N53" s="868" t="n"/>
      <c r="O53" s="868" t="n"/>
    </row>
    <row r="54">
      <c r="A54" s="868" t="n"/>
      <c r="B54" s="868" t="inlineStr">
        <is>
          <t>Part Scope 2 (%)</t>
        </is>
      </c>
      <c r="C54" s="995">
        <f>IF(C47=0,0,ROUND(C15/C47*100,1))</f>
        <v>0</v>
      </c>
      <c r="D54" s="868" t="n"/>
      <c r="E54" s="868" t="n"/>
      <c r="F54" s="868" t="n"/>
      <c r="G54" s="868" t="n"/>
      <c r="H54" s="868" t="n"/>
      <c r="I54" s="868" t="n"/>
      <c r="J54" s="868" t="n"/>
      <c r="K54" s="868" t="n"/>
      <c r="L54" s="868" t="n"/>
      <c r="M54" s="868" t="n"/>
      <c r="N54" s="868" t="n"/>
      <c r="O54" s="868" t="n"/>
    </row>
    <row r="55">
      <c r="A55" s="868" t="n"/>
      <c r="B55" s="868" t="inlineStr">
        <is>
          <t>Part Scope 3 (%)</t>
        </is>
      </c>
      <c r="C55" s="995">
        <f>IF(C47=0,0,ROUND(C35/C47*100,1))</f>
        <v>0</v>
      </c>
      <c r="D55" s="868" t="n"/>
      <c r="E55" s="868" t="n"/>
      <c r="F55" s="868" t="n"/>
      <c r="G55" s="868" t="n"/>
      <c r="H55" s="868" t="n"/>
      <c r="I55" s="868" t="n"/>
      <c r="J55" s="868" t="n"/>
      <c r="K55" s="868" t="n"/>
      <c r="L55" s="868" t="n"/>
      <c r="M55" s="868" t="n"/>
      <c r="N55" s="868" t="n"/>
      <c r="O55" s="868" t="n"/>
    </row>
  </sheetData>
  <sheetProtection selectLockedCells="0" selectUnlockedCells="0" sheet="1" objects="1" insertRows="1" insertHyperlinks="1" autoFilter="0" scenarios="1" formatColumns="0" deleteColumns="1" insertColumns="1" pivotTables="1" deleteRows="1" formatCells="0" formatRows="0" sort="0"/>
  <mergeCells count="6">
    <mergeCell ref="A1:J1"/>
    <mergeCell ref="A19:B19"/>
    <mergeCell ref="A5:B5"/>
    <mergeCell ref="A2:J2"/>
    <mergeCell ref="A49:D49"/>
    <mergeCell ref="A12:B12"/>
  </mergeCells>
  <conditionalFormatting sqref="I6:I35">
    <cfRule type="cellIs" priority="2" operator="lessThan" dxfId="8">
      <formula>0</formula>
    </cfRule>
    <cfRule type="cellIs" priority="3" operator="greaterThan" dxfId="9">
      <formula>0</formula>
    </cfRule>
  </conditionalFormatting>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6.xml><?xml version="1.0" encoding="utf-8"?>
<worksheet xmlns="http://schemas.openxmlformats.org/spreadsheetml/2006/main">
  <sheetPr>
    <tabColor rgb="FFF9A825"/>
    <outlinePr summaryBelow="1" summaryRight="1"/>
    <pageSetUpPr/>
  </sheetPr>
  <dimension ref="A1:O8"/>
  <sheetViews>
    <sheetView showGridLines="0" zoomScaleNormal="100" workbookViewId="0">
      <pane ySplit="3" topLeftCell="A4" activePane="bottomLeft" state="frozen"/>
      <selection pane="bottomLeft" activeCell="C4" sqref="C4"/>
    </sheetView>
  </sheetViews>
  <sheetFormatPr baseColWidth="10" defaultColWidth="8.7109375" defaultRowHeight="15"/>
  <cols>
    <col width="30" customWidth="1" style="847" min="1" max="1"/>
    <col width="18" customWidth="1" style="847" min="2" max="4"/>
    <col width="22" customWidth="1" style="847" min="5" max="5"/>
    <col width="13.28515625" customWidth="1" style="847" min="14" max="15"/>
  </cols>
  <sheetData>
    <row r="1" ht="27.95" customHeight="1" s="847">
      <c r="A1" s="900" t="inlineStr">
        <is>
          <t>RATIOS D'INTENSITÉ CARBONE — BENCHMARKING ET ESRS E1</t>
        </is>
      </c>
      <c r="B1" s="1010" t="n"/>
      <c r="C1" s="1010" t="n"/>
      <c r="D1" s="1010" t="n"/>
      <c r="E1" s="1010" t="n"/>
      <c r="F1" s="916" t="n"/>
      <c r="G1" s="916" t="n"/>
      <c r="H1" s="916" t="n"/>
      <c r="I1" s="916" t="n"/>
      <c r="J1" s="916" t="n"/>
      <c r="K1" s="916" t="n"/>
      <c r="L1" s="916" t="n"/>
      <c r="M1" s="916" t="n"/>
      <c r="N1" s="232" t="inlineStr">
        <is>
          <t>🏠 Sommaire</t>
        </is>
      </c>
      <c r="O1" s="233" t="inlineStr">
        <is>
          <t>🏠 Sommaire</t>
        </is>
      </c>
    </row>
    <row r="2">
      <c r="A2" s="868" t="n"/>
      <c r="B2" s="868" t="n"/>
      <c r="C2" s="868" t="n"/>
      <c r="D2" s="868" t="n"/>
      <c r="E2" s="868" t="n"/>
      <c r="F2" s="868" t="n"/>
      <c r="G2" s="868" t="n"/>
      <c r="H2" s="868" t="n"/>
      <c r="I2" s="868" t="n"/>
      <c r="J2" s="868" t="n"/>
      <c r="K2" s="868" t="n"/>
      <c r="L2" s="868" t="n"/>
      <c r="M2" s="868" t="n"/>
      <c r="N2" s="868" t="n"/>
      <c r="O2" s="868" t="n"/>
    </row>
    <row r="3" ht="30" customHeight="1" s="847">
      <c r="A3" s="109" t="inlineStr">
        <is>
          <t>Indicateur</t>
        </is>
      </c>
      <c r="B3" s="109" t="inlineStr">
        <is>
          <t>Valeur</t>
        </is>
      </c>
      <c r="C3" s="109" t="inlineStr">
        <is>
          <t>Unité</t>
        </is>
      </c>
      <c r="D3" s="109" t="inlineStr">
        <is>
          <t>Benchmark sectoriel</t>
        </is>
      </c>
      <c r="E3" s="109" t="inlineStr">
        <is>
          <t>Position</t>
        </is>
      </c>
      <c r="F3" s="868" t="n"/>
      <c r="G3" s="868" t="n"/>
      <c r="H3" s="868" t="n"/>
      <c r="I3" s="868" t="n"/>
      <c r="J3" s="868" t="n"/>
      <c r="K3" s="868" t="n"/>
      <c r="L3" s="868" t="n"/>
      <c r="M3" s="868" t="n"/>
      <c r="N3" s="868" t="n"/>
      <c r="O3" s="868" t="n"/>
    </row>
    <row r="4">
      <c r="A4" s="92" t="inlineStr">
        <is>
          <t>Intensité / CA net</t>
        </is>
      </c>
      <c r="B4" s="110">
        <f>IF(Paramètres!B9=0,0,Synthese_GES!C47/(Paramètres!B9/1000000))</f>
        <v/>
      </c>
      <c r="C4" s="92" t="inlineStr">
        <is>
          <t>tCO2e / M€</t>
        </is>
      </c>
      <c r="D4" s="13" t="n">
        <v>0</v>
      </c>
      <c r="E4" s="3">
        <f>IF(D4=0,"—",IF(B4&lt;D4,"✅ Sous benchmark","⚠️ Au-dessus"))</f>
        <v/>
      </c>
      <c r="F4" s="868" t="n"/>
      <c r="G4" s="868" t="n"/>
      <c r="H4" s="868" t="n"/>
      <c r="I4" s="868" t="n"/>
      <c r="J4" s="868" t="n"/>
      <c r="K4" s="868" t="n"/>
      <c r="L4" s="868" t="n"/>
      <c r="M4" s="868" t="n"/>
      <c r="N4" s="868" t="n"/>
      <c r="O4" s="868" t="n"/>
    </row>
    <row r="5">
      <c r="A5" s="92" t="inlineStr">
        <is>
          <t>Intensité / salarié</t>
        </is>
      </c>
      <c r="B5" s="110">
        <f>IF(Paramètres!B11=0,0,Synthese_GES!C47/Paramètres!B11)</f>
        <v/>
      </c>
      <c r="C5" s="92" t="inlineStr">
        <is>
          <t>tCO2e / ETP</t>
        </is>
      </c>
      <c r="D5" s="13" t="n">
        <v>0</v>
      </c>
      <c r="E5" s="3">
        <f>IF(D5=0,"—",IF(B5&lt;D5,"✅ Sous benchmark","⚠️ Au-dessus"))</f>
        <v/>
      </c>
      <c r="F5" s="868" t="n"/>
      <c r="G5" s="868" t="n"/>
      <c r="H5" s="868" t="n"/>
      <c r="I5" s="868" t="n"/>
      <c r="J5" s="868" t="n"/>
      <c r="K5" s="868" t="n"/>
      <c r="L5" s="868" t="n"/>
      <c r="M5" s="868" t="n"/>
      <c r="N5" s="868" t="n"/>
      <c r="O5" s="868" t="n"/>
    </row>
    <row r="6">
      <c r="A6" s="92" t="inlineStr">
        <is>
          <t>Intensité / m²</t>
        </is>
      </c>
      <c r="B6" s="110">
        <f>IF(Paramètres!B12=0,0,Synthese_GES!C47*1000/Paramètres!B12)</f>
        <v/>
      </c>
      <c r="C6" s="92" t="inlineStr">
        <is>
          <t>kgCO2e / m²</t>
        </is>
      </c>
      <c r="D6" s="13" t="n">
        <v>0</v>
      </c>
      <c r="E6" s="3">
        <f>IF(D6=0,"—",IF(B6&lt;D6,"✅ Sous benchmark","⚠️ Au-dessus"))</f>
        <v/>
      </c>
      <c r="F6" s="868" t="n"/>
      <c r="G6" s="868" t="n"/>
      <c r="H6" s="868" t="n"/>
      <c r="I6" s="868" t="n"/>
      <c r="J6" s="868" t="n"/>
      <c r="K6" s="868" t="n"/>
      <c r="L6" s="868" t="n"/>
      <c r="M6" s="868" t="n"/>
      <c r="N6" s="868" t="n"/>
      <c r="O6" s="868" t="n"/>
    </row>
    <row r="7">
      <c r="A7" s="92" t="inlineStr">
        <is>
          <t>Part énergie renouvelable</t>
        </is>
      </c>
      <c r="B7" s="110">
        <f>Energie!E20</f>
        <v/>
      </c>
      <c r="C7" s="92" t="inlineStr">
        <is>
          <t>%</t>
        </is>
      </c>
      <c r="D7" s="13" t="n">
        <v>0</v>
      </c>
      <c r="E7" s="3">
        <f>IF(D7=0,"—",IF(B7&lt;D7,"✅ Sous benchmark","⚠️ Au-dessus"))</f>
        <v/>
      </c>
      <c r="F7" s="868" t="n"/>
      <c r="G7" s="868" t="n"/>
      <c r="H7" s="868" t="n"/>
      <c r="I7" s="868" t="n"/>
      <c r="J7" s="868" t="n"/>
      <c r="K7" s="868" t="n"/>
      <c r="L7" s="868" t="n"/>
      <c r="M7" s="868" t="n"/>
      <c r="N7" s="868" t="n"/>
      <c r="O7" s="868" t="n"/>
    </row>
    <row r="8">
      <c r="A8" s="92" t="inlineStr">
        <is>
          <t>Part Scope 3 / total</t>
        </is>
      </c>
      <c r="B8" s="110">
        <f>IF(Synthese_GES!C47=0,0,Synthese_GES!C35/Synthese_GES!C47)</f>
        <v/>
      </c>
      <c r="C8" s="92" t="inlineStr">
        <is>
          <t>%</t>
        </is>
      </c>
      <c r="D8" s="13" t="n">
        <v>0</v>
      </c>
      <c r="E8" s="3">
        <f>IF(D8=0,"—",IF(B8&lt;D8,"✅ Sous benchmark","⚠️ Au-dessus"))</f>
        <v/>
      </c>
      <c r="F8" s="868" t="n"/>
      <c r="G8" s="868" t="n"/>
      <c r="H8" s="868" t="n"/>
      <c r="I8" s="868" t="n"/>
      <c r="J8" s="868" t="n"/>
      <c r="K8" s="868" t="n"/>
      <c r="L8" s="868" t="n"/>
      <c r="M8" s="868" t="n"/>
      <c r="N8" s="868" t="n"/>
      <c r="O8" s="868" t="n"/>
    </row>
  </sheetData>
  <sheetProtection selectLockedCells="0" selectUnlockedCells="0" sheet="1" objects="1" insertRows="1" insertHyperlinks="1" autoFilter="0" scenarios="1" formatColumns="0" deleteColumns="1" insertColumns="1" pivotTables="1" deleteRows="1" formatCells="0" formatRows="0" sort="0"/>
  <mergeCells count="1">
    <mergeCell ref="A1:E1"/>
  </mergeCell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tabColor rgb="FF388E3C"/>
    <outlinePr summaryBelow="1" summaryRight="1"/>
    <pageSetUpPr/>
  </sheetPr>
  <dimension ref="A1:O39"/>
  <sheetViews>
    <sheetView showGridLines="0" zoomScaleNormal="100" workbookViewId="0">
      <pane ySplit="13" topLeftCell="A14" activePane="bottomLeft" state="frozen"/>
      <selection pane="bottomLeft" activeCell="D17" sqref="D17"/>
    </sheetView>
  </sheetViews>
  <sheetFormatPr baseColWidth="10" defaultColWidth="8.7109375" defaultRowHeight="15"/>
  <cols>
    <col width="39.28515625" customWidth="1" style="847" min="1" max="1"/>
    <col width="22" customWidth="1" style="847" min="2" max="3"/>
    <col width="18" customWidth="1" style="847" min="4" max="7"/>
    <col width="16" customWidth="1" style="847" min="14" max="14"/>
    <col width="13.28515625" customWidth="1" style="847" min="15" max="15"/>
  </cols>
  <sheetData>
    <row r="1" ht="27.95" customHeight="1" s="847">
      <c r="A1" s="900" t="inlineStr">
        <is>
          <t>TRAJECTOIRE DE RÉDUCTION — SCIENCE BASED TARGETS</t>
        </is>
      </c>
      <c r="B1" s="1010" t="n"/>
      <c r="C1" s="1010" t="n"/>
      <c r="D1" s="1010" t="n"/>
      <c r="E1" s="1010" t="n"/>
      <c r="F1" s="1010" t="n"/>
      <c r="G1" s="1010" t="n"/>
      <c r="H1" s="916" t="n"/>
      <c r="I1" s="916" t="n"/>
      <c r="J1" s="916" t="n"/>
      <c r="K1" s="916" t="n"/>
      <c r="L1" s="916" t="n"/>
      <c r="M1" s="916" t="n"/>
      <c r="N1" s="232" t="inlineStr">
        <is>
          <t>🏠 Sommaire</t>
        </is>
      </c>
      <c r="O1" s="233" t="inlineStr">
        <is>
          <t>🏠 Sommaire</t>
        </is>
      </c>
    </row>
    <row r="2">
      <c r="A2" s="904" t="inlineStr">
        <is>
          <t>Méthode linéaire absolue. SBTi : 4,2%/an Scope 1+2 pour 1.5°C, min. 2,5%/an Scope 3.</t>
        </is>
      </c>
      <c r="B2" s="868" t="n"/>
      <c r="C2" s="868" t="n"/>
      <c r="D2" s="868" t="n"/>
      <c r="E2" s="868" t="n"/>
      <c r="F2" s="868" t="n"/>
      <c r="G2" s="868" t="n"/>
      <c r="H2" s="868" t="n"/>
      <c r="I2" s="868" t="n"/>
      <c r="J2" s="868" t="n"/>
      <c r="K2" s="868" t="n"/>
      <c r="L2" s="868" t="n"/>
      <c r="M2" s="868" t="n"/>
      <c r="N2" s="868" t="n"/>
      <c r="O2" s="868" t="n"/>
    </row>
    <row r="3" ht="15.75" customHeight="1" s="847" thickBot="1">
      <c r="A3" s="868" t="n"/>
      <c r="B3" s="868" t="n"/>
      <c r="C3" s="868" t="n"/>
      <c r="D3" s="868" t="n"/>
      <c r="E3" s="868" t="n"/>
      <c r="F3" s="868" t="n"/>
      <c r="G3" s="868" t="n"/>
      <c r="H3" s="868" t="n"/>
      <c r="I3" s="868" t="n"/>
      <c r="J3" s="868" t="n"/>
      <c r="K3" s="868" t="n"/>
      <c r="L3" s="868" t="n"/>
      <c r="M3" s="868" t="n"/>
      <c r="N3" s="868" t="n"/>
      <c r="O3" s="868" t="n"/>
    </row>
    <row r="4">
      <c r="A4" s="820" t="inlineStr">
        <is>
          <t>Année de référence (baseline)</t>
        </is>
      </c>
      <c r="B4" s="275"/>
      <c r="C4" s="868" t="n"/>
      <c r="D4" s="868" t="n"/>
      <c r="E4" s="868" t="n"/>
      <c r="F4" s="868" t="n"/>
      <c r="G4" s="868" t="n"/>
      <c r="H4" s="868" t="n"/>
      <c r="I4" s="868" t="n"/>
      <c r="J4" s="868" t="n"/>
      <c r="K4" s="868" t="n"/>
      <c r="L4" s="868" t="n"/>
      <c r="M4" s="868" t="n"/>
      <c r="N4" s="868" t="n"/>
      <c r="O4" s="868" t="n"/>
    </row>
    <row r="5">
      <c r="A5" s="821" t="inlineStr">
        <is>
          <t>Émissions Scope 1+2 baseline (tCO2e)</t>
        </is>
      </c>
      <c r="B5" s="818"/>
      <c r="C5" s="868" t="n"/>
      <c r="D5" s="868" t="n"/>
      <c r="E5" s="868" t="n"/>
      <c r="F5" s="868" t="n"/>
      <c r="G5" s="868" t="n"/>
      <c r="H5" s="868" t="n"/>
      <c r="I5" s="868" t="n"/>
      <c r="J5" s="868" t="n"/>
      <c r="K5" s="868" t="n"/>
      <c r="L5" s="868" t="n"/>
      <c r="M5" s="868" t="n"/>
      <c r="N5" s="868" t="n"/>
      <c r="O5" s="868" t="n"/>
    </row>
    <row r="6">
      <c r="A6" s="821" t="inlineStr">
        <is>
          <t>Émissions Scope 3 baseline (tCO2e)</t>
        </is>
      </c>
      <c r="B6" s="818"/>
      <c r="C6" s="868" t="n"/>
      <c r="D6" s="868" t="n"/>
      <c r="E6" s="868" t="n"/>
      <c r="F6" s="868" t="n"/>
      <c r="G6" s="868" t="n"/>
      <c r="H6" s="868" t="n"/>
      <c r="I6" s="868" t="n"/>
      <c r="J6" s="868" t="n"/>
      <c r="K6" s="868" t="n"/>
      <c r="L6" s="868" t="n"/>
      <c r="M6" s="868" t="n"/>
      <c r="N6" s="868" t="n"/>
      <c r="O6" s="868" t="n"/>
    </row>
    <row r="7">
      <c r="A7" s="821" t="inlineStr">
        <is>
          <t>Objectif SBTi</t>
        </is>
      </c>
      <c r="B7" s="275" t="inlineStr">
        <is>
          <t>1.5°C — Near-term</t>
        </is>
      </c>
      <c r="C7" s="868" t="n"/>
      <c r="D7" s="868" t="n"/>
      <c r="E7" s="868" t="n"/>
      <c r="F7" s="868" t="n"/>
      <c r="G7" s="868" t="n"/>
      <c r="H7" s="868" t="n"/>
      <c r="I7" s="868" t="n"/>
      <c r="J7" s="868" t="n"/>
      <c r="K7" s="868" t="n"/>
      <c r="L7" s="868" t="n"/>
      <c r="M7" s="868" t="n"/>
      <c r="N7" s="868" t="n"/>
      <c r="O7" s="868" t="n"/>
    </row>
    <row r="8">
      <c r="A8" s="821" t="inlineStr">
        <is>
          <t>Réduction visée Scope 1+2 à l'horizon (%)</t>
        </is>
      </c>
      <c r="B8" s="819" t="n">
        <v>42</v>
      </c>
      <c r="C8" s="868" t="n"/>
      <c r="D8" s="868" t="n"/>
      <c r="E8" s="868" t="n"/>
      <c r="F8" s="868" t="n"/>
      <c r="G8" s="868" t="n"/>
      <c r="H8" s="868" t="n"/>
      <c r="I8" s="868" t="n"/>
      <c r="J8" s="868" t="n"/>
      <c r="K8" s="868" t="n"/>
      <c r="L8" s="868" t="n"/>
      <c r="M8" s="868" t="n"/>
      <c r="N8" s="868" t="n"/>
      <c r="O8" s="868" t="n"/>
    </row>
    <row r="9">
      <c r="A9" s="821" t="inlineStr">
        <is>
          <t>Réduction visée Scope 3 à l'horizon (%)</t>
        </is>
      </c>
      <c r="B9" s="275" t="n">
        <v>25</v>
      </c>
      <c r="C9" s="868" t="n"/>
      <c r="D9" s="868" t="n"/>
      <c r="E9" s="868" t="n"/>
      <c r="F9" s="868" t="n"/>
      <c r="G9" s="868" t="n"/>
      <c r="H9" s="868" t="n"/>
      <c r="I9" s="868" t="n"/>
      <c r="J9" s="868" t="n"/>
      <c r="K9" s="868" t="n"/>
      <c r="L9" s="868" t="n"/>
      <c r="M9" s="868" t="n"/>
      <c r="N9" s="868" t="n"/>
      <c r="O9" s="868" t="n"/>
    </row>
    <row r="10">
      <c r="A10" s="821" t="inlineStr">
        <is>
          <t>Horizon (année cible)</t>
        </is>
      </c>
      <c r="B10">
        <f>B4+10</f>
        <v/>
      </c>
      <c r="C10" s="868" t="n"/>
      <c r="D10" s="868" t="n"/>
      <c r="E10" s="868" t="n"/>
      <c r="F10" s="868" t="n"/>
      <c r="G10" s="868" t="n"/>
      <c r="H10" s="868" t="n"/>
      <c r="I10" s="868" t="n"/>
      <c r="J10" s="868" t="n"/>
      <c r="K10" s="868" t="n"/>
      <c r="L10" s="868" t="n"/>
      <c r="M10" s="868" t="n"/>
      <c r="N10" s="868" t="n"/>
      <c r="O10" s="868" t="n"/>
    </row>
    <row r="11" ht="15.75" customHeight="1" s="847" thickBot="1">
      <c r="A11" s="822" t="inlineStr">
        <is>
          <t>Objectifs validés SBTi (O/N)</t>
        </is>
      </c>
      <c r="B11" s="275" t="n"/>
      <c r="C11" s="868" t="n"/>
      <c r="D11" s="868" t="n"/>
      <c r="E11" s="868" t="n"/>
      <c r="F11" s="868" t="n"/>
      <c r="G11" s="868" t="n"/>
      <c r="H11" s="868" t="n"/>
      <c r="I11" s="868" t="n"/>
      <c r="J11" s="868" t="n"/>
      <c r="K11" s="868" t="n"/>
      <c r="L11" s="868" t="n"/>
      <c r="M11" s="868" t="n"/>
      <c r="N11" s="868" t="n"/>
      <c r="O11" s="868" t="n"/>
    </row>
    <row r="12">
      <c r="A12" s="868" t="n"/>
      <c r="B12" s="868" t="n"/>
      <c r="C12" s="868" t="n"/>
      <c r="D12" s="868" t="n"/>
      <c r="E12" s="868" t="n"/>
      <c r="F12" s="868" t="n"/>
      <c r="G12" s="868" t="n"/>
      <c r="H12" s="868" t="n"/>
      <c r="I12" s="868" t="n"/>
      <c r="J12" s="868" t="n"/>
      <c r="K12" s="868" t="n"/>
      <c r="L12" s="868" t="n"/>
      <c r="M12" s="868" t="n"/>
      <c r="N12" s="868" t="n"/>
      <c r="O12" s="868" t="n"/>
    </row>
    <row r="13" ht="21.75" customHeight="1" s="847">
      <c r="A13" s="905" t="inlineStr">
        <is>
          <t>TRAJECTOIRE SCOPE 1+2</t>
        </is>
      </c>
      <c r="B13" s="1010" t="n"/>
      <c r="C13" s="1010" t="n"/>
      <c r="D13" s="1010" t="n"/>
      <c r="E13" s="1010" t="n"/>
      <c r="F13" s="1010" t="n"/>
      <c r="G13" s="1010" t="n"/>
      <c r="H13" s="868" t="n"/>
      <c r="I13" s="868" t="n"/>
      <c r="J13" s="868" t="n"/>
      <c r="K13" s="868" t="n"/>
      <c r="L13" s="868" t="n"/>
      <c r="M13" s="868" t="n"/>
      <c r="N13" s="868" t="n"/>
      <c r="O13" s="868" t="n"/>
    </row>
    <row r="14" ht="30" customHeight="1" s="847">
      <c r="A14" s="109" t="inlineStr">
        <is>
          <t>Année</t>
        </is>
      </c>
      <c r="B14" s="109" t="inlineStr">
        <is>
          <t>Cible SBTi S1+2 (tCO2e)</t>
        </is>
      </c>
      <c r="C14" s="109" t="inlineStr">
        <is>
          <t>Réel S1+2 (tCO2e)</t>
        </is>
      </c>
      <c r="D14" s="109" t="inlineStr">
        <is>
          <t>Écart absolu</t>
        </is>
      </c>
      <c r="E14" s="109" t="inlineStr">
        <is>
          <t>Écart (%)</t>
        </is>
      </c>
      <c r="F14" s="109" t="inlineStr">
        <is>
          <t>Réduction cumulée cible (%)</t>
        </is>
      </c>
      <c r="G14" s="109" t="inlineStr">
        <is>
          <t>Réduction cumulée réelle (%)</t>
        </is>
      </c>
      <c r="H14" s="868" t="n"/>
      <c r="I14" s="868" t="n"/>
      <c r="J14" s="868" t="n"/>
      <c r="K14" s="868" t="n"/>
      <c r="L14" s="868" t="n"/>
      <c r="M14" s="868" t="n"/>
      <c r="N14" s="868" t="n"/>
      <c r="O14" s="868" t="n"/>
    </row>
    <row r="15">
      <c r="A15" s="111">
        <f>$B$4+0</f>
        <v/>
      </c>
      <c r="B15" s="42">
        <f>$B$5*(1-($B$8/100)*0)</f>
        <v/>
      </c>
      <c r="C15" s="42">
        <f>B5</f>
        <v/>
      </c>
      <c r="D15" s="42">
        <f>IF(C15="","",C15-B15)</f>
        <v/>
      </c>
      <c r="E15" s="1009">
        <f>IF(OR(C15="",B15=0),"",D15/B15)</f>
        <v/>
      </c>
      <c r="F15" s="1009">
        <f>IF($B$15=0,0,1-B15/$B$15)</f>
        <v/>
      </c>
      <c r="G15" s="1009">
        <f>IF(OR(C15="",$C$15=0),"",1-C15/$C$15)</f>
        <v/>
      </c>
      <c r="H15" s="868" t="n"/>
      <c r="I15" s="868" t="n"/>
      <c r="J15" s="868" t="n"/>
      <c r="K15" s="868" t="n"/>
      <c r="L15" s="868" t="n"/>
      <c r="M15" s="868" t="n"/>
      <c r="N15" s="868" t="n"/>
      <c r="O15" s="868" t="n"/>
    </row>
    <row r="16">
      <c r="A16" s="111">
        <f>$B$4+1</f>
        <v/>
      </c>
      <c r="B16" s="42">
        <f>$B$5*(1-($B$8/100)*1)</f>
        <v/>
      </c>
      <c r="C16" s="57" t="n"/>
      <c r="D16" s="42">
        <f>IF(C16="","",C16-B16)</f>
        <v/>
      </c>
      <c r="E16" s="1009">
        <f>IF(OR(C16="",B16=0),"",D16/B16)</f>
        <v/>
      </c>
      <c r="F16" s="1009">
        <f>IF($B$15=0,0,1-B16/$B$15)</f>
        <v/>
      </c>
      <c r="G16" s="1009">
        <f>IF(OR(C16="",$C$15=0),"",1-C16/$C$15)</f>
        <v/>
      </c>
      <c r="H16" s="868" t="n"/>
      <c r="I16" s="868" t="n"/>
      <c r="J16" s="868" t="n"/>
      <c r="K16" s="868" t="n"/>
      <c r="L16" s="868" t="n"/>
      <c r="M16" s="868" t="n"/>
      <c r="N16" s="868" t="n"/>
      <c r="O16" s="868" t="n"/>
    </row>
    <row r="17">
      <c r="A17" s="111">
        <f>$B$4+2</f>
        <v/>
      </c>
      <c r="B17" s="42">
        <f>$B$5*(1-($B$8/100)*2)</f>
        <v/>
      </c>
      <c r="C17" s="57" t="n"/>
      <c r="D17" s="42">
        <f>IF(C17="","",C17-B17)</f>
        <v/>
      </c>
      <c r="E17" s="1009">
        <f>IF(OR(C17="",B17=0),"",D17/B17)</f>
        <v/>
      </c>
      <c r="F17" s="1009">
        <f>IF($B$15=0,0,1-B17/$B$15)</f>
        <v/>
      </c>
      <c r="G17" s="1009">
        <f>IF(OR(C17="",$C$15=0),"",1-C17/$C$15)</f>
        <v/>
      </c>
      <c r="H17" s="868" t="n"/>
      <c r="I17" s="868" t="n"/>
      <c r="J17" s="868" t="n"/>
      <c r="K17" s="868" t="n"/>
      <c r="L17" s="868" t="n"/>
      <c r="M17" s="868" t="n"/>
      <c r="N17" s="868" t="n"/>
      <c r="O17" s="868" t="n"/>
    </row>
    <row r="18">
      <c r="A18" s="111">
        <f>$B$4+3</f>
        <v/>
      </c>
      <c r="B18" s="42">
        <f>$B$5*(1-($B$8/100)*3)</f>
        <v/>
      </c>
      <c r="C18" s="57" t="n"/>
      <c r="D18" s="42">
        <f>IF(C18="","",C18-B18)</f>
        <v/>
      </c>
      <c r="E18" s="1009">
        <f>IF(OR(C18="",B18=0),"",D18/B18)</f>
        <v/>
      </c>
      <c r="F18" s="1009">
        <f>IF($B$15=0,0,1-B18/$B$15)</f>
        <v/>
      </c>
      <c r="G18" s="1009">
        <f>IF(OR(C18="",$C$15=0),"",1-C18/$C$15)</f>
        <v/>
      </c>
      <c r="H18" s="868" t="n"/>
      <c r="I18" s="868" t="n"/>
      <c r="J18" s="868" t="n"/>
      <c r="K18" s="868" t="n"/>
      <c r="L18" s="868" t="n"/>
      <c r="M18" s="868" t="n"/>
      <c r="N18" s="868" t="n"/>
      <c r="O18" s="868" t="n"/>
    </row>
    <row r="19">
      <c r="A19" s="111">
        <f>$B$4+4</f>
        <v/>
      </c>
      <c r="B19" s="42">
        <f>$B$5*(1-($B$8/100)*4)</f>
        <v/>
      </c>
      <c r="C19" s="57" t="n"/>
      <c r="D19" s="42">
        <f>IF(C19="","",C19-B19)</f>
        <v/>
      </c>
      <c r="E19" s="1009">
        <f>IF(OR(C19="",B19=0),"",D19/B19)</f>
        <v/>
      </c>
      <c r="F19" s="1009">
        <f>IF($B$15=0,0,1-B19/$B$15)</f>
        <v/>
      </c>
      <c r="G19" s="1009">
        <f>IF(OR(C19="",$C$15=0),"",1-C19/$C$15)</f>
        <v/>
      </c>
      <c r="H19" s="868" t="n"/>
      <c r="I19" s="868" t="n"/>
      <c r="J19" s="868" t="n"/>
      <c r="K19" s="868" t="n"/>
      <c r="L19" s="868" t="n"/>
      <c r="M19" s="868" t="n"/>
      <c r="N19" s="868" t="n"/>
      <c r="O19" s="868" t="n"/>
    </row>
    <row r="20">
      <c r="A20" s="111">
        <f>$B$4+5</f>
        <v/>
      </c>
      <c r="B20" s="42">
        <f>$B$5*(1-($B$8/100)*5)</f>
        <v/>
      </c>
      <c r="C20" s="57" t="n"/>
      <c r="D20" s="42">
        <f>IF(C20="","",C20-B20)</f>
        <v/>
      </c>
      <c r="E20" s="1009">
        <f>IF(OR(C20="",B20=0),"",D20/B20)</f>
        <v/>
      </c>
      <c r="F20" s="1009">
        <f>IF($B$15=0,0,1-B20/$B$15)</f>
        <v/>
      </c>
      <c r="G20" s="1009">
        <f>IF(OR(C20="",$C$15=0),"",1-C20/$C$15)</f>
        <v/>
      </c>
      <c r="H20" s="868" t="n"/>
      <c r="I20" s="868" t="n"/>
      <c r="J20" s="868" t="n"/>
      <c r="K20" s="868" t="n"/>
      <c r="L20" s="868" t="n"/>
      <c r="M20" s="868" t="n"/>
      <c r="N20" s="868" t="n"/>
      <c r="O20" s="868" t="n"/>
    </row>
    <row r="21">
      <c r="A21" s="111">
        <f>$B$4+6</f>
        <v/>
      </c>
      <c r="B21" s="42">
        <f>$B$5*(1-($B$8/100)*6)</f>
        <v/>
      </c>
      <c r="C21" s="57" t="n"/>
      <c r="D21" s="42">
        <f>IF(C21="","",C21-B21)</f>
        <v/>
      </c>
      <c r="E21" s="1009">
        <f>IF(OR(C21="",B21=0),"",D21/B21)</f>
        <v/>
      </c>
      <c r="F21" s="1009">
        <f>IF($B$15=0,0,1-B21/$B$15)</f>
        <v/>
      </c>
      <c r="G21" s="1009">
        <f>IF(OR(C21="",$C$15=0),"",1-C21/$C$15)</f>
        <v/>
      </c>
      <c r="H21" s="868" t="n"/>
      <c r="I21" s="868" t="n"/>
      <c r="J21" s="868" t="n"/>
      <c r="K21" s="868" t="n"/>
      <c r="L21" s="868" t="n"/>
      <c r="M21" s="868" t="n"/>
      <c r="N21" s="868" t="n"/>
      <c r="O21" s="868" t="n"/>
    </row>
    <row r="22">
      <c r="A22" s="111">
        <f>$B$4+7</f>
        <v/>
      </c>
      <c r="B22" s="42">
        <f>$B$5*(1-($B$8/100)*7)</f>
        <v/>
      </c>
      <c r="C22" s="57" t="n"/>
      <c r="D22" s="42">
        <f>IF(C22="","",C22-B22)</f>
        <v/>
      </c>
      <c r="E22" s="1009">
        <f>IF(OR(C22="",B22=0),"",D22/B22)</f>
        <v/>
      </c>
      <c r="F22" s="1009">
        <f>IF($B$15=0,0,1-B22/$B$15)</f>
        <v/>
      </c>
      <c r="G22" s="1009">
        <f>IF(OR(C22="",$C$15=0),"",1-C22/$C$15)</f>
        <v/>
      </c>
      <c r="H22" s="868" t="n"/>
      <c r="I22" s="868" t="n"/>
      <c r="J22" s="868" t="n"/>
      <c r="K22" s="868" t="n"/>
      <c r="L22" s="868" t="n"/>
      <c r="M22" s="868" t="n"/>
      <c r="N22" s="868" t="n"/>
      <c r="O22" s="868" t="n"/>
    </row>
    <row r="23">
      <c r="A23" s="111">
        <f>$B$4+8</f>
        <v/>
      </c>
      <c r="B23" s="42">
        <f>$B$5*(1-($B$8/100)*8)</f>
        <v/>
      </c>
      <c r="C23" s="57" t="n"/>
      <c r="D23" s="42">
        <f>IF(C23="","",C23-B23)</f>
        <v/>
      </c>
      <c r="E23" s="1009">
        <f>IF(OR(C23="",B23=0),"",D23/B23)</f>
        <v/>
      </c>
      <c r="F23" s="1009">
        <f>IF($B$15=0,0,1-B23/$B$15)</f>
        <v/>
      </c>
      <c r="G23" s="1009">
        <f>IF(OR(C23="",$C$15=0),"",1-C23/$C$15)</f>
        <v/>
      </c>
      <c r="H23" s="868" t="n"/>
      <c r="I23" s="868" t="n"/>
      <c r="J23" s="868" t="n"/>
      <c r="K23" s="868" t="n"/>
      <c r="L23" s="868" t="n"/>
      <c r="M23" s="868" t="n"/>
      <c r="N23" s="868" t="n"/>
      <c r="O23" s="868" t="n"/>
    </row>
    <row r="24">
      <c r="A24" s="111">
        <f>$B$4+9</f>
        <v/>
      </c>
      <c r="B24" s="42">
        <f>$B$5*(1-($B$8/100)*9)</f>
        <v/>
      </c>
      <c r="C24" s="57" t="n"/>
      <c r="D24" s="42">
        <f>IF(C24="","",C24-B24)</f>
        <v/>
      </c>
      <c r="E24" s="1009">
        <f>IF(OR(C24="",B24=0),"",D24/B24)</f>
        <v/>
      </c>
      <c r="F24" s="1009">
        <f>IF($B$15=0,0,1-B24/$B$15)</f>
        <v/>
      </c>
      <c r="G24" s="1009">
        <f>IF(OR(C24="",$C$15=0),"",1-C24/$C$15)</f>
        <v/>
      </c>
      <c r="H24" s="868" t="n"/>
      <c r="I24" s="868" t="n"/>
      <c r="J24" s="868" t="n"/>
      <c r="K24" s="868" t="n"/>
      <c r="L24" s="868" t="n"/>
      <c r="M24" s="868" t="n"/>
      <c r="N24" s="868" t="n"/>
      <c r="O24" s="868" t="n"/>
    </row>
    <row r="25">
      <c r="A25" s="111">
        <f>$B$4+10</f>
        <v/>
      </c>
      <c r="B25" s="42">
        <f>$B$5*(1-($B$8/100)*10)</f>
        <v/>
      </c>
      <c r="C25" s="57" t="n"/>
      <c r="D25" s="42">
        <f>IF(C25="","",C25-B25)</f>
        <v/>
      </c>
      <c r="E25" s="1009">
        <f>IF(OR(C25="",B25=0),"",D25/B25)</f>
        <v/>
      </c>
      <c r="F25" s="1009">
        <f>IF($B$15=0,0,1-B25/$B$15)</f>
        <v/>
      </c>
      <c r="G25" s="1009">
        <f>IF(OR(C25="",$C$15=0),"",1-C25/$C$15)</f>
        <v/>
      </c>
      <c r="H25" s="868" t="n"/>
      <c r="I25" s="868" t="n"/>
      <c r="J25" s="868" t="n"/>
      <c r="K25" s="868" t="n"/>
      <c r="L25" s="868" t="n"/>
      <c r="M25" s="868" t="n"/>
      <c r="N25" s="868" t="n"/>
      <c r="O25" s="868" t="n"/>
    </row>
    <row r="26">
      <c r="A26" s="868" t="n"/>
      <c r="B26" s="868" t="n"/>
      <c r="C26" s="868" t="n"/>
      <c r="D26" s="868" t="n"/>
      <c r="E26" s="868" t="n"/>
      <c r="F26" s="868" t="n"/>
      <c r="G26" s="868" t="n"/>
      <c r="H26" s="868" t="n"/>
      <c r="I26" s="868" t="n"/>
      <c r="J26" s="868" t="n"/>
      <c r="K26" s="868" t="n"/>
      <c r="L26" s="868" t="n"/>
      <c r="M26" s="868" t="n"/>
      <c r="N26" s="868" t="n"/>
      <c r="O26" s="868" t="n"/>
    </row>
    <row r="27" ht="21.75" customHeight="1" s="847">
      <c r="A27" s="905" t="inlineStr">
        <is>
          <t>TRAJECTOIRE SCOPE 3</t>
        </is>
      </c>
      <c r="B27" s="1010" t="n"/>
      <c r="C27" s="1010" t="n"/>
      <c r="D27" s="1010" t="n"/>
      <c r="E27" s="1010" t="n"/>
      <c r="F27" s="1010" t="n"/>
      <c r="G27" s="1010" t="n"/>
      <c r="H27" s="868" t="n"/>
      <c r="I27" s="868" t="n"/>
      <c r="J27" s="868" t="n"/>
      <c r="K27" s="868" t="n"/>
      <c r="L27" s="868" t="n"/>
      <c r="M27" s="868" t="n"/>
      <c r="N27" s="868" t="n"/>
      <c r="O27" s="868" t="n"/>
    </row>
    <row r="28" ht="30" customHeight="1" s="847">
      <c r="A28" s="109" t="inlineStr">
        <is>
          <t>Année</t>
        </is>
      </c>
      <c r="B28" s="109" t="inlineStr">
        <is>
          <t>Cible SBTi S3 (tCO2e)</t>
        </is>
      </c>
      <c r="C28" s="109" t="inlineStr">
        <is>
          <t>Réel S3 (tCO2e)</t>
        </is>
      </c>
      <c r="D28" s="109" t="inlineStr">
        <is>
          <t>Écart absolu</t>
        </is>
      </c>
      <c r="E28" s="109" t="inlineStr">
        <is>
          <t>Écart (%)</t>
        </is>
      </c>
      <c r="F28" s="109" t="inlineStr">
        <is>
          <t>Réduction cumulée cible (%)</t>
        </is>
      </c>
      <c r="G28" s="109" t="inlineStr">
        <is>
          <t>Réduction cumulée réelle (%)</t>
        </is>
      </c>
      <c r="H28" s="868" t="n"/>
      <c r="I28" s="868" t="n"/>
      <c r="J28" s="868" t="n"/>
      <c r="K28" s="868" t="n"/>
      <c r="L28" s="868" t="n"/>
      <c r="M28" s="868" t="n"/>
      <c r="N28" s="868" t="n"/>
      <c r="O28" s="868" t="n"/>
    </row>
    <row r="29">
      <c r="A29" s="111">
        <f>$B$4+0</f>
        <v/>
      </c>
      <c r="B29" s="42">
        <f>$B$6*(1-($B$9/100)*0)</f>
        <v/>
      </c>
      <c r="C29" s="42">
        <f>B6</f>
        <v/>
      </c>
      <c r="D29" s="42">
        <f>IF(C29="","",C29-B29)</f>
        <v/>
      </c>
      <c r="E29" s="1009">
        <f>IF(OR(C29="",B29=0),"",D29/B29)</f>
        <v/>
      </c>
      <c r="F29" s="1009">
        <f>IF($B$29=0,0,1-B29/$B$29)</f>
        <v/>
      </c>
      <c r="G29" s="1009">
        <f>IF(OR(C29="",$C$29=0),"",1-C29/$C$29)</f>
        <v/>
      </c>
      <c r="H29" s="868" t="n"/>
      <c r="I29" s="868" t="n"/>
      <c r="J29" s="868" t="n"/>
      <c r="K29" s="868" t="n"/>
      <c r="L29" s="868" t="n"/>
      <c r="M29" s="868" t="n"/>
      <c r="N29" s="868" t="n"/>
      <c r="O29" s="868" t="n"/>
    </row>
    <row r="30">
      <c r="A30" s="111">
        <f>$B$4+1</f>
        <v/>
      </c>
      <c r="B30" s="42">
        <f>$B$6*(1-($B$9/100)*1)</f>
        <v/>
      </c>
      <c r="C30" s="57" t="n"/>
      <c r="D30" s="42">
        <f>IF(C30="","",C30-B30)</f>
        <v/>
      </c>
      <c r="E30" s="1009">
        <f>IF(OR(C30="",B30=0),"",D30/B30)</f>
        <v/>
      </c>
      <c r="F30" s="1009">
        <f>IF($B$29=0,0,1-B30/$B$29)</f>
        <v/>
      </c>
      <c r="G30" s="1009">
        <f>IF(OR(C30="",$C$29=0),"",1-C30/$C$29)</f>
        <v/>
      </c>
      <c r="H30" s="868" t="n"/>
      <c r="I30" s="868" t="n"/>
      <c r="J30" s="868" t="n"/>
      <c r="K30" s="868" t="n"/>
      <c r="L30" s="868" t="n"/>
      <c r="M30" s="868" t="n"/>
      <c r="N30" s="868" t="n"/>
      <c r="O30" s="868" t="n"/>
    </row>
    <row r="31">
      <c r="A31" s="111">
        <f>$B$4+2</f>
        <v/>
      </c>
      <c r="B31" s="42">
        <f>$B$6*(1-($B$9/100)*2)</f>
        <v/>
      </c>
      <c r="C31" s="57" t="n"/>
      <c r="D31" s="42">
        <f>IF(C31="","",C31-B31)</f>
        <v/>
      </c>
      <c r="E31" s="1009">
        <f>IF(OR(C31="",B31=0),"",D31/B31)</f>
        <v/>
      </c>
      <c r="F31" s="1009">
        <f>IF($B$29=0,0,1-B31/$B$29)</f>
        <v/>
      </c>
      <c r="G31" s="1009">
        <f>IF(OR(C31="",$C$29=0),"",1-C31/$C$29)</f>
        <v/>
      </c>
      <c r="H31" s="868" t="n"/>
      <c r="I31" s="868" t="n"/>
      <c r="J31" s="868" t="n"/>
      <c r="K31" s="868" t="n"/>
      <c r="L31" s="868" t="n"/>
      <c r="M31" s="868" t="n"/>
      <c r="N31" s="868" t="n"/>
      <c r="O31" s="868" t="n"/>
    </row>
    <row r="32">
      <c r="A32" s="111">
        <f>$B$4+3</f>
        <v/>
      </c>
      <c r="B32" s="42">
        <f>$B$6*(1-($B$9/100)*3)</f>
        <v/>
      </c>
      <c r="C32" s="57" t="n"/>
      <c r="D32" s="42">
        <f>IF(C32="","",C32-B32)</f>
        <v/>
      </c>
      <c r="E32" s="1009">
        <f>IF(OR(C32="",B32=0),"",D32/B32)</f>
        <v/>
      </c>
      <c r="F32" s="1009">
        <f>IF($B$29=0,0,1-B32/$B$29)</f>
        <v/>
      </c>
      <c r="G32" s="1009">
        <f>IF(OR(C32="",$C$29=0),"",1-C32/$C$29)</f>
        <v/>
      </c>
      <c r="H32" s="868" t="n"/>
      <c r="I32" s="868" t="n"/>
      <c r="J32" s="868" t="n"/>
      <c r="K32" s="868" t="n"/>
      <c r="L32" s="868" t="n"/>
      <c r="M32" s="868" t="n"/>
      <c r="N32" s="868" t="n"/>
      <c r="O32" s="868" t="n"/>
    </row>
    <row r="33">
      <c r="A33" s="111">
        <f>$B$4+4</f>
        <v/>
      </c>
      <c r="B33" s="42">
        <f>$B$6*(1-($B$9/100)*4)</f>
        <v/>
      </c>
      <c r="C33" s="57" t="n"/>
      <c r="D33" s="42">
        <f>IF(C33="","",C33-B33)</f>
        <v/>
      </c>
      <c r="E33" s="1009">
        <f>IF(OR(C33="",B33=0),"",D33/B33)</f>
        <v/>
      </c>
      <c r="F33" s="1009">
        <f>IF($B$29=0,0,1-B33/$B$29)</f>
        <v/>
      </c>
      <c r="G33" s="1009">
        <f>IF(OR(C33="",$C$29=0),"",1-C33/$C$29)</f>
        <v/>
      </c>
      <c r="H33" s="868" t="n"/>
      <c r="I33" s="868" t="n"/>
      <c r="J33" s="868" t="n"/>
      <c r="K33" s="868" t="n"/>
      <c r="L33" s="868" t="n"/>
      <c r="M33" s="868" t="n"/>
      <c r="N33" s="868" t="n"/>
      <c r="O33" s="868" t="n"/>
    </row>
    <row r="34">
      <c r="A34" s="111">
        <f>$B$4+5</f>
        <v/>
      </c>
      <c r="B34" s="42">
        <f>$B$6*(1-($B$9/100)*5)</f>
        <v/>
      </c>
      <c r="C34" s="57" t="n"/>
      <c r="D34" s="42">
        <f>IF(C34="","",C34-B34)</f>
        <v/>
      </c>
      <c r="E34" s="1009">
        <f>IF(OR(C34="",B34=0),"",D34/B34)</f>
        <v/>
      </c>
      <c r="F34" s="1009">
        <f>IF($B$29=0,0,1-B34/$B$29)</f>
        <v/>
      </c>
      <c r="G34" s="1009">
        <f>IF(OR(C34="",$C$29=0),"",1-C34/$C$29)</f>
        <v/>
      </c>
      <c r="H34" s="868" t="n"/>
      <c r="I34" s="868" t="n"/>
      <c r="J34" s="868" t="n"/>
      <c r="K34" s="868" t="n"/>
      <c r="L34" s="868" t="n"/>
      <c r="M34" s="868" t="n"/>
      <c r="N34" s="868" t="n"/>
      <c r="O34" s="868" t="n"/>
    </row>
    <row r="35">
      <c r="A35" s="111">
        <f>$B$4+6</f>
        <v/>
      </c>
      <c r="B35" s="42">
        <f>$B$6*(1-($B$9/100)*6)</f>
        <v/>
      </c>
      <c r="C35" s="57" t="n"/>
      <c r="D35" s="42">
        <f>IF(C35="","",C35-B35)</f>
        <v/>
      </c>
      <c r="E35" s="1009">
        <f>IF(OR(C35="",B35=0),"",D35/B35)</f>
        <v/>
      </c>
      <c r="F35" s="1009">
        <f>IF($B$29=0,0,1-B35/$B$29)</f>
        <v/>
      </c>
      <c r="G35" s="1009">
        <f>IF(OR(C35="",$C$29=0),"",1-C35/$C$29)</f>
        <v/>
      </c>
      <c r="H35" s="868" t="n"/>
      <c r="I35" s="868" t="n"/>
      <c r="J35" s="868" t="n"/>
      <c r="K35" s="868" t="n"/>
      <c r="L35" s="868" t="n"/>
      <c r="M35" s="868" t="n"/>
      <c r="N35" s="868" t="n"/>
      <c r="O35" s="868" t="n"/>
    </row>
    <row r="36">
      <c r="A36" s="111">
        <f>$B$4+7</f>
        <v/>
      </c>
      <c r="B36" s="42">
        <f>$B$6*(1-($B$9/100)*7)</f>
        <v/>
      </c>
      <c r="C36" s="57" t="n"/>
      <c r="D36" s="42">
        <f>IF(C36="","",C36-B36)</f>
        <v/>
      </c>
      <c r="E36" s="1009">
        <f>IF(OR(C36="",B36=0),"",D36/B36)</f>
        <v/>
      </c>
      <c r="F36" s="1009">
        <f>IF($B$29=0,0,1-B36/$B$29)</f>
        <v/>
      </c>
      <c r="G36" s="1009">
        <f>IF(OR(C36="",$C$29=0),"",1-C36/$C$29)</f>
        <v/>
      </c>
      <c r="H36" s="868" t="n"/>
      <c r="I36" s="868" t="n"/>
      <c r="J36" s="868" t="n"/>
      <c r="K36" s="868" t="n"/>
      <c r="L36" s="868" t="n"/>
      <c r="M36" s="868" t="n"/>
      <c r="N36" s="868" t="n"/>
      <c r="O36" s="868" t="n"/>
    </row>
    <row r="37">
      <c r="A37" s="111">
        <f>$B$4+8</f>
        <v/>
      </c>
      <c r="B37" s="42">
        <f>$B$6*(1-($B$9/100)*8)</f>
        <v/>
      </c>
      <c r="C37" s="57" t="n"/>
      <c r="D37" s="42">
        <f>IF(C37="","",C37-B37)</f>
        <v/>
      </c>
      <c r="E37" s="1009">
        <f>IF(OR(C37="",B37=0),"",D37/B37)</f>
        <v/>
      </c>
      <c r="F37" s="1009">
        <f>IF($B$29=0,0,1-B37/$B$29)</f>
        <v/>
      </c>
      <c r="G37" s="1009">
        <f>IF(OR(C37="",$C$29=0),"",1-C37/$C$29)</f>
        <v/>
      </c>
      <c r="H37" s="868" t="n"/>
      <c r="I37" s="868" t="n"/>
      <c r="J37" s="868" t="n"/>
      <c r="K37" s="868" t="n"/>
      <c r="L37" s="868" t="n"/>
      <c r="M37" s="868" t="n"/>
      <c r="N37" s="868" t="n"/>
      <c r="O37" s="868" t="n"/>
    </row>
    <row r="38">
      <c r="A38" s="111">
        <f>$B$4+9</f>
        <v/>
      </c>
      <c r="B38" s="42">
        <f>$B$6*(1-($B$9/100)*9)</f>
        <v/>
      </c>
      <c r="C38" s="57" t="n"/>
      <c r="D38" s="42">
        <f>IF(C38="","",C38-B38)</f>
        <v/>
      </c>
      <c r="E38" s="1009">
        <f>IF(OR(C38="",B38=0),"",D38/B38)</f>
        <v/>
      </c>
      <c r="F38" s="1009">
        <f>IF($B$29=0,0,1-B38/$B$29)</f>
        <v/>
      </c>
      <c r="G38" s="1009">
        <f>IF(OR(C38="",$C$29=0),"",1-C38/$C$29)</f>
        <v/>
      </c>
      <c r="H38" s="868" t="n"/>
      <c r="I38" s="868" t="n"/>
      <c r="J38" s="868" t="n"/>
      <c r="K38" s="868" t="n"/>
      <c r="L38" s="868" t="n"/>
      <c r="M38" s="868" t="n"/>
      <c r="N38" s="868" t="n"/>
      <c r="O38" s="868" t="n"/>
    </row>
    <row r="39">
      <c r="A39" s="111">
        <f>$B$4+10</f>
        <v/>
      </c>
      <c r="B39" s="42">
        <f>$B$6*(1-($B$9/100)*10)</f>
        <v/>
      </c>
      <c r="C39" s="57" t="n"/>
      <c r="D39" s="42">
        <f>IF(C39="","",C39-B39)</f>
        <v/>
      </c>
      <c r="E39" s="1009">
        <f>IF(OR(C39="",B39=0),"",D39/B39)</f>
        <v/>
      </c>
      <c r="F39" s="1009">
        <f>IF($B$29=0,0,1-B39/$B$29)</f>
        <v/>
      </c>
      <c r="G39" s="1009">
        <f>IF(OR(C39="",$C$29=0),"",1-C39/$C$29)</f>
        <v/>
      </c>
      <c r="H39" s="868" t="n"/>
      <c r="I39" s="868" t="n"/>
      <c r="J39" s="868" t="n"/>
      <c r="K39" s="868" t="n"/>
      <c r="L39" s="868" t="n"/>
      <c r="M39" s="868" t="n"/>
      <c r="N39" s="868" t="n"/>
      <c r="O39" s="868" t="n"/>
    </row>
  </sheetData>
  <sheetProtection selectLockedCells="0" selectUnlockedCells="0" sheet="1" objects="1" insertRows="1" insertHyperlinks="1" autoFilter="0" scenarios="1" formatColumns="0" deleteColumns="1" insertColumns="1" pivotTables="1" deleteRows="1" formatCells="0" formatRows="0" sort="0"/>
  <mergeCells count="4">
    <mergeCell ref="A27:G27"/>
    <mergeCell ref="A13:G13"/>
    <mergeCell ref="A2:G2"/>
    <mergeCell ref="A1:G1"/>
  </mergeCells>
  <conditionalFormatting sqref="D15:D25">
    <cfRule type="cellIs" priority="2" operator="lessThan" dxfId="8">
      <formula>0</formula>
    </cfRule>
    <cfRule type="cellIs" priority="3" operator="greaterThan" dxfId="9">
      <formula>0</formula>
    </cfRule>
  </conditionalFormatting>
  <dataValidations count="2">
    <dataValidation sqref="B7" showDropDown="0" showInputMessage="0" showErrorMessage="0" allowBlank="1" errorTitle="Erreur de saisie" error="Valeur non autorisée" type="list">
      <formula1>"1.5°C — Near-term,Well-below 2°C,Net Zero 2050"</formula1>
      <formula2>0</formula2>
    </dataValidation>
    <dataValidation sqref="B11" showDropDown="0" showInputMessage="0" showErrorMessage="0" allowBlank="1" errorTitle="Erreur de saisie" error="Valeur non autorisée" type="list">
      <formula1>"O,N"</formula1>
      <formula2>0</formula2>
    </dataValidation>
  </dataValidation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18.xml><?xml version="1.0" encoding="utf-8"?>
<worksheet xmlns="http://schemas.openxmlformats.org/spreadsheetml/2006/main">
  <sheetPr>
    <tabColor rgb="FF795548"/>
    <outlinePr summaryBelow="1" summaryRight="1"/>
    <pageSetUpPr/>
  </sheetPr>
  <dimension ref="A1:O26"/>
  <sheetViews>
    <sheetView showGridLines="0" zoomScaleNormal="100" workbookViewId="0">
      <pane ySplit="8" topLeftCell="A15" activePane="bottomLeft" state="frozen"/>
      <selection pane="bottomLeft" activeCell="E26" sqref="E26"/>
    </sheetView>
  </sheetViews>
  <sheetFormatPr baseColWidth="10" defaultColWidth="8.7109375" defaultRowHeight="15"/>
  <cols>
    <col width="39.42578125" customWidth="1" style="847" min="1" max="1"/>
    <col width="20" customWidth="1" style="847" min="2" max="2"/>
    <col width="18" customWidth="1" style="847" min="3" max="3"/>
    <col width="14" customWidth="1" style="847" min="4" max="4"/>
    <col width="16" customWidth="1" style="847" min="5" max="5"/>
    <col width="20" customWidth="1" style="847" min="6" max="6"/>
    <col width="14" customWidth="1" style="847" min="7" max="7"/>
    <col width="20" customWidth="1" style="847" min="8" max="8"/>
    <col width="18" customWidth="1" style="847" min="9" max="9"/>
    <col width="20" customWidth="1" style="847" min="10" max="10"/>
    <col width="16" customWidth="1" style="847" min="11" max="11"/>
    <col width="18" customWidth="1" style="847" min="12" max="13"/>
    <col width="13.28515625" customWidth="1" style="847" min="14" max="15"/>
  </cols>
  <sheetData>
    <row r="1" ht="27.95" customHeight="1" s="847">
      <c r="A1" s="891" t="inlineStr">
        <is>
          <t>MÉCANISME D'AJUSTEMENT CARBONE AUX FRONTIÈRES (CBAM)</t>
        </is>
      </c>
      <c r="B1" s="994" t="n"/>
      <c r="C1" s="994" t="n"/>
      <c r="D1" s="994" t="n"/>
      <c r="E1" s="994" t="n"/>
      <c r="F1" s="994" t="n"/>
      <c r="G1" s="994" t="n"/>
      <c r="H1" s="994" t="n"/>
      <c r="I1" s="994" t="n"/>
      <c r="J1" s="994" t="n"/>
      <c r="K1" s="994" t="n"/>
      <c r="L1" s="994" t="n"/>
      <c r="M1" s="994" t="n"/>
      <c r="N1" s="231" t="inlineStr">
        <is>
          <t>🏠 Sommaire</t>
        </is>
      </c>
      <c r="O1" s="85" t="inlineStr">
        <is>
          <t>🏠 Sommaire</t>
        </is>
      </c>
    </row>
    <row r="2">
      <c r="A2" s="892" t="inlineStr">
        <is>
          <t>Règlement (UE) 2023/956 — Phase définitive depuis le 1er janvier 2026</t>
        </is>
      </c>
    </row>
    <row r="3" ht="15.75" customHeight="1" s="847" thickBot="1"/>
    <row r="4" ht="15.75" customHeight="1" s="847" thickBot="1">
      <c r="A4" s="823" t="inlineStr">
        <is>
          <t>Prix du quota EU ETS (€/tCO2) — à actualiser</t>
        </is>
      </c>
      <c r="B4" s="825" t="n">
        <v>70</v>
      </c>
    </row>
    <row r="5" ht="15.75" customHeight="1" s="847" thickBot="1">
      <c r="A5" s="824" t="inlineStr">
        <is>
          <t>Année des importations (déclaration annuelle)</t>
        </is>
      </c>
      <c r="B5" s="826" t="n">
        <v>2026</v>
      </c>
    </row>
    <row r="6">
      <c r="A6" t="inlineStr">
        <is>
          <t>Part des émissions couverte par des certificats (règl. (UE) 2023/956, art. 31)</t>
        </is>
      </c>
      <c r="B6">
        <f>IF(B5="","",IF(B5&lt;2026,0,IF(B5=2026,0.025,IF(B5=2027,0.05,IF(B5=2028,0.1,IF(B5=2029,0.225,IF(B5=2030,0.485,IF(B5=2031,0.61,IF(B5=2032,0.735,IF(B5=2033,0.86,1))))))))))</f>
        <v>0.025</v>
      </c>
    </row>
    <row r="8" ht="39.75" customHeight="1" s="847">
      <c r="A8" s="2" t="inlineStr">
        <is>
          <t>Ligne</t>
        </is>
      </c>
      <c r="B8" s="2" t="inlineStr">
        <is>
          <t>Produit CBAM</t>
        </is>
      </c>
      <c r="C8" s="2" t="inlineStr">
        <is>
          <t>Code NC</t>
        </is>
      </c>
      <c r="D8" s="2" t="inlineStr">
        <is>
          <t>Pays d'origine</t>
        </is>
      </c>
      <c r="E8" s="2" t="inlineStr">
        <is>
          <t>Quantité (t)</t>
        </is>
      </c>
      <c r="F8" s="2" t="inlineStr">
        <is>
          <t>Émissions dir. (tCO2/t)</t>
        </is>
      </c>
      <c r="G8" s="2" t="inlineStr">
        <is>
          <t>Indir. (O/N)</t>
        </is>
      </c>
      <c r="H8" s="2" t="inlineStr">
        <is>
          <t>Émissions indir. (tCO2/t)</t>
        </is>
      </c>
      <c r="I8" s="2" t="inlineStr">
        <is>
          <t>Total émissions (tCO2)</t>
        </is>
      </c>
      <c r="J8" s="2" t="inlineStr">
        <is>
          <t>Prix carbone payé (€/tCO2)</t>
        </is>
      </c>
      <c r="K8" s="2" t="inlineStr">
        <is>
          <t>Déduction (€)</t>
        </is>
      </c>
      <c r="L8" s="2" t="inlineStr">
        <is>
          <t>Certificats CBAM</t>
        </is>
      </c>
      <c r="M8" s="2" t="inlineStr">
        <is>
          <t>Coût CBAM (€)</t>
        </is>
      </c>
    </row>
    <row r="9">
      <c r="A9" s="3" t="n">
        <v>1</v>
      </c>
      <c r="B9" s="13" t="n"/>
      <c r="C9" s="13" t="n"/>
      <c r="D9" s="13" t="n"/>
      <c r="E9" s="14" t="n">
        <v>0</v>
      </c>
      <c r="F9" s="59">
        <f>IF(B9="","",IF(B9="Acier et fer",1.85,IF(B9="Aluminium",6.7,IF(B9="Ciment",0.64,IF(B9="Engrais azotés",2.56,IF(B9="Électricité",0.42,IF(B9="Hydrogène",9,0)))))))</f>
        <v/>
      </c>
      <c r="G9" s="26">
        <f>IF(B9="","",IF(OR(B9="Ciment",B9="Engrais azotés",B9="Hydrogène"),"OUI","NON"))</f>
        <v/>
      </c>
      <c r="H9" s="59" t="n">
        <v>0</v>
      </c>
      <c r="I9" s="42">
        <f>IF(B9="",0,E9*F9+IF(G9="OUI",E9*H9,0))</f>
        <v>0</v>
      </c>
      <c r="J9" s="15" t="n">
        <v>0</v>
      </c>
      <c r="K9" s="60">
        <f>I9*J9</f>
        <v/>
      </c>
      <c r="L9" s="51">
        <f>I9</f>
        <v/>
      </c>
      <c r="M9" s="60">
        <f>IF(OR(B9="",$B$6=""),0,MAX(0,I9*$B$4*$B$6-K9))</f>
        <v>0</v>
      </c>
    </row>
    <row r="10">
      <c r="A10" s="3" t="n">
        <v>2</v>
      </c>
      <c r="B10" s="13" t="n"/>
      <c r="C10" s="13" t="n"/>
      <c r="D10" s="13" t="n"/>
      <c r="E10" s="14" t="n">
        <v>0</v>
      </c>
      <c r="F10" s="59">
        <f>IF(B10="","",IF(B10="Acier et fer",1.85,IF(B10="Aluminium",6.7,IF(B10="Ciment",0.64,IF(B10="Engrais azotés",2.56,IF(B10="Électricité",0.42,IF(B10="Hydrogène",9,0)))))))</f>
        <v/>
      </c>
      <c r="G10" s="26">
        <f>IF(B10="","",IF(OR(B10="Ciment",B10="Engrais azotés",B10="Hydrogène"),"OUI","NON"))</f>
        <v/>
      </c>
      <c r="H10" s="59" t="n">
        <v>0</v>
      </c>
      <c r="I10" s="42">
        <f>IF(B10="",0,E10*F10+IF(G10="OUI",E10*H10,0))</f>
        <v>0</v>
      </c>
      <c r="J10" s="15" t="n">
        <v>0</v>
      </c>
      <c r="K10" s="60">
        <f>I10*J10</f>
        <v/>
      </c>
      <c r="L10" s="51">
        <f>I10</f>
        <v/>
      </c>
      <c r="M10" s="60">
        <f>IF(OR(B10="",$B$6=""),0,MAX(0,I10*$B$4*$B$6-K10))</f>
        <v>0</v>
      </c>
    </row>
    <row r="11">
      <c r="A11" s="3" t="n">
        <v>3</v>
      </c>
      <c r="B11" s="13" t="n"/>
      <c r="C11" s="13" t="n"/>
      <c r="D11" s="13" t="n"/>
      <c r="E11" s="14" t="n">
        <v>0</v>
      </c>
      <c r="F11" s="59">
        <f>IF(B11="","",IF(B11="Acier et fer",1.85,IF(B11="Aluminium",6.7,IF(B11="Ciment",0.64,IF(B11="Engrais azotés",2.56,IF(B11="Électricité",0.42,IF(B11="Hydrogène",9,0)))))))</f>
        <v/>
      </c>
      <c r="G11" s="26">
        <f>IF(B11="","",IF(OR(B11="Ciment",B11="Engrais azotés",B11="Hydrogène"),"OUI","NON"))</f>
        <v/>
      </c>
      <c r="H11" s="59" t="n">
        <v>0</v>
      </c>
      <c r="I11" s="42">
        <f>IF(B11="",0,E11*F11+IF(G11="OUI",E11*H11,0))</f>
        <v>0</v>
      </c>
      <c r="J11" s="15" t="n">
        <v>0</v>
      </c>
      <c r="K11" s="60">
        <f>I11*J11</f>
        <v/>
      </c>
      <c r="L11" s="51">
        <f>I11</f>
        <v/>
      </c>
      <c r="M11" s="60">
        <f>IF(OR(B11="",$B$6=""),0,MAX(0,I11*$B$4*$B$6-K11))</f>
        <v>0</v>
      </c>
    </row>
    <row r="12">
      <c r="A12" s="3" t="n">
        <v>4</v>
      </c>
      <c r="B12" s="13" t="n"/>
      <c r="C12" s="13" t="n"/>
      <c r="D12" s="13" t="n"/>
      <c r="E12" s="14" t="n">
        <v>0</v>
      </c>
      <c r="F12" s="59">
        <f>IF(B12="","",IF(B12="Acier et fer",1.85,IF(B12="Aluminium",6.7,IF(B12="Ciment",0.64,IF(B12="Engrais azotés",2.56,IF(B12="Électricité",0.42,IF(B12="Hydrogène",9,0)))))))</f>
        <v/>
      </c>
      <c r="G12" s="26">
        <f>IF(B12="","",IF(OR(B12="Ciment",B12="Engrais azotés",B12="Hydrogène"),"OUI","NON"))</f>
        <v/>
      </c>
      <c r="H12" s="59" t="n">
        <v>0</v>
      </c>
      <c r="I12" s="42">
        <f>IF(B12="",0,E12*F12+IF(G12="OUI",E12*H12,0))</f>
        <v>0</v>
      </c>
      <c r="J12" s="15" t="n">
        <v>0</v>
      </c>
      <c r="K12" s="60">
        <f>I12*J12</f>
        <v/>
      </c>
      <c r="L12" s="51">
        <f>I12</f>
        <v/>
      </c>
      <c r="M12" s="60">
        <f>IF(OR(B12="",$B$6=""),0,MAX(0,I12*$B$4*$B$6-K12))</f>
        <v>0</v>
      </c>
    </row>
    <row r="13">
      <c r="A13" s="3" t="n">
        <v>5</v>
      </c>
      <c r="B13" s="13" t="n"/>
      <c r="C13" s="13" t="n"/>
      <c r="D13" s="13" t="n"/>
      <c r="E13" s="14" t="n">
        <v>0</v>
      </c>
      <c r="F13" s="59">
        <f>IF(B13="","",IF(B13="Acier et fer",1.85,IF(B13="Aluminium",6.7,IF(B13="Ciment",0.64,IF(B13="Engrais azotés",2.56,IF(B13="Électricité",0.42,IF(B13="Hydrogène",9,0)))))))</f>
        <v/>
      </c>
      <c r="G13" s="26">
        <f>IF(B13="","",IF(OR(B13="Ciment",B13="Engrais azotés",B13="Hydrogène"),"OUI","NON"))</f>
        <v/>
      </c>
      <c r="H13" s="59" t="n">
        <v>0</v>
      </c>
      <c r="I13" s="42">
        <f>IF(B13="",0,E13*F13+IF(G13="OUI",E13*H13,0))</f>
        <v>0</v>
      </c>
      <c r="J13" s="15" t="n">
        <v>0</v>
      </c>
      <c r="K13" s="60">
        <f>I13*J13</f>
        <v/>
      </c>
      <c r="L13" s="51">
        <f>I13</f>
        <v/>
      </c>
      <c r="M13" s="60">
        <f>IF(OR(B13="",$B$6=""),0,MAX(0,I13*$B$4*$B$6-K13))</f>
        <v>0</v>
      </c>
    </row>
    <row r="14">
      <c r="A14" s="3" t="n">
        <v>6</v>
      </c>
      <c r="B14" s="13" t="n"/>
      <c r="C14" s="13" t="n"/>
      <c r="D14" s="13" t="n"/>
      <c r="E14" s="14" t="n">
        <v>0</v>
      </c>
      <c r="F14" s="59">
        <f>IF(B14="","",IF(B14="Acier et fer",1.85,IF(B14="Aluminium",6.7,IF(B14="Ciment",0.64,IF(B14="Engrais azotés",2.56,IF(B14="Électricité",0.42,IF(B14="Hydrogène",9,0)))))))</f>
        <v/>
      </c>
      <c r="G14" s="26">
        <f>IF(B14="","",IF(OR(B14="Ciment",B14="Engrais azotés",B14="Hydrogène"),"OUI","NON"))</f>
        <v/>
      </c>
      <c r="H14" s="59" t="n">
        <v>0</v>
      </c>
      <c r="I14" s="42">
        <f>IF(B14="",0,E14*F14+IF(G14="OUI",E14*H14,0))</f>
        <v>0</v>
      </c>
      <c r="J14" s="15" t="n">
        <v>0</v>
      </c>
      <c r="K14" s="60">
        <f>I14*J14</f>
        <v/>
      </c>
      <c r="L14" s="51">
        <f>I14</f>
        <v/>
      </c>
      <c r="M14" s="60">
        <f>IF(OR(B14="",$B$6=""),0,MAX(0,I14*$B$4*$B$6-K14))</f>
        <v>0</v>
      </c>
    </row>
    <row r="15">
      <c r="A15" s="3" t="n">
        <v>7</v>
      </c>
      <c r="B15" s="13" t="n"/>
      <c r="C15" s="13" t="n"/>
      <c r="D15" s="13" t="n"/>
      <c r="E15" s="14" t="n">
        <v>0</v>
      </c>
      <c r="F15" s="59">
        <f>IF(B15="","",IF(B15="Acier et fer",1.85,IF(B15="Aluminium",6.7,IF(B15="Ciment",0.64,IF(B15="Engrais azotés",2.56,IF(B15="Électricité",0.42,IF(B15="Hydrogène",9,0)))))))</f>
        <v/>
      </c>
      <c r="G15" s="26">
        <f>IF(B15="","",IF(OR(B15="Ciment",B15="Engrais azotés",B15="Hydrogène"),"OUI","NON"))</f>
        <v/>
      </c>
      <c r="H15" s="59" t="n">
        <v>0</v>
      </c>
      <c r="I15" s="42">
        <f>IF(B15="",0,E15*F15+IF(G15="OUI",E15*H15,0))</f>
        <v>0</v>
      </c>
      <c r="J15" s="15" t="n">
        <v>0</v>
      </c>
      <c r="K15" s="60">
        <f>I15*J15</f>
        <v/>
      </c>
      <c r="L15" s="51">
        <f>I15</f>
        <v/>
      </c>
      <c r="M15" s="60">
        <f>IF(OR(B15="",$B$6=""),0,MAX(0,I15*$B$4*$B$6-K15))</f>
        <v>0</v>
      </c>
    </row>
    <row r="16">
      <c r="A16" s="3" t="n">
        <v>8</v>
      </c>
      <c r="B16" s="13" t="n"/>
      <c r="C16" s="13" t="n"/>
      <c r="D16" s="13" t="n"/>
      <c r="E16" s="14" t="n">
        <v>0</v>
      </c>
      <c r="F16" s="59">
        <f>IF(B16="","",IF(B16="Acier et fer",1.85,IF(B16="Aluminium",6.7,IF(B16="Ciment",0.64,IF(B16="Engrais azotés",2.56,IF(B16="Électricité",0.42,IF(B16="Hydrogène",9,0)))))))</f>
        <v/>
      </c>
      <c r="G16" s="26">
        <f>IF(B16="","",IF(OR(B16="Ciment",B16="Engrais azotés",B16="Hydrogène"),"OUI","NON"))</f>
        <v/>
      </c>
      <c r="H16" s="59" t="n">
        <v>0</v>
      </c>
      <c r="I16" s="42">
        <f>IF(B16="",0,E16*F16+IF(G16="OUI",E16*H16,0))</f>
        <v>0</v>
      </c>
      <c r="J16" s="15" t="n">
        <v>0</v>
      </c>
      <c r="K16" s="60">
        <f>I16*J16</f>
        <v/>
      </c>
      <c r="L16" s="51">
        <f>I16</f>
        <v/>
      </c>
      <c r="M16" s="60">
        <f>IF(OR(B16="",$B$6=""),0,MAX(0,I16*$B$4*$B$6-K16))</f>
        <v>0</v>
      </c>
    </row>
    <row r="17">
      <c r="A17" s="3" t="n">
        <v>9</v>
      </c>
      <c r="B17" s="13" t="n"/>
      <c r="C17" s="13" t="n"/>
      <c r="D17" s="13" t="n"/>
      <c r="E17" s="14" t="n">
        <v>0</v>
      </c>
      <c r="F17" s="59">
        <f>IF(B17="","",IF(B17="Acier et fer",1.85,IF(B17="Aluminium",6.7,IF(B17="Ciment",0.64,IF(B17="Engrais azotés",2.56,IF(B17="Électricité",0.42,IF(B17="Hydrogène",9,0)))))))</f>
        <v/>
      </c>
      <c r="G17" s="26">
        <f>IF(B17="","",IF(OR(B17="Ciment",B17="Engrais azotés",B17="Hydrogène"),"OUI","NON"))</f>
        <v/>
      </c>
      <c r="H17" s="59" t="n">
        <v>0</v>
      </c>
      <c r="I17" s="42">
        <f>IF(B17="",0,E17*F17+IF(G17="OUI",E17*H17,0))</f>
        <v>0</v>
      </c>
      <c r="J17" s="15" t="n">
        <v>0</v>
      </c>
      <c r="K17" s="60">
        <f>I17*J17</f>
        <v/>
      </c>
      <c r="L17" s="51">
        <f>I17</f>
        <v/>
      </c>
      <c r="M17" s="60">
        <f>IF(OR(B17="",$B$6=""),0,MAX(0,I17*$B$4*$B$6-K17))</f>
        <v>0</v>
      </c>
    </row>
    <row r="18">
      <c r="A18" s="3" t="n">
        <v>10</v>
      </c>
      <c r="B18" s="13" t="n"/>
      <c r="C18" s="13" t="n"/>
      <c r="D18" s="13" t="n"/>
      <c r="E18" s="14" t="n">
        <v>0</v>
      </c>
      <c r="F18" s="59">
        <f>IF(B18="","",IF(B18="Acier et fer",1.85,IF(B18="Aluminium",6.7,IF(B18="Ciment",0.64,IF(B18="Engrais azotés",2.56,IF(B18="Électricité",0.42,IF(B18="Hydrogène",9,0)))))))</f>
        <v/>
      </c>
      <c r="G18" s="26">
        <f>IF(B18="","",IF(OR(B18="Ciment",B18="Engrais azotés",B18="Hydrogène"),"OUI","NON"))</f>
        <v/>
      </c>
      <c r="H18" s="59" t="n">
        <v>0</v>
      </c>
      <c r="I18" s="42">
        <f>IF(B18="",0,E18*F18+IF(G18="OUI",E18*H18,0))</f>
        <v>0</v>
      </c>
      <c r="J18" s="15" t="n">
        <v>0</v>
      </c>
      <c r="K18" s="60">
        <f>I18*J18</f>
        <v/>
      </c>
      <c r="L18" s="51">
        <f>I18</f>
        <v/>
      </c>
      <c r="M18" s="60">
        <f>IF(OR(B18="",$B$6=""),0,MAX(0,I18*$B$4*$B$6-K18))</f>
        <v>0</v>
      </c>
    </row>
    <row r="19">
      <c r="A19" s="3" t="n">
        <v>11</v>
      </c>
      <c r="B19" s="13" t="n"/>
      <c r="C19" s="13" t="n"/>
      <c r="D19" s="13" t="n"/>
      <c r="E19" s="14" t="n">
        <v>0</v>
      </c>
      <c r="F19" s="59">
        <f>IF(B19="","",IF(B19="Acier et fer",1.85,IF(B19="Aluminium",6.7,IF(B19="Ciment",0.64,IF(B19="Engrais azotés",2.56,IF(B19="Électricité",0.42,IF(B19="Hydrogène",9,0)))))))</f>
        <v/>
      </c>
      <c r="G19" s="26">
        <f>IF(B19="","",IF(OR(B19="Ciment",B19="Engrais azotés",B19="Hydrogène"),"OUI","NON"))</f>
        <v/>
      </c>
      <c r="H19" s="59" t="n">
        <v>0</v>
      </c>
      <c r="I19" s="42">
        <f>IF(B19="",0,E19*F19+IF(G19="OUI",E19*H19,0))</f>
        <v>0</v>
      </c>
      <c r="J19" s="15" t="n">
        <v>0</v>
      </c>
      <c r="K19" s="60">
        <f>I19*J19</f>
        <v/>
      </c>
      <c r="L19" s="51">
        <f>I19</f>
        <v/>
      </c>
      <c r="M19" s="60">
        <f>IF(OR(B19="",$B$6=""),0,MAX(0,I19*$B$4*$B$6-K19))</f>
        <v>0</v>
      </c>
    </row>
    <row r="20">
      <c r="A20" s="3" t="n">
        <v>12</v>
      </c>
      <c r="B20" s="13" t="n"/>
      <c r="C20" s="13" t="n"/>
      <c r="D20" s="13" t="n"/>
      <c r="E20" s="14" t="n">
        <v>0</v>
      </c>
      <c r="F20" s="59">
        <f>IF(B20="","",IF(B20="Acier et fer",1.85,IF(B20="Aluminium",6.7,IF(B20="Ciment",0.64,IF(B20="Engrais azotés",2.56,IF(B20="Électricité",0.42,IF(B20="Hydrogène",9,0)))))))</f>
        <v/>
      </c>
      <c r="G20" s="26">
        <f>IF(B20="","",IF(OR(B20="Ciment",B20="Engrais azotés",B20="Hydrogène"),"OUI","NON"))</f>
        <v/>
      </c>
      <c r="H20" s="59" t="n">
        <v>0</v>
      </c>
      <c r="I20" s="42">
        <f>IF(B20="",0,E20*F20+IF(G20="OUI",E20*H20,0))</f>
        <v>0</v>
      </c>
      <c r="J20" s="15" t="n">
        <v>0</v>
      </c>
      <c r="K20" s="60">
        <f>I20*J20</f>
        <v/>
      </c>
      <c r="L20" s="51">
        <f>I20</f>
        <v/>
      </c>
      <c r="M20" s="60">
        <f>IF(OR(B20="",$B$6=""),0,MAX(0,I20*$B$4*$B$6-K20))</f>
        <v>0</v>
      </c>
    </row>
    <row r="21">
      <c r="A21" s="3" t="n">
        <v>13</v>
      </c>
      <c r="B21" s="13" t="n"/>
      <c r="C21" s="13" t="n"/>
      <c r="D21" s="13" t="n"/>
      <c r="E21" s="14" t="n">
        <v>0</v>
      </c>
      <c r="F21" s="59">
        <f>IF(B21="","",IF(B21="Acier et fer",1.85,IF(B21="Aluminium",6.7,IF(B21="Ciment",0.64,IF(B21="Engrais azotés",2.56,IF(B21="Électricité",0.42,IF(B21="Hydrogène",9,0)))))))</f>
        <v/>
      </c>
      <c r="G21" s="26">
        <f>IF(B21="","",IF(OR(B21="Ciment",B21="Engrais azotés",B21="Hydrogène"),"OUI","NON"))</f>
        <v/>
      </c>
      <c r="H21" s="59" t="n">
        <v>0</v>
      </c>
      <c r="I21" s="42">
        <f>IF(B21="",0,E21*F21+IF(G21="OUI",E21*H21,0))</f>
        <v>0</v>
      </c>
      <c r="J21" s="15" t="n">
        <v>0</v>
      </c>
      <c r="K21" s="60">
        <f>I21*J21</f>
        <v/>
      </c>
      <c r="L21" s="51">
        <f>I21</f>
        <v/>
      </c>
      <c r="M21" s="60">
        <f>IF(OR(B21="",$B$6=""),0,MAX(0,I21*$B$4*$B$6-K21))</f>
        <v>0</v>
      </c>
    </row>
    <row r="22">
      <c r="A22" s="3" t="n">
        <v>14</v>
      </c>
      <c r="B22" s="13" t="n"/>
      <c r="C22" s="13" t="n"/>
      <c r="D22" s="13" t="n"/>
      <c r="E22" s="14" t="n">
        <v>0</v>
      </c>
      <c r="F22" s="59">
        <f>IF(B22="","",IF(B22="Acier et fer",1.85,IF(B22="Aluminium",6.7,IF(B22="Ciment",0.64,IF(B22="Engrais azotés",2.56,IF(B22="Électricité",0.42,IF(B22="Hydrogène",9,0)))))))</f>
        <v/>
      </c>
      <c r="G22" s="26">
        <f>IF(B22="","",IF(OR(B22="Ciment",B22="Engrais azotés",B22="Hydrogène"),"OUI","NON"))</f>
        <v/>
      </c>
      <c r="H22" s="59" t="n">
        <v>0</v>
      </c>
      <c r="I22" s="42">
        <f>IF(B22="",0,E22*F22+IF(G22="OUI",E22*H22,0))</f>
        <v>0</v>
      </c>
      <c r="J22" s="15" t="n">
        <v>0</v>
      </c>
      <c r="K22" s="60">
        <f>I22*J22</f>
        <v/>
      </c>
      <c r="L22" s="51">
        <f>I22</f>
        <v/>
      </c>
      <c r="M22" s="60">
        <f>IF(OR(B22="",$B$6=""),0,MAX(0,I22*$B$4*$B$6-K22))</f>
        <v>0</v>
      </c>
    </row>
    <row r="23">
      <c r="A23" s="3" t="n">
        <v>15</v>
      </c>
      <c r="B23" s="13" t="n"/>
      <c r="C23" s="13" t="n"/>
      <c r="D23" s="13" t="n"/>
      <c r="E23" s="14" t="n">
        <v>0</v>
      </c>
      <c r="F23" s="59">
        <f>IF(B23="","",IF(B23="Acier et fer",1.85,IF(B23="Aluminium",6.7,IF(B23="Ciment",0.64,IF(B23="Engrais azotés",2.56,IF(B23="Électricité",0.42,IF(B23="Hydrogène",9,0)))))))</f>
        <v/>
      </c>
      <c r="G23" s="26">
        <f>IF(B23="","",IF(OR(B23="Ciment",B23="Engrais azotés",B23="Hydrogène"),"OUI","NON"))</f>
        <v/>
      </c>
      <c r="H23" s="59" t="n">
        <v>0</v>
      </c>
      <c r="I23" s="42">
        <f>IF(B23="",0,E23*F23+IF(G23="OUI",E23*H23,0))</f>
        <v>0</v>
      </c>
      <c r="J23" s="15" t="n">
        <v>0</v>
      </c>
      <c r="K23" s="60">
        <f>I23*J23</f>
        <v/>
      </c>
      <c r="L23" s="51">
        <f>I23</f>
        <v/>
      </c>
      <c r="M23" s="60">
        <f>IF(OR(B23="",$B$6=""),0,MAX(0,I23*$B$4*$B$6-K23))</f>
        <v>0</v>
      </c>
    </row>
    <row r="24">
      <c r="A24" s="18" t="n"/>
      <c r="B24" s="18" t="inlineStr">
        <is>
          <t>TOTAL</t>
        </is>
      </c>
      <c r="C24" s="18" t="n"/>
      <c r="D24" s="18" t="n"/>
      <c r="E24" s="34">
        <f>SUM(E9:E23)</f>
        <v/>
      </c>
      <c r="F24" s="18" t="n"/>
      <c r="G24" s="18" t="n"/>
      <c r="H24" s="18" t="n"/>
      <c r="I24" s="34">
        <f>SUM(I9:I23)</f>
        <v/>
      </c>
      <c r="J24" s="18" t="n"/>
      <c r="K24" s="34">
        <f>SUM(K9:K23)</f>
        <v/>
      </c>
      <c r="L24" s="34">
        <f>SUM(L9:L23)</f>
        <v/>
      </c>
      <c r="M24" s="34">
        <f>SUM(M9:M23)</f>
        <v>0</v>
      </c>
    </row>
    <row r="26" ht="18" customHeight="1" s="847">
      <c r="A26" s="33" t="n"/>
      <c r="B26" s="48" t="inlineStr">
        <is>
          <t>COÛT CBAM TOTAL ESTIMÉ</t>
        </is>
      </c>
      <c r="C26" s="33" t="n"/>
      <c r="D26" s="33" t="n"/>
      <c r="E26" s="33" t="n"/>
      <c r="F26" s="33" t="n"/>
      <c r="G26" s="33" t="n"/>
      <c r="H26" s="33" t="n"/>
      <c r="I26" s="33" t="n"/>
      <c r="J26" s="33" t="n"/>
      <c r="K26" s="33" t="n"/>
      <c r="L26" s="33" t="n"/>
      <c r="M26" s="61">
        <f>M24</f>
        <v/>
      </c>
    </row>
  </sheetData>
  <mergeCells count="1">
    <mergeCell ref="A1:M1"/>
  </mergeCells>
  <dataValidations count="1">
    <dataValidation sqref="B9:B23" showDropDown="0" showInputMessage="0" showErrorMessage="0" allowBlank="1" errorTitle="Erreur de saisie" error="Valeur non autorisée" type="list">
      <formula1>"Acier et fer,Aluminium,Ciment,Engrais azotés,Électricité,Hydrogène"</formula1>
      <formula2>0</formula2>
    </dataValidation>
  </dataValidation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tabColor rgb="FF388E3C"/>
    <outlinePr summaryBelow="1" summaryRight="1"/>
    <pageSetUpPr/>
  </sheetPr>
  <dimension ref="A1:O29"/>
  <sheetViews>
    <sheetView showGridLines="0" zoomScaleNormal="100" workbookViewId="0">
      <pane ySplit="12" topLeftCell="A21" activePane="bottomLeft" state="frozen"/>
      <selection pane="bottomLeft" activeCell="A1" sqref="A1:J1"/>
    </sheetView>
  </sheetViews>
  <sheetFormatPr baseColWidth="10" defaultColWidth="8.7109375" defaultRowHeight="15"/>
  <cols>
    <col width="28" customWidth="1" style="847" min="1" max="1"/>
    <col width="42.7109375" bestFit="1" customWidth="1" style="847" min="2" max="2"/>
    <col width="25.42578125" customWidth="1" style="847" min="3" max="3"/>
    <col width="14" customWidth="1" style="847" min="4" max="6"/>
    <col width="12" customWidth="1" style="847" min="7" max="7"/>
    <col width="18" customWidth="1" style="847" min="8" max="10"/>
    <col width="18.140625" customWidth="1" style="847" min="14" max="14"/>
    <col width="13.28515625" customWidth="1" style="847" min="15" max="15"/>
  </cols>
  <sheetData>
    <row r="1" ht="27.95" customHeight="1" s="847">
      <c r="A1" s="891" t="inlineStr">
        <is>
          <t>ALIGNEMENT TAXONOMIE VERTE EUROPÉENNE</t>
        </is>
      </c>
      <c r="B1" s="994" t="n"/>
      <c r="C1" s="994" t="n"/>
      <c r="D1" s="994" t="n"/>
      <c r="E1" s="994" t="n"/>
      <c r="F1" s="994" t="n"/>
      <c r="G1" s="994" t="n"/>
      <c r="H1" s="994" t="n"/>
      <c r="I1" s="994" t="n"/>
      <c r="J1" s="994" t="n"/>
      <c r="K1" s="878" t="n"/>
      <c r="L1" s="878" t="n"/>
      <c r="M1" s="878" t="n"/>
      <c r="N1" s="231" t="inlineStr">
        <is>
          <t>🏠 Sommaire</t>
        </is>
      </c>
      <c r="O1" s="85" t="inlineStr">
        <is>
          <t>🏠 Sommaire</t>
        </is>
      </c>
    </row>
    <row r="3" ht="21.75" customHeight="1" s="847">
      <c r="A3" s="843" t="inlineStr">
        <is>
          <t>LES 6 OBJECTIFS ENVIRONNEMENTAUX</t>
        </is>
      </c>
      <c r="B3" s="994" t="n"/>
      <c r="C3" s="994" t="n"/>
      <c r="D3" s="994" t="n"/>
    </row>
    <row r="4">
      <c r="A4" s="3" t="n">
        <v>1</v>
      </c>
      <c r="B4" s="3" t="inlineStr">
        <is>
          <t>Atténuation du changement climatique</t>
        </is>
      </c>
      <c r="C4" s="3" t="inlineStr">
        <is>
          <t>Delegated Act 2021/2139</t>
        </is>
      </c>
    </row>
    <row r="5">
      <c r="A5" s="3" t="n">
        <v>2</v>
      </c>
      <c r="B5" s="3" t="inlineStr">
        <is>
          <t>Adaptation au changement climatique</t>
        </is>
      </c>
      <c r="C5" s="3" t="inlineStr">
        <is>
          <t>Delegated Act 2021/2139</t>
        </is>
      </c>
    </row>
    <row r="6">
      <c r="A6" s="3" t="n">
        <v>3</v>
      </c>
      <c r="B6" s="3" t="inlineStr">
        <is>
          <t>Utilisation durable eaux et ressources marines</t>
        </is>
      </c>
      <c r="C6" s="3" t="inlineStr">
        <is>
          <t>Delegated Act 2023/2486</t>
        </is>
      </c>
    </row>
    <row r="7">
      <c r="A7" s="3" t="n">
        <v>4</v>
      </c>
      <c r="B7" s="3" t="inlineStr">
        <is>
          <t>Transition vers économie circulaire</t>
        </is>
      </c>
      <c r="C7" s="3" t="inlineStr">
        <is>
          <t>Delegated Act 2023/2486</t>
        </is>
      </c>
    </row>
    <row r="8">
      <c r="A8" s="3" t="n">
        <v>5</v>
      </c>
      <c r="B8" s="3" t="inlineStr">
        <is>
          <t>Prévention et réduction de la pollution</t>
        </is>
      </c>
      <c r="C8" s="3" t="inlineStr">
        <is>
          <t>Delegated Act 2023/2486</t>
        </is>
      </c>
    </row>
    <row r="9">
      <c r="A9" s="3" t="n">
        <v>6</v>
      </c>
      <c r="B9" s="3" t="inlineStr">
        <is>
          <t>Protection biodiversité et écosystèmes</t>
        </is>
      </c>
      <c r="C9" s="3" t="inlineStr">
        <is>
          <t>Delegated Act 2023/2486</t>
        </is>
      </c>
    </row>
    <row r="12" ht="21.75" customHeight="1" s="847">
      <c r="A12" s="843" t="inlineStr">
        <is>
          <t>TABLEAU DES ACTIVITÉS ÉCONOMIQUES</t>
        </is>
      </c>
      <c r="B12" s="994" t="n"/>
      <c r="C12" s="994" t="n"/>
      <c r="D12" s="994" t="n"/>
      <c r="E12" s="994" t="n"/>
      <c r="F12" s="994" t="n"/>
      <c r="G12" s="994" t="n"/>
      <c r="H12" s="994" t="n"/>
      <c r="I12" s="994" t="n"/>
      <c r="J12" s="994" t="n"/>
    </row>
    <row r="13" ht="30" customHeight="1" s="847">
      <c r="A13" s="2" t="inlineStr">
        <is>
          <t>Activité économique</t>
        </is>
      </c>
      <c r="B13" s="2" t="inlineStr">
        <is>
          <t>Code NACE</t>
        </is>
      </c>
      <c r="C13" s="2" t="inlineStr">
        <is>
          <t>Éligible (O/N)</t>
        </is>
      </c>
      <c r="D13" s="2" t="inlineStr">
        <is>
          <t>CS — Obj. n°</t>
        </is>
      </c>
      <c r="E13" s="2" t="inlineStr">
        <is>
          <t>DNSH (O/N)</t>
        </is>
      </c>
      <c r="F13" s="2" t="inlineStr">
        <is>
          <t>Garanties min. (O/N)</t>
        </is>
      </c>
      <c r="G13" s="2" t="inlineStr">
        <is>
          <t>ALIGNÉE (O/N)</t>
        </is>
      </c>
      <c r="H13" s="2" t="inlineStr">
        <is>
          <t>CA associé (€)</t>
        </is>
      </c>
      <c r="I13" s="2" t="inlineStr">
        <is>
          <t>CapEx associé (€)</t>
        </is>
      </c>
      <c r="J13" s="2" t="inlineStr">
        <is>
          <t>OpEx associé (€)</t>
        </is>
      </c>
    </row>
    <row r="14">
      <c r="A14" s="13" t="n"/>
      <c r="B14" s="13" t="n"/>
      <c r="C14" s="13" t="n"/>
      <c r="D14" s="13" t="n"/>
      <c r="E14" s="13" t="n"/>
      <c r="F14" s="13" t="n"/>
      <c r="G14" s="26">
        <f>IF(AND(C14="O",D14&lt;&gt;"",E14="O",F14="O"),"O","N")</f>
        <v/>
      </c>
      <c r="H14" s="15" t="n">
        <v>0</v>
      </c>
      <c r="I14" s="15" t="n">
        <v>0</v>
      </c>
      <c r="J14" s="15" t="n">
        <v>0</v>
      </c>
    </row>
    <row r="15">
      <c r="A15" s="13" t="n"/>
      <c r="B15" s="13" t="n"/>
      <c r="C15" s="13" t="n"/>
      <c r="D15" s="13" t="n"/>
      <c r="E15" s="13" t="n"/>
      <c r="F15" s="13" t="n"/>
      <c r="G15" s="26">
        <f>IF(AND(C15="O",D15&lt;&gt;"",E15="O",F15="O"),"O","N")</f>
        <v/>
      </c>
      <c r="H15" s="15" t="n">
        <v>0</v>
      </c>
      <c r="I15" s="15" t="n">
        <v>0</v>
      </c>
      <c r="J15" s="15" t="n">
        <v>0</v>
      </c>
    </row>
    <row r="16">
      <c r="A16" s="13" t="n"/>
      <c r="B16" s="13" t="n"/>
      <c r="C16" s="13" t="n"/>
      <c r="D16" s="13" t="n"/>
      <c r="E16" s="13" t="n"/>
      <c r="F16" s="13" t="n"/>
      <c r="G16" s="26">
        <f>IF(AND(C16="O",D16&lt;&gt;"",E16="O",F16="O"),"O","N")</f>
        <v/>
      </c>
      <c r="H16" s="15" t="n">
        <v>0</v>
      </c>
      <c r="I16" s="15" t="n">
        <v>0</v>
      </c>
      <c r="J16" s="15" t="n">
        <v>0</v>
      </c>
    </row>
    <row r="17">
      <c r="A17" s="13" t="n"/>
      <c r="B17" s="13" t="n"/>
      <c r="C17" s="13" t="n"/>
      <c r="D17" s="13" t="n"/>
      <c r="E17" s="13" t="n"/>
      <c r="F17" s="13" t="n"/>
      <c r="G17" s="26">
        <f>IF(AND(C17="O",D17&lt;&gt;"",E17="O",F17="O"),"O","N")</f>
        <v/>
      </c>
      <c r="H17" s="15" t="n">
        <v>0</v>
      </c>
      <c r="I17" s="15" t="n">
        <v>0</v>
      </c>
      <c r="J17" s="15" t="n">
        <v>0</v>
      </c>
    </row>
    <row r="18">
      <c r="A18" s="13" t="n"/>
      <c r="B18" s="13" t="n"/>
      <c r="C18" s="13" t="n"/>
      <c r="D18" s="13" t="n"/>
      <c r="E18" s="13" t="n"/>
      <c r="F18" s="13" t="n"/>
      <c r="G18" s="26">
        <f>IF(AND(C18="O",D18&lt;&gt;"",E18="O",F18="O"),"O","N")</f>
        <v/>
      </c>
      <c r="H18" s="15" t="n">
        <v>0</v>
      </c>
      <c r="I18" s="15" t="n">
        <v>0</v>
      </c>
      <c r="J18" s="15" t="n">
        <v>0</v>
      </c>
    </row>
    <row r="19">
      <c r="A19" s="13" t="n"/>
      <c r="B19" s="13" t="n"/>
      <c r="C19" s="13" t="n"/>
      <c r="D19" s="13" t="n"/>
      <c r="E19" s="13" t="n"/>
      <c r="F19" s="13" t="n"/>
      <c r="G19" s="26">
        <f>IF(AND(C19="O",D19&lt;&gt;"",E19="O",F19="O"),"O","N")</f>
        <v/>
      </c>
      <c r="H19" s="15" t="n">
        <v>0</v>
      </c>
      <c r="I19" s="15" t="n">
        <v>0</v>
      </c>
      <c r="J19" s="15" t="n">
        <v>0</v>
      </c>
    </row>
    <row r="20">
      <c r="A20" s="13" t="n"/>
      <c r="B20" s="13" t="n"/>
      <c r="C20" s="13" t="n"/>
      <c r="D20" s="13" t="n"/>
      <c r="E20" s="13" t="n"/>
      <c r="F20" s="13" t="n"/>
      <c r="G20" s="26">
        <f>IF(AND(C20="O",D20&lt;&gt;"",E20="O",F20="O"),"O","N")</f>
        <v/>
      </c>
      <c r="H20" s="15" t="n">
        <v>0</v>
      </c>
      <c r="I20" s="15" t="n">
        <v>0</v>
      </c>
      <c r="J20" s="15" t="n">
        <v>0</v>
      </c>
    </row>
    <row r="21">
      <c r="A21" s="13" t="n"/>
      <c r="B21" s="13" t="n"/>
      <c r="C21" s="13" t="n"/>
      <c r="D21" s="13" t="n"/>
      <c r="E21" s="13" t="n"/>
      <c r="F21" s="13" t="n"/>
      <c r="G21" s="26">
        <f>IF(AND(C21="O",D21&lt;&gt;"",E21="O",F21="O"),"O","N")</f>
        <v/>
      </c>
      <c r="H21" s="15" t="n">
        <v>0</v>
      </c>
      <c r="I21" s="15" t="n">
        <v>0</v>
      </c>
      <c r="J21" s="15" t="n">
        <v>0</v>
      </c>
    </row>
    <row r="22">
      <c r="A22" s="13" t="n"/>
      <c r="B22" s="13" t="n"/>
      <c r="C22" s="13" t="n"/>
      <c r="D22" s="13" t="n"/>
      <c r="E22" s="13" t="n"/>
      <c r="F22" s="13" t="n"/>
      <c r="G22" s="26">
        <f>IF(AND(C22="O",D22&lt;&gt;"",E22="O",F22="O"),"O","N")</f>
        <v/>
      </c>
      <c r="H22" s="15" t="n">
        <v>0</v>
      </c>
      <c r="I22" s="15" t="n">
        <v>0</v>
      </c>
      <c r="J22" s="15" t="n">
        <v>0</v>
      </c>
    </row>
    <row r="23">
      <c r="A23" s="13" t="n"/>
      <c r="B23" s="13" t="n"/>
      <c r="C23" s="13" t="n"/>
      <c r="D23" s="13" t="n"/>
      <c r="E23" s="13" t="n"/>
      <c r="F23" s="13" t="n"/>
      <c r="G23" s="26">
        <f>IF(AND(C23="O",D23&lt;&gt;"",E23="O",F23="O"),"O","N")</f>
        <v/>
      </c>
      <c r="H23" s="15" t="n">
        <v>0</v>
      </c>
      <c r="I23" s="15" t="n">
        <v>0</v>
      </c>
      <c r="J23" s="15" t="n">
        <v>0</v>
      </c>
    </row>
    <row r="25" ht="21.75" customHeight="1" s="847">
      <c r="A25" s="906" t="inlineStr">
        <is>
          <t>KPIs TAXONOMIE — ARTICLE 8</t>
        </is>
      </c>
      <c r="B25" s="994" t="n"/>
      <c r="C25" s="994" t="n"/>
      <c r="D25" s="994" t="n"/>
      <c r="E25" s="994" t="n"/>
      <c r="F25" s="994" t="n"/>
    </row>
    <row r="26" ht="30" customHeight="1" s="847">
      <c r="A26" s="2" t="inlineStr">
        <is>
          <t>KPI</t>
        </is>
      </c>
      <c r="B26" s="2" t="inlineStr">
        <is>
          <t>Éligible (€)</t>
        </is>
      </c>
      <c r="C26" s="2" t="inlineStr">
        <is>
          <t>Éligible (%)</t>
        </is>
      </c>
      <c r="D26" s="2" t="inlineStr">
        <is>
          <t>Aligné (€)</t>
        </is>
      </c>
      <c r="E26" s="2" t="inlineStr">
        <is>
          <t>Aligné (%)</t>
        </is>
      </c>
      <c r="F26" s="2" t="inlineStr">
        <is>
          <t>Dénominateur (€)</t>
        </is>
      </c>
    </row>
    <row r="27">
      <c r="A27" s="3" t="inlineStr">
        <is>
          <t>CHIFFRE D'AFFAIRES</t>
        </is>
      </c>
      <c r="B27" s="60">
        <f>SUMPRODUCT((C14:C23="O")*(H14:H23))</f>
        <v/>
      </c>
      <c r="C27" s="1009">
        <f>IF(Paramètres!B9=0,0,B27/Paramètres!B9)</f>
        <v/>
      </c>
      <c r="D27" s="60">
        <f>SUMPRODUCT((G14:G23="O")*(H14:H23))</f>
        <v/>
      </c>
      <c r="E27" s="1009">
        <f>IF(F27=0,0,ROUND(D27/F27*100,1))</f>
        <v>0</v>
      </c>
      <c r="F27" s="60">
        <f>Paramètres!B9</f>
        <v/>
      </c>
    </row>
    <row r="28">
      <c r="A28" s="3" t="inlineStr">
        <is>
          <t>CAPEX</t>
        </is>
      </c>
      <c r="B28" s="60">
        <f>SUMPRODUCT((C14:C23="O")*(I14:I23))</f>
        <v/>
      </c>
      <c r="C28" s="1009">
        <f>IF(Paramètres!B14=0,0,B28/Paramètres!B14)</f>
        <v/>
      </c>
      <c r="D28" s="60">
        <f>SUMPRODUCT((G14:G23="O")*(I14:I23))</f>
        <v/>
      </c>
      <c r="E28" s="1009">
        <f>IF(F28=0,0,ROUND(D28/F28*100,1))</f>
        <v>0</v>
      </c>
      <c r="F28" s="60">
        <f>Paramètres!B14</f>
        <v/>
      </c>
    </row>
    <row r="29">
      <c r="A29" s="3" t="inlineStr">
        <is>
          <t>OPEX</t>
        </is>
      </c>
      <c r="B29" s="60">
        <f>SUMPRODUCT((C14:C23="O")*(J14:J23))</f>
        <v/>
      </c>
      <c r="C29" s="1009">
        <f>IF(Paramètres!B15=0,0,B29/Paramètres!B15)</f>
        <v/>
      </c>
      <c r="D29" s="60">
        <f>SUMPRODUCT((G14:G23="O")*(J14:J23))</f>
        <v/>
      </c>
      <c r="E29" s="1009">
        <f>IF(F29=0,0,ROUND(D29/F29*100,1))</f>
        <v>0</v>
      </c>
      <c r="F29" s="60">
        <f>Paramètres!B15</f>
        <v/>
      </c>
    </row>
  </sheetData>
  <mergeCells count="4">
    <mergeCell ref="A1:J1"/>
    <mergeCell ref="A12:J12"/>
    <mergeCell ref="A3:D3"/>
    <mergeCell ref="A25:F25"/>
  </mergeCells>
  <dataValidations count="2">
    <dataValidation sqref="C14:C23 E14:F23" showDropDown="0" showInputMessage="0" showErrorMessage="0" allowBlank="1" errorTitle="Erreur de saisie" error="Valeur non autorisée" type="list">
      <formula1>"O,N"</formula1>
      <formula2>0</formula2>
    </dataValidation>
    <dataValidation sqref="D14:D23" showDropDown="0" showInputMessage="0" showErrorMessage="0" allowBlank="1" errorTitle="Erreur de saisie" error="Valeur non autorisée" type="list">
      <formula1>"1,2,3,4,5,6,N/A"</formula1>
      <formula2>0</formula2>
    </dataValidation>
  </dataValidation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tabColor rgb="FF1B5E20"/>
    <outlinePr summaryBelow="1" summaryRight="1"/>
    <pageSetUpPr/>
  </sheetPr>
  <dimension ref="A1:O38"/>
  <sheetViews>
    <sheetView showGridLines="0" zoomScaleNormal="100" workbookViewId="0">
      <pane ySplit="3" topLeftCell="A20" activePane="bottomLeft" state="frozen"/>
      <selection pane="bottomLeft" activeCell="C38" sqref="C38"/>
    </sheetView>
  </sheetViews>
  <sheetFormatPr baseColWidth="10" defaultColWidth="8.7109375" defaultRowHeight="15"/>
  <cols>
    <col width="50" customWidth="1" style="847" min="1" max="1"/>
    <col width="16" customWidth="1" style="847" min="2" max="2"/>
    <col width="30" customWidth="1" style="847" min="3" max="3"/>
    <col width="28" customWidth="1" style="847" min="4" max="4"/>
    <col width="14" customWidth="1" style="847" min="5" max="5"/>
    <col width="13.28515625" customWidth="1" style="847" min="14" max="15"/>
  </cols>
  <sheetData>
    <row r="1" ht="27.95" customHeight="1" s="847">
      <c r="A1" s="900" t="inlineStr">
        <is>
          <t>ESRS E1 — CHANGEMENT CLIMATIQUE — DATA POINTS</t>
        </is>
      </c>
      <c r="B1" s="1010" t="n"/>
      <c r="C1" s="1010" t="n"/>
      <c r="D1" s="1010" t="n"/>
      <c r="E1" s="1010" t="n"/>
      <c r="F1" s="916" t="n"/>
      <c r="G1" s="916" t="n"/>
      <c r="H1" s="916" t="n"/>
      <c r="I1" s="916" t="n"/>
      <c r="J1" s="916" t="n"/>
      <c r="K1" s="916" t="n"/>
      <c r="L1" s="916" t="n"/>
      <c r="M1" s="916" t="n"/>
      <c r="N1" s="232" t="inlineStr">
        <is>
          <t>🏠 Sommaire</t>
        </is>
      </c>
      <c r="O1" s="233" t="inlineStr">
        <is>
          <t>🏠 Sommaire</t>
        </is>
      </c>
    </row>
    <row r="2">
      <c r="A2" s="817" t="inlineStr">
        <is>
          <t>Delegated Regulation (EU) 2023/2772 — Annexe A</t>
        </is>
      </c>
      <c r="B2" s="868" t="n"/>
      <c r="C2" s="868" t="n"/>
      <c r="D2" s="868" t="n"/>
      <c r="E2" s="868" t="n"/>
      <c r="F2" s="868" t="n"/>
      <c r="G2" s="868" t="n"/>
      <c r="H2" s="868" t="n"/>
      <c r="I2" s="868" t="n"/>
      <c r="J2" s="868" t="n"/>
      <c r="K2" s="868" t="n"/>
      <c r="L2" s="868" t="n"/>
      <c r="M2" s="868" t="n"/>
      <c r="N2" s="868" t="n"/>
      <c r="O2" s="868" t="n"/>
    </row>
    <row r="3">
      <c r="A3" s="109" t="inlineStr">
        <is>
          <t>Data point / Disclosure Requirement</t>
        </is>
      </c>
      <c r="B3" s="109" t="inlineStr">
        <is>
          <t>Référence ESRS</t>
        </is>
      </c>
      <c r="C3" s="109" t="inlineStr">
        <is>
          <t>Valeur / Réponse</t>
        </is>
      </c>
      <c r="D3" s="109" t="inlineStr">
        <is>
          <t>Source dans CarbonCo</t>
        </is>
      </c>
      <c r="E3" s="109" t="inlineStr">
        <is>
          <t>Statut</t>
        </is>
      </c>
      <c r="F3" s="868" t="n"/>
      <c r="G3" s="868" t="n"/>
      <c r="H3" s="868" t="n"/>
      <c r="I3" s="868" t="n"/>
      <c r="J3" s="868" t="n"/>
      <c r="K3" s="868" t="n"/>
      <c r="L3" s="868" t="n"/>
      <c r="M3" s="868" t="n"/>
      <c r="N3" s="868" t="n"/>
      <c r="O3" s="868" t="n"/>
    </row>
    <row r="4" ht="21.75" customHeight="1" s="847">
      <c r="A4" s="899" t="inlineStr">
        <is>
          <t>E1-1 — PLAN DE TRANSITION POUR L'ATTÉNUATION</t>
        </is>
      </c>
      <c r="B4" s="1010" t="n"/>
      <c r="C4" s="1010" t="n"/>
      <c r="D4" s="1010" t="n"/>
      <c r="E4" s="1010" t="n"/>
      <c r="F4" s="868" t="n"/>
      <c r="G4" s="868" t="n"/>
      <c r="H4" s="868" t="n"/>
      <c r="I4" s="868" t="n"/>
      <c r="J4" s="868" t="n"/>
      <c r="K4" s="868" t="n"/>
      <c r="L4" s="868" t="n"/>
      <c r="M4" s="868" t="n"/>
      <c r="N4" s="868" t="n"/>
      <c r="O4" s="868" t="n"/>
    </row>
    <row r="5">
      <c r="A5" s="92" t="inlineStr">
        <is>
          <t>L'entreprise a-t-elle adopté un plan de transition climat ?</t>
        </is>
      </c>
      <c r="B5" s="92" t="inlineStr">
        <is>
          <t>E1-1 §14</t>
        </is>
      </c>
      <c r="C5" s="13" t="n"/>
      <c r="D5" s="92" t="inlineStr">
        <is>
          <t>Saisie</t>
        </is>
      </c>
      <c r="E5" s="92" t="inlineStr">
        <is>
          <t>À compléter</t>
        </is>
      </c>
      <c r="F5" s="868" t="n"/>
      <c r="G5" s="868" t="n"/>
      <c r="H5" s="868" t="n"/>
      <c r="I5" s="868" t="n"/>
      <c r="J5" s="868" t="n"/>
      <c r="K5" s="868" t="n"/>
      <c r="L5" s="868" t="n"/>
      <c r="M5" s="868" t="n"/>
      <c r="N5" s="868" t="n"/>
      <c r="O5" s="868" t="n"/>
    </row>
    <row r="6">
      <c r="A6" s="92" t="inlineStr">
        <is>
          <t>Objectifs de réduction GES alignés 1.5°C à 2030</t>
        </is>
      </c>
      <c r="B6" s="92" t="inlineStr">
        <is>
          <t>E1-1 §16(a)</t>
        </is>
      </c>
      <c r="C6" s="1012">
        <f>Trajectoire_SBTi!F20</f>
        <v/>
      </c>
      <c r="D6" s="92" t="inlineStr">
        <is>
          <t>Trajectoire_SBTi</t>
        </is>
      </c>
      <c r="E6" s="92" t="inlineStr">
        <is>
          <t>Auto</t>
        </is>
      </c>
      <c r="F6" s="868" t="n"/>
      <c r="G6" s="868" t="n"/>
      <c r="H6" s="868" t="n"/>
      <c r="I6" s="868" t="n"/>
      <c r="J6" s="868" t="n"/>
      <c r="K6" s="868" t="n"/>
      <c r="L6" s="868" t="n"/>
      <c r="M6" s="868" t="n"/>
      <c r="N6" s="868" t="n"/>
      <c r="O6" s="868" t="n"/>
    </row>
    <row r="7">
      <c r="A7" s="92" t="inlineStr">
        <is>
          <t>Le plan est-il aligné sur l'Accord de Paris ?</t>
        </is>
      </c>
      <c r="B7" s="92" t="inlineStr">
        <is>
          <t>E1-1 §16(b)</t>
        </is>
      </c>
      <c r="C7" s="13" t="n"/>
      <c r="D7" s="92" t="inlineStr">
        <is>
          <t>Saisie</t>
        </is>
      </c>
      <c r="E7" s="92" t="inlineStr">
        <is>
          <t>À compléter</t>
        </is>
      </c>
      <c r="F7" s="868" t="n"/>
      <c r="G7" s="868" t="n"/>
      <c r="H7" s="868" t="n"/>
      <c r="I7" s="868" t="n"/>
      <c r="J7" s="868" t="n"/>
      <c r="K7" s="868" t="n"/>
      <c r="L7" s="868" t="n"/>
      <c r="M7" s="868" t="n"/>
      <c r="N7" s="868" t="n"/>
      <c r="O7" s="868" t="n"/>
    </row>
    <row r="8" ht="21.75" customHeight="1" s="847">
      <c r="A8" s="899" t="inlineStr">
        <is>
          <t>E1-4 — CIBLES</t>
        </is>
      </c>
      <c r="B8" s="1010" t="n"/>
      <c r="C8" s="1010" t="n"/>
      <c r="D8" s="1010" t="n"/>
      <c r="E8" s="1010" t="n"/>
      <c r="F8" s="868" t="n"/>
      <c r="G8" s="868" t="n"/>
      <c r="H8" s="868" t="n"/>
      <c r="I8" s="868" t="n"/>
      <c r="J8" s="868" t="n"/>
      <c r="K8" s="868" t="n"/>
      <c r="L8" s="868" t="n"/>
      <c r="M8" s="868" t="n"/>
      <c r="N8" s="868" t="n"/>
      <c r="O8" s="868" t="n"/>
    </row>
    <row r="9">
      <c r="A9" s="92" t="inlineStr">
        <is>
          <t>Objectif absolu réduction Scope 1+2 (%)</t>
        </is>
      </c>
      <c r="B9" s="92" t="inlineStr">
        <is>
          <t>E1-4 §34</t>
        </is>
      </c>
      <c r="C9" s="1012">
        <f>Trajectoire_SBTi!F25</f>
        <v/>
      </c>
      <c r="D9" s="92" t="inlineStr">
        <is>
          <t>Trajectoire_SBTi</t>
        </is>
      </c>
      <c r="E9" s="92" t="inlineStr">
        <is>
          <t>Auto</t>
        </is>
      </c>
      <c r="F9" s="868" t="n"/>
      <c r="G9" s="868" t="n"/>
      <c r="H9" s="868" t="n"/>
      <c r="I9" s="868" t="n"/>
      <c r="J9" s="868" t="n"/>
      <c r="K9" s="868" t="n"/>
      <c r="L9" s="868" t="n"/>
      <c r="M9" s="868" t="n"/>
      <c r="N9" s="868" t="n"/>
      <c r="O9" s="868" t="n"/>
    </row>
    <row r="10">
      <c r="A10" s="92" t="inlineStr">
        <is>
          <t>Année de référence</t>
        </is>
      </c>
      <c r="B10" s="92" t="inlineStr">
        <is>
          <t>E1-4 §34(c)</t>
        </is>
      </c>
      <c r="C10" s="55">
        <f>Paramètres!B7</f>
        <v/>
      </c>
      <c r="D10" s="92" t="inlineStr">
        <is>
          <t>Paramètres</t>
        </is>
      </c>
      <c r="E10" s="92" t="inlineStr">
        <is>
          <t>Auto</t>
        </is>
      </c>
      <c r="F10" s="868" t="n"/>
      <c r="G10" s="868" t="n"/>
      <c r="H10" s="868" t="n"/>
      <c r="I10" s="868" t="n"/>
      <c r="J10" s="868" t="n"/>
      <c r="K10" s="868" t="n"/>
      <c r="L10" s="868" t="n"/>
      <c r="M10" s="868" t="n"/>
      <c r="N10" s="868" t="n"/>
      <c r="O10" s="868" t="n"/>
    </row>
    <row r="11">
      <c r="A11" s="92" t="inlineStr">
        <is>
          <t>Année cible</t>
        </is>
      </c>
      <c r="B11" s="92" t="inlineStr">
        <is>
          <t>E1-4 §34(d)</t>
        </is>
      </c>
      <c r="C11" s="26">
        <f>Trajectoire_SBTi!B10</f>
        <v/>
      </c>
      <c r="D11" s="92" t="inlineStr">
        <is>
          <t>Trajectoire_SBTi</t>
        </is>
      </c>
      <c r="E11" s="92" t="inlineStr">
        <is>
          <t>Auto</t>
        </is>
      </c>
      <c r="F11" s="868" t="n"/>
      <c r="G11" s="868" t="n"/>
      <c r="H11" s="868" t="n"/>
      <c r="I11" s="868" t="n"/>
      <c r="J11" s="868" t="n"/>
      <c r="K11" s="868" t="n"/>
      <c r="L11" s="868" t="n"/>
      <c r="M11" s="868" t="n"/>
      <c r="N11" s="868" t="n"/>
      <c r="O11" s="868" t="n"/>
    </row>
    <row r="12">
      <c r="A12" s="92" t="inlineStr">
        <is>
          <t>Les objectifs sont-ils validés SBTi ?</t>
        </is>
      </c>
      <c r="B12" s="92" t="inlineStr">
        <is>
          <t>E1-4 §36</t>
        </is>
      </c>
      <c r="C12" s="26">
        <f>Trajectoire_SBTi!B11</f>
        <v/>
      </c>
      <c r="D12" s="92" t="inlineStr">
        <is>
          <t>Trajectoire_SBTi</t>
        </is>
      </c>
      <c r="E12" s="92" t="inlineStr">
        <is>
          <t>Auto</t>
        </is>
      </c>
      <c r="F12" s="868" t="n"/>
      <c r="G12" s="868" t="n"/>
      <c r="H12" s="868" t="n"/>
      <c r="I12" s="868" t="n"/>
      <c r="J12" s="868" t="n"/>
      <c r="K12" s="868" t="n"/>
      <c r="L12" s="868" t="n"/>
      <c r="M12" s="868" t="n"/>
      <c r="N12" s="868" t="n"/>
      <c r="O12" s="868" t="n"/>
    </row>
    <row r="13" ht="21.75" customHeight="1" s="847">
      <c r="A13" s="899" t="inlineStr">
        <is>
          <t>E1-5 — CONSOMMATION D'ÉNERGIE ET MIX ÉNERGÉTIQUE</t>
        </is>
      </c>
      <c r="B13" s="1010" t="n"/>
      <c r="C13" s="1010" t="n"/>
      <c r="D13" s="1010" t="n"/>
      <c r="E13" s="1010" t="n"/>
      <c r="F13" s="868" t="n"/>
      <c r="G13" s="868" t="n"/>
      <c r="H13" s="868" t="n"/>
      <c r="I13" s="868" t="n"/>
      <c r="J13" s="868" t="n"/>
      <c r="K13" s="868" t="n"/>
      <c r="L13" s="868" t="n"/>
      <c r="M13" s="868" t="n"/>
      <c r="N13" s="868" t="n"/>
      <c r="O13" s="868" t="n"/>
    </row>
    <row r="14">
      <c r="A14" s="92" t="inlineStr">
        <is>
          <t>Consommation totale d'énergie (MWh)</t>
        </is>
      </c>
      <c r="B14" s="92" t="inlineStr">
        <is>
          <t>E1-5 §37</t>
        </is>
      </c>
      <c r="C14" s="28">
        <f>Energie!E19</f>
        <v/>
      </c>
      <c r="D14" s="92" t="inlineStr">
        <is>
          <t>Energie</t>
        </is>
      </c>
      <c r="E14" s="92" t="inlineStr">
        <is>
          <t>Auto</t>
        </is>
      </c>
      <c r="F14" s="868" t="n"/>
      <c r="G14" s="868" t="n"/>
      <c r="H14" s="868" t="n"/>
      <c r="I14" s="868" t="n"/>
      <c r="J14" s="868" t="n"/>
      <c r="K14" s="868" t="n"/>
      <c r="L14" s="868" t="n"/>
      <c r="M14" s="868" t="n"/>
      <c r="N14" s="868" t="n"/>
      <c r="O14" s="868" t="n"/>
    </row>
    <row r="15">
      <c r="A15" s="92" t="inlineStr">
        <is>
          <t>Consommation énergie non-renouvelable (MWh)</t>
        </is>
      </c>
      <c r="B15" s="92" t="inlineStr">
        <is>
          <t>E1-5 §37(a)</t>
        </is>
      </c>
      <c r="C15" s="28">
        <f>Energie!E10</f>
        <v/>
      </c>
      <c r="D15" s="92" t="inlineStr">
        <is>
          <t>Energie</t>
        </is>
      </c>
      <c r="E15" s="92" t="inlineStr">
        <is>
          <t>Auto</t>
        </is>
      </c>
      <c r="F15" s="868" t="n"/>
      <c r="G15" s="868" t="n"/>
      <c r="H15" s="868" t="n"/>
      <c r="I15" s="868" t="n"/>
      <c r="J15" s="868" t="n"/>
      <c r="K15" s="868" t="n"/>
      <c r="L15" s="868" t="n"/>
      <c r="M15" s="868" t="n"/>
      <c r="N15" s="868" t="n"/>
      <c r="O15" s="868" t="n"/>
    </row>
    <row r="16">
      <c r="A16" s="92" t="inlineStr">
        <is>
          <t>Consommation énergie renouvelable (MWh)</t>
        </is>
      </c>
      <c r="B16" s="92" t="inlineStr">
        <is>
          <t>E1-5 §37(b)</t>
        </is>
      </c>
      <c r="C16" s="28">
        <f>Energie!E16</f>
        <v/>
      </c>
      <c r="D16" s="92" t="inlineStr">
        <is>
          <t>Energie</t>
        </is>
      </c>
      <c r="E16" s="92" t="inlineStr">
        <is>
          <t>Auto</t>
        </is>
      </c>
      <c r="F16" s="868" t="n"/>
      <c r="G16" s="868" t="n"/>
      <c r="H16" s="868" t="n"/>
      <c r="I16" s="868" t="n"/>
      <c r="J16" s="868" t="n"/>
      <c r="K16" s="868" t="n"/>
      <c r="L16" s="868" t="n"/>
      <c r="M16" s="868" t="n"/>
      <c r="N16" s="868" t="n"/>
      <c r="O16" s="868" t="n"/>
    </row>
    <row r="17">
      <c r="A17" s="92" t="inlineStr">
        <is>
          <t>Part énergie renouvelable (%)</t>
        </is>
      </c>
      <c r="B17" s="92" t="inlineStr">
        <is>
          <t>E1-5 §38</t>
        </is>
      </c>
      <c r="C17" s="1012">
        <f>Energie!E20</f>
        <v/>
      </c>
      <c r="D17" s="92" t="inlineStr">
        <is>
          <t>Energie</t>
        </is>
      </c>
      <c r="E17" s="92" t="inlineStr">
        <is>
          <t>Auto</t>
        </is>
      </c>
      <c r="F17" s="868" t="n"/>
      <c r="G17" s="868" t="n"/>
      <c r="H17" s="868" t="n"/>
      <c r="I17" s="868" t="n"/>
      <c r="J17" s="868" t="n"/>
      <c r="K17" s="868" t="n"/>
      <c r="L17" s="868" t="n"/>
      <c r="M17" s="868" t="n"/>
      <c r="N17" s="868" t="n"/>
      <c r="O17" s="868" t="n"/>
    </row>
    <row r="18" ht="21.75" customHeight="1" s="847">
      <c r="A18" s="899" t="inlineStr">
        <is>
          <t>E1-6 — ÉMISSIONS BRUTES DE GES</t>
        </is>
      </c>
      <c r="B18" s="1010" t="n"/>
      <c r="C18" s="1010" t="n"/>
      <c r="D18" s="1010" t="n"/>
      <c r="E18" s="1010" t="n"/>
      <c r="F18" s="868" t="n"/>
      <c r="G18" s="868" t="n"/>
      <c r="H18" s="868" t="n"/>
      <c r="I18" s="868" t="n"/>
      <c r="J18" s="868" t="n"/>
      <c r="K18" s="868" t="n"/>
      <c r="L18" s="868" t="n"/>
      <c r="M18" s="868" t="n"/>
      <c r="N18" s="868" t="n"/>
      <c r="O18" s="868" t="n"/>
    </row>
    <row r="19">
      <c r="A19" s="92" t="inlineStr">
        <is>
          <t>Scope 1 total (tCO2e)</t>
        </is>
      </c>
      <c r="B19" s="92" t="inlineStr">
        <is>
          <t>E1-6 §44(a)</t>
        </is>
      </c>
      <c r="C19" s="28">
        <f>Synthese_GES!C10</f>
        <v/>
      </c>
      <c r="D19" s="92" t="inlineStr">
        <is>
          <t>Synthese_GES</t>
        </is>
      </c>
      <c r="E19" s="92" t="inlineStr">
        <is>
          <t>Auto</t>
        </is>
      </c>
      <c r="F19" s="868" t="n"/>
      <c r="G19" s="868" t="n"/>
      <c r="H19" s="868" t="n"/>
      <c r="I19" s="868" t="n"/>
      <c r="J19" s="868" t="n"/>
      <c r="K19" s="868" t="n"/>
      <c r="L19" s="868" t="n"/>
      <c r="M19" s="868" t="n"/>
      <c r="N19" s="868" t="n"/>
      <c r="O19" s="868" t="n"/>
    </row>
    <row r="20">
      <c r="A20" s="92" t="inlineStr">
        <is>
          <t>Scope 2 location-based (tCO2e)</t>
        </is>
      </c>
      <c r="B20" s="92" t="inlineStr">
        <is>
          <t>E1-6 §44(b)</t>
        </is>
      </c>
      <c r="C20" s="28">
        <f>Synthese_GES!C15</f>
        <v/>
      </c>
      <c r="D20" s="92" t="inlineStr">
        <is>
          <t>Synthese_GES</t>
        </is>
      </c>
      <c r="E20" s="92" t="inlineStr">
        <is>
          <t>Auto</t>
        </is>
      </c>
      <c r="F20" s="868" t="n"/>
      <c r="G20" s="868" t="n"/>
      <c r="H20" s="868" t="n"/>
      <c r="I20" s="868" t="n"/>
      <c r="J20" s="868" t="n"/>
      <c r="K20" s="868" t="n"/>
      <c r="L20" s="868" t="n"/>
      <c r="M20" s="868" t="n"/>
      <c r="N20" s="868" t="n"/>
      <c r="O20" s="868" t="n"/>
    </row>
    <row r="21">
      <c r="A21" s="92" t="inlineStr">
        <is>
          <t>Scope 2 market-based (tCO2e)</t>
        </is>
      </c>
      <c r="B21" s="92" t="inlineStr">
        <is>
          <t>E1-6 §44(b)</t>
        </is>
      </c>
      <c r="C21" s="28">
        <f>Synthese_GES!C17</f>
        <v/>
      </c>
      <c r="D21" s="92" t="inlineStr">
        <is>
          <t>Synthese_GES</t>
        </is>
      </c>
      <c r="E21" s="92" t="inlineStr">
        <is>
          <t>Auto</t>
        </is>
      </c>
      <c r="F21" s="868" t="n"/>
      <c r="G21" s="868" t="n"/>
      <c r="H21" s="868" t="n"/>
      <c r="I21" s="868" t="n"/>
      <c r="J21" s="868" t="n"/>
      <c r="K21" s="868" t="n"/>
      <c r="L21" s="868" t="n"/>
      <c r="M21" s="868" t="n"/>
      <c r="N21" s="868" t="n"/>
      <c r="O21" s="868" t="n"/>
    </row>
    <row r="22">
      <c r="A22" s="92" t="inlineStr">
        <is>
          <t>Scope 3 total (tCO2e)</t>
        </is>
      </c>
      <c r="B22" s="92" t="inlineStr">
        <is>
          <t>E1-6 §51</t>
        </is>
      </c>
      <c r="C22" s="28">
        <f>Synthese_GES!C35</f>
        <v/>
      </c>
      <c r="D22" s="92" t="inlineStr">
        <is>
          <t>Synthese_GES</t>
        </is>
      </c>
      <c r="E22" s="92" t="inlineStr">
        <is>
          <t>Auto</t>
        </is>
      </c>
      <c r="F22" s="868" t="n"/>
      <c r="G22" s="868" t="n"/>
      <c r="H22" s="868" t="n"/>
      <c r="I22" s="868" t="n"/>
      <c r="J22" s="868" t="n"/>
      <c r="K22" s="868" t="n"/>
      <c r="L22" s="868" t="n"/>
      <c r="M22" s="868" t="n"/>
      <c r="N22" s="868" t="n"/>
      <c r="O22" s="868" t="n"/>
    </row>
    <row r="23">
      <c r="A23" s="92" t="inlineStr">
        <is>
          <t>Total GES (Scope 1+2+3) (tCO2e)</t>
        </is>
      </c>
      <c r="B23" s="92" t="inlineStr">
        <is>
          <t>E1-6 §55</t>
        </is>
      </c>
      <c r="C23" s="28">
        <f>Synthese_GES!C47</f>
        <v/>
      </c>
      <c r="D23" s="92" t="inlineStr">
        <is>
          <t>Synthese_GES</t>
        </is>
      </c>
      <c r="E23" s="92" t="inlineStr">
        <is>
          <t>Auto</t>
        </is>
      </c>
      <c r="F23" s="868" t="n"/>
      <c r="G23" s="868" t="n"/>
      <c r="H23" s="868" t="n"/>
      <c r="I23" s="868" t="n"/>
      <c r="J23" s="868" t="n"/>
      <c r="K23" s="868" t="n"/>
      <c r="L23" s="868" t="n"/>
      <c r="M23" s="868" t="n"/>
      <c r="N23" s="868" t="n"/>
      <c r="O23" s="868" t="n"/>
    </row>
    <row r="24">
      <c r="A24" s="92" t="inlineStr">
        <is>
          <t>Intensité GES / CA net (tCO2e/M€)</t>
        </is>
      </c>
      <c r="B24" s="92" t="inlineStr">
        <is>
          <t>E1-6 §53</t>
        </is>
      </c>
      <c r="C24" s="113">
        <f>Synthese_GES!C50</f>
        <v/>
      </c>
      <c r="D24" s="92" t="inlineStr">
        <is>
          <t>Synthese_GES</t>
        </is>
      </c>
      <c r="E24" s="92" t="inlineStr">
        <is>
          <t>Auto</t>
        </is>
      </c>
      <c r="F24" s="868" t="n"/>
      <c r="G24" s="868" t="n"/>
      <c r="H24" s="868" t="n"/>
      <c r="I24" s="868" t="n"/>
      <c r="J24" s="868" t="n"/>
      <c r="K24" s="868" t="n"/>
      <c r="L24" s="868" t="n"/>
      <c r="M24" s="868" t="n"/>
      <c r="N24" s="868" t="n"/>
      <c r="O24" s="868" t="n"/>
    </row>
    <row r="25" ht="21.75" customHeight="1" s="847">
      <c r="A25" s="899" t="inlineStr">
        <is>
          <t>E1-7 — ABSORPTIONS ET CRÉDITS CARBONE</t>
        </is>
      </c>
      <c r="B25" s="1010" t="n"/>
      <c r="C25" s="1010" t="n"/>
      <c r="D25" s="1010" t="n"/>
      <c r="E25" s="1010" t="n"/>
      <c r="F25" s="868" t="n"/>
      <c r="G25" s="868" t="n"/>
      <c r="H25" s="868" t="n"/>
      <c r="I25" s="868" t="n"/>
      <c r="J25" s="868" t="n"/>
      <c r="K25" s="868" t="n"/>
      <c r="L25" s="868" t="n"/>
      <c r="M25" s="868" t="n"/>
      <c r="N25" s="868" t="n"/>
      <c r="O25" s="868" t="n"/>
    </row>
    <row r="26">
      <c r="A26" s="92" t="inlineStr">
        <is>
          <t>Absorptions GES propres (tCO2e)</t>
        </is>
      </c>
      <c r="B26" s="92" t="inlineStr">
        <is>
          <t>E1-7 §56</t>
        </is>
      </c>
      <c r="C26" s="13" t="n"/>
      <c r="D26" s="92" t="inlineStr">
        <is>
          <t>Saisie</t>
        </is>
      </c>
      <c r="E26" s="92" t="inlineStr">
        <is>
          <t>À compléter</t>
        </is>
      </c>
      <c r="F26" s="868" t="n"/>
      <c r="G26" s="868" t="n"/>
      <c r="H26" s="868" t="n"/>
      <c r="I26" s="868" t="n"/>
      <c r="J26" s="868" t="n"/>
      <c r="K26" s="868" t="n"/>
      <c r="L26" s="868" t="n"/>
      <c r="M26" s="868" t="n"/>
      <c r="N26" s="868" t="n"/>
      <c r="O26" s="868" t="n"/>
    </row>
    <row r="27">
      <c r="A27" s="92" t="inlineStr">
        <is>
          <t>Crédits carbone achetés (tCO2e)</t>
        </is>
      </c>
      <c r="B27" s="92" t="inlineStr">
        <is>
          <t>E1-7 §58</t>
        </is>
      </c>
      <c r="C27" s="13" t="n"/>
      <c r="D27" s="92" t="inlineStr">
        <is>
          <t>Saisie</t>
        </is>
      </c>
      <c r="E27" s="92" t="inlineStr">
        <is>
          <t>À compléter</t>
        </is>
      </c>
      <c r="F27" s="868" t="n"/>
      <c r="G27" s="868" t="n"/>
      <c r="H27" s="868" t="n"/>
      <c r="I27" s="868" t="n"/>
      <c r="J27" s="868" t="n"/>
      <c r="K27" s="868" t="n"/>
      <c r="L27" s="868" t="n"/>
      <c r="M27" s="868" t="n"/>
      <c r="N27" s="868" t="n"/>
      <c r="O27" s="868" t="n"/>
    </row>
    <row r="28" ht="21.75" customHeight="1" s="847">
      <c r="A28" s="899" t="inlineStr">
        <is>
          <t>E1-8 — TARIFICATION INTERNE DU CARBONE</t>
        </is>
      </c>
      <c r="B28" s="1010" t="n"/>
      <c r="C28" s="1010" t="n"/>
      <c r="D28" s="1010" t="n"/>
      <c r="E28" s="1010" t="n"/>
      <c r="F28" s="868" t="n"/>
      <c r="G28" s="868" t="n"/>
      <c r="H28" s="868" t="n"/>
      <c r="I28" s="868" t="n"/>
      <c r="J28" s="868" t="n"/>
      <c r="K28" s="868" t="n"/>
      <c r="L28" s="868" t="n"/>
      <c r="M28" s="868" t="n"/>
      <c r="N28" s="868" t="n"/>
      <c r="O28" s="868" t="n"/>
    </row>
    <row r="29">
      <c r="A29" s="92" t="inlineStr">
        <is>
          <t>Prix interne du carbone (€/tCO2e)</t>
        </is>
      </c>
      <c r="B29" s="92" t="inlineStr">
        <is>
          <t>E1-8 §62</t>
        </is>
      </c>
      <c r="C29" s="13" t="n"/>
      <c r="D29" s="92" t="inlineStr">
        <is>
          <t>Saisie</t>
        </is>
      </c>
      <c r="E29" s="92" t="inlineStr">
        <is>
          <t>À compléter</t>
        </is>
      </c>
      <c r="F29" s="868" t="n"/>
      <c r="G29" s="868" t="n"/>
      <c r="H29" s="868" t="n"/>
      <c r="I29" s="868" t="n"/>
      <c r="J29" s="868" t="n"/>
      <c r="K29" s="868" t="n"/>
      <c r="L29" s="868" t="n"/>
      <c r="M29" s="868" t="n"/>
      <c r="N29" s="868" t="n"/>
      <c r="O29" s="868" t="n"/>
    </row>
    <row r="30" ht="21.75" customHeight="1" s="847">
      <c r="A30" s="899" t="inlineStr">
        <is>
          <t>E1-9 — EFFETS FINANCIERS ANTICIPÉS</t>
        </is>
      </c>
      <c r="B30" s="1010" t="n"/>
      <c r="C30" s="1010" t="n"/>
      <c r="D30" s="1010" t="n"/>
      <c r="E30" s="1010" t="n"/>
      <c r="F30" s="868" t="n"/>
      <c r="G30" s="868" t="n"/>
      <c r="H30" s="868" t="n"/>
      <c r="I30" s="868" t="n"/>
      <c r="J30" s="868" t="n"/>
      <c r="K30" s="868" t="n"/>
      <c r="L30" s="868" t="n"/>
      <c r="M30" s="868" t="n"/>
      <c r="N30" s="868" t="n"/>
      <c r="O30" s="868" t="n"/>
    </row>
    <row r="31">
      <c r="A31" s="92" t="inlineStr">
        <is>
          <t>Actifs exposés aux risques physiques (€)</t>
        </is>
      </c>
      <c r="B31" s="92" t="inlineStr">
        <is>
          <t>E1-9 §66</t>
        </is>
      </c>
      <c r="C31" s="13" t="n"/>
      <c r="D31" s="92" t="inlineStr">
        <is>
          <t>Saisie</t>
        </is>
      </c>
      <c r="E31" s="92" t="inlineStr">
        <is>
          <t>À compléter</t>
        </is>
      </c>
      <c r="F31" s="868" t="n"/>
      <c r="G31" s="868" t="n"/>
      <c r="H31" s="868" t="n"/>
      <c r="I31" s="868" t="n"/>
      <c r="J31" s="868" t="n"/>
      <c r="K31" s="868" t="n"/>
      <c r="L31" s="868" t="n"/>
      <c r="M31" s="868" t="n"/>
      <c r="N31" s="868" t="n"/>
      <c r="O31" s="868" t="n"/>
    </row>
    <row r="32">
      <c r="A32" s="92" t="inlineStr">
        <is>
          <t>Actifs échoués potentiels (€)</t>
        </is>
      </c>
      <c r="B32" s="92" t="inlineStr">
        <is>
          <t>E1-9 §69</t>
        </is>
      </c>
      <c r="C32" s="13" t="n"/>
      <c r="D32" s="92" t="inlineStr">
        <is>
          <t>Saisie</t>
        </is>
      </c>
      <c r="E32" s="92" t="inlineStr">
        <is>
          <t>À compléter</t>
        </is>
      </c>
      <c r="F32" s="868" t="n"/>
      <c r="G32" s="868" t="n"/>
      <c r="H32" s="868" t="n"/>
      <c r="I32" s="868" t="n"/>
      <c r="J32" s="868" t="n"/>
      <c r="K32" s="868" t="n"/>
      <c r="L32" s="868" t="n"/>
      <c r="M32" s="868" t="n"/>
      <c r="N32" s="868" t="n"/>
      <c r="O32" s="868" t="n"/>
    </row>
    <row r="33">
      <c r="A33" s="868" t="n"/>
      <c r="B33" s="868" t="n"/>
      <c r="C33" s="868" t="n"/>
      <c r="D33" s="868" t="n"/>
      <c r="E33" s="868" t="n"/>
      <c r="F33" s="868" t="n"/>
      <c r="G33" s="868" t="n"/>
      <c r="H33" s="868" t="n"/>
      <c r="I33" s="868" t="n"/>
      <c r="J33" s="868" t="n"/>
      <c r="K33" s="868" t="n"/>
      <c r="L33" s="868" t="n"/>
      <c r="M33" s="868" t="n"/>
      <c r="N33" s="868" t="n"/>
      <c r="O33" s="868" t="n"/>
    </row>
    <row r="34">
      <c r="A34" s="868" t="n"/>
      <c r="B34" s="868" t="n"/>
      <c r="C34" s="868" t="n"/>
      <c r="D34" s="868" t="n"/>
      <c r="E34" s="868" t="n"/>
      <c r="F34" s="868" t="n"/>
      <c r="G34" s="868" t="n"/>
      <c r="H34" s="868" t="n"/>
      <c r="I34" s="868" t="n"/>
      <c r="J34" s="868" t="n"/>
      <c r="K34" s="868" t="n"/>
      <c r="L34" s="868" t="n"/>
      <c r="M34" s="868" t="n"/>
      <c r="N34" s="868" t="n"/>
      <c r="O34" s="868" t="n"/>
    </row>
    <row r="35" ht="21.75" customHeight="1" s="847" thickBot="1">
      <c r="A35" s="908" t="inlineStr">
        <is>
          <t>SCORE DE COMPLÉTUDE</t>
        </is>
      </c>
      <c r="B35" s="1010" t="n"/>
      <c r="C35" s="1010" t="n"/>
      <c r="D35" s="1010" t="n"/>
      <c r="E35" s="1010" t="n"/>
      <c r="F35" s="868" t="n"/>
      <c r="G35" s="868" t="n"/>
      <c r="H35" s="868" t="n"/>
      <c r="I35" s="868" t="n"/>
      <c r="J35" s="868" t="n"/>
      <c r="K35" s="868" t="n"/>
      <c r="L35" s="868" t="n"/>
      <c r="M35" s="868" t="n"/>
      <c r="N35" s="868" t="n"/>
      <c r="O35" s="868" t="n"/>
    </row>
    <row r="36">
      <c r="A36" s="827" t="inlineStr">
        <is>
          <t>Data points Auto</t>
        </is>
      </c>
      <c r="B36" s="828">
        <f>COUNTIF(E4:E100,"Auto")</f>
        <v/>
      </c>
      <c r="C36" s="868" t="n"/>
      <c r="D36" s="868" t="n"/>
      <c r="E36" s="868" t="n"/>
      <c r="F36" s="868" t="n"/>
      <c r="G36" s="868" t="n"/>
      <c r="H36" s="868" t="n"/>
      <c r="I36" s="868" t="n"/>
      <c r="J36" s="868" t="n"/>
      <c r="K36" s="868" t="n"/>
      <c r="L36" s="868" t="n"/>
      <c r="M36" s="868" t="n"/>
      <c r="N36" s="868" t="n"/>
      <c r="O36" s="868" t="n"/>
    </row>
    <row r="37">
      <c r="A37" s="829" t="inlineStr">
        <is>
          <t>Data points Complétés</t>
        </is>
      </c>
      <c r="B37" s="830">
        <f>COUNTIF(E4:E100,"Complété")</f>
        <v/>
      </c>
      <c r="C37" s="868" t="n"/>
      <c r="D37" s="868" t="n"/>
      <c r="E37" s="868" t="n"/>
      <c r="F37" s="868" t="n"/>
      <c r="G37" s="868" t="n"/>
      <c r="H37" s="868" t="n"/>
      <c r="I37" s="868" t="n"/>
      <c r="J37" s="868" t="n"/>
      <c r="K37" s="868" t="n"/>
      <c r="L37" s="868" t="n"/>
      <c r="M37" s="868" t="n"/>
      <c r="N37" s="868" t="n"/>
      <c r="O37" s="868" t="n"/>
    </row>
    <row r="38" ht="15.75" customHeight="1" s="847" thickBot="1">
      <c r="A38" s="831" t="inlineStr">
        <is>
          <t>Data points À compléter</t>
        </is>
      </c>
      <c r="B38" s="832">
        <f>COUNTIF(E4:E100,"À compléter")</f>
        <v/>
      </c>
      <c r="C38" s="868" t="n"/>
      <c r="D38" s="868" t="n"/>
      <c r="E38" s="868" t="n"/>
      <c r="F38" s="868" t="n"/>
      <c r="G38" s="868" t="n"/>
      <c r="H38" s="868" t="n"/>
      <c r="I38" s="868" t="n"/>
      <c r="J38" s="868" t="n"/>
      <c r="K38" s="868" t="n"/>
      <c r="L38" s="868" t="n"/>
      <c r="M38" s="868" t="n"/>
      <c r="N38" s="868" t="n"/>
      <c r="O38" s="868" t="n"/>
    </row>
  </sheetData>
  <sheetProtection selectLockedCells="0" selectUnlockedCells="0" sheet="1" objects="1" insertRows="1" insertHyperlinks="1" autoFilter="0" scenarios="1" formatColumns="0" deleteColumns="1" insertColumns="1" pivotTables="1" deleteRows="1" formatCells="0" formatRows="0" sort="0"/>
  <mergeCells count="9">
    <mergeCell ref="A30:E30"/>
    <mergeCell ref="A35:E35"/>
    <mergeCell ref="A4:E4"/>
    <mergeCell ref="A28:E28"/>
    <mergeCell ref="A25:E25"/>
    <mergeCell ref="A1:E1"/>
    <mergeCell ref="A13:E13"/>
    <mergeCell ref="A8:E8"/>
    <mergeCell ref="A18:E18"/>
  </mergeCells>
  <conditionalFormatting sqref="E4:E33">
    <cfRule type="cellIs" priority="2" operator="equal" dxfId="8">
      <formula>"Auto"</formula>
    </cfRule>
    <cfRule type="expression" priority="3" dxfId="7">
      <formula>E4="Complété"</formula>
    </cfRule>
    <cfRule type="expression" priority="4" dxfId="6">
      <formula>E4="À compléter"</formula>
    </cfRule>
  </conditionalFormatting>
  <dataValidations count="1">
    <dataValidation sqref="E4:E100" showDropDown="0" showInputMessage="0" showErrorMessage="0" allowBlank="1" errorTitle="Erreur de saisie" error="Valeur non autorisée" type="list">
      <formula1>"Auto,À compléter,Complété,Non applicable"</formula1>
      <formula2>0</formula2>
    </dataValidation>
  </dataValidations>
  <hyperlinks>
    <hyperlink ref="N1" location="Sommaire!A1" display="🏠 Sommaire"/>
    <hyperlink ref="O1" location="Sommaire!A1" display="🏠 Sommaire"/>
  </hyperlink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1.xml><?xml version="1.0" encoding="utf-8"?>
<worksheet xmlns="http://schemas.openxmlformats.org/spreadsheetml/2006/main">
  <sheetPr>
    <tabColor rgb="FF7030A0"/>
    <outlinePr summaryBelow="1" summaryRight="1"/>
    <pageSetUpPr/>
  </sheetPr>
  <dimension ref="A1:O59"/>
  <sheetViews>
    <sheetView showGridLines="0" workbookViewId="0">
      <pane ySplit="4" topLeftCell="A24" activePane="bottomLeft" state="frozen"/>
      <selection pane="bottomLeft" activeCell="H7" sqref="H7"/>
    </sheetView>
  </sheetViews>
  <sheetFormatPr baseColWidth="10" defaultRowHeight="15"/>
  <cols>
    <col width="41.85546875" customWidth="1" style="847" min="1" max="1"/>
    <col width="19" customWidth="1" style="847" min="2" max="2"/>
    <col width="20" customWidth="1" style="847" min="3" max="4"/>
    <col width="19" customWidth="1" style="847" min="5" max="5"/>
    <col width="17.140625" customWidth="1" style="847" min="6" max="6"/>
    <col width="21" customWidth="1" style="847" min="7" max="7"/>
    <col width="38.140625" customWidth="1" style="847" min="8" max="8"/>
    <col width="13.28515625" customWidth="1" style="847" min="14" max="14"/>
    <col width="15.28515625" customWidth="1" style="847" min="15" max="15"/>
  </cols>
  <sheetData>
    <row r="1" ht="20.1" customHeight="1" s="847">
      <c r="A1" s="909" t="inlineStr">
        <is>
          <t>ANALYSE D'INCERTITUDE — ISO 14064-1:2018 §9.2 / ESRS E1-6 §49</t>
        </is>
      </c>
      <c r="B1" s="868" t="n"/>
      <c r="C1" s="868" t="n"/>
      <c r="D1" s="868" t="n"/>
      <c r="E1" s="868" t="n"/>
      <c r="F1" s="868" t="n"/>
      <c r="G1" s="868" t="n"/>
      <c r="H1" s="868" t="n"/>
      <c r="I1" s="868" t="n"/>
      <c r="J1" s="868" t="n"/>
      <c r="K1" s="868" t="n"/>
      <c r="L1" s="868" t="n"/>
      <c r="M1" s="868" t="n"/>
      <c r="N1" s="863" t="inlineStr">
        <is>
          <t>🏠 Sommaire</t>
        </is>
      </c>
      <c r="O1" s="90" t="inlineStr">
        <is>
          <t>📄 Couverture</t>
        </is>
      </c>
    </row>
    <row r="2">
      <c r="A2" s="910" t="inlineStr">
        <is>
          <t>Propagation des incertitudes par méthode quadratique (√(Σ(εi×ui)²) / Σεi). Source : ADEME Guide sectoriel v5 + ISO 14064-1:2018 §9.2</t>
        </is>
      </c>
      <c r="B2" s="868" t="n"/>
      <c r="C2" s="868" t="n"/>
      <c r="D2" s="868" t="n"/>
      <c r="E2" s="868" t="n"/>
      <c r="F2" s="868" t="n"/>
      <c r="G2" s="868" t="n"/>
      <c r="H2" s="868" t="n"/>
      <c r="I2" s="868" t="n"/>
      <c r="J2" s="868" t="n"/>
      <c r="K2" s="868" t="n"/>
      <c r="L2" s="868" t="n"/>
      <c r="M2" s="868" t="n"/>
      <c r="N2" s="868" t="n"/>
      <c r="O2" s="868" t="n"/>
    </row>
    <row r="3" ht="8.1" customHeight="1" s="847">
      <c r="A3" s="868" t="n"/>
      <c r="B3" s="868" t="n"/>
      <c r="C3" s="868" t="n"/>
      <c r="D3" s="868" t="n"/>
      <c r="E3" s="868" t="n"/>
      <c r="F3" s="868" t="n"/>
      <c r="G3" s="868" t="n"/>
      <c r="H3" s="868" t="n"/>
      <c r="I3" s="868" t="n"/>
      <c r="J3" s="868" t="n"/>
      <c r="K3" s="868" t="n"/>
      <c r="L3" s="868" t="n"/>
      <c r="M3" s="868" t="n"/>
      <c r="N3" s="868" t="n"/>
      <c r="O3" s="868" t="n"/>
    </row>
    <row r="4" ht="45" customHeight="1" s="847" thickBot="1">
      <c r="A4" s="114" t="inlineStr">
        <is>
          <t>Catégorie d'émission</t>
        </is>
      </c>
      <c r="B4" s="114" t="inlineStr">
        <is>
          <t>Source donnée
(niveau 1-5)</t>
        </is>
      </c>
      <c r="C4" s="114" t="inlineStr">
        <is>
          <t>Incertitude donnée
d'activité (%)</t>
        </is>
      </c>
      <c r="D4" s="114" t="inlineStr">
        <is>
          <t>Incertitude facteur
d'émission (%)</t>
        </is>
      </c>
      <c r="E4" s="114" t="inlineStr">
        <is>
          <t>Incertitude
combinée (%)</t>
        </is>
      </c>
      <c r="F4" s="114" t="inlineStr">
        <is>
          <t>Émissions
(tCO2e)</t>
        </is>
      </c>
      <c r="G4" s="114" t="inlineStr">
        <is>
          <t>Contribution
incertitude totale</t>
        </is>
      </c>
      <c r="H4" s="114" t="inlineStr">
        <is>
          <t>Méthode / Commentaire</t>
        </is>
      </c>
      <c r="I4" s="868" t="n"/>
      <c r="J4" s="868" t="n"/>
      <c r="K4" s="868" t="n"/>
      <c r="L4" s="868" t="n"/>
      <c r="M4" s="868" t="n"/>
      <c r="N4" s="868" t="n"/>
      <c r="O4" s="868" t="n"/>
    </row>
    <row r="5">
      <c r="A5" s="115" t="inlineStr">
        <is>
          <t>SCOPE 1 — ÉMISSIONS DIRECTES</t>
        </is>
      </c>
      <c r="B5" s="116" t="n"/>
      <c r="C5" s="116" t="n"/>
      <c r="D5" s="116" t="n"/>
      <c r="E5" s="116" t="n"/>
      <c r="F5" s="116" t="n"/>
      <c r="G5" s="116" t="n"/>
      <c r="H5" s="116" t="n"/>
      <c r="I5" s="868" t="n"/>
      <c r="J5" s="868" t="n"/>
      <c r="K5" s="868" t="n"/>
      <c r="L5" s="868" t="n"/>
      <c r="M5" s="868" t="n"/>
      <c r="N5" s="868" t="n"/>
      <c r="O5" s="868" t="n"/>
    </row>
    <row r="6">
      <c r="A6" s="868" t="inlineStr">
        <is>
          <t>Scope 1 — 1A Combustion fixe</t>
        </is>
      </c>
      <c r="B6" s="117" t="n">
        <v>3</v>
      </c>
      <c r="C6" s="118" t="n">
        <v>5</v>
      </c>
      <c r="D6" s="118" t="n">
        <v>5</v>
      </c>
      <c r="E6" s="145">
        <f>SQRT(C6^2+D6^2)</f>
        <v/>
      </c>
      <c r="F6" s="146">
        <f>Synthese_GES!C6</f>
        <v/>
      </c>
      <c r="G6" s="35">
        <f>IF(F6=0,0,(F6*E6/100)^2)</f>
        <v/>
      </c>
      <c r="H6" s="121" t="inlineStr">
        <is>
          <t>Mesure directe (compteurs)</t>
        </is>
      </c>
      <c r="I6" s="868" t="n"/>
      <c r="J6" s="868" t="n"/>
      <c r="K6" s="868" t="n"/>
      <c r="L6" s="868" t="n"/>
      <c r="M6" s="868" t="n"/>
      <c r="N6" s="868" t="n"/>
      <c r="O6" s="868" t="n"/>
    </row>
    <row r="7">
      <c r="A7" s="868" t="inlineStr">
        <is>
          <t>Scope 1 — 1B Combustion mobile</t>
        </is>
      </c>
      <c r="B7" s="117" t="n">
        <v>3</v>
      </c>
      <c r="C7" s="118" t="n">
        <v>5</v>
      </c>
      <c r="D7" s="118" t="n">
        <v>10</v>
      </c>
      <c r="E7" s="145">
        <f>SQRT(C7^2+D7^2)</f>
        <v/>
      </c>
      <c r="F7" s="146">
        <f>Synthese_GES!C7</f>
        <v/>
      </c>
      <c r="G7" s="35">
        <f>IF(F7=0,0,(F7*E7/100)^2)</f>
        <v/>
      </c>
      <c r="H7" s="121" t="inlineStr">
        <is>
          <t>Estimé km + conso moyenne</t>
        </is>
      </c>
      <c r="I7" s="868" t="n"/>
      <c r="J7" s="868" t="n"/>
      <c r="K7" s="868" t="n"/>
      <c r="L7" s="868" t="n"/>
      <c r="M7" s="868" t="n"/>
      <c r="N7" s="868" t="n"/>
      <c r="O7" s="868" t="n"/>
    </row>
    <row r="8">
      <c r="A8" s="868" t="inlineStr">
        <is>
          <t>Scope 1 — 1C Émissions de process</t>
        </is>
      </c>
      <c r="B8" s="117" t="n">
        <v>4</v>
      </c>
      <c r="C8" s="118" t="n">
        <v>10</v>
      </c>
      <c r="D8" s="118" t="n">
        <v>15</v>
      </c>
      <c r="E8" s="145">
        <f>SQRT(C8^2+D8^2)</f>
        <v/>
      </c>
      <c r="F8" s="146">
        <f>Synthese_GES!C8</f>
        <v/>
      </c>
      <c r="G8" s="35">
        <f>IF(F8=0,0,(F8*E8/100)^2)</f>
        <v/>
      </c>
      <c r="H8" s="121" t="inlineStr">
        <is>
          <t>Estimation ingénierie</t>
        </is>
      </c>
      <c r="I8" s="868" t="n"/>
      <c r="J8" s="868" t="n"/>
      <c r="K8" s="868" t="n"/>
      <c r="L8" s="868" t="n"/>
      <c r="M8" s="868" t="n"/>
      <c r="N8" s="868" t="n"/>
      <c r="O8" s="868" t="n"/>
    </row>
    <row r="9">
      <c r="A9" s="868" t="inlineStr">
        <is>
          <t>Scope 1 — 1D Émissions fugitives</t>
        </is>
      </c>
      <c r="B9" s="117" t="n">
        <v>3</v>
      </c>
      <c r="C9" s="118" t="n">
        <v>10</v>
      </c>
      <c r="D9" s="118" t="n">
        <v>10</v>
      </c>
      <c r="E9" s="145">
        <f>SQRT(C9^2+D9^2)</f>
        <v/>
      </c>
      <c r="F9" s="146">
        <f>Synthese_GES!C9</f>
        <v/>
      </c>
      <c r="G9" s="35">
        <f>IF(F9=0,0,(F9*E9/100)^2)</f>
        <v/>
      </c>
      <c r="H9" s="121" t="inlineStr">
        <is>
          <t>Recharge clim (±bilan)</t>
        </is>
      </c>
      <c r="I9" s="868" t="n"/>
      <c r="J9" s="868" t="n"/>
      <c r="K9" s="868" t="n"/>
      <c r="L9" s="868" t="n"/>
      <c r="M9" s="868" t="n"/>
      <c r="N9" s="868" t="n"/>
      <c r="O9" s="868" t="n"/>
    </row>
    <row r="10">
      <c r="A10" s="116" t="inlineStr">
        <is>
          <t>TOTAL SCOPE 1</t>
        </is>
      </c>
      <c r="B10" s="122" t="n"/>
      <c r="C10" s="123" t="n"/>
      <c r="D10" s="123" t="n"/>
      <c r="E10" s="147">
        <f>IF(F10=0,0,SQRT(G10)/F10*100)</f>
        <v/>
      </c>
      <c r="F10" s="148">
        <f>SUM(F6:F9)</f>
        <v/>
      </c>
      <c r="G10" s="149">
        <f>SUM(G6:G9)</f>
        <v/>
      </c>
      <c r="H10" s="116" t="n"/>
      <c r="I10" s="868" t="n"/>
      <c r="J10" s="868" t="n"/>
      <c r="K10" s="868" t="n"/>
      <c r="L10" s="868" t="n"/>
      <c r="M10" s="868" t="n"/>
      <c r="N10" s="868" t="n"/>
      <c r="O10" s="868" t="n"/>
    </row>
    <row r="11" ht="8.1" customHeight="1" s="847">
      <c r="A11" s="868" t="n"/>
      <c r="B11" s="117" t="n"/>
      <c r="C11" s="119" t="n"/>
      <c r="D11" s="119" t="n"/>
      <c r="E11" s="119" t="n"/>
      <c r="F11" s="104" t="n"/>
      <c r="G11" s="120" t="n"/>
      <c r="H11" s="868" t="n"/>
      <c r="I11" s="868" t="n"/>
      <c r="J11" s="868" t="n"/>
      <c r="K11" s="868" t="n"/>
      <c r="L11" s="868" t="n"/>
      <c r="M11" s="868" t="n"/>
      <c r="N11" s="868" t="n"/>
      <c r="O11" s="868" t="n"/>
    </row>
    <row r="12">
      <c r="A12" s="124" t="inlineStr">
        <is>
          <t>SCOPE 2 — ÉMISSIONS INDIRECTES ÉNERGIE</t>
        </is>
      </c>
      <c r="B12" s="125" t="n"/>
      <c r="C12" s="126" t="n"/>
      <c r="D12" s="126" t="n"/>
      <c r="E12" s="126" t="n"/>
      <c r="F12" s="127" t="n"/>
      <c r="G12" s="128" t="n"/>
      <c r="H12" s="129" t="n"/>
      <c r="I12" s="868" t="n"/>
      <c r="J12" s="868" t="n"/>
      <c r="K12" s="868" t="n"/>
      <c r="L12" s="868" t="n"/>
      <c r="M12" s="868" t="n"/>
      <c r="N12" s="868" t="n"/>
      <c r="O12" s="868" t="n"/>
    </row>
    <row r="13">
      <c r="A13" s="868" t="inlineStr">
        <is>
          <t>Scope 2 LB — Électricité (location-based)</t>
        </is>
      </c>
      <c r="B13" s="117" t="n">
        <v>2</v>
      </c>
      <c r="C13" s="118" t="n">
        <v>5</v>
      </c>
      <c r="D13" s="118" t="n">
        <v>8</v>
      </c>
      <c r="E13" s="145">
        <f>SQRT(C13^2+D13^2)</f>
        <v/>
      </c>
      <c r="F13" s="146">
        <f>Synthese_GES!C13</f>
        <v/>
      </c>
      <c r="G13" s="35">
        <f>IF(F13=0,0,(F13*E13/100)^2)</f>
        <v/>
      </c>
      <c r="H13" s="121" t="inlineStr">
        <is>
          <t>FE réseau ADEME ±10%</t>
        </is>
      </c>
      <c r="I13" s="868" t="n"/>
      <c r="J13" s="868" t="n"/>
      <c r="K13" s="868" t="n"/>
      <c r="L13" s="868" t="n"/>
      <c r="M13" s="868" t="n"/>
      <c r="N13" s="868" t="n"/>
      <c r="O13" s="868" t="n"/>
    </row>
    <row r="14">
      <c r="A14" s="868" t="inlineStr">
        <is>
          <t>Scope 2 — Chaleur / vapeur / froid</t>
        </is>
      </c>
      <c r="B14" s="117" t="n">
        <v>3</v>
      </c>
      <c r="C14" s="118" t="n">
        <v>10</v>
      </c>
      <c r="D14" s="118" t="n">
        <v>15</v>
      </c>
      <c r="E14" s="145">
        <f>SQRT(C14^2+D14^2)</f>
        <v/>
      </c>
      <c r="F14" s="146">
        <f>Synthese_GES!C14</f>
        <v/>
      </c>
      <c r="G14" s="35">
        <f>IF(F14=0,0,(F14*E14/100)^2)</f>
        <v/>
      </c>
      <c r="H14" s="121" t="inlineStr">
        <is>
          <t>FE réseau chaleur estimé</t>
        </is>
      </c>
      <c r="I14" s="868" t="n"/>
      <c r="J14" s="868" t="n"/>
      <c r="K14" s="868" t="n"/>
      <c r="L14" s="868" t="n"/>
      <c r="M14" s="868" t="n"/>
      <c r="N14" s="868" t="n"/>
      <c r="O14" s="868" t="n"/>
    </row>
    <row r="15">
      <c r="A15" s="129" t="inlineStr">
        <is>
          <t>TOTAL SCOPE 2 (Location-based)</t>
        </is>
      </c>
      <c r="B15" s="125" t="n"/>
      <c r="C15" s="126" t="n"/>
      <c r="D15" s="126" t="n"/>
      <c r="E15" s="150">
        <f>IF(F15=0,0,SQRT(G15)/F15*100)</f>
        <v/>
      </c>
      <c r="F15" s="151">
        <f>SUM(F13:F14)</f>
        <v/>
      </c>
      <c r="G15" s="152">
        <f>SUM(G13:G14)</f>
        <v/>
      </c>
      <c r="H15" s="129" t="n"/>
      <c r="I15" s="868" t="n"/>
      <c r="J15" s="868" t="n"/>
      <c r="K15" s="868" t="n"/>
      <c r="L15" s="868" t="n"/>
      <c r="M15" s="868" t="n"/>
      <c r="N15" s="868" t="n"/>
      <c r="O15" s="868" t="n"/>
    </row>
    <row r="16" ht="8.1" customHeight="1" s="847">
      <c r="A16" s="868" t="n"/>
      <c r="B16" s="117" t="n"/>
      <c r="C16" s="119" t="n"/>
      <c r="D16" s="119" t="n"/>
      <c r="E16" s="119" t="n"/>
      <c r="F16" s="104" t="n"/>
      <c r="G16" s="120" t="n"/>
      <c r="H16" s="868" t="n"/>
      <c r="I16" s="868" t="n"/>
      <c r="J16" s="868" t="n"/>
      <c r="K16" s="868" t="n"/>
      <c r="L16" s="868" t="n"/>
      <c r="M16" s="868" t="n"/>
      <c r="N16" s="868" t="n"/>
      <c r="O16" s="868" t="n"/>
    </row>
    <row r="17">
      <c r="A17" s="130" t="inlineStr">
        <is>
          <t>SCOPE 3 — CHAÎNE DE VALEUR</t>
        </is>
      </c>
      <c r="B17" s="131" t="n"/>
      <c r="C17" s="132" t="n"/>
      <c r="D17" s="132" t="n"/>
      <c r="E17" s="132" t="n"/>
      <c r="F17" s="133" t="n"/>
      <c r="G17" s="134" t="n"/>
      <c r="H17" s="135" t="n"/>
      <c r="I17" s="868" t="n"/>
      <c r="J17" s="868" t="n"/>
      <c r="K17" s="868" t="n"/>
      <c r="L17" s="868" t="n"/>
      <c r="M17" s="868" t="n"/>
      <c r="N17" s="868" t="n"/>
      <c r="O17" s="868" t="n"/>
    </row>
    <row r="18">
      <c r="A18" s="868" t="inlineStr">
        <is>
          <t>Scope 3 Cat.1 — Achats de biens et services</t>
        </is>
      </c>
      <c r="B18" s="117" t="n">
        <v>4</v>
      </c>
      <c r="C18" s="118" t="n">
        <v>20</v>
      </c>
      <c r="D18" s="118" t="n">
        <v>30</v>
      </c>
      <c r="E18" s="145">
        <f>SQRT(C18^2+D18^2)</f>
        <v/>
      </c>
      <c r="F18" s="146">
        <f>Synthese_GES!C20</f>
        <v/>
      </c>
      <c r="G18" s="35">
        <f>IF(F18=0,0,(F18*E18/100)^2)</f>
        <v/>
      </c>
      <c r="H18" s="121" t="inlineStr">
        <is>
          <t>Mixte monétaire/physique ±30%</t>
        </is>
      </c>
      <c r="I18" s="868" t="n"/>
      <c r="J18" s="868" t="n"/>
      <c r="K18" s="868" t="n"/>
      <c r="L18" s="868" t="n"/>
      <c r="M18" s="868" t="n"/>
      <c r="N18" s="868" t="n"/>
      <c r="O18" s="868" t="n"/>
    </row>
    <row r="19">
      <c r="A19" s="868" t="inlineStr">
        <is>
          <t>Scope 3 Cat.2 — Biens d'équipement</t>
        </is>
      </c>
      <c r="B19" s="117" t="n">
        <v>4</v>
      </c>
      <c r="C19" s="118" t="n">
        <v>20</v>
      </c>
      <c r="D19" s="118" t="n">
        <v>30</v>
      </c>
      <c r="E19" s="145">
        <f>SQRT(C19^2+D19^2)</f>
        <v/>
      </c>
      <c r="F19" s="146">
        <f>Synthese_GES!C21</f>
        <v/>
      </c>
      <c r="G19" s="35">
        <f>IF(F19=0,0,(F19*E19/100)^2)</f>
        <v/>
      </c>
      <c r="H19" s="121" t="inlineStr">
        <is>
          <t>Données fournisseur + estimation</t>
        </is>
      </c>
      <c r="I19" s="868" t="n"/>
      <c r="J19" s="868" t="n"/>
      <c r="K19" s="868" t="n"/>
      <c r="L19" s="868" t="n"/>
      <c r="M19" s="868" t="n"/>
      <c r="N19" s="868" t="n"/>
      <c r="O19" s="868" t="n"/>
    </row>
    <row r="20">
      <c r="A20" s="868" t="inlineStr">
        <is>
          <t>Scope 3 Cat.3 — Combustibles &amp; énergie (amont)</t>
        </is>
      </c>
      <c r="B20" s="117" t="n">
        <v>2</v>
      </c>
      <c r="C20" s="118" t="n">
        <v>5</v>
      </c>
      <c r="D20" s="118" t="n">
        <v>10</v>
      </c>
      <c r="E20" s="145">
        <f>SQRT(C20^2+D20^2)</f>
        <v/>
      </c>
      <c r="F20" s="146">
        <f>Synthese_GES!C22</f>
        <v/>
      </c>
      <c r="G20" s="35">
        <f>IF(F20=0,0,(F20*E20/100)^2)</f>
        <v/>
      </c>
      <c r="H20" s="121" t="inlineStr">
        <is>
          <t>FE amont ADEME ±12%</t>
        </is>
      </c>
      <c r="I20" s="868" t="n"/>
      <c r="J20" s="868" t="n"/>
      <c r="K20" s="868" t="n"/>
      <c r="L20" s="868" t="n"/>
      <c r="M20" s="868" t="n"/>
      <c r="N20" s="868" t="n"/>
      <c r="O20" s="868" t="n"/>
    </row>
    <row r="21">
      <c r="A21" s="868" t="inlineStr">
        <is>
          <t>Scope 3 Cat.4 — Transport amont</t>
        </is>
      </c>
      <c r="B21" s="117" t="n">
        <v>3</v>
      </c>
      <c r="C21" s="118" t="n">
        <v>15</v>
      </c>
      <c r="D21" s="118" t="n">
        <v>15</v>
      </c>
      <c r="E21" s="145">
        <f>SQRT(C21^2+D21^2)</f>
        <v/>
      </c>
      <c r="F21" s="146">
        <f>Synthese_GES!C23</f>
        <v/>
      </c>
      <c r="G21" s="35">
        <f>IF(F21=0,0,(F21*E21/100)^2)</f>
        <v/>
      </c>
      <c r="H21" s="121" t="inlineStr">
        <is>
          <t>Données transporteur ±20%</t>
        </is>
      </c>
      <c r="I21" s="868" t="n"/>
      <c r="J21" s="868" t="n"/>
      <c r="K21" s="868" t="n"/>
      <c r="L21" s="868" t="n"/>
      <c r="M21" s="868" t="n"/>
      <c r="N21" s="868" t="n"/>
      <c r="O21" s="868" t="n"/>
    </row>
    <row r="22">
      <c r="A22" s="868" t="inlineStr">
        <is>
          <t>Scope 3 Cat.5 — Déchets</t>
        </is>
      </c>
      <c r="B22" s="117" t="n">
        <v>4</v>
      </c>
      <c r="C22" s="118" t="n">
        <v>20</v>
      </c>
      <c r="D22" s="118" t="n">
        <v>25</v>
      </c>
      <c r="E22" s="145">
        <f>SQRT(C22^2+D22^2)</f>
        <v/>
      </c>
      <c r="F22" s="146">
        <f>Synthese_GES!C24</f>
        <v/>
      </c>
      <c r="G22" s="35">
        <f>IF(F22=0,0,(F22*E22/100)^2)</f>
        <v/>
      </c>
      <c r="H22" s="121" t="inlineStr">
        <is>
          <t>Pesées ± tri estimé</t>
        </is>
      </c>
      <c r="I22" s="868" t="n"/>
      <c r="J22" s="868" t="n"/>
      <c r="K22" s="868" t="n"/>
      <c r="L22" s="868" t="n"/>
      <c r="M22" s="868" t="n"/>
      <c r="N22" s="868" t="n"/>
      <c r="O22" s="868" t="n"/>
    </row>
    <row r="23">
      <c r="A23" s="868" t="inlineStr">
        <is>
          <t>Scope 3 Cat.6 — Déplacements professionnels</t>
        </is>
      </c>
      <c r="B23" s="117" t="n">
        <v>3</v>
      </c>
      <c r="C23" s="118" t="n">
        <v>10</v>
      </c>
      <c r="D23" s="118" t="n">
        <v>10</v>
      </c>
      <c r="E23" s="145">
        <f>SQRT(C23^2+D23^2)</f>
        <v/>
      </c>
      <c r="F23" s="146">
        <f>Synthese_GES!C25</f>
        <v/>
      </c>
      <c r="G23" s="35">
        <f>IF(F23=0,0,(F23*E23/100)^2)</f>
        <v/>
      </c>
      <c r="H23" s="121" t="inlineStr">
        <is>
          <t>Données agence voyage ±15%</t>
        </is>
      </c>
      <c r="I23" s="868" t="n"/>
      <c r="J23" s="868" t="n"/>
      <c r="K23" s="868" t="n"/>
      <c r="L23" s="868" t="n"/>
      <c r="M23" s="868" t="n"/>
      <c r="N23" s="868" t="n"/>
      <c r="O23" s="868" t="n"/>
    </row>
    <row r="24">
      <c r="A24" s="868" t="inlineStr">
        <is>
          <t>Scope 3 Cat.7 — Domicile-travail</t>
        </is>
      </c>
      <c r="B24" s="117" t="n">
        <v>4</v>
      </c>
      <c r="C24" s="118" t="n">
        <v>20</v>
      </c>
      <c r="D24" s="118" t="n">
        <v>15</v>
      </c>
      <c r="E24" s="145">
        <f>SQRT(C24^2+D24^2)</f>
        <v/>
      </c>
      <c r="F24" s="146">
        <f>Synthese_GES!C26</f>
        <v/>
      </c>
      <c r="G24" s="35">
        <f>IF(F24=0,0,(F24*E24/100)^2)</f>
        <v/>
      </c>
      <c r="H24" s="121" t="inlineStr">
        <is>
          <t>Enquête salariés ±25%</t>
        </is>
      </c>
      <c r="I24" s="868" t="n"/>
      <c r="J24" s="868" t="n"/>
      <c r="K24" s="868" t="n"/>
      <c r="L24" s="868" t="n"/>
      <c r="M24" s="868" t="n"/>
      <c r="N24" s="868" t="n"/>
      <c r="O24" s="868" t="n"/>
    </row>
    <row r="25">
      <c r="A25" s="868" t="inlineStr">
        <is>
          <t>Scope 3 Cat.8 — Actifs loués amont</t>
        </is>
      </c>
      <c r="B25" s="117" t="n">
        <v>4</v>
      </c>
      <c r="C25" s="118" t="n">
        <v>20</v>
      </c>
      <c r="D25" s="118" t="n">
        <v>25</v>
      </c>
      <c r="E25" s="145">
        <f>SQRT(C25^2+D25^2)</f>
        <v/>
      </c>
      <c r="F25" s="146">
        <f>Synthese_GES!C27</f>
        <v/>
      </c>
      <c r="G25" s="35">
        <f>IF(F25=0,0,(F25*E25/100)^2)</f>
        <v/>
      </c>
      <c r="H25" s="121" t="inlineStr">
        <is>
          <t>Surface × FE estimé</t>
        </is>
      </c>
      <c r="I25" s="868" t="n"/>
      <c r="J25" s="868" t="n"/>
      <c r="K25" s="868" t="n"/>
      <c r="L25" s="868" t="n"/>
      <c r="M25" s="868" t="n"/>
      <c r="N25" s="868" t="n"/>
      <c r="O25" s="868" t="n"/>
    </row>
    <row r="26">
      <c r="A26" s="868" t="inlineStr">
        <is>
          <t>Scope 3 Cat.9 — Transport aval</t>
        </is>
      </c>
      <c r="B26" s="117" t="n">
        <v>4</v>
      </c>
      <c r="C26" s="118" t="n">
        <v>20</v>
      </c>
      <c r="D26" s="118" t="n">
        <v>15</v>
      </c>
      <c r="E26" s="145">
        <f>SQRT(C26^2+D26^2)</f>
        <v/>
      </c>
      <c r="F26" s="146">
        <f>Synthese_GES!C28</f>
        <v/>
      </c>
      <c r="G26" s="35">
        <f>IF(F26=0,0,(F26*E26/100)^2)</f>
        <v/>
      </c>
      <c r="H26" s="121" t="inlineStr">
        <is>
          <t>Modélisation distances ±25%</t>
        </is>
      </c>
      <c r="I26" s="868" t="n"/>
      <c r="J26" s="868" t="n"/>
      <c r="K26" s="868" t="n"/>
      <c r="L26" s="868" t="n"/>
      <c r="M26" s="868" t="n"/>
      <c r="N26" s="868" t="n"/>
      <c r="O26" s="868" t="n"/>
    </row>
    <row r="27">
      <c r="A27" s="868" t="inlineStr">
        <is>
          <t>Scope 3 Cat.10 — Transformation produits vendus</t>
        </is>
      </c>
      <c r="B27" s="117" t="n">
        <v>5</v>
      </c>
      <c r="C27" s="118" t="n">
        <v>30</v>
      </c>
      <c r="D27" s="118" t="n">
        <v>30</v>
      </c>
      <c r="E27" s="145">
        <f>SQRT(C27^2+D27^2)</f>
        <v/>
      </c>
      <c r="F27" s="146">
        <f>Synthese_GES!C29</f>
        <v/>
      </c>
      <c r="G27" s="35">
        <f>IF(F27=0,0,(F27*E27/100)^2)</f>
        <v/>
      </c>
      <c r="H27" s="121" t="inlineStr">
        <is>
          <t>Hypothèses sectorielles ±40%</t>
        </is>
      </c>
      <c r="I27" s="868" t="n"/>
      <c r="J27" s="868" t="n"/>
      <c r="K27" s="868" t="n"/>
      <c r="L27" s="868" t="n"/>
      <c r="M27" s="868" t="n"/>
      <c r="N27" s="868" t="n"/>
      <c r="O27" s="868" t="n"/>
    </row>
    <row r="28">
      <c r="A28" s="868" t="inlineStr">
        <is>
          <t>Scope 3 Cat.11 — Utilisation produits vendus</t>
        </is>
      </c>
      <c r="B28" s="117" t="n">
        <v>5</v>
      </c>
      <c r="C28" s="118" t="n">
        <v>40</v>
      </c>
      <c r="D28" s="118" t="n">
        <v>35</v>
      </c>
      <c r="E28" s="145">
        <f>SQRT(C28^2+D28^2)</f>
        <v/>
      </c>
      <c r="F28" s="146">
        <f>Synthese_GES!C30</f>
        <v/>
      </c>
      <c r="G28" s="35">
        <f>IF(F28=0,0,(F28*E28/100)^2)</f>
        <v/>
      </c>
      <c r="H28" s="121" t="inlineStr">
        <is>
          <t>Scénarios usage ±50%</t>
        </is>
      </c>
      <c r="I28" s="868" t="n"/>
      <c r="J28" s="868" t="n"/>
      <c r="K28" s="868" t="n"/>
      <c r="L28" s="868" t="n"/>
      <c r="M28" s="868" t="n"/>
      <c r="N28" s="868" t="n"/>
      <c r="O28" s="868" t="n"/>
    </row>
    <row r="29">
      <c r="A29" s="868" t="inlineStr">
        <is>
          <t>Scope 3 Cat.12 — Fin de vie produits</t>
        </is>
      </c>
      <c r="B29" s="117" t="n">
        <v>5</v>
      </c>
      <c r="C29" s="118" t="n">
        <v>30</v>
      </c>
      <c r="D29" s="118" t="n">
        <v>30</v>
      </c>
      <c r="E29" s="145">
        <f>SQRT(C29^2+D29^2)</f>
        <v/>
      </c>
      <c r="F29" s="146">
        <f>Synthese_GES!C31</f>
        <v/>
      </c>
      <c r="G29" s="35">
        <f>IF(F29=0,0,(F29*E29/100)^2)</f>
        <v/>
      </c>
      <c r="H29" s="121" t="inlineStr">
        <is>
          <t>Hypothèses fin de vie ±40%</t>
        </is>
      </c>
      <c r="I29" s="868" t="n"/>
      <c r="J29" s="868" t="n"/>
      <c r="K29" s="868" t="n"/>
      <c r="L29" s="868" t="n"/>
      <c r="M29" s="868" t="n"/>
      <c r="N29" s="868" t="n"/>
      <c r="O29" s="868" t="n"/>
    </row>
    <row r="30">
      <c r="A30" s="868" t="inlineStr">
        <is>
          <t>Scope 3 Cat.13 — Actifs loués aval</t>
        </is>
      </c>
      <c r="B30" s="117" t="n">
        <v>4</v>
      </c>
      <c r="C30" s="118" t="n">
        <v>20</v>
      </c>
      <c r="D30" s="118" t="n">
        <v>25</v>
      </c>
      <c r="E30" s="145">
        <f>SQRT(C30^2+D30^2)</f>
        <v/>
      </c>
      <c r="F30" s="146">
        <f>Synthese_GES!C32</f>
        <v/>
      </c>
      <c r="G30" s="35">
        <f>IF(F30=0,0,(F30*E30/100)^2)</f>
        <v/>
      </c>
      <c r="H30" s="121" t="inlineStr">
        <is>
          <t>Estimé surfaces ±30%</t>
        </is>
      </c>
      <c r="I30" s="868" t="n"/>
      <c r="J30" s="868" t="n"/>
      <c r="K30" s="868" t="n"/>
      <c r="L30" s="868" t="n"/>
      <c r="M30" s="868" t="n"/>
      <c r="N30" s="868" t="n"/>
      <c r="O30" s="868" t="n"/>
    </row>
    <row r="31">
      <c r="A31" s="868" t="inlineStr">
        <is>
          <t>Scope 3 Cat.14 — Franchises</t>
        </is>
      </c>
      <c r="B31" s="117" t="n">
        <v>4</v>
      </c>
      <c r="C31" s="118" t="n">
        <v>20</v>
      </c>
      <c r="D31" s="118" t="n">
        <v>25</v>
      </c>
      <c r="E31" s="145">
        <f>SQRT(C31^2+D31^2)</f>
        <v/>
      </c>
      <c r="F31" s="146">
        <f>Synthese_GES!C33</f>
        <v/>
      </c>
      <c r="G31" s="35">
        <f>IF(F31=0,0,(F31*E31/100)^2)</f>
        <v/>
      </c>
      <c r="H31" s="121" t="inlineStr">
        <is>
          <t>Données partielles ±30%</t>
        </is>
      </c>
      <c r="I31" s="868" t="n"/>
      <c r="J31" s="868" t="n"/>
      <c r="K31" s="868" t="n"/>
      <c r="L31" s="868" t="n"/>
      <c r="M31" s="868" t="n"/>
      <c r="N31" s="868" t="n"/>
      <c r="O31" s="868" t="n"/>
    </row>
    <row r="32">
      <c r="A32" s="868" t="inlineStr">
        <is>
          <t>Scope 3 Cat.15 — Investissements</t>
        </is>
      </c>
      <c r="B32" s="117" t="n">
        <v>5</v>
      </c>
      <c r="C32" s="118" t="n">
        <v>50</v>
      </c>
      <c r="D32" s="118" t="n">
        <v>80</v>
      </c>
      <c r="E32" s="145">
        <f>SQRT(C32^2+D32^2)</f>
        <v/>
      </c>
      <c r="F32" s="146">
        <f>Synthese_GES!C34</f>
        <v/>
      </c>
      <c r="G32" s="35">
        <f>IF(F32=0,0,(F32*E32/100)^2)</f>
        <v/>
      </c>
      <c r="H32" s="121" t="inlineStr">
        <is>
          <t>Données financières ±100%</t>
        </is>
      </c>
      <c r="I32" s="868" t="n"/>
      <c r="J32" s="868" t="n"/>
      <c r="K32" s="868" t="n"/>
      <c r="L32" s="868" t="n"/>
      <c r="M32" s="868" t="n"/>
      <c r="N32" s="868" t="n"/>
      <c r="O32" s="868" t="n"/>
    </row>
    <row r="33">
      <c r="A33" s="135" t="inlineStr">
        <is>
          <t>TOTAL SCOPE 3</t>
        </is>
      </c>
      <c r="B33" s="135" t="n"/>
      <c r="C33" s="135" t="n"/>
      <c r="D33" s="135" t="n"/>
      <c r="E33" s="153">
        <f>IF(F33=0,0,SQRT(G33)/F33*100)</f>
        <v/>
      </c>
      <c r="F33" s="154">
        <f>SUM(F18:F32)</f>
        <v/>
      </c>
      <c r="G33" s="155">
        <f>SUM(G18:G32)</f>
        <v/>
      </c>
      <c r="H33" s="135" t="n"/>
      <c r="I33" s="868" t="n"/>
      <c r="J33" s="868" t="n"/>
      <c r="K33" s="868" t="n"/>
      <c r="L33" s="868" t="n"/>
      <c r="M33" s="868" t="n"/>
      <c r="N33" s="868" t="n"/>
      <c r="O33" s="868" t="n"/>
    </row>
    <row r="34" ht="8.1" customHeight="1" s="847">
      <c r="A34" s="868" t="n"/>
      <c r="B34" s="868" t="n"/>
      <c r="C34" s="868" t="n"/>
      <c r="D34" s="868" t="n"/>
      <c r="E34" s="868" t="n"/>
      <c r="F34" s="868" t="n"/>
      <c r="G34" s="868" t="n"/>
      <c r="H34" s="868" t="n"/>
      <c r="I34" s="868" t="n"/>
      <c r="J34" s="868" t="n"/>
      <c r="K34" s="868" t="n"/>
      <c r="L34" s="868" t="n"/>
      <c r="M34" s="868" t="n"/>
      <c r="N34" s="868" t="n"/>
      <c r="O34" s="868" t="n"/>
    </row>
    <row r="35" ht="27.95" customHeight="1" s="847">
      <c r="A35" s="136" t="inlineStr">
        <is>
          <t>TOTAL BILAN GES (Scope 1+2+3)</t>
        </is>
      </c>
      <c r="B35" s="136" t="n"/>
      <c r="C35" s="136" t="n"/>
      <c r="D35" s="136" t="n"/>
      <c r="E35" s="156">
        <f>IF(F35=0,0,SQRT(G35)/F35*100)</f>
        <v/>
      </c>
      <c r="F35" s="157">
        <f>F10+F15+F33</f>
        <v/>
      </c>
      <c r="G35" s="158">
        <f>G10+G15+G33</f>
        <v/>
      </c>
      <c r="H35" s="136" t="n"/>
      <c r="I35" s="868" t="n"/>
      <c r="J35" s="868" t="n"/>
      <c r="K35" s="868" t="n"/>
      <c r="L35" s="868" t="n"/>
      <c r="M35" s="868" t="n"/>
      <c r="N35" s="868" t="n"/>
      <c r="O35" s="868" t="n"/>
    </row>
    <row r="36" ht="12" customHeight="1" s="847">
      <c r="A36" s="868" t="n"/>
      <c r="B36" s="868" t="n"/>
      <c r="C36" s="868" t="n"/>
      <c r="D36" s="868" t="n"/>
      <c r="E36" s="868" t="n"/>
      <c r="F36" s="868" t="n"/>
      <c r="G36" s="868" t="n"/>
      <c r="H36" s="868" t="n"/>
      <c r="I36" s="868" t="n"/>
      <c r="J36" s="868" t="n"/>
      <c r="K36" s="868" t="n"/>
      <c r="L36" s="868" t="n"/>
      <c r="M36" s="868" t="n"/>
      <c r="N36" s="868" t="n"/>
      <c r="O36" s="868" t="n"/>
    </row>
    <row r="37">
      <c r="A37" s="911" t="inlineStr">
        <is>
          <t>RÉSUMÉ — AFFICHAGE DASHBOARD</t>
        </is>
      </c>
      <c r="B37" s="868" t="n"/>
      <c r="C37" s="868" t="n"/>
      <c r="D37" s="868" t="n"/>
      <c r="E37" s="868" t="n"/>
      <c r="F37" s="868" t="n"/>
      <c r="G37" s="868" t="n"/>
      <c r="H37" s="868" t="n"/>
      <c r="I37" s="868" t="n"/>
      <c r="J37" s="868" t="n"/>
      <c r="K37" s="868" t="n"/>
      <c r="L37" s="868" t="n"/>
      <c r="M37" s="868" t="n"/>
      <c r="N37" s="868" t="n"/>
      <c r="O37" s="868" t="n"/>
    </row>
    <row r="38">
      <c r="A38" s="137" t="inlineStr">
        <is>
          <t>Émissions totales (tCO2e)</t>
        </is>
      </c>
      <c r="B38" s="159">
        <f>F35</f>
        <v/>
      </c>
      <c r="C38" s="868" t="n"/>
      <c r="D38" s="868" t="n"/>
      <c r="E38" s="868" t="n"/>
      <c r="F38" s="868" t="n"/>
      <c r="G38" s="868" t="n"/>
      <c r="H38" s="868" t="n"/>
      <c r="I38" s="868" t="n"/>
      <c r="J38" s="868" t="n"/>
      <c r="K38" s="868" t="n"/>
      <c r="L38" s="868" t="n"/>
      <c r="M38" s="868" t="n"/>
      <c r="N38" s="868" t="n"/>
      <c r="O38" s="868" t="n"/>
    </row>
    <row r="39">
      <c r="A39" s="137" t="inlineStr">
        <is>
          <t>Incertitude absolue (± tCO2e)</t>
        </is>
      </c>
      <c r="B39" s="159">
        <f>IF(F35=0,0,F35*E35/100)</f>
        <v/>
      </c>
      <c r="C39" s="868" t="n"/>
      <c r="D39" s="868" t="n"/>
      <c r="E39" s="868" t="n"/>
      <c r="F39" s="868" t="n"/>
      <c r="G39" s="868" t="n"/>
      <c r="H39" s="868" t="n"/>
      <c r="I39" s="868" t="n"/>
      <c r="J39" s="868" t="n"/>
      <c r="K39" s="868" t="n"/>
      <c r="L39" s="868" t="n"/>
      <c r="M39" s="868" t="n"/>
      <c r="N39" s="868" t="n"/>
      <c r="O39" s="868" t="n"/>
    </row>
    <row r="40">
      <c r="A40" s="137" t="inlineStr">
        <is>
          <t>Incertitude relative (± %)</t>
        </is>
      </c>
      <c r="B40" s="160">
        <f>E35</f>
        <v/>
      </c>
      <c r="C40" s="868" t="n"/>
      <c r="D40" s="868" t="n"/>
      <c r="E40" s="868" t="n"/>
      <c r="F40" s="868" t="n"/>
      <c r="G40" s="868" t="n"/>
      <c r="H40" s="868" t="n"/>
      <c r="I40" s="868" t="n"/>
      <c r="J40" s="868" t="n"/>
      <c r="K40" s="868" t="n"/>
      <c r="L40" s="868" t="n"/>
      <c r="M40" s="868" t="n"/>
      <c r="N40" s="868" t="n"/>
      <c r="O40" s="868" t="n"/>
    </row>
    <row r="41">
      <c r="A41" s="137" t="inlineStr">
        <is>
          <t>Borne basse (tCO2e)</t>
        </is>
      </c>
      <c r="B41" s="35">
        <f>B38-B39</f>
        <v/>
      </c>
      <c r="C41" s="868" t="n"/>
      <c r="D41" s="868" t="n"/>
      <c r="E41" s="868" t="n"/>
      <c r="F41" s="868" t="n"/>
      <c r="G41" s="868" t="n"/>
      <c r="H41" s="868" t="n"/>
      <c r="I41" s="868" t="n"/>
      <c r="J41" s="868" t="n"/>
      <c r="K41" s="868" t="n"/>
      <c r="L41" s="868" t="n"/>
      <c r="M41" s="868" t="n"/>
      <c r="N41" s="868" t="n"/>
      <c r="O41" s="868" t="n"/>
    </row>
    <row r="42">
      <c r="A42" s="137" t="inlineStr">
        <is>
          <t>Borne haute (tCO2e)</t>
        </is>
      </c>
      <c r="B42" s="35">
        <f>B38+B39</f>
        <v/>
      </c>
      <c r="C42" s="868" t="n"/>
      <c r="D42" s="868" t="n"/>
      <c r="E42" s="868" t="n"/>
      <c r="F42" s="868" t="n"/>
      <c r="G42" s="868" t="n"/>
      <c r="H42" s="868" t="n"/>
      <c r="I42" s="868" t="n"/>
      <c r="J42" s="868" t="n"/>
      <c r="K42" s="868" t="n"/>
      <c r="L42" s="868" t="n"/>
      <c r="M42" s="868" t="n"/>
      <c r="N42" s="868" t="n"/>
      <c r="O42" s="868" t="n"/>
    </row>
    <row r="43">
      <c r="A43" s="137" t="n"/>
      <c r="B43" s="868" t="n"/>
      <c r="C43" s="868" t="n"/>
      <c r="D43" s="868" t="n"/>
      <c r="E43" s="868" t="n"/>
      <c r="F43" s="868" t="n"/>
      <c r="G43" s="868" t="n"/>
      <c r="H43" s="868" t="n"/>
      <c r="I43" s="868" t="n"/>
      <c r="J43" s="868" t="n"/>
      <c r="K43" s="868" t="n"/>
      <c r="L43" s="868" t="n"/>
      <c r="M43" s="868" t="n"/>
      <c r="N43" s="868" t="n"/>
      <c r="O43" s="868" t="n"/>
    </row>
    <row r="44" ht="15.75" customHeight="1" s="847">
      <c r="A44" s="138" t="inlineStr">
        <is>
          <t>Affichage Dashboard</t>
        </is>
      </c>
      <c r="B44" s="161">
        <f>IF(B38=0,"Bilan GES : pas de données","Bilan GES : "&amp;TEXT(B38,"# ##0")&amp;" ± "&amp;TEXT(B39,"# ##0")&amp;" tCO2e (±"&amp;TEXT(B40,"0.0")&amp;"%)")</f>
        <v/>
      </c>
      <c r="C44" s="139" t="n"/>
      <c r="D44" s="139" t="n"/>
      <c r="E44" s="139" t="n"/>
      <c r="F44" s="139" t="n"/>
      <c r="G44" s="139" t="n"/>
      <c r="H44" s="139" t="n"/>
      <c r="I44" s="868" t="n"/>
      <c r="J44" s="868" t="n"/>
      <c r="K44" s="868" t="n"/>
      <c r="L44" s="868" t="n"/>
      <c r="M44" s="868" t="n"/>
      <c r="N44" s="868" t="n"/>
      <c r="O44" s="868" t="n"/>
    </row>
    <row r="45">
      <c r="A45" s="868" t="n"/>
      <c r="B45" s="868" t="n"/>
      <c r="C45" s="868" t="n"/>
      <c r="D45" s="868" t="n"/>
      <c r="E45" s="868" t="n"/>
      <c r="F45" s="868" t="n"/>
      <c r="G45" s="868" t="n"/>
      <c r="H45" s="868" t="n"/>
      <c r="I45" s="868" t="n"/>
      <c r="J45" s="868" t="n"/>
      <c r="K45" s="868" t="n"/>
      <c r="L45" s="868" t="n"/>
      <c r="M45" s="868" t="n"/>
      <c r="N45" s="868" t="n"/>
      <c r="O45" s="868" t="n"/>
    </row>
    <row r="46" ht="12" customHeight="1" s="847">
      <c r="A46" s="868" t="n"/>
      <c r="B46" s="868" t="n"/>
      <c r="C46" s="868" t="n"/>
      <c r="D46" s="868" t="n"/>
      <c r="E46" s="868" t="n"/>
      <c r="F46" s="868" t="n"/>
      <c r="G46" s="868" t="n"/>
      <c r="H46" s="868" t="n"/>
      <c r="I46" s="868" t="n"/>
      <c r="J46" s="868" t="n"/>
      <c r="K46" s="868" t="n"/>
      <c r="L46" s="868" t="n"/>
      <c r="M46" s="868" t="n"/>
      <c r="N46" s="868" t="n"/>
      <c r="O46" s="868" t="n"/>
    </row>
    <row r="47">
      <c r="A47" s="140" t="inlineStr">
        <is>
          <t>VALEURS PAR DÉFAUT ADEME BASE CARBONE (pour référence)</t>
        </is>
      </c>
      <c r="B47" s="141" t="n"/>
      <c r="C47" s="141" t="n"/>
      <c r="D47" s="141" t="n"/>
      <c r="E47" s="141" t="n"/>
      <c r="F47" s="141" t="n"/>
      <c r="G47" s="141" t="n"/>
      <c r="H47" s="141" t="n"/>
      <c r="I47" s="868" t="n"/>
      <c r="J47" s="868" t="n"/>
      <c r="K47" s="868" t="n"/>
      <c r="L47" s="868" t="n"/>
      <c r="M47" s="868" t="n"/>
      <c r="N47" s="868" t="n"/>
      <c r="O47" s="868" t="n"/>
    </row>
    <row r="48">
      <c r="A48" s="142" t="inlineStr">
        <is>
          <t>Énergie fossile (mesure directe — compteur)</t>
        </is>
      </c>
      <c r="B48" s="143" t="inlineStr">
        <is>
          <t>±5%</t>
        </is>
      </c>
      <c r="C48" s="868" t="n"/>
      <c r="D48" s="868" t="n"/>
      <c r="E48" s="868" t="n"/>
      <c r="F48" s="868" t="n"/>
      <c r="G48" s="868" t="n"/>
      <c r="H48" s="868" t="n"/>
      <c r="I48" s="868" t="n"/>
      <c r="J48" s="868" t="n"/>
      <c r="K48" s="868" t="n"/>
      <c r="L48" s="868" t="n"/>
      <c r="M48" s="868" t="n"/>
      <c r="N48" s="868" t="n"/>
      <c r="O48" s="868" t="n"/>
    </row>
    <row r="49">
      <c r="A49" s="142" t="inlineStr">
        <is>
          <t>Électricité réseau FR (FE ADEME)</t>
        </is>
      </c>
      <c r="B49" s="143" t="inlineStr">
        <is>
          <t>±10%</t>
        </is>
      </c>
      <c r="C49" s="868" t="n"/>
      <c r="D49" s="868" t="n"/>
      <c r="E49" s="868" t="n"/>
      <c r="F49" s="868" t="n"/>
      <c r="G49" s="868" t="n"/>
      <c r="H49" s="868" t="n"/>
      <c r="I49" s="868" t="n"/>
      <c r="J49" s="868" t="n"/>
      <c r="K49" s="868" t="n"/>
      <c r="L49" s="868" t="n"/>
      <c r="M49" s="868" t="n"/>
      <c r="N49" s="868" t="n"/>
      <c r="O49" s="868" t="n"/>
    </row>
    <row r="50">
      <c r="A50" s="142" t="inlineStr">
        <is>
          <t>Transport routier (km estimés)</t>
        </is>
      </c>
      <c r="B50" s="143" t="inlineStr">
        <is>
          <t>±20%</t>
        </is>
      </c>
      <c r="C50" s="868" t="n"/>
      <c r="D50" s="868" t="n"/>
      <c r="E50" s="868" t="n"/>
      <c r="F50" s="868" t="n"/>
      <c r="G50" s="868" t="n"/>
      <c r="H50" s="868" t="n"/>
      <c r="I50" s="868" t="n"/>
      <c r="J50" s="868" t="n"/>
      <c r="K50" s="868" t="n"/>
      <c r="L50" s="868" t="n"/>
      <c r="M50" s="868" t="n"/>
      <c r="N50" s="868" t="n"/>
      <c r="O50" s="868" t="n"/>
    </row>
    <row r="51">
      <c r="A51" s="142" t="inlineStr">
        <is>
          <t>Achats spend-based (monétaire)</t>
        </is>
      </c>
      <c r="B51" s="143" t="inlineStr">
        <is>
          <t>±50-80%</t>
        </is>
      </c>
      <c r="C51" s="868" t="n"/>
      <c r="D51" s="868" t="n"/>
      <c r="E51" s="868" t="n"/>
      <c r="F51" s="868" t="n"/>
      <c r="G51" s="868" t="n"/>
      <c r="H51" s="868" t="n"/>
      <c r="I51" s="868" t="n"/>
      <c r="J51" s="868" t="n"/>
      <c r="K51" s="868" t="n"/>
      <c r="L51" s="868" t="n"/>
      <c r="M51" s="868" t="n"/>
      <c r="N51" s="868" t="n"/>
      <c r="O51" s="868" t="n"/>
    </row>
    <row r="52">
      <c r="A52" s="142" t="inlineStr">
        <is>
          <t>Scope 3 Cat.15 (investissements)</t>
        </is>
      </c>
      <c r="B52" s="143" t="inlineStr">
        <is>
          <t>±100%</t>
        </is>
      </c>
      <c r="C52" s="868" t="n"/>
      <c r="D52" s="868" t="n"/>
      <c r="E52" s="868" t="n"/>
      <c r="F52" s="868" t="n"/>
      <c r="G52" s="868" t="n"/>
      <c r="H52" s="868" t="n"/>
      <c r="I52" s="868" t="n"/>
      <c r="J52" s="868" t="n"/>
      <c r="K52" s="868" t="n"/>
      <c r="L52" s="868" t="n"/>
      <c r="M52" s="868" t="n"/>
      <c r="N52" s="868" t="n"/>
      <c r="O52" s="868" t="n"/>
    </row>
    <row r="53">
      <c r="A53" s="142" t="inlineStr">
        <is>
          <t>Données primaires fournisseur</t>
        </is>
      </c>
      <c r="B53" s="143" t="inlineStr">
        <is>
          <t>±10-20%</t>
        </is>
      </c>
      <c r="C53" s="868" t="n"/>
      <c r="D53" s="868" t="n"/>
      <c r="E53" s="868" t="n"/>
      <c r="F53" s="868" t="n"/>
      <c r="G53" s="868" t="n"/>
      <c r="H53" s="868" t="n"/>
      <c r="I53" s="868" t="n"/>
      <c r="J53" s="868" t="n"/>
      <c r="K53" s="868" t="n"/>
      <c r="L53" s="868" t="n"/>
      <c r="M53" s="868" t="n"/>
      <c r="N53" s="868" t="n"/>
      <c r="O53" s="868" t="n"/>
    </row>
    <row r="54">
      <c r="A54" s="142" t="inlineStr">
        <is>
          <t>Données secondaires spécifiques</t>
        </is>
      </c>
      <c r="B54" s="143" t="inlineStr">
        <is>
          <t>±20-40%</t>
        </is>
      </c>
      <c r="C54" s="868" t="n"/>
      <c r="D54" s="868" t="n"/>
      <c r="E54" s="868" t="n"/>
      <c r="F54" s="868" t="n"/>
      <c r="G54" s="868" t="n"/>
      <c r="H54" s="868" t="n"/>
      <c r="I54" s="868" t="n"/>
      <c r="J54" s="868" t="n"/>
      <c r="K54" s="868" t="n"/>
      <c r="L54" s="868" t="n"/>
      <c r="M54" s="868" t="n"/>
      <c r="N54" s="868" t="n"/>
      <c r="O54" s="868" t="n"/>
    </row>
    <row r="55">
      <c r="A55" s="142" t="inlineStr">
        <is>
          <t>Données secondaires génériques</t>
        </is>
      </c>
      <c r="B55" s="143" t="inlineStr">
        <is>
          <t>±40-80%</t>
        </is>
      </c>
      <c r="C55" s="868" t="n"/>
      <c r="D55" s="868" t="n"/>
      <c r="E55" s="868" t="n"/>
      <c r="F55" s="868" t="n"/>
      <c r="G55" s="868" t="n"/>
      <c r="H55" s="868" t="n"/>
      <c r="I55" s="868" t="n"/>
      <c r="J55" s="868" t="n"/>
      <c r="K55" s="868" t="n"/>
      <c r="L55" s="868" t="n"/>
      <c r="M55" s="868" t="n"/>
      <c r="N55" s="868" t="n"/>
      <c r="O55" s="868" t="n"/>
    </row>
    <row r="56">
      <c r="A56" s="868" t="n"/>
      <c r="B56" s="868" t="n"/>
      <c r="C56" s="868" t="n"/>
      <c r="D56" s="868" t="n"/>
      <c r="E56" s="868" t="n"/>
      <c r="F56" s="868" t="n"/>
      <c r="G56" s="868" t="n"/>
      <c r="H56" s="868" t="n"/>
      <c r="I56" s="868" t="n"/>
      <c r="J56" s="868" t="n"/>
      <c r="K56" s="868" t="n"/>
      <c r="L56" s="868" t="n"/>
      <c r="M56" s="868" t="n"/>
      <c r="N56" s="868" t="n"/>
      <c r="O56" s="868" t="n"/>
    </row>
    <row r="57" ht="12" customHeight="1" s="847">
      <c r="A57" s="868" t="n"/>
      <c r="B57" s="868" t="n"/>
      <c r="C57" s="868" t="n"/>
      <c r="D57" s="868" t="n"/>
      <c r="E57" s="868" t="n"/>
      <c r="F57" s="868" t="n"/>
      <c r="G57" s="868" t="n"/>
      <c r="H57" s="868" t="n"/>
      <c r="I57" s="868" t="n"/>
      <c r="J57" s="868" t="n"/>
      <c r="K57" s="868" t="n"/>
      <c r="L57" s="868" t="n"/>
      <c r="M57" s="868" t="n"/>
      <c r="N57" s="868" t="n"/>
      <c r="O57" s="868" t="n"/>
    </row>
    <row r="58">
      <c r="A58" s="144" t="inlineStr">
        <is>
          <t>Conformité : ISO 14064-1:2018 §9.2 — L'organisme doit évaluer et documenter l'incertitude de son inventaire GES.</t>
        </is>
      </c>
      <c r="B58" s="868" t="n"/>
      <c r="C58" s="868" t="n"/>
      <c r="D58" s="868" t="n"/>
      <c r="E58" s="868" t="n"/>
      <c r="F58" s="868" t="n"/>
      <c r="G58" s="868" t="n"/>
      <c r="H58" s="868" t="n"/>
      <c r="I58" s="868" t="n"/>
      <c r="J58" s="868" t="n"/>
      <c r="K58" s="868" t="n"/>
      <c r="L58" s="868" t="n"/>
      <c r="M58" s="868" t="n"/>
      <c r="N58" s="868" t="n"/>
      <c r="O58" s="868" t="n"/>
    </row>
    <row r="59">
      <c r="A59" s="144" t="inlineStr">
        <is>
          <t>ESRS E1-6 §49 — L'entreprise doit divulguer l'approche utilisée pour estimer l'incertitude de ses données d'émissions.</t>
        </is>
      </c>
      <c r="B59" s="868" t="n"/>
      <c r="C59" s="868" t="n"/>
      <c r="D59" s="868" t="n"/>
      <c r="E59" s="868" t="n"/>
      <c r="F59" s="868" t="n"/>
      <c r="G59" s="868" t="n"/>
      <c r="H59" s="868" t="n"/>
      <c r="I59" s="868" t="n"/>
      <c r="J59" s="868" t="n"/>
      <c r="K59" s="868" t="n"/>
      <c r="L59" s="868" t="n"/>
      <c r="M59" s="868" t="n"/>
      <c r="N59" s="868" t="n"/>
      <c r="O59" s="868" t="n"/>
    </row>
  </sheetData>
  <sheetProtection selectLockedCells="0" selectUnlockedCells="0" sheet="1" objects="1" insertRows="1" insertHyperlinks="1" autoFilter="0" scenarios="1" formatColumns="0" deleteColumns="1" insertColumns="1" pivotTables="1" deleteRows="1" formatCells="0" formatRows="0" sort="0"/>
  <mergeCells count="3">
    <mergeCell ref="A37:H37"/>
    <mergeCell ref="A2:H2"/>
    <mergeCell ref="A1:H1"/>
  </mergeCells>
  <hyperlinks>
    <hyperlink ref="N1" location="Sommaire!A1" display="🏠 Sommaire"/>
    <hyperlink ref="O1" location="Couverture!A1" display="📄 Couverture"/>
  </hyperlinks>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tabColor rgb="FFFFC000"/>
    <outlinePr summaryBelow="1" summaryRight="1"/>
    <pageSetUpPr/>
  </sheetPr>
  <dimension ref="A1:O46"/>
  <sheetViews>
    <sheetView showGridLines="0" workbookViewId="0">
      <pane ySplit="3" topLeftCell="A4" activePane="bottomLeft" state="frozen"/>
      <selection pane="bottomLeft" activeCell="C23" sqref="C23"/>
    </sheetView>
  </sheetViews>
  <sheetFormatPr baseColWidth="10" defaultRowHeight="15"/>
  <cols>
    <col width="5.7109375" customWidth="1" style="847" min="1" max="1"/>
    <col width="41.85546875" customWidth="1" style="847" min="2" max="2"/>
    <col width="20.7109375" bestFit="1" customWidth="1" style="847" min="3" max="3"/>
    <col width="46.42578125" bestFit="1" customWidth="1" style="847" min="4" max="4"/>
    <col width="17.140625" customWidth="1" style="847" min="5" max="5"/>
    <col width="19" customWidth="1" style="847" min="6" max="6"/>
    <col width="17.140625" customWidth="1" style="847" min="7" max="7"/>
    <col width="15.28515625" customWidth="1" style="847" min="8" max="8"/>
    <col width="19" customWidth="1" style="847" min="9" max="9"/>
    <col width="15.28515625" customWidth="1" style="847" min="10" max="10"/>
    <col width="34.28515625" customWidth="1" style="847" min="11" max="11"/>
    <col width="13.28515625" customWidth="1" style="847" min="14" max="14"/>
    <col width="15.28515625" customWidth="1" style="847" min="15" max="15"/>
  </cols>
  <sheetData>
    <row r="1" ht="20.1" customHeight="1" s="847">
      <c r="A1" s="909" t="inlineStr">
        <is>
          <t>PLAN DE TRANSITION CLIMAT — ESRS E1-1 §14-29</t>
        </is>
      </c>
      <c r="B1" s="868" t="n"/>
      <c r="C1" s="868" t="n"/>
      <c r="D1" s="868" t="n"/>
      <c r="E1" s="868" t="n"/>
      <c r="F1" s="868" t="n"/>
      <c r="G1" s="868" t="n"/>
      <c r="H1" s="868" t="n"/>
      <c r="I1" s="868" t="n"/>
      <c r="J1" s="868" t="n"/>
      <c r="K1" s="868" t="n"/>
      <c r="L1" s="868" t="n"/>
      <c r="M1" s="868" t="n"/>
      <c r="N1" s="863" t="inlineStr">
        <is>
          <t>🏠 Sommaire</t>
        </is>
      </c>
      <c r="O1" s="90" t="inlineStr">
        <is>
          <t>📄 Couverture</t>
        </is>
      </c>
    </row>
    <row r="2">
      <c r="A2" s="910" t="inlineStr">
        <is>
          <t>Disclosure requirement E1-1 — Plan de transition pour l'atténuation du changement climatique. Alignment Accord de Paris (1.5°C ou bien en dessous de 2°C).</t>
        </is>
      </c>
      <c r="B2" s="868" t="n"/>
      <c r="C2" s="868" t="n"/>
      <c r="D2" s="868" t="n"/>
      <c r="E2" s="868" t="n"/>
      <c r="F2" s="868" t="n"/>
      <c r="G2" s="868" t="n"/>
      <c r="H2" s="868" t="n"/>
      <c r="I2" s="868" t="n"/>
      <c r="J2" s="868" t="n"/>
      <c r="K2" s="868" t="n"/>
      <c r="L2" s="868" t="n"/>
      <c r="M2" s="868" t="n"/>
      <c r="N2" s="868" t="n"/>
      <c r="O2" s="868" t="n"/>
    </row>
    <row r="3" ht="9.949999999999999" customHeight="1" s="847">
      <c r="A3" s="868" t="n"/>
      <c r="B3" s="868" t="n"/>
      <c r="C3" s="868" t="n"/>
      <c r="D3" s="868" t="n"/>
      <c r="E3" s="868" t="n"/>
      <c r="F3" s="868" t="n"/>
      <c r="G3" s="868" t="n"/>
      <c r="H3" s="868" t="n"/>
      <c r="I3" s="868" t="n"/>
      <c r="J3" s="868" t="n"/>
      <c r="K3" s="868" t="n"/>
      <c r="L3" s="868" t="n"/>
      <c r="M3" s="868" t="n"/>
      <c r="N3" s="868" t="n"/>
      <c r="O3" s="868" t="n"/>
    </row>
    <row r="4" ht="24.95" customHeight="1" s="847">
      <c r="A4" s="913" t="inlineStr">
        <is>
          <t>SECTION 1 — LEVIERS DE DÉCARBONATION</t>
        </is>
      </c>
      <c r="B4" s="868" t="n"/>
      <c r="C4" s="868" t="n"/>
      <c r="D4" s="868" t="n"/>
      <c r="E4" s="868" t="n"/>
      <c r="F4" s="868" t="n"/>
      <c r="G4" s="868" t="n"/>
      <c r="H4" s="868" t="n"/>
      <c r="I4" s="868" t="n"/>
      <c r="J4" s="868" t="n"/>
      <c r="K4" s="868" t="n"/>
      <c r="L4" s="868" t="n"/>
      <c r="M4" s="868" t="n"/>
      <c r="N4" s="868" t="n"/>
      <c r="O4" s="868" t="n"/>
    </row>
    <row r="5" ht="39.95" customHeight="1" s="847" thickBot="1">
      <c r="A5" s="227" t="inlineStr">
        <is>
          <t>#</t>
        </is>
      </c>
      <c r="B5" s="227" t="inlineStr">
        <is>
          <t>Levier de décarbonation</t>
        </is>
      </c>
      <c r="C5" s="227" t="inlineStr">
        <is>
          <t>Scope
concerné</t>
        </is>
      </c>
      <c r="D5" s="227" t="inlineStr">
        <is>
          <t>Investissement
(€)</t>
        </is>
      </c>
      <c r="E5" s="227" t="inlineStr">
        <is>
          <t>Coût annuel
(€/an)</t>
        </is>
      </c>
      <c r="F5" s="227" t="inlineStr">
        <is>
          <t>Réduction cible
(tCO2e/an)</t>
        </is>
      </c>
      <c r="G5" s="227" t="inlineStr">
        <is>
          <t>ROI climat
(€/tCO2e évitée)</t>
        </is>
      </c>
      <c r="H5" s="227" t="inlineStr">
        <is>
          <t>Échéance</t>
        </is>
      </c>
      <c r="I5" s="227" t="inlineStr">
        <is>
          <t>Responsable</t>
        </is>
      </c>
      <c r="J5" s="227" t="inlineStr">
        <is>
          <t>Statut</t>
        </is>
      </c>
      <c r="K5" s="227" t="inlineStr">
        <is>
          <t>Commentaire</t>
        </is>
      </c>
      <c r="L5" s="868" t="n"/>
      <c r="M5" s="868" t="n"/>
      <c r="N5" s="868" t="n"/>
      <c r="O5" s="868" t="n"/>
    </row>
    <row r="6">
      <c r="A6" s="868" t="n">
        <v>1</v>
      </c>
      <c r="B6" s="228" t="inlineStr">
        <is>
          <t>Rénovation énergétique bâtiments (isolation + LED)</t>
        </is>
      </c>
      <c r="C6" s="229" t="inlineStr">
        <is>
          <t>S1, S2</t>
        </is>
      </c>
      <c r="D6" s="162" t="n">
        <v>0</v>
      </c>
      <c r="E6" s="162" t="n">
        <v>0</v>
      </c>
      <c r="F6" s="163" t="n">
        <v>0</v>
      </c>
      <c r="G6">
        <f>IF(F6=0,"-",D6/F6)</f>
        <v/>
      </c>
      <c r="H6" s="164" t="n"/>
      <c r="I6" s="164" t="n"/>
      <c r="J6" s="868" t="inlineStr">
        <is>
          <t>Planifié</t>
        </is>
      </c>
      <c r="K6" s="228" t="inlineStr">
        <is>
          <t>Objectif BBC rénovation</t>
        </is>
      </c>
      <c r="L6" s="868" t="n"/>
      <c r="M6" s="868" t="n"/>
      <c r="N6" s="868" t="n"/>
      <c r="O6" s="868" t="n"/>
    </row>
    <row r="7">
      <c r="A7" s="868" t="n">
        <v>2</v>
      </c>
      <c r="B7" s="228" t="inlineStr">
        <is>
          <t>Verdissement flotte véhicules (passage VE)</t>
        </is>
      </c>
      <c r="C7" s="229" t="inlineStr">
        <is>
          <t>S1</t>
        </is>
      </c>
      <c r="D7" s="162" t="n">
        <v>0</v>
      </c>
      <c r="E7" s="162" t="n">
        <v>0</v>
      </c>
      <c r="F7" s="163" t="n">
        <v>0</v>
      </c>
      <c r="G7">
        <f>IF(F7=0,"-",D7/F7)</f>
        <v/>
      </c>
      <c r="H7" s="164" t="n"/>
      <c r="I7" s="164" t="n"/>
      <c r="J7" s="868" t="inlineStr">
        <is>
          <t>En cours</t>
        </is>
      </c>
      <c r="K7" s="228" t="inlineStr">
        <is>
          <t>Remplacement progressif</t>
        </is>
      </c>
      <c r="L7" s="868" t="n"/>
      <c r="M7" s="868" t="n"/>
      <c r="N7" s="868" t="n"/>
      <c r="O7" s="868" t="n"/>
    </row>
    <row r="8">
      <c r="A8" s="868" t="n">
        <v>3</v>
      </c>
      <c r="B8" s="228" t="inlineStr">
        <is>
          <t>PPA énergie renouvelable (contrat direct)</t>
        </is>
      </c>
      <c r="C8" s="229" t="inlineStr">
        <is>
          <t>S2</t>
        </is>
      </c>
      <c r="D8" s="162" t="n">
        <v>0</v>
      </c>
      <c r="E8" s="162" t="n">
        <v>0</v>
      </c>
      <c r="F8" s="163" t="n">
        <v>0</v>
      </c>
      <c r="G8">
        <f>IF(F8=0,"-",D8/F8)</f>
        <v/>
      </c>
      <c r="H8" s="164" t="n"/>
      <c r="I8" s="164" t="n"/>
      <c r="J8" s="868" t="inlineStr">
        <is>
          <t>Planifié</t>
        </is>
      </c>
      <c r="K8" s="228" t="inlineStr">
        <is>
          <t>Réduction Scope 2 market-based</t>
        </is>
      </c>
      <c r="L8" s="868" t="n"/>
      <c r="M8" s="868" t="n"/>
      <c r="N8" s="868" t="n"/>
      <c r="O8" s="868" t="n"/>
    </row>
    <row r="9">
      <c r="A9" s="868" t="n">
        <v>4</v>
      </c>
      <c r="B9" s="228" t="inlineStr">
        <is>
          <t>Panneaux solaires autoconsommation</t>
        </is>
      </c>
      <c r="C9" s="229" t="inlineStr">
        <is>
          <t>S2</t>
        </is>
      </c>
      <c r="D9" s="162" t="n">
        <v>0</v>
      </c>
      <c r="E9" s="162" t="n">
        <v>0</v>
      </c>
      <c r="F9" s="163" t="n">
        <v>0</v>
      </c>
      <c r="G9">
        <f>IF(F9=0,"-",D9/F9)</f>
        <v/>
      </c>
      <c r="H9" s="164" t="n"/>
      <c r="I9" s="164" t="n"/>
      <c r="J9" s="868" t="inlineStr">
        <is>
          <t>Étude</t>
        </is>
      </c>
      <c r="K9" s="228" t="inlineStr">
        <is>
          <t>Toitures sites A et B</t>
        </is>
      </c>
      <c r="L9" s="868" t="n"/>
      <c r="M9" s="868" t="n"/>
      <c r="N9" s="868" t="n"/>
      <c r="O9" s="868" t="n"/>
    </row>
    <row r="10">
      <c r="A10" s="868" t="n">
        <v>5</v>
      </c>
      <c r="B10" s="228" t="inlineStr">
        <is>
          <t>Réduction déplacements pro (visio + train)</t>
        </is>
      </c>
      <c r="C10" s="229" t="inlineStr">
        <is>
          <t>S3 Cat.6</t>
        </is>
      </c>
      <c r="D10" s="162" t="n">
        <v>0</v>
      </c>
      <c r="E10" s="162" t="n">
        <v>0</v>
      </c>
      <c r="F10" s="163" t="n">
        <v>0</v>
      </c>
      <c r="G10">
        <f>IF(F10=0,"-",D10/F10)</f>
        <v/>
      </c>
      <c r="H10" s="164" t="n"/>
      <c r="I10" s="164" t="n"/>
      <c r="J10" s="868" t="inlineStr">
        <is>
          <t>En cours</t>
        </is>
      </c>
      <c r="K10" s="228" t="inlineStr">
        <is>
          <t>Politique voyage mise à jour</t>
        </is>
      </c>
      <c r="L10" s="868" t="n"/>
      <c r="M10" s="868" t="n"/>
      <c r="N10" s="868" t="n"/>
      <c r="O10" s="868" t="n"/>
    </row>
    <row r="11">
      <c r="A11" s="868" t="n">
        <v>6</v>
      </c>
      <c r="B11" s="228" t="inlineStr">
        <is>
          <t>Télétravail renforcé (objectif 50%)</t>
        </is>
      </c>
      <c r="C11" s="229" t="inlineStr">
        <is>
          <t>S3 Cat.7</t>
        </is>
      </c>
      <c r="D11" s="162" t="n">
        <v>0</v>
      </c>
      <c r="E11" s="162" t="n">
        <v>0</v>
      </c>
      <c r="F11" s="163" t="n">
        <v>0</v>
      </c>
      <c r="G11">
        <f>IF(F11=0,"-",D11/F11)</f>
        <v/>
      </c>
      <c r="H11" s="164" t="n"/>
      <c r="I11" s="164" t="n"/>
      <c r="J11" s="868" t="inlineStr">
        <is>
          <t>En cours</t>
        </is>
      </c>
      <c r="K11" s="228" t="inlineStr">
        <is>
          <t>Impact domicile-travail</t>
        </is>
      </c>
      <c r="L11" s="868" t="n"/>
      <c r="M11" s="868" t="n"/>
      <c r="N11" s="868" t="n"/>
      <c r="O11" s="868" t="n"/>
    </row>
    <row r="12">
      <c r="A12" s="868" t="n">
        <v>7</v>
      </c>
      <c r="B12" s="228" t="inlineStr">
        <is>
          <t>Engagement fournisseurs SBTi (Top 20)</t>
        </is>
      </c>
      <c r="C12" s="229" t="inlineStr">
        <is>
          <t>S3 Cat.1</t>
        </is>
      </c>
      <c r="D12" s="162" t="n">
        <v>0</v>
      </c>
      <c r="E12" s="162" t="n">
        <v>0</v>
      </c>
      <c r="F12" s="163" t="n">
        <v>0</v>
      </c>
      <c r="G12">
        <f>IF(F12=0,"-",D12/F12)</f>
        <v/>
      </c>
      <c r="H12" s="164" t="n"/>
      <c r="I12" s="164" t="n"/>
      <c r="J12" s="868" t="inlineStr">
        <is>
          <t>Planifié</t>
        </is>
      </c>
      <c r="K12" s="228" t="inlineStr">
        <is>
          <t>Programme cascade supply chain</t>
        </is>
      </c>
      <c r="L12" s="868" t="n"/>
      <c r="M12" s="868" t="n"/>
      <c r="N12" s="868" t="n"/>
      <c r="O12" s="868" t="n"/>
    </row>
    <row r="13">
      <c r="A13" s="868" t="n">
        <v>8</v>
      </c>
      <c r="B13" s="228" t="inlineStr">
        <is>
          <t>Éco-conception produits</t>
        </is>
      </c>
      <c r="C13" s="229" t="inlineStr">
        <is>
          <t>S3 Cat.11</t>
        </is>
      </c>
      <c r="D13" s="162" t="n">
        <v>0</v>
      </c>
      <c r="E13" s="162" t="n">
        <v>0</v>
      </c>
      <c r="F13" s="163" t="n">
        <v>0</v>
      </c>
      <c r="G13">
        <f>IF(F13=0,"-",D13/F13)</f>
        <v/>
      </c>
      <c r="H13" s="164" t="n"/>
      <c r="I13" s="164" t="n"/>
      <c r="J13" s="868" t="inlineStr">
        <is>
          <t>R&amp;D</t>
        </is>
      </c>
      <c r="K13" s="228" t="inlineStr">
        <is>
          <t>Réduction phase utilisation</t>
        </is>
      </c>
      <c r="L13" s="868" t="n"/>
      <c r="M13" s="868" t="n"/>
      <c r="N13" s="868" t="n"/>
      <c r="O13" s="868" t="n"/>
    </row>
    <row r="14">
      <c r="A14" s="868" t="n">
        <v>9</v>
      </c>
      <c r="B14" s="228" t="inlineStr">
        <is>
          <t>Optimisation logistique aval</t>
        </is>
      </c>
      <c r="C14" s="229" t="inlineStr">
        <is>
          <t>S3 Cat.9</t>
        </is>
      </c>
      <c r="D14" s="162" t="n">
        <v>0</v>
      </c>
      <c r="E14" s="162" t="n">
        <v>0</v>
      </c>
      <c r="F14" s="163" t="n">
        <v>0</v>
      </c>
      <c r="G14">
        <f>IF(F14=0,"-",D14/F14)</f>
        <v/>
      </c>
      <c r="H14" s="164" t="n"/>
      <c r="I14" s="164" t="n"/>
      <c r="J14" s="868" t="inlineStr">
        <is>
          <t>Planifié</t>
        </is>
      </c>
      <c r="K14" s="228" t="inlineStr">
        <is>
          <t>Consolidation + report modal</t>
        </is>
      </c>
      <c r="L14" s="868" t="n"/>
      <c r="M14" s="868" t="n"/>
      <c r="N14" s="868" t="n"/>
      <c r="O14" s="868" t="n"/>
    </row>
    <row r="15">
      <c r="A15" s="868" t="n">
        <v>10</v>
      </c>
      <c r="B15" s="228" t="inlineStr">
        <is>
          <t>Économie circulaire (réemploi, recyclage)</t>
        </is>
      </c>
      <c r="C15" s="229" t="inlineStr">
        <is>
          <t>S3 Cat.5,12</t>
        </is>
      </c>
      <c r="D15" s="162" t="n">
        <v>0</v>
      </c>
      <c r="E15" s="162" t="n">
        <v>0</v>
      </c>
      <c r="F15" s="163" t="n">
        <v>0</v>
      </c>
      <c r="G15">
        <f>IF(F15=0,"-",D15/F15)</f>
        <v/>
      </c>
      <c r="H15" s="164" t="n"/>
      <c r="I15" s="164" t="n"/>
      <c r="J15" s="868" t="inlineStr">
        <is>
          <t>Étude</t>
        </is>
      </c>
      <c r="K15" s="228" t="inlineStr">
        <is>
          <t>Réduction déchets + fin de vie</t>
        </is>
      </c>
      <c r="L15" s="868" t="n"/>
      <c r="M15" s="868" t="n"/>
      <c r="N15" s="868" t="n"/>
      <c r="O15" s="868" t="n"/>
    </row>
    <row r="16">
      <c r="A16" s="165" t="n"/>
      <c r="B16" s="165" t="inlineStr">
        <is>
          <t>TOTAL LEVIERS</t>
        </is>
      </c>
      <c r="C16" s="165" t="n"/>
      <c r="D16" s="170">
        <f>SUM(D6:D15)</f>
        <v/>
      </c>
      <c r="E16" s="170">
        <f>SUM(E6:E15)</f>
        <v/>
      </c>
      <c r="F16" s="171">
        <f>SUM(F6:F15)</f>
        <v/>
      </c>
      <c r="G16" s="172">
        <f>IF(F16=0,"-",D16/F16)</f>
        <v/>
      </c>
      <c r="H16" s="165" t="n"/>
      <c r="I16" s="165" t="n"/>
      <c r="J16" s="165" t="n"/>
      <c r="K16" s="165" t="n"/>
      <c r="L16" s="868" t="n"/>
      <c r="M16" s="868" t="n"/>
      <c r="N16" s="868" t="n"/>
      <c r="O16" s="868" t="n"/>
    </row>
    <row r="17" ht="15" customHeight="1" s="847">
      <c r="A17" s="868" t="n"/>
      <c r="B17" s="868" t="n"/>
      <c r="C17" s="868" t="n"/>
      <c r="D17" s="868" t="n"/>
      <c r="E17" s="868" t="n"/>
      <c r="F17" s="868" t="n"/>
      <c r="G17" s="868" t="n"/>
      <c r="H17" s="868" t="n"/>
      <c r="I17" s="868" t="n"/>
      <c r="J17" s="868" t="n"/>
      <c r="K17" s="868" t="n"/>
      <c r="L17" s="868" t="n"/>
      <c r="M17" s="868" t="n"/>
      <c r="N17" s="868" t="n"/>
      <c r="O17" s="868" t="n"/>
    </row>
    <row r="18" ht="24.95" customHeight="1" s="847">
      <c r="A18" s="914" t="inlineStr">
        <is>
          <t>SECTION 2 — HYPOTHÈSES FINANCIÈRES</t>
        </is>
      </c>
      <c r="B18" s="868" t="n"/>
      <c r="C18" s="868" t="n"/>
      <c r="D18" s="868" t="n"/>
      <c r="E18" s="868" t="n"/>
      <c r="F18" s="868" t="n"/>
      <c r="G18" s="868" t="n"/>
      <c r="H18" s="868" t="n"/>
      <c r="I18" s="868" t="n"/>
      <c r="J18" s="868" t="n"/>
      <c r="K18" s="868" t="n"/>
      <c r="L18" s="868" t="n"/>
      <c r="M18" s="868" t="n"/>
      <c r="N18" s="868" t="n"/>
      <c r="O18" s="868" t="n"/>
    </row>
    <row r="19">
      <c r="A19" s="868" t="n"/>
      <c r="B19" s="166" t="inlineStr">
        <is>
          <t>Paramètre</t>
        </is>
      </c>
      <c r="C19" s="166" t="inlineStr">
        <is>
          <t>Valeur</t>
        </is>
      </c>
      <c r="D19" s="166" t="inlineStr">
        <is>
          <t>Note / Source</t>
        </is>
      </c>
      <c r="E19" s="868" t="n"/>
      <c r="F19" s="868" t="n"/>
      <c r="G19" s="868" t="n"/>
      <c r="H19" s="868" t="n"/>
      <c r="I19" s="868" t="n"/>
      <c r="J19" s="868" t="n"/>
      <c r="K19" s="868" t="n"/>
      <c r="L19" s="868" t="n"/>
      <c r="M19" s="868" t="n"/>
      <c r="N19" s="868" t="n"/>
      <c r="O19" s="868" t="n"/>
    </row>
    <row r="20">
      <c r="A20" s="868" t="n"/>
      <c r="B20" s="868" t="inlineStr">
        <is>
          <t>Prix carbone interne (€/tCO2e)</t>
        </is>
      </c>
      <c r="C20" s="162" t="n">
        <v>0</v>
      </c>
      <c r="D20" s="121" t="inlineStr">
        <is>
          <t>Recommandé : 100-250€ (High-Level Commission on Carbon Prices)</t>
        </is>
      </c>
      <c r="E20" s="868" t="n"/>
      <c r="F20" s="868" t="n"/>
      <c r="G20" s="868" t="n"/>
      <c r="H20" s="868" t="n"/>
      <c r="I20" s="868" t="n"/>
      <c r="J20" s="868" t="n"/>
      <c r="K20" s="868" t="n"/>
      <c r="L20" s="868" t="n"/>
      <c r="M20" s="868" t="n"/>
      <c r="N20" s="868" t="n"/>
      <c r="O20" s="868" t="n"/>
    </row>
    <row r="21">
      <c r="A21" s="868" t="n"/>
      <c r="B21" s="868" t="inlineStr">
        <is>
          <t>Taux d'actualisation projets climat (%)</t>
        </is>
      </c>
      <c r="C21" s="162" t="n">
        <v>0</v>
      </c>
      <c r="D21" s="121" t="inlineStr">
        <is>
          <t>Taux interne utilisé pour évaluer le ROI des projets décarbonation</t>
        </is>
      </c>
      <c r="E21" s="868" t="n"/>
      <c r="F21" s="868" t="n"/>
      <c r="G21" s="868" t="n"/>
      <c r="H21" s="868" t="n"/>
      <c r="I21" s="868" t="n"/>
      <c r="J21" s="868" t="n"/>
      <c r="K21" s="868" t="n"/>
      <c r="L21" s="868" t="n"/>
      <c r="M21" s="868" t="n"/>
      <c r="N21" s="868" t="n"/>
      <c r="O21" s="868" t="n"/>
    </row>
    <row r="22">
      <c r="A22" s="868" t="n"/>
      <c r="B22" s="868" t="inlineStr">
        <is>
          <t>Coût du capital vert (%)</t>
        </is>
      </c>
      <c r="C22" s="162" t="n">
        <v>0</v>
      </c>
      <c r="D22" s="121" t="inlineStr">
        <is>
          <t>Green bond / prêt vert — différentiel vs standard</t>
        </is>
      </c>
      <c r="E22" s="868" t="n"/>
      <c r="F22" s="868" t="n"/>
      <c r="G22" s="868" t="n"/>
      <c r="H22" s="868" t="n"/>
      <c r="I22" s="868" t="n"/>
      <c r="J22" s="868" t="n"/>
      <c r="K22" s="868" t="n"/>
      <c r="L22" s="868" t="n"/>
      <c r="M22" s="868" t="n"/>
      <c r="N22" s="868" t="n"/>
      <c r="O22" s="868" t="n"/>
    </row>
    <row r="23">
      <c r="A23" s="868" t="n"/>
      <c r="B23" s="868" t="inlineStr">
        <is>
          <t>Coût du capital standard (%)</t>
        </is>
      </c>
      <c r="C23" s="162" t="n">
        <v>0</v>
      </c>
      <c r="D23" s="121" t="inlineStr">
        <is>
          <t>WACC entreprise</t>
        </is>
      </c>
      <c r="E23" s="868" t="n"/>
      <c r="F23" s="868" t="n"/>
      <c r="G23" s="868" t="n"/>
      <c r="H23" s="868" t="n"/>
      <c r="I23" s="868" t="n"/>
      <c r="J23" s="868" t="n"/>
      <c r="K23" s="868" t="n"/>
      <c r="L23" s="868" t="n"/>
      <c r="M23" s="868" t="n"/>
      <c r="N23" s="868" t="n"/>
      <c r="O23" s="868" t="n"/>
    </row>
    <row r="24">
      <c r="A24" s="868" t="n"/>
      <c r="B24" s="868" t="inlineStr">
        <is>
          <t>Horizon d'amortissement actions climat (ans)</t>
        </is>
      </c>
      <c r="C24" s="162" t="n">
        <v>10</v>
      </c>
      <c r="D24" s="121" t="inlineStr">
        <is>
          <t>Durée moyenne de retour des investissements</t>
        </is>
      </c>
      <c r="E24" s="868" t="n"/>
      <c r="F24" s="868" t="n"/>
      <c r="G24" s="868" t="n"/>
      <c r="H24" s="868" t="n"/>
      <c r="I24" s="868" t="n"/>
      <c r="J24" s="868" t="n"/>
      <c r="K24" s="868" t="n"/>
      <c r="L24" s="868" t="n"/>
      <c r="M24" s="868" t="n"/>
      <c r="N24" s="868" t="n"/>
      <c r="O24" s="868" t="n"/>
    </row>
    <row r="25">
      <c r="A25" s="868" t="n"/>
      <c r="B25" s="868" t="inlineStr">
        <is>
          <t>Valeur économique CO2 évité sur horizon (€)</t>
        </is>
      </c>
      <c r="C25" s="173">
        <f>C20*F16*C24</f>
        <v/>
      </c>
      <c r="D25" s="174">
        <f t="array" ref="D25"> Prix carbone * Σ réductions cumulées</f>
        <v/>
      </c>
      <c r="E25" s="868" t="n"/>
      <c r="F25" s="868" t="n"/>
      <c r="G25" s="868" t="n"/>
      <c r="H25" s="868" t="n"/>
      <c r="I25" s="868" t="n"/>
      <c r="J25" s="868" t="n"/>
      <c r="K25" s="868" t="n"/>
      <c r="L25" s="868" t="n"/>
      <c r="M25" s="868" t="n"/>
      <c r="N25" s="868" t="n"/>
      <c r="O25" s="868" t="n"/>
    </row>
    <row r="26" ht="15" customHeight="1" s="847">
      <c r="A26" s="868" t="n"/>
      <c r="B26" s="868" t="n"/>
      <c r="C26" s="868" t="n"/>
      <c r="D26" s="868" t="n"/>
      <c r="E26" s="868" t="n"/>
      <c r="F26" s="868" t="n"/>
      <c r="G26" s="868" t="n"/>
      <c r="H26" s="868" t="n"/>
      <c r="I26" s="868" t="n"/>
      <c r="J26" s="868" t="n"/>
      <c r="K26" s="868" t="n"/>
      <c r="L26" s="868" t="n"/>
      <c r="M26" s="868" t="n"/>
      <c r="N26" s="868" t="n"/>
      <c r="O26" s="868" t="n"/>
    </row>
    <row r="27" ht="24.95" customHeight="1" s="847">
      <c r="A27" s="915" t="inlineStr">
        <is>
          <t>SECTION 3 — RISQUES DE TRANSITION (TCFD / ESRS E1-9)</t>
        </is>
      </c>
      <c r="B27" s="868" t="n"/>
      <c r="C27" s="868" t="n"/>
      <c r="D27" s="868" t="n"/>
      <c r="E27" s="868" t="n"/>
      <c r="F27" s="868" t="n"/>
      <c r="G27" s="868" t="n"/>
      <c r="H27" s="868" t="n"/>
      <c r="I27" s="868" t="n"/>
      <c r="J27" s="868" t="n"/>
      <c r="K27" s="868" t="n"/>
      <c r="L27" s="868" t="n"/>
      <c r="M27" s="868" t="n"/>
      <c r="N27" s="868" t="n"/>
      <c r="O27" s="868" t="n"/>
    </row>
    <row r="28" ht="39.95" customHeight="1" s="847">
      <c r="A28" s="167" t="inlineStr">
        <is>
          <t>Type de risque</t>
        </is>
      </c>
      <c r="B28" s="167" t="inlineStr">
        <is>
          <t>Description</t>
        </is>
      </c>
      <c r="C28" s="167" t="inlineStr">
        <is>
          <t>Catégorie
TCFD</t>
        </is>
      </c>
      <c r="D28" s="167" t="inlineStr">
        <is>
          <t>Impact financier
potentiel (€)</t>
        </is>
      </c>
      <c r="E28" s="167" t="inlineStr">
        <is>
          <t>Probabilité
(1-5)</t>
        </is>
      </c>
      <c r="F28" s="167" t="inlineStr">
        <is>
          <t>Horizon
temps</t>
        </is>
      </c>
      <c r="G28" s="167" t="inlineStr">
        <is>
          <t>Mesure de
mitigation</t>
        </is>
      </c>
      <c r="H28" s="167" t="inlineStr">
        <is>
          <t>Statut</t>
        </is>
      </c>
      <c r="I28" s="868" t="n"/>
      <c r="J28" s="868" t="n"/>
      <c r="K28" s="868" t="n"/>
      <c r="L28" s="868" t="n"/>
      <c r="M28" s="868" t="n"/>
      <c r="N28" s="868" t="n"/>
      <c r="O28" s="868" t="n"/>
    </row>
    <row r="29">
      <c r="A29" s="868" t="inlineStr">
        <is>
          <t>Hausse taxe carbone / EU ETS</t>
        </is>
      </c>
      <c r="B29" s="868" t="inlineStr">
        <is>
          <t>Impact sur coûts opérationnels si prix carbone &gt; 100€/t</t>
        </is>
      </c>
      <c r="C29" s="868" t="inlineStr">
        <is>
          <t>Politique</t>
        </is>
      </c>
      <c r="D29" s="162" t="n">
        <v>0</v>
      </c>
      <c r="E29" s="164" t="n"/>
      <c r="F29" s="868" t="inlineStr">
        <is>
          <t>Court terme</t>
        </is>
      </c>
      <c r="G29" s="868" t="n"/>
      <c r="H29" s="868" t="inlineStr">
        <is>
          <t>Identifié</t>
        </is>
      </c>
      <c r="I29" s="868" t="n"/>
      <c r="J29" s="868" t="n"/>
      <c r="K29" s="868" t="n"/>
      <c r="L29" s="868" t="n"/>
      <c r="M29" s="868" t="n"/>
      <c r="N29" s="868" t="n"/>
      <c r="O29" s="868" t="n"/>
    </row>
    <row r="30">
      <c r="A30" s="868" t="inlineStr">
        <is>
          <t>Réglementation CSRD / audit raisonnable</t>
        </is>
      </c>
      <c r="B30" s="868" t="inlineStr">
        <is>
          <t>Non-conformité → sanctions + réputation</t>
        </is>
      </c>
      <c r="C30" s="868" t="inlineStr">
        <is>
          <t>Politique</t>
        </is>
      </c>
      <c r="D30" s="162" t="n">
        <v>0</v>
      </c>
      <c r="E30" s="164" t="n"/>
      <c r="F30" s="868" t="inlineStr">
        <is>
          <t>Court terme</t>
        </is>
      </c>
      <c r="G30" s="868" t="n"/>
      <c r="H30" s="868" t="inlineStr">
        <is>
          <t>En mitigation</t>
        </is>
      </c>
      <c r="I30" s="868" t="n"/>
      <c r="J30" s="868" t="n"/>
      <c r="K30" s="868" t="n"/>
      <c r="L30" s="868" t="n"/>
      <c r="M30" s="868" t="n"/>
      <c r="N30" s="868" t="n"/>
      <c r="O30" s="868" t="n"/>
    </row>
    <row r="31">
      <c r="A31" s="868" t="inlineStr">
        <is>
          <t>Obsolescence actifs fossiles (stranded assets)</t>
        </is>
      </c>
      <c r="B31" s="868" t="inlineStr">
        <is>
          <t>Dépréciation véhicules thermiques, chaudières gaz</t>
        </is>
      </c>
      <c r="C31" s="868" t="inlineStr">
        <is>
          <t>Technologique</t>
        </is>
      </c>
      <c r="D31" s="162" t="n">
        <v>0</v>
      </c>
      <c r="E31" s="164" t="n"/>
      <c r="F31" s="868" t="inlineStr">
        <is>
          <t>Moyen terme</t>
        </is>
      </c>
      <c r="G31" s="868" t="n"/>
      <c r="H31" s="868" t="inlineStr">
        <is>
          <t>Identifié</t>
        </is>
      </c>
      <c r="I31" s="868" t="n"/>
      <c r="J31" s="868" t="n"/>
      <c r="K31" s="868" t="n"/>
      <c r="L31" s="868" t="n"/>
      <c r="M31" s="868" t="n"/>
      <c r="N31" s="868" t="n"/>
      <c r="O31" s="868" t="n"/>
    </row>
    <row r="32">
      <c r="A32" s="868" t="inlineStr">
        <is>
          <t>Perte clients exigeants (critères ESG)</t>
        </is>
      </c>
      <c r="B32" s="868" t="inlineStr">
        <is>
          <t>Clients grands comptes excluant fournisseurs non-alignés</t>
        </is>
      </c>
      <c r="C32" s="868" t="inlineStr">
        <is>
          <t>Marché</t>
        </is>
      </c>
      <c r="D32" s="162" t="n">
        <v>0</v>
      </c>
      <c r="E32" s="164" t="n"/>
      <c r="F32" s="868" t="inlineStr">
        <is>
          <t>Court terme</t>
        </is>
      </c>
      <c r="G32" s="868" t="n"/>
      <c r="H32" s="868" t="inlineStr">
        <is>
          <t>Identifié</t>
        </is>
      </c>
      <c r="I32" s="868" t="n"/>
      <c r="J32" s="868" t="n"/>
      <c r="K32" s="868" t="n"/>
      <c r="L32" s="868" t="n"/>
      <c r="M32" s="868" t="n"/>
      <c r="N32" s="868" t="n"/>
      <c r="O32" s="868" t="n"/>
    </row>
    <row r="33">
      <c r="A33" s="868" t="inlineStr">
        <is>
          <t>Hausse coût énergie fossile</t>
        </is>
      </c>
      <c r="B33" s="868" t="inlineStr">
        <is>
          <t>Impact P&amp;L si mix non diversifié</t>
        </is>
      </c>
      <c r="C33" s="868" t="inlineStr">
        <is>
          <t>Marché</t>
        </is>
      </c>
      <c r="D33" s="162" t="n">
        <v>0</v>
      </c>
      <c r="E33" s="164" t="n"/>
      <c r="F33" s="868" t="inlineStr">
        <is>
          <t>Court-moyen</t>
        </is>
      </c>
      <c r="G33" s="868" t="n"/>
      <c r="H33" s="868" t="inlineStr">
        <is>
          <t>Identifié</t>
        </is>
      </c>
      <c r="I33" s="868" t="n"/>
      <c r="J33" s="868" t="n"/>
      <c r="K33" s="868" t="n"/>
      <c r="L33" s="868" t="n"/>
      <c r="M33" s="868" t="n"/>
      <c r="N33" s="868" t="n"/>
      <c r="O33" s="868" t="n"/>
    </row>
    <row r="34">
      <c r="A34" s="868" t="inlineStr">
        <is>
          <t>Risques physiques aigus (canicule, inondation)</t>
        </is>
      </c>
      <c r="B34" s="868" t="inlineStr">
        <is>
          <t>Perturbation opérations, dommages bâtiments</t>
        </is>
      </c>
      <c r="C34" s="868" t="inlineStr">
        <is>
          <t>Physique aigu</t>
        </is>
      </c>
      <c r="D34" s="162" t="n">
        <v>0</v>
      </c>
      <c r="E34" s="164" t="n"/>
      <c r="F34" s="868" t="inlineStr">
        <is>
          <t>Moyen-long</t>
        </is>
      </c>
      <c r="G34" s="868" t="n"/>
      <c r="H34" s="868" t="inlineStr">
        <is>
          <t>Étude</t>
        </is>
      </c>
      <c r="I34" s="868" t="n"/>
      <c r="J34" s="868" t="n"/>
      <c r="K34" s="868" t="n"/>
      <c r="L34" s="868" t="n"/>
      <c r="M34" s="868" t="n"/>
      <c r="N34" s="868" t="n"/>
      <c r="O34" s="868" t="n"/>
    </row>
    <row r="35">
      <c r="A35" s="868" t="inlineStr">
        <is>
          <t>Risques physiques chroniques (stress hydrique)</t>
        </is>
      </c>
      <c r="B35" s="868" t="inlineStr">
        <is>
          <t>Impact approvisionnement, production</t>
        </is>
      </c>
      <c r="C35" s="868" t="inlineStr">
        <is>
          <t>Physique chronique</t>
        </is>
      </c>
      <c r="D35" s="162" t="n">
        <v>0</v>
      </c>
      <c r="E35" s="164" t="n"/>
      <c r="F35" s="868" t="inlineStr">
        <is>
          <t>Long terme</t>
        </is>
      </c>
      <c r="G35" s="868" t="n"/>
      <c r="H35" s="868" t="inlineStr">
        <is>
          <t>Étude</t>
        </is>
      </c>
      <c r="I35" s="868" t="n"/>
      <c r="J35" s="868" t="n"/>
      <c r="K35" s="868" t="n"/>
      <c r="L35" s="868" t="n"/>
      <c r="M35" s="868" t="n"/>
      <c r="N35" s="868" t="n"/>
      <c r="O35" s="868" t="n"/>
    </row>
    <row r="36" ht="15" customHeight="1" s="847">
      <c r="A36" s="868" t="n"/>
      <c r="B36" s="868" t="n"/>
      <c r="C36" s="868" t="n"/>
      <c r="D36" s="868" t="n"/>
      <c r="E36" s="868" t="n"/>
      <c r="F36" s="868" t="n"/>
      <c r="G36" s="868" t="n"/>
      <c r="H36" s="868" t="n"/>
      <c r="I36" s="868" t="n"/>
      <c r="J36" s="868" t="n"/>
      <c r="K36" s="868" t="n"/>
      <c r="L36" s="868" t="n"/>
      <c r="M36" s="868" t="n"/>
      <c r="N36" s="868" t="n"/>
      <c r="O36" s="868" t="n"/>
    </row>
    <row r="37" ht="24.95" customHeight="1" s="847">
      <c r="A37" s="912" t="inlineStr">
        <is>
          <t>SECTION 4 — ALIGNEMENT CAPEX (Paris Agreement)</t>
        </is>
      </c>
      <c r="B37" s="868" t="n"/>
      <c r="C37" s="868" t="n"/>
      <c r="D37" s="868" t="n"/>
      <c r="E37" s="868" t="n"/>
      <c r="F37" s="868" t="n"/>
      <c r="G37" s="868" t="n"/>
      <c r="H37" s="868" t="n"/>
      <c r="I37" s="868" t="n"/>
      <c r="J37" s="868" t="n"/>
      <c r="K37" s="868" t="n"/>
      <c r="L37" s="868" t="n"/>
      <c r="M37" s="868" t="n"/>
      <c r="N37" s="868" t="n"/>
      <c r="O37" s="868" t="n"/>
    </row>
    <row r="38">
      <c r="A38" s="868" t="n"/>
      <c r="B38" s="168" t="inlineStr">
        <is>
          <t>Indicateur</t>
        </is>
      </c>
      <c r="C38" s="168" t="inlineStr">
        <is>
          <t>Valeur</t>
        </is>
      </c>
      <c r="D38" s="168" t="inlineStr">
        <is>
          <t>Note</t>
        </is>
      </c>
      <c r="E38" s="868" t="n"/>
      <c r="F38" s="868" t="n"/>
      <c r="G38" s="868" t="n"/>
      <c r="H38" s="868" t="n"/>
      <c r="I38" s="868" t="n"/>
      <c r="J38" s="868" t="n"/>
      <c r="K38" s="868" t="n"/>
      <c r="L38" s="868" t="n"/>
      <c r="M38" s="868" t="n"/>
      <c r="N38" s="868" t="n"/>
      <c r="O38" s="868" t="n"/>
    </row>
    <row r="39">
      <c r="A39" s="868" t="n"/>
      <c r="B39" s="868" t="inlineStr">
        <is>
          <t>CapEx total annuel (€)</t>
        </is>
      </c>
      <c r="C39" s="75">
        <f>Paramètres!B14</f>
        <v/>
      </c>
      <c r="D39" s="868" t="n"/>
      <c r="E39" s="868" t="n"/>
      <c r="F39" s="868" t="n"/>
      <c r="G39" s="868" t="n"/>
      <c r="H39" s="868" t="n"/>
      <c r="I39" s="868" t="n"/>
      <c r="J39" s="868" t="n"/>
      <c r="K39" s="868" t="n"/>
      <c r="L39" s="868" t="n"/>
      <c r="M39" s="868" t="n"/>
      <c r="N39" s="868" t="n"/>
      <c r="O39" s="868" t="n"/>
    </row>
    <row r="40">
      <c r="A40" s="868" t="n"/>
      <c r="B40" s="868" t="inlineStr">
        <is>
          <t>CapEx décarbonation — Scope 1+2 (€)</t>
        </is>
      </c>
      <c r="C40" s="162" t="n">
        <v>0</v>
      </c>
      <c r="D40" s="868" t="n"/>
      <c r="E40" s="868" t="n"/>
      <c r="F40" s="868" t="n"/>
      <c r="G40" s="868" t="n"/>
      <c r="H40" s="868" t="n"/>
      <c r="I40" s="868" t="n"/>
      <c r="J40" s="868" t="n"/>
      <c r="K40" s="868" t="n"/>
      <c r="L40" s="868" t="n"/>
      <c r="M40" s="868" t="n"/>
      <c r="N40" s="868" t="n"/>
      <c r="O40" s="868" t="n"/>
    </row>
    <row r="41">
      <c r="A41" s="868" t="n"/>
      <c r="B41" s="868" t="inlineStr">
        <is>
          <t>CapEx décarbonation — Scope 3 (€)</t>
        </is>
      </c>
      <c r="C41" s="162" t="n">
        <v>0</v>
      </c>
      <c r="D41" s="868" t="n"/>
      <c r="E41" s="868" t="n"/>
      <c r="F41" s="868" t="n"/>
      <c r="G41" s="868" t="n"/>
      <c r="H41" s="868" t="n"/>
      <c r="I41" s="868" t="n"/>
      <c r="J41" s="868" t="n"/>
      <c r="K41" s="868" t="n"/>
      <c r="L41" s="868" t="n"/>
      <c r="M41" s="868" t="n"/>
      <c r="N41" s="868" t="n"/>
      <c r="O41" s="868" t="n"/>
    </row>
    <row r="42">
      <c r="A42" s="868" t="n"/>
      <c r="B42" s="868" t="inlineStr">
        <is>
          <t>CapEx décarbonation total (€)</t>
        </is>
      </c>
      <c r="C42" s="35">
        <f>C40+C41</f>
        <v/>
      </c>
      <c r="D42" s="868" t="n"/>
      <c r="E42" s="868" t="n"/>
      <c r="F42" s="868" t="n"/>
      <c r="G42" s="868" t="n"/>
      <c r="H42" s="868" t="n"/>
      <c r="I42" s="868" t="n"/>
      <c r="J42" s="868" t="n"/>
      <c r="K42" s="868" t="n"/>
      <c r="L42" s="868" t="n"/>
      <c r="M42" s="868" t="n"/>
      <c r="N42" s="868" t="n"/>
      <c r="O42" s="868" t="n"/>
    </row>
    <row r="43">
      <c r="A43" s="868" t="n"/>
      <c r="B43" s="868" t="inlineStr">
        <is>
          <t>CapEx business-as-usual (non aligné) (€)</t>
        </is>
      </c>
      <c r="C43" s="35">
        <f>C39-C42</f>
        <v/>
      </c>
      <c r="D43" s="868" t="n"/>
      <c r="E43" s="868" t="n"/>
      <c r="F43" s="868" t="n"/>
      <c r="G43" s="868" t="n"/>
      <c r="H43" s="868" t="n"/>
      <c r="I43" s="868" t="n"/>
      <c r="J43" s="868" t="n"/>
      <c r="K43" s="868" t="n"/>
      <c r="L43" s="868" t="n"/>
      <c r="M43" s="868" t="n"/>
      <c r="N43" s="868" t="n"/>
      <c r="O43" s="868" t="n"/>
    </row>
    <row r="44">
      <c r="A44" s="868" t="n"/>
      <c r="B44" s="868" t="inlineStr">
        <is>
          <t>% CapEx aligné Paris Agreement</t>
        </is>
      </c>
      <c r="C44" s="995">
        <f>IF(C39=0,0,C42/C39)</f>
        <v/>
      </c>
      <c r="D44" s="868" t="n"/>
      <c r="E44" s="868" t="n"/>
      <c r="F44" s="868" t="n"/>
      <c r="G44" s="868" t="n"/>
      <c r="H44" s="868" t="n"/>
      <c r="I44" s="868" t="n"/>
      <c r="J44" s="868" t="n"/>
      <c r="K44" s="868" t="n"/>
      <c r="L44" s="868" t="n"/>
      <c r="M44" s="868" t="n"/>
      <c r="N44" s="868" t="n"/>
      <c r="O44" s="868" t="n"/>
    </row>
    <row r="45" ht="12" customHeight="1" s="847">
      <c r="A45" s="868" t="n"/>
      <c r="B45" s="868" t="n"/>
      <c r="C45" s="868" t="n"/>
      <c r="D45" s="868" t="n"/>
      <c r="E45" s="868" t="n"/>
      <c r="F45" s="868" t="n"/>
      <c r="G45" s="868" t="n"/>
      <c r="H45" s="868" t="n"/>
      <c r="I45" s="868" t="n"/>
      <c r="J45" s="868" t="n"/>
      <c r="K45" s="868" t="n"/>
      <c r="L45" s="868" t="n"/>
      <c r="M45" s="868" t="n"/>
      <c r="N45" s="868" t="n"/>
      <c r="O45" s="868" t="n"/>
    </row>
    <row r="46">
      <c r="A46" s="868" t="n"/>
      <c r="B46" s="169" t="inlineStr">
        <is>
          <t>KPI investisseur :</t>
        </is>
      </c>
      <c r="C46" s="175">
        <f>IF(C39=0,"Pas de données CapEx",TEXT(C44*100,"0.0")&amp;"% du CapEx "&amp;TEXT(Paramètres!B7,"0")&amp;" alloué à la décarbonation")</f>
        <v/>
      </c>
      <c r="D46" s="139" t="n"/>
      <c r="E46" s="139" t="n"/>
      <c r="F46" s="139" t="n"/>
      <c r="G46" s="139" t="n"/>
      <c r="H46" s="139" t="n"/>
      <c r="I46" s="139" t="n"/>
      <c r="J46" s="139" t="n"/>
      <c r="K46" s="139" t="n"/>
      <c r="L46" s="868" t="n"/>
      <c r="M46" s="868" t="n"/>
      <c r="N46" s="868" t="n"/>
      <c r="O46" s="868" t="n"/>
    </row>
  </sheetData>
  <mergeCells count="6">
    <mergeCell ref="A18:K18"/>
    <mergeCell ref="A4:K4"/>
    <mergeCell ref="A2:K2"/>
    <mergeCell ref="A1:K1"/>
    <mergeCell ref="A37:K37"/>
    <mergeCell ref="A27:K27"/>
  </mergeCells>
  <dataValidations count="3">
    <dataValidation sqref="J6:J15" showDropDown="0" showInputMessage="1" showErrorMessage="1" allowBlank="1" type="list">
      <formula1>"Planifié,En cours,Étude,R&amp;D,Réalisé,Abandonné"</formula1>
    </dataValidation>
    <dataValidation sqref="E29:E35" showDropDown="0" showInputMessage="1" showErrorMessage="1" allowBlank="1" type="list">
      <formula1>"1,2,3,4,5"</formula1>
    </dataValidation>
    <dataValidation sqref="F29:F35" showDropDown="0" showInputMessage="1" showErrorMessage="1" allowBlank="1" type="list">
      <formula1>"Court terme,Moyen terme,Long terme,Court-moyen,Moyen-long"</formula1>
    </dataValidation>
  </dataValidations>
  <hyperlinks>
    <hyperlink ref="N1" location="Sommaire!A1" display="🏠 Sommaire"/>
    <hyperlink ref="O1" location="Couverture!A1" display="📄 Couverture"/>
  </hyperlinks>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tabColor theme="4" tint="-0.249977111117893"/>
    <outlinePr summaryBelow="1" summaryRight="1"/>
    <pageSetUpPr/>
  </sheetPr>
  <dimension ref="A1:O43"/>
  <sheetViews>
    <sheetView showGridLines="0" workbookViewId="0">
      <pane ySplit="5" topLeftCell="A9" activePane="bottomLeft" state="frozen"/>
      <selection pane="bottomLeft" activeCell="D37" sqref="D37"/>
    </sheetView>
  </sheetViews>
  <sheetFormatPr baseColWidth="10" defaultRowHeight="15"/>
  <cols>
    <col width="47.5703125" customWidth="1" style="847" min="1" max="1"/>
    <col width="43.7109375" bestFit="1" customWidth="1" style="847" min="2" max="2"/>
    <col width="18.140625" customWidth="1" style="847" min="3" max="6"/>
    <col width="17.140625" customWidth="1" style="847" min="7" max="8"/>
    <col width="19" customWidth="1" style="847" min="9" max="9"/>
    <col width="13.28515625" customWidth="1" style="847" min="14" max="14"/>
    <col width="15.28515625" customWidth="1" style="847" min="15" max="15"/>
  </cols>
  <sheetData>
    <row r="1" ht="20.1" customHeight="1" s="847">
      <c r="A1" s="916" t="inlineStr">
        <is>
          <t>HISTORIQUE 5 ANS — COMPARABILITÉ TEMPORELLE (ESRS E1-6 §48 / ESRS 2 BP-2)</t>
        </is>
      </c>
      <c r="B1" s="868" t="n"/>
      <c r="C1" s="868" t="n"/>
      <c r="D1" s="868" t="n"/>
      <c r="E1" s="868" t="n"/>
      <c r="F1" s="868" t="n"/>
      <c r="G1" s="868" t="n"/>
      <c r="H1" s="868" t="n"/>
      <c r="I1" s="868" t="n"/>
      <c r="J1" s="868" t="n"/>
      <c r="K1" s="868" t="n"/>
      <c r="L1" s="868" t="n"/>
      <c r="M1" s="868" t="n"/>
      <c r="N1" s="863" t="inlineStr">
        <is>
          <t>🏠 Sommaire</t>
        </is>
      </c>
      <c r="O1" s="90" t="inlineStr">
        <is>
          <t>📄 Couverture</t>
        </is>
      </c>
    </row>
    <row r="2">
      <c r="A2" s="910" t="inlineStr">
        <is>
          <t>Présentation des émissions sur 5 exercices. Conformité ESRS 2 BP-2 §27-33 et ESRS E1-4 §37-38 (rebasement).</t>
        </is>
      </c>
      <c r="B2" s="868" t="n"/>
      <c r="C2" s="868" t="n"/>
      <c r="D2" s="868" t="n"/>
      <c r="E2" s="868" t="n"/>
      <c r="F2" s="868" t="n"/>
      <c r="G2" s="868" t="n"/>
      <c r="H2" s="868" t="n"/>
      <c r="I2" s="868" t="n"/>
      <c r="J2" s="868" t="n"/>
      <c r="K2" s="868" t="n"/>
      <c r="L2" s="868" t="n"/>
      <c r="M2" s="868" t="n"/>
      <c r="N2" s="868" t="n"/>
      <c r="O2" s="868" t="n"/>
    </row>
    <row r="3" ht="8.1" customHeight="1" s="847">
      <c r="A3" s="868" t="n"/>
      <c r="B3" s="868" t="n"/>
      <c r="C3" s="868" t="n"/>
      <c r="D3" s="868" t="n"/>
      <c r="E3" s="868" t="n"/>
      <c r="F3" s="868" t="n"/>
      <c r="G3" s="868" t="n"/>
      <c r="H3" s="868" t="n"/>
      <c r="I3" s="868" t="n"/>
      <c r="J3" s="868" t="n"/>
      <c r="K3" s="868" t="n"/>
      <c r="L3" s="868" t="n"/>
      <c r="M3" s="868" t="n"/>
      <c r="N3" s="868" t="n"/>
      <c r="O3" s="868" t="n"/>
    </row>
    <row r="4" ht="39.95" customHeight="1" s="847" thickBot="1">
      <c r="A4" s="114" t="inlineStr">
        <is>
          <t>Indicateur (tCO2e sauf indication contraire)</t>
        </is>
      </c>
      <c r="B4" s="114" t="inlineStr">
        <is>
          <t>N-4</t>
        </is>
      </c>
      <c r="C4" s="114" t="inlineStr">
        <is>
          <t>N-3</t>
        </is>
      </c>
      <c r="D4" s="114" t="inlineStr">
        <is>
          <t>N-2</t>
        </is>
      </c>
      <c r="E4" s="114" t="inlineStr">
        <is>
          <t>N-1</t>
        </is>
      </c>
      <c r="F4" s="177" t="inlineStr">
        <is>
          <t>N (exercice courant)</t>
        </is>
      </c>
      <c r="G4" s="114" t="inlineStr">
        <is>
          <t>Variation N vs N-1</t>
        </is>
      </c>
      <c r="H4" s="114" t="inlineStr">
        <is>
          <t>TCAM 5 ans</t>
        </is>
      </c>
      <c r="I4" s="114" t="inlineStr">
        <is>
          <t>Tendance</t>
        </is>
      </c>
      <c r="J4" s="868" t="n"/>
      <c r="K4" s="868" t="n"/>
      <c r="L4" s="868" t="n"/>
      <c r="M4" s="868" t="n"/>
      <c r="N4" s="868" t="n"/>
      <c r="O4" s="868" t="n"/>
    </row>
    <row r="5">
      <c r="A5" s="178" t="inlineStr">
        <is>
          <t>Année</t>
        </is>
      </c>
      <c r="B5" s="186">
        <f>Paramètres!B7-4</f>
        <v/>
      </c>
      <c r="C5" s="186">
        <f>Paramètres!B7-3</f>
        <v/>
      </c>
      <c r="D5" s="186">
        <f>Paramètres!B7-2</f>
        <v/>
      </c>
      <c r="E5" s="186">
        <f>Paramètres!B7-1</f>
        <v/>
      </c>
      <c r="F5" s="187">
        <f>Paramètres!B7</f>
        <v/>
      </c>
      <c r="G5" s="868" t="n"/>
      <c r="H5" s="868" t="n"/>
      <c r="I5" s="868" t="n"/>
      <c r="J5" s="868" t="n"/>
      <c r="K5" s="868" t="n"/>
      <c r="L5" s="868" t="n"/>
      <c r="M5" s="868" t="n"/>
      <c r="N5" s="868" t="n"/>
      <c r="O5" s="868" t="n"/>
    </row>
    <row r="6">
      <c r="A6" s="179" t="inlineStr">
        <is>
          <t>ÉMISSIONS DE GES</t>
        </is>
      </c>
      <c r="B6" s="865" t="n"/>
      <c r="C6" s="865" t="n"/>
      <c r="D6" s="865" t="n"/>
      <c r="E6" s="865" t="n"/>
      <c r="F6" s="865" t="n"/>
      <c r="G6" s="865" t="n"/>
      <c r="H6" s="865" t="n"/>
      <c r="I6" s="865" t="n"/>
      <c r="J6" s="868" t="n"/>
      <c r="K6" s="868" t="n"/>
      <c r="L6" s="868" t="n"/>
      <c r="M6" s="868" t="n"/>
      <c r="N6" s="868" t="n"/>
      <c r="O6" s="868" t="n"/>
    </row>
    <row r="7">
      <c r="A7" s="868" t="inlineStr">
        <is>
          <t>Scope 1 (tCO2e)</t>
        </is>
      </c>
      <c r="B7" s="162" t="n"/>
      <c r="C7" s="162" t="n"/>
      <c r="D7" s="162" t="n"/>
      <c r="E7" s="162" t="n"/>
      <c r="F7" s="188">
        <f>Synthese_GES!C10</f>
        <v/>
      </c>
      <c r="G7" s="189">
        <f>IF(OR(E7=0,E7=""),"-",IF(F7="","-",(F7-E7)/ABS(E7)))</f>
        <v/>
      </c>
      <c r="H7" s="189">
        <f>IF(OR(B7=0,B7="",F7=""),"-",(F7/B7)^(1/4)-1)</f>
        <v/>
      </c>
      <c r="I7" s="77">
        <f>IF(G7="-","—",IF(G7&lt;-0.05,"↓ Baisse",IF(G7&gt;0.05,"↑ Hausse","→ Stable")))</f>
        <v/>
      </c>
      <c r="J7" s="868" t="n"/>
      <c r="K7" s="868" t="n"/>
      <c r="L7" s="868" t="n"/>
      <c r="M7" s="868" t="n"/>
      <c r="N7" s="868" t="n"/>
      <c r="O7" s="868" t="n"/>
    </row>
    <row r="8">
      <c r="A8" s="868" t="inlineStr">
        <is>
          <t>Scope 2 Location-based (tCO2e)</t>
        </is>
      </c>
      <c r="B8" s="162" t="n"/>
      <c r="C8" s="162" t="n"/>
      <c r="D8" s="162" t="n"/>
      <c r="E8" s="162" t="n"/>
      <c r="F8" s="188">
        <f>Synthese_GES!C15</f>
        <v/>
      </c>
      <c r="G8" s="189">
        <f>IF(OR(E8=0,E8=""),"-",IF(F8="","-",(F8-E8)/ABS(E8)))</f>
        <v/>
      </c>
      <c r="H8" s="189">
        <f>IF(OR(B8=0,B8="",F8=""),"-",(F8/B8)^(1/4)-1)</f>
        <v/>
      </c>
      <c r="I8" s="77">
        <f>IF(G8="-","—",IF(G8&lt;-0.05,"↓ Baisse",IF(G8&gt;0.05,"↑ Hausse","→ Stable")))</f>
        <v/>
      </c>
      <c r="J8" s="868" t="n"/>
      <c r="K8" s="868" t="n"/>
      <c r="L8" s="868" t="n"/>
      <c r="M8" s="868" t="n"/>
      <c r="N8" s="868" t="n"/>
      <c r="O8" s="868" t="n"/>
    </row>
    <row r="9">
      <c r="A9" s="868" t="inlineStr">
        <is>
          <t>Scope 2 Market-based (tCO2e)</t>
        </is>
      </c>
      <c r="B9" s="162" t="n"/>
      <c r="C9" s="162" t="n"/>
      <c r="D9" s="162" t="n"/>
      <c r="E9" s="162" t="n"/>
      <c r="F9" s="188">
        <f>Synthese_GES!C17</f>
        <v/>
      </c>
      <c r="G9" s="189">
        <f>IF(OR(E9=0,E9=""),"-",IF(F9="","-",(F9-E9)/ABS(E9)))</f>
        <v/>
      </c>
      <c r="H9" s="189">
        <f>IF(OR(B9=0,B9="",F9=""),"-",(F9/B9)^(1/4)-1)</f>
        <v/>
      </c>
      <c r="I9" s="77">
        <f>IF(G9="-","—",IF(G9&lt;-0.05,"↓ Baisse",IF(G9&gt;0.05,"↑ Hausse","→ Stable")))</f>
        <v/>
      </c>
      <c r="J9" s="868" t="n"/>
      <c r="K9" s="868" t="n"/>
      <c r="L9" s="868" t="n"/>
      <c r="M9" s="868" t="n"/>
      <c r="N9" s="868" t="n"/>
      <c r="O9" s="868" t="n"/>
    </row>
    <row r="10">
      <c r="A10" s="868" t="inlineStr">
        <is>
          <t>Scope 3 total (tCO2e)</t>
        </is>
      </c>
      <c r="B10" s="162" t="n"/>
      <c r="C10" s="162" t="n"/>
      <c r="D10" s="162" t="n"/>
      <c r="E10" s="162" t="n"/>
      <c r="F10" s="188">
        <f>Synthese_GES!C35</f>
        <v/>
      </c>
      <c r="G10" s="189">
        <f>IF(OR(E10=0,E10=""),"-",IF(F10="","-",(F10-E10)/ABS(E10)))</f>
        <v/>
      </c>
      <c r="H10" s="189">
        <f>IF(OR(B10=0,B10="",F10=""),"-",(F10/B10)^(1/4)-1)</f>
        <v/>
      </c>
      <c r="I10" s="77">
        <f>IF(G10="-","—",IF(G10&lt;-0.05,"↓ Baisse",IF(G10&gt;0.05,"↑ Hausse","→ Stable")))</f>
        <v/>
      </c>
      <c r="J10" s="868" t="n"/>
      <c r="K10" s="868" t="n"/>
      <c r="L10" s="868" t="n"/>
      <c r="M10" s="868" t="n"/>
      <c r="N10" s="868" t="n"/>
      <c r="O10" s="868" t="n"/>
    </row>
    <row r="11">
      <c r="A11" s="868" t="n"/>
      <c r="B11" s="120" t="n"/>
      <c r="C11" s="120" t="n"/>
      <c r="D11" s="120" t="n"/>
      <c r="E11" s="120" t="n"/>
      <c r="F11" s="181" t="n"/>
      <c r="G11" s="868" t="n"/>
      <c r="H11" s="868" t="n"/>
      <c r="I11" s="868" t="n"/>
      <c r="J11" s="868" t="n"/>
      <c r="K11" s="868" t="n"/>
      <c r="L11" s="868" t="n"/>
      <c r="M11" s="868" t="n"/>
      <c r="N11" s="868" t="n"/>
      <c r="O11" s="868" t="n"/>
    </row>
    <row r="12">
      <c r="A12" s="116" t="inlineStr">
        <is>
          <t>TOTAL (Scope 1+2LB+3) (tCO2e)</t>
        </is>
      </c>
      <c r="B12" s="190">
        <f>B7+B8+B10</f>
        <v/>
      </c>
      <c r="C12" s="190">
        <f>C7+C8+C10</f>
        <v/>
      </c>
      <c r="D12" s="190">
        <f>D7+D8+D10</f>
        <v/>
      </c>
      <c r="E12" s="190">
        <f>E7+E8+E10</f>
        <v/>
      </c>
      <c r="F12" s="191">
        <f>F7+F8+F10</f>
        <v/>
      </c>
      <c r="G12" s="192">
        <f>IF(OR(E12=0,E12=""),"-",IF(F12="","-",(F12-E12)/ABS(E12)))</f>
        <v/>
      </c>
      <c r="H12" s="192">
        <f>IF(OR(B12=0,B12="",F12=""),"-",(F12/B12)^(1/4)-1)</f>
        <v/>
      </c>
      <c r="I12" s="193">
        <f>IF(G12="-","—",IF(G12&lt;-0.05,"↓ Baisse",IF(G12&gt;0.05,"↑ Hausse","→ Stable")))</f>
        <v/>
      </c>
      <c r="J12" s="868" t="n"/>
      <c r="K12" s="868" t="n"/>
      <c r="L12" s="868" t="n"/>
      <c r="M12" s="868" t="n"/>
      <c r="N12" s="868" t="n"/>
      <c r="O12" s="868" t="n"/>
    </row>
    <row r="13" ht="8.1" customHeight="1" s="847">
      <c r="A13" s="868" t="n"/>
      <c r="B13" s="868" t="n"/>
      <c r="C13" s="868" t="n"/>
      <c r="D13" s="868" t="n"/>
      <c r="E13" s="868" t="n"/>
      <c r="F13" s="182" t="n"/>
      <c r="G13" s="868" t="n"/>
      <c r="H13" s="868" t="n"/>
      <c r="I13" s="868" t="n"/>
      <c r="J13" s="868" t="n"/>
      <c r="K13" s="868" t="n"/>
      <c r="L13" s="868" t="n"/>
      <c r="M13" s="868" t="n"/>
      <c r="N13" s="868" t="n"/>
      <c r="O13" s="868" t="n"/>
    </row>
    <row r="14">
      <c r="A14" s="183" t="inlineStr">
        <is>
          <t>Scope 3 par catégorie significative :</t>
        </is>
      </c>
      <c r="B14" s="868" t="n"/>
      <c r="C14" s="868" t="n"/>
      <c r="D14" s="868" t="n"/>
      <c r="E14" s="868" t="n"/>
      <c r="F14" s="182" t="n"/>
      <c r="G14" s="868" t="n"/>
      <c r="H14" s="868" t="n"/>
      <c r="I14" s="868" t="n"/>
      <c r="J14" s="868" t="n"/>
      <c r="K14" s="868" t="n"/>
      <c r="L14" s="868" t="n"/>
      <c r="M14" s="868" t="n"/>
      <c r="N14" s="868" t="n"/>
      <c r="O14" s="868" t="n"/>
    </row>
    <row r="15">
      <c r="A15" s="868" t="inlineStr">
        <is>
          <t xml:space="preserve">  Cat.1 — Achats biens et services</t>
        </is>
      </c>
      <c r="B15" s="162" t="n"/>
      <c r="C15" s="162" t="n"/>
      <c r="D15" s="162" t="n"/>
      <c r="E15" s="162" t="n"/>
      <c r="F15" s="188">
        <f>Synthese_GES!C20</f>
        <v/>
      </c>
      <c r="G15" s="189">
        <f>IF(OR(E15=0,E15=""),"-",IF(F15="","-",(F15-E15)/ABS(E15)))</f>
        <v/>
      </c>
      <c r="H15" s="189">
        <f>IF(OR(B15=0,B15="",F15=""),"-",(F15/B15)^(1/4)-1)</f>
        <v/>
      </c>
      <c r="I15" s="77">
        <f>IF(G15="-","—",IF(G15&lt;-0.05,"↓ Baisse",IF(G15&gt;0.05,"↑ Hausse","→ Stable")))</f>
        <v/>
      </c>
      <c r="J15" s="868" t="n"/>
      <c r="K15" s="868" t="n"/>
      <c r="L15" s="868" t="n"/>
      <c r="M15" s="868" t="n"/>
      <c r="N15" s="868" t="n"/>
      <c r="O15" s="868" t="n"/>
    </row>
    <row r="16">
      <c r="A16" s="868" t="inlineStr">
        <is>
          <t xml:space="preserve">  Cat.3 — Combustibles &amp; énergie (amont)</t>
        </is>
      </c>
      <c r="B16" s="162" t="n"/>
      <c r="C16" s="162" t="n"/>
      <c r="D16" s="162" t="n"/>
      <c r="E16" s="162" t="n"/>
      <c r="F16" s="188">
        <f>Synthese_GES!C22</f>
        <v/>
      </c>
      <c r="G16" s="189">
        <f>IF(OR(E16=0,E16=""),"-",IF(F16="","-",(F16-E16)/ABS(E16)))</f>
        <v/>
      </c>
      <c r="H16" s="189">
        <f>IF(OR(B16=0,B16="",F16=""),"-",(F16/B16)^(1/4)-1)</f>
        <v/>
      </c>
      <c r="I16" s="77">
        <f>IF(G16="-","—",IF(G16&lt;-0.05,"↓ Baisse",IF(G16&gt;0.05,"↑ Hausse","→ Stable")))</f>
        <v/>
      </c>
      <c r="J16" s="868" t="n"/>
      <c r="K16" s="868" t="n"/>
      <c r="L16" s="868" t="n"/>
      <c r="M16" s="868" t="n"/>
      <c r="N16" s="868" t="n"/>
      <c r="O16" s="868" t="n"/>
    </row>
    <row r="17">
      <c r="A17" s="868" t="inlineStr">
        <is>
          <t xml:space="preserve">  Cat.4 — Transport amont</t>
        </is>
      </c>
      <c r="B17" s="162" t="n"/>
      <c r="C17" s="162" t="n"/>
      <c r="D17" s="162" t="n"/>
      <c r="E17" s="162" t="n"/>
      <c r="F17" s="188">
        <f>Synthese_GES!C23</f>
        <v/>
      </c>
      <c r="G17" s="189">
        <f>IF(OR(E17=0,E17=""),"-",IF(F17="","-",(F17-E17)/ABS(E17)))</f>
        <v/>
      </c>
      <c r="H17" s="189">
        <f>IF(OR(B17=0,B17="",F17=""),"-",(F17/B17)^(1/4)-1)</f>
        <v/>
      </c>
      <c r="I17" s="77">
        <f>IF(G17="-","—",IF(G17&lt;-0.05,"↓ Baisse",IF(G17&gt;0.05,"↑ Hausse","→ Stable")))</f>
        <v/>
      </c>
      <c r="J17" s="868" t="n"/>
      <c r="K17" s="868" t="n"/>
      <c r="L17" s="868" t="n"/>
      <c r="M17" s="868" t="n"/>
      <c r="N17" s="868" t="n"/>
      <c r="O17" s="868" t="n"/>
    </row>
    <row r="18">
      <c r="A18" s="868" t="inlineStr">
        <is>
          <t xml:space="preserve">  Cat.6 — Déplacements professionnels</t>
        </is>
      </c>
      <c r="B18" s="162" t="n"/>
      <c r="C18" s="162" t="n"/>
      <c r="D18" s="162" t="n"/>
      <c r="E18" s="162" t="n"/>
      <c r="F18" s="188">
        <f>Synthese_GES!C25</f>
        <v/>
      </c>
      <c r="G18" s="189">
        <f>IF(OR(E18=0,E18=""),"-",IF(F18="","-",(F18-E18)/ABS(E18)))</f>
        <v/>
      </c>
      <c r="H18" s="189">
        <f>IF(OR(B18=0,B18="",F18=""),"-",(F18/B18)^(1/4)-1)</f>
        <v/>
      </c>
      <c r="I18" s="77">
        <f>IF(G18="-","—",IF(G18&lt;-0.05,"↓ Baisse",IF(G18&gt;0.05,"↑ Hausse","→ Stable")))</f>
        <v/>
      </c>
      <c r="J18" s="868" t="n"/>
      <c r="K18" s="868" t="n"/>
      <c r="L18" s="868" t="n"/>
      <c r="M18" s="868" t="n"/>
      <c r="N18" s="868" t="n"/>
      <c r="O18" s="868" t="n"/>
    </row>
    <row r="19">
      <c r="A19" s="868" t="inlineStr">
        <is>
          <t xml:space="preserve">  Cat.7 — Domicile-travail</t>
        </is>
      </c>
      <c r="B19" s="162" t="n"/>
      <c r="C19" s="162" t="n"/>
      <c r="D19" s="162" t="n"/>
      <c r="E19" s="162" t="n"/>
      <c r="F19" s="188">
        <f>Synthese_GES!C26</f>
        <v/>
      </c>
      <c r="G19" s="189">
        <f>IF(OR(E19=0,E19=""),"-",IF(F19="","-",(F19-E19)/ABS(E19)))</f>
        <v/>
      </c>
      <c r="H19" s="189">
        <f>IF(OR(B19=0,B19="",F19=""),"-",(F19/B19)^(1/4)-1)</f>
        <v/>
      </c>
      <c r="I19" s="77">
        <f>IF(G19="-","—",IF(G19&lt;-0.05,"↓ Baisse",IF(G19&gt;0.05,"↑ Hausse","→ Stable")))</f>
        <v/>
      </c>
      <c r="J19" s="868" t="n"/>
      <c r="K19" s="868" t="n"/>
      <c r="L19" s="868" t="n"/>
      <c r="M19" s="868" t="n"/>
      <c r="N19" s="868" t="n"/>
      <c r="O19" s="868" t="n"/>
    </row>
    <row r="20" ht="8.1" customHeight="1" s="847">
      <c r="A20" s="868" t="n"/>
      <c r="B20" s="868" t="n"/>
      <c r="C20" s="868" t="n"/>
      <c r="D20" s="868" t="n"/>
      <c r="E20" s="868" t="n"/>
      <c r="F20" s="182" t="n"/>
      <c r="G20" s="868" t="n"/>
      <c r="H20" s="868" t="n"/>
      <c r="I20" s="868" t="n"/>
      <c r="J20" s="868" t="n"/>
      <c r="K20" s="868" t="n"/>
      <c r="L20" s="868" t="n"/>
      <c r="M20" s="868" t="n"/>
      <c r="N20" s="868" t="n"/>
      <c r="O20" s="868" t="n"/>
    </row>
    <row r="21">
      <c r="A21" s="868" t="inlineStr">
        <is>
          <t>Intensité / CA (tCO2e/M€)</t>
        </is>
      </c>
      <c r="B21" s="184" t="n"/>
      <c r="C21" s="184" t="n"/>
      <c r="D21" s="184" t="n"/>
      <c r="E21" s="184" t="n"/>
      <c r="F21" s="194">
        <f>Synthese_GES!C50</f>
        <v/>
      </c>
      <c r="G21" s="189">
        <f>IF(OR(E21=0,E21=""),"-",IF(F21="","-",(F21-E21)/ABS(E21)))</f>
        <v/>
      </c>
      <c r="H21" s="189">
        <f>IF(OR(B21=0,B21="",F21=""),"-",(F21/B21)^(1/4)-1)</f>
        <v/>
      </c>
      <c r="I21" s="77">
        <f>IF(G21="-","—",IF(G21&lt;-0.05,"↓ Baisse",IF(G21&gt;0.05,"↑ Hausse","→ Stable")))</f>
        <v/>
      </c>
      <c r="J21" s="868" t="n"/>
      <c r="K21" s="868" t="n"/>
      <c r="L21" s="868" t="n"/>
      <c r="M21" s="868" t="n"/>
      <c r="N21" s="868" t="n"/>
      <c r="O21" s="868" t="n"/>
    </row>
    <row r="22">
      <c r="A22" s="868" t="inlineStr">
        <is>
          <t>Intensité / salarié (tCO2e/ETP)</t>
        </is>
      </c>
      <c r="B22" s="184" t="n"/>
      <c r="C22" s="184" t="n"/>
      <c r="D22" s="184" t="n"/>
      <c r="E22" s="184" t="n"/>
      <c r="F22" s="194">
        <f>Synthese_GES!C51</f>
        <v/>
      </c>
      <c r="G22" s="189">
        <f>IF(OR(E22=0,E22=""),"-",IF(F22="","-",(F22-E22)/ABS(E22)))</f>
        <v/>
      </c>
      <c r="H22" s="189">
        <f>IF(OR(B22=0,B22="",F22=""),"-",(F22/B22)^(1/4)-1)</f>
        <v/>
      </c>
      <c r="I22" s="77">
        <f>IF(G22="-","—",IF(G22&lt;-0.05,"↓ Baisse",IF(G22&gt;0.05,"↑ Hausse","→ Stable")))</f>
        <v/>
      </c>
      <c r="J22" s="868" t="n"/>
      <c r="K22" s="868" t="n"/>
      <c r="L22" s="868" t="n"/>
      <c r="M22" s="868" t="n"/>
      <c r="N22" s="868" t="n"/>
      <c r="O22" s="868" t="n"/>
    </row>
    <row r="23" ht="8.1" customHeight="1" s="847">
      <c r="A23" s="868" t="n"/>
      <c r="B23" s="868" t="n"/>
      <c r="C23" s="868" t="n"/>
      <c r="D23" s="868" t="n"/>
      <c r="E23" s="868" t="n"/>
      <c r="F23" s="182" t="n"/>
      <c r="G23" s="868" t="n"/>
      <c r="H23" s="868" t="n"/>
      <c r="I23" s="868" t="n"/>
      <c r="J23" s="868" t="n"/>
      <c r="K23" s="868" t="n"/>
      <c r="L23" s="868" t="n"/>
      <c r="M23" s="868" t="n"/>
      <c r="N23" s="868" t="n"/>
      <c r="O23" s="868" t="n"/>
    </row>
    <row r="24">
      <c r="A24" s="868" t="inlineStr">
        <is>
          <t>Chiffre d'affaires (M€)</t>
        </is>
      </c>
      <c r="B24" s="163" t="n"/>
      <c r="C24" s="163" t="n"/>
      <c r="D24" s="163" t="n"/>
      <c r="E24" s="163" t="n"/>
      <c r="F24" s="195">
        <f>Paramètres!B9/1000000</f>
        <v/>
      </c>
      <c r="G24" s="189">
        <f>IF(OR(E24=0,E24=""),"-",IF(F24="","-",(F24-E24)/ABS(E24)))</f>
        <v/>
      </c>
      <c r="H24" s="189">
        <f>IF(OR(B24=0,B24="",F24=""),"-",(F24/B24)^(1/4)-1)</f>
        <v/>
      </c>
      <c r="I24" s="77">
        <f>IF(G24="-","—",IF(G24&lt;-0.05,"↓ Baisse",IF(G24&gt;0.05,"↑ Hausse","→ Stable")))</f>
        <v/>
      </c>
      <c r="J24" s="868" t="n"/>
      <c r="K24" s="868" t="n"/>
      <c r="L24" s="868" t="n"/>
      <c r="M24" s="868" t="n"/>
      <c r="N24" s="868" t="n"/>
      <c r="O24" s="868" t="n"/>
    </row>
    <row r="25">
      <c r="A25" s="868" t="inlineStr">
        <is>
          <t>Effectifs (ETP)</t>
        </is>
      </c>
      <c r="B25" s="162" t="n"/>
      <c r="C25" s="162" t="n"/>
      <c r="D25" s="162" t="n"/>
      <c r="E25" s="162" t="n"/>
      <c r="F25" s="188">
        <f>Paramètres!B11</f>
        <v/>
      </c>
      <c r="G25" s="189">
        <f>IF(OR(E25=0,E25=""),"-",IF(F25="","-",(F25-E25)/ABS(E25)))</f>
        <v/>
      </c>
      <c r="H25" s="189">
        <f>IF(OR(B25=0,B25="",F25=""),"-",(F25/B25)^(1/4)-1)</f>
        <v/>
      </c>
      <c r="I25" s="77">
        <f>IF(G25="-","—",IF(G25&lt;-0.05,"↓ Baisse",IF(G25&gt;0.05,"↑ Hausse","→ Stable")))</f>
        <v/>
      </c>
      <c r="J25" s="868" t="n"/>
      <c r="K25" s="868" t="n"/>
      <c r="L25" s="868" t="n"/>
      <c r="M25" s="868" t="n"/>
      <c r="N25" s="868" t="n"/>
      <c r="O25" s="868" t="n"/>
    </row>
    <row r="26" ht="15" customHeight="1" s="847">
      <c r="A26" s="868" t="n"/>
      <c r="B26" s="868" t="n"/>
      <c r="C26" s="868" t="n"/>
      <c r="D26" s="868" t="n"/>
      <c r="E26" s="868" t="n"/>
      <c r="F26" s="868" t="n"/>
      <c r="G26" s="868" t="n"/>
      <c r="H26" s="868" t="n"/>
      <c r="I26" s="868" t="n"/>
      <c r="J26" s="868" t="n"/>
      <c r="K26" s="868" t="n"/>
      <c r="L26" s="868" t="n"/>
      <c r="M26" s="868" t="n"/>
      <c r="N26" s="868" t="n"/>
      <c r="O26" s="868" t="n"/>
    </row>
    <row r="27" ht="24.95" customHeight="1" s="847">
      <c r="A27" s="917" t="inlineStr">
        <is>
          <t>REBASEMENT DE L'ANNÉE DE RÉFÉRENCE (ESRS E1-4 §37-38)</t>
        </is>
      </c>
      <c r="B27" s="868" t="n"/>
      <c r="C27" s="868" t="n"/>
      <c r="D27" s="868" t="n"/>
      <c r="E27" s="868" t="n"/>
      <c r="F27" s="868" t="n"/>
      <c r="G27" s="868" t="n"/>
      <c r="H27" s="868" t="n"/>
      <c r="I27" s="868" t="n"/>
      <c r="J27" s="868" t="n"/>
      <c r="K27" s="868" t="n"/>
      <c r="L27" s="868" t="n"/>
      <c r="M27" s="868" t="n"/>
      <c r="N27" s="868" t="n"/>
      <c r="O27" s="868" t="n"/>
    </row>
    <row r="28">
      <c r="A28" s="918" t="inlineStr">
        <is>
          <t>Un rebasement est requis en cas d'acquisition/cession significative (&gt;5% des émissions), changement méthodologique, ou correction d'erreur matérielle.</t>
        </is>
      </c>
      <c r="B28" s="868" t="n"/>
      <c r="C28" s="868" t="n"/>
      <c r="D28" s="868" t="n"/>
      <c r="E28" s="868" t="n"/>
      <c r="F28" s="868" t="n"/>
      <c r="G28" s="868" t="n"/>
      <c r="H28" s="868" t="n"/>
      <c r="I28" s="868" t="n"/>
      <c r="J28" s="868" t="n"/>
      <c r="K28" s="868" t="n"/>
      <c r="L28" s="868" t="n"/>
      <c r="M28" s="868" t="n"/>
      <c r="N28" s="868" t="n"/>
      <c r="O28" s="868" t="n"/>
    </row>
    <row r="29">
      <c r="A29" s="868" t="n"/>
      <c r="B29" s="868" t="n"/>
      <c r="C29" s="868" t="n"/>
      <c r="D29" s="868" t="n"/>
      <c r="E29" s="868" t="n"/>
      <c r="F29" s="868" t="n"/>
      <c r="G29" s="868" t="n"/>
      <c r="H29" s="868" t="n"/>
      <c r="I29" s="868" t="n"/>
      <c r="J29" s="868" t="n"/>
      <c r="K29" s="868" t="n"/>
      <c r="L29" s="868" t="n"/>
      <c r="M29" s="868" t="n"/>
      <c r="N29" s="868" t="n"/>
      <c r="O29" s="868" t="n"/>
    </row>
    <row r="30">
      <c r="A30" s="868" t="n"/>
      <c r="B30" s="185" t="inlineStr">
        <is>
          <t>Champ</t>
        </is>
      </c>
      <c r="C30" s="185" t="inlineStr">
        <is>
          <t>Valeur</t>
        </is>
      </c>
      <c r="D30" s="185" t="inlineStr">
        <is>
          <t>Instruction</t>
        </is>
      </c>
      <c r="E30" s="868" t="n"/>
      <c r="F30" s="868" t="n"/>
      <c r="G30" s="868" t="n"/>
      <c r="H30" s="868" t="n"/>
      <c r="I30" s="868" t="n"/>
      <c r="J30" s="868" t="n"/>
      <c r="K30" s="868" t="n"/>
      <c r="L30" s="868" t="n"/>
      <c r="M30" s="868" t="n"/>
      <c r="N30" s="868" t="n"/>
      <c r="O30" s="868" t="n"/>
    </row>
    <row r="31">
      <c r="A31" s="868" t="n"/>
      <c r="B31" s="868" t="inlineStr">
        <is>
          <t>Rebasement effectué cette année ?</t>
        </is>
      </c>
      <c r="C31" s="164" t="n"/>
      <c r="D31" s="121" t="inlineStr">
        <is>
          <t>Répondre OUI ou NON</t>
        </is>
      </c>
      <c r="E31" s="868" t="n"/>
      <c r="F31" s="868" t="n"/>
      <c r="G31" s="868" t="n"/>
      <c r="H31" s="868" t="n"/>
      <c r="I31" s="868" t="n"/>
      <c r="J31" s="868" t="n"/>
      <c r="K31" s="868" t="n"/>
      <c r="L31" s="868" t="n"/>
      <c r="M31" s="868" t="n"/>
      <c r="N31" s="868" t="n"/>
      <c r="O31" s="868" t="n"/>
    </row>
    <row r="32">
      <c r="A32" s="868" t="n"/>
      <c r="B32" s="868" t="inlineStr">
        <is>
          <t>Motif du rebasement</t>
        </is>
      </c>
      <c r="C32" s="164" t="n"/>
      <c r="D32" s="121" t="inlineStr">
        <is>
          <t>Acquisition / Cession / Changement méthodologique / Correction erreur</t>
        </is>
      </c>
      <c r="E32" s="868" t="n"/>
      <c r="F32" s="868" t="n"/>
      <c r="G32" s="868" t="n"/>
      <c r="H32" s="868" t="n"/>
      <c r="I32" s="868" t="n"/>
      <c r="J32" s="868" t="n"/>
      <c r="K32" s="868" t="n"/>
      <c r="L32" s="868" t="n"/>
      <c r="M32" s="868" t="n"/>
      <c r="N32" s="868" t="n"/>
      <c r="O32" s="868" t="n"/>
    </row>
    <row r="33">
      <c r="A33" s="868" t="n"/>
      <c r="B33" s="868" t="inlineStr">
        <is>
          <t>Description narrative</t>
        </is>
      </c>
      <c r="C33" s="164" t="n"/>
      <c r="D33" s="121" t="inlineStr">
        <is>
          <t>Détailler le changement et son contexte</t>
        </is>
      </c>
      <c r="E33" s="868" t="n"/>
      <c r="F33" s="868" t="n"/>
      <c r="G33" s="868" t="n"/>
      <c r="H33" s="868" t="n"/>
      <c r="I33" s="868" t="n"/>
      <c r="J33" s="868" t="n"/>
      <c r="K33" s="868" t="n"/>
      <c r="L33" s="868" t="n"/>
      <c r="M33" s="868" t="n"/>
      <c r="N33" s="868" t="n"/>
      <c r="O33" s="868" t="n"/>
    </row>
    <row r="34">
      <c r="A34" s="868" t="n"/>
      <c r="B34" s="868" t="inlineStr">
        <is>
          <t>Émissions baseline AVANT rebasement (tCO2e)</t>
        </is>
      </c>
      <c r="C34" s="162" t="n">
        <v>0</v>
      </c>
      <c r="D34" s="121" t="inlineStr">
        <is>
          <t>Total S1+2+3 de l'ancienne baseline</t>
        </is>
      </c>
      <c r="E34" s="868" t="n"/>
      <c r="F34" s="868" t="n"/>
      <c r="G34" s="868" t="n"/>
      <c r="H34" s="868" t="n"/>
      <c r="I34" s="868" t="n"/>
      <c r="J34" s="868" t="n"/>
      <c r="K34" s="868" t="n"/>
      <c r="L34" s="868" t="n"/>
      <c r="M34" s="868" t="n"/>
      <c r="N34" s="868" t="n"/>
      <c r="O34" s="868" t="n"/>
    </row>
    <row r="35">
      <c r="A35" s="868" t="n"/>
      <c r="B35" s="868" t="inlineStr">
        <is>
          <t>Émissions baseline APRÈS rebasement (tCO2e)</t>
        </is>
      </c>
      <c r="C35" s="162" t="n">
        <v>0</v>
      </c>
      <c r="D35" s="121" t="inlineStr">
        <is>
          <t>Total S1+2+3 de la nouvelle baseline</t>
        </is>
      </c>
      <c r="E35" s="868" t="n"/>
      <c r="F35" s="868" t="n"/>
      <c r="G35" s="868" t="n"/>
      <c r="H35" s="868" t="n"/>
      <c r="I35" s="868" t="n"/>
      <c r="J35" s="868" t="n"/>
      <c r="K35" s="868" t="n"/>
      <c r="L35" s="868" t="n"/>
      <c r="M35" s="868" t="n"/>
      <c r="N35" s="868" t="n"/>
      <c r="O35" s="868" t="n"/>
    </row>
    <row r="36">
      <c r="A36" s="868" t="n"/>
      <c r="B36" s="868" t="inlineStr">
        <is>
          <t>Impact quantitatif du rebasement (tCO2e)</t>
        </is>
      </c>
      <c r="C36" s="35">
        <f>C35-C34</f>
        <v/>
      </c>
      <c r="D36" s="174">
        <f t="array" ref="D36"> Après - Avant</f>
        <v/>
      </c>
      <c r="E36" s="868" t="n"/>
      <c r="F36" s="868" t="n"/>
      <c r="G36" s="868" t="n"/>
      <c r="H36" s="868" t="n"/>
      <c r="I36" s="868" t="n"/>
      <c r="J36" s="868" t="n"/>
      <c r="K36" s="868" t="n"/>
      <c r="L36" s="868" t="n"/>
      <c r="M36" s="868" t="n"/>
      <c r="N36" s="868" t="n"/>
      <c r="O36" s="868" t="n"/>
    </row>
    <row r="37">
      <c r="A37" s="868" t="n"/>
      <c r="B37" s="868" t="inlineStr">
        <is>
          <t>Impact en % de la baseline</t>
        </is>
      </c>
      <c r="C37" s="995">
        <f>IF(C34=0,0,C36/C34)</f>
        <v/>
      </c>
      <c r="D37" s="174">
        <f t="array" ref="D37"> Impact / Avant</f>
        <v/>
      </c>
      <c r="E37" s="868" t="n"/>
      <c r="F37" s="868" t="n"/>
      <c r="G37" s="868" t="n"/>
      <c r="H37" s="868" t="n"/>
      <c r="I37" s="868" t="n"/>
      <c r="J37" s="868" t="n"/>
      <c r="K37" s="868" t="n"/>
      <c r="L37" s="868" t="n"/>
      <c r="M37" s="868" t="n"/>
      <c r="N37" s="868" t="n"/>
      <c r="O37" s="868" t="n"/>
    </row>
    <row r="38" ht="15" customHeight="1" s="847">
      <c r="A38" s="868" t="n"/>
      <c r="B38" s="868" t="n"/>
      <c r="C38" s="868" t="n"/>
      <c r="D38" s="868" t="n"/>
      <c r="E38" s="868" t="n"/>
      <c r="F38" s="868" t="n"/>
      <c r="G38" s="868" t="n"/>
      <c r="H38" s="868" t="n"/>
      <c r="I38" s="868" t="n"/>
      <c r="J38" s="868" t="n"/>
      <c r="K38" s="868" t="n"/>
      <c r="L38" s="868" t="n"/>
      <c r="M38" s="868" t="n"/>
      <c r="N38" s="868" t="n"/>
      <c r="O38" s="868" t="n"/>
    </row>
    <row r="39">
      <c r="A39" s="140" t="inlineStr">
        <is>
          <t>RÉFÉRENCES RÉGLEMENTAIRES</t>
        </is>
      </c>
      <c r="B39" s="141" t="n"/>
      <c r="C39" s="141" t="n"/>
      <c r="D39" s="141" t="n"/>
      <c r="E39" s="141" t="n"/>
      <c r="F39" s="141" t="n"/>
      <c r="G39" s="141" t="n"/>
      <c r="H39" s="141" t="n"/>
      <c r="I39" s="141" t="n"/>
      <c r="J39" s="868" t="n"/>
      <c r="K39" s="868" t="n"/>
      <c r="L39" s="868" t="n"/>
      <c r="M39" s="868" t="n"/>
      <c r="N39" s="868" t="n"/>
      <c r="O39" s="868" t="n"/>
    </row>
    <row r="40">
      <c r="A40" s="144" t="inlineStr">
        <is>
          <t>ESRS E1-6 §48 : L'entreprise présente ses émissions brutes de GES pour l'exercice et les exercices précédents comparables.</t>
        </is>
      </c>
      <c r="B40" s="868" t="n"/>
      <c r="C40" s="868" t="n"/>
      <c r="D40" s="868" t="n"/>
      <c r="E40" s="868" t="n"/>
      <c r="F40" s="868" t="n"/>
      <c r="G40" s="868" t="n"/>
      <c r="H40" s="868" t="n"/>
      <c r="I40" s="868" t="n"/>
      <c r="J40" s="868" t="n"/>
      <c r="K40" s="868" t="n"/>
      <c r="L40" s="868" t="n"/>
      <c r="M40" s="868" t="n"/>
      <c r="N40" s="868" t="n"/>
      <c r="O40" s="868" t="n"/>
    </row>
    <row r="41">
      <c r="A41" s="144" t="inlineStr">
        <is>
          <t>ESRS 2 BP-2 §27-33 : Comparabilité — les informations doivent être présentées pour la période courante et au moins la période comparative précédente.</t>
        </is>
      </c>
      <c r="B41" s="868" t="n"/>
      <c r="C41" s="868" t="n"/>
      <c r="D41" s="868" t="n"/>
      <c r="E41" s="868" t="n"/>
      <c r="F41" s="868" t="n"/>
      <c r="G41" s="868" t="n"/>
      <c r="H41" s="868" t="n"/>
      <c r="I41" s="868" t="n"/>
      <c r="J41" s="868" t="n"/>
      <c r="K41" s="868" t="n"/>
      <c r="L41" s="868" t="n"/>
      <c r="M41" s="868" t="n"/>
      <c r="N41" s="868" t="n"/>
      <c r="O41" s="868" t="n"/>
    </row>
    <row r="42">
      <c r="A42" s="144" t="inlineStr">
        <is>
          <t>ESRS E1-4 §37-38 : L'entreprise recalcule les données de l'année de référence si des changements structurels significatifs surviennent.</t>
        </is>
      </c>
      <c r="B42" s="868" t="n"/>
      <c r="C42" s="868" t="n"/>
      <c r="D42" s="868" t="n"/>
      <c r="E42" s="868" t="n"/>
      <c r="F42" s="868" t="n"/>
      <c r="G42" s="868" t="n"/>
      <c r="H42" s="868" t="n"/>
      <c r="I42" s="868" t="n"/>
      <c r="J42" s="868" t="n"/>
      <c r="K42" s="868" t="n"/>
      <c r="L42" s="868" t="n"/>
      <c r="M42" s="868" t="n"/>
      <c r="N42" s="868" t="n"/>
      <c r="O42" s="868" t="n"/>
    </row>
    <row r="43">
      <c r="A43" s="144" t="inlineStr">
        <is>
          <t>GHG Protocol §5.5 : Recalculation policy — entreprises doivent définir un seuil de significativité pour le rebasement (typiquement 5%).</t>
        </is>
      </c>
      <c r="B43" s="868" t="n"/>
      <c r="C43" s="868" t="n"/>
      <c r="D43" s="868" t="n"/>
      <c r="E43" s="868" t="n"/>
      <c r="F43" s="868" t="n"/>
      <c r="G43" s="868" t="n"/>
      <c r="H43" s="868" t="n"/>
      <c r="I43" s="868" t="n"/>
      <c r="J43" s="868" t="n"/>
      <c r="K43" s="868" t="n"/>
      <c r="L43" s="868" t="n"/>
      <c r="M43" s="868" t="n"/>
      <c r="N43" s="868" t="n"/>
      <c r="O43" s="868" t="n"/>
    </row>
  </sheetData>
  <sheetProtection selectLockedCells="0" selectUnlockedCells="0" sheet="1" objects="1" insertRows="1" insertHyperlinks="1" autoFilter="0" scenarios="1" formatColumns="0" deleteColumns="1" insertColumns="1" pivotTables="1" deleteRows="1" formatCells="0" formatRows="0" sort="0"/>
  <mergeCells count="4">
    <mergeCell ref="A1:I1"/>
    <mergeCell ref="A28:I28"/>
    <mergeCell ref="A27:I27"/>
    <mergeCell ref="A2:I2"/>
  </mergeCells>
  <dataValidations count="2">
    <dataValidation sqref="C31" showDropDown="0" showInputMessage="1" showErrorMessage="1" allowBlank="1" type="list">
      <formula1>"OUI,NON"</formula1>
    </dataValidation>
    <dataValidation sqref="C32" showDropDown="0" showInputMessage="1" showErrorMessage="1" allowBlank="1" type="list">
      <formula1>"Acquisition,Cession,Changement méthodologique,Correction erreur,Autre"</formula1>
    </dataValidation>
  </dataValidations>
  <hyperlinks>
    <hyperlink ref="N1" location="Sommaire!A1" display="🏠 Sommaire"/>
    <hyperlink ref="O1" location="Couverture!A1" display="📄 Couverture"/>
  </hyperlinks>
  <pageMargins left="0.7" right="0.7" top="0.75" bottom="0.75" header="0.3" footer="0.3"/>
</worksheet>
</file>

<file path=xl/worksheets/sheet24.xml><?xml version="1.0" encoding="utf-8"?>
<worksheet xmlns="http://schemas.openxmlformats.org/spreadsheetml/2006/main">
  <sheetPr>
    <tabColor theme="2" tint="-0.499984740745262"/>
    <outlinePr summaryBelow="1" summaryRight="1"/>
    <pageSetUpPr/>
  </sheetPr>
  <dimension ref="A1:N38"/>
  <sheetViews>
    <sheetView showGridLines="0" workbookViewId="0">
      <pane ySplit="8" topLeftCell="A9" activePane="bottomLeft" state="frozen"/>
      <selection pane="bottomLeft" activeCell="F5" sqref="F5"/>
    </sheetView>
  </sheetViews>
  <sheetFormatPr baseColWidth="10" defaultRowHeight="15"/>
  <cols>
    <col width="8.5703125" customWidth="1" style="847" min="1" max="1"/>
    <col width="35.28515625" customWidth="1" style="847" min="2" max="2"/>
    <col width="47.5703125" customWidth="1" style="847" min="3" max="3"/>
    <col width="15.28515625" customWidth="1" style="847" min="4" max="6"/>
    <col width="41.85546875" customWidth="1" style="847" min="7" max="7"/>
    <col width="13.28515625" customWidth="1" style="847" min="14" max="14"/>
  </cols>
  <sheetData>
    <row r="1" ht="30" customHeight="1" s="847">
      <c r="A1" s="919" t="inlineStr">
        <is>
          <t>CONTRÔLES QUALITÉ AUTOMATIQUES — AUDIT READINESS</t>
        </is>
      </c>
      <c r="B1" s="868" t="n"/>
      <c r="C1" s="868" t="n"/>
      <c r="D1" s="868" t="n"/>
      <c r="E1" s="868" t="n"/>
      <c r="F1" s="868" t="n"/>
      <c r="G1" s="868" t="n"/>
      <c r="H1" s="868" t="n"/>
      <c r="I1" s="868" t="n"/>
      <c r="J1" s="868" t="n"/>
      <c r="K1" s="868" t="n"/>
      <c r="L1" s="868" t="n"/>
      <c r="M1" s="868" t="n"/>
      <c r="N1" s="196" t="inlineStr">
        <is>
          <t>🏠 Sommaire</t>
        </is>
      </c>
    </row>
    <row r="2">
      <c r="A2" s="920" t="inlineStr">
        <is>
          <t>30 contrôles automatiques pour préparer l'assurance limitée / raisonnable CSRD. ✓ = OK | ✗ = Erreur à corriger | ⚠ = Avertissement</t>
        </is>
      </c>
      <c r="B2" s="868" t="n"/>
      <c r="C2" s="868" t="n"/>
      <c r="D2" s="868" t="n"/>
      <c r="E2" s="868" t="n"/>
      <c r="F2" s="868" t="n"/>
      <c r="G2" s="868" t="n"/>
      <c r="H2" s="868" t="n"/>
      <c r="I2" s="868" t="n"/>
      <c r="J2" s="868" t="n"/>
      <c r="K2" s="868" t="n"/>
      <c r="L2" s="868" t="n"/>
      <c r="M2" s="868" t="n"/>
      <c r="N2" s="868" t="n"/>
    </row>
    <row r="3" ht="8.1" customHeight="1" s="847">
      <c r="A3" s="868" t="n"/>
      <c r="B3" s="868" t="n"/>
      <c r="C3" s="868" t="n"/>
      <c r="D3" s="868" t="n"/>
      <c r="E3" s="868" t="n"/>
      <c r="F3" s="868" t="n"/>
      <c r="G3" s="868" t="n"/>
      <c r="H3" s="868" t="n"/>
      <c r="I3" s="868" t="n"/>
      <c r="J3" s="868" t="n"/>
      <c r="K3" s="868" t="n"/>
      <c r="L3" s="868" t="n"/>
      <c r="M3" s="868" t="n"/>
      <c r="N3" s="868" t="n"/>
    </row>
    <row r="4" ht="21.95" customHeight="1" s="847">
      <c r="A4" s="197" t="inlineStr">
        <is>
          <t>SYNTHÈSE</t>
        </is>
      </c>
      <c r="B4" s="865" t="n"/>
      <c r="C4" s="865" t="n"/>
      <c r="D4" s="865" t="n"/>
      <c r="E4" s="865" t="n"/>
      <c r="F4" s="865" t="n"/>
      <c r="G4" s="865" t="n"/>
      <c r="H4" s="868" t="n"/>
      <c r="I4" s="868" t="n"/>
      <c r="J4" s="868" t="n"/>
      <c r="K4" s="868" t="n"/>
      <c r="L4" s="868" t="n"/>
      <c r="M4" s="868" t="n"/>
      <c r="N4" s="868" t="n"/>
    </row>
    <row r="5" ht="27.95" customHeight="1" s="847">
      <c r="A5" s="198" t="inlineStr">
        <is>
          <t>✓ OK</t>
        </is>
      </c>
      <c r="B5" s="213">
        <f>COUNTIF(F9:F50,"✓ OK")</f>
        <v/>
      </c>
      <c r="C5" s="199" t="inlineStr">
        <is>
          <t>⚠ Avertissement</t>
        </is>
      </c>
      <c r="D5" s="214">
        <f>COUNTIF(F9:F50,"⚠*")</f>
        <v/>
      </c>
      <c r="E5" s="200" t="inlineStr">
        <is>
          <t>✗ ERREUR</t>
        </is>
      </c>
      <c r="F5" s="215">
        <f>COUNTIF(F9:F50,"✗*")</f>
        <v/>
      </c>
      <c r="G5" s="868" t="n"/>
      <c r="H5" s="868" t="n"/>
      <c r="I5" s="868" t="n"/>
      <c r="J5" s="868" t="n"/>
      <c r="K5" s="868" t="n"/>
      <c r="L5" s="868" t="n"/>
      <c r="M5" s="868" t="n"/>
      <c r="N5" s="868" t="n"/>
    </row>
    <row r="6" ht="5.1" customHeight="1" s="847">
      <c r="A6" s="865" t="n"/>
      <c r="B6" s="865" t="n"/>
      <c r="C6" s="865" t="n"/>
      <c r="D6" s="865" t="n"/>
      <c r="E6" s="865" t="n"/>
      <c r="F6" s="865" t="n"/>
      <c r="G6" s="865" t="n"/>
      <c r="H6" s="868" t="n"/>
      <c r="I6" s="868" t="n"/>
      <c r="J6" s="868" t="n"/>
      <c r="K6" s="868" t="n"/>
      <c r="L6" s="868" t="n"/>
      <c r="M6" s="868" t="n"/>
      <c r="N6" s="868" t="n"/>
    </row>
    <row r="7" ht="9.949999999999999" customHeight="1" s="847">
      <c r="A7" s="868" t="n"/>
      <c r="B7" s="868" t="n"/>
      <c r="C7" s="868" t="n"/>
      <c r="D7" s="868" t="n"/>
      <c r="E7" s="868" t="n"/>
      <c r="F7" s="868" t="n"/>
      <c r="G7" s="868" t="n"/>
      <c r="H7" s="868" t="n"/>
      <c r="I7" s="868" t="n"/>
      <c r="J7" s="868" t="n"/>
      <c r="K7" s="868" t="n"/>
      <c r="L7" s="868" t="n"/>
      <c r="M7" s="868" t="n"/>
      <c r="N7" s="868" t="n"/>
    </row>
    <row r="8" ht="32.1" customHeight="1" s="847" thickBot="1">
      <c r="A8" s="114" t="inlineStr">
        <is>
          <t>ID</t>
        </is>
      </c>
      <c r="B8" s="114" t="inlineStr">
        <is>
          <t>Nom du contrôle</t>
        </is>
      </c>
      <c r="C8" s="114" t="inlineStr">
        <is>
          <t>Description / Règle</t>
        </is>
      </c>
      <c r="D8" s="114" t="inlineStr">
        <is>
          <t>Criticité</t>
        </is>
      </c>
      <c r="E8" s="114" t="inlineStr">
        <is>
          <t>Résultat test</t>
        </is>
      </c>
      <c r="F8" s="114" t="inlineStr">
        <is>
          <t>Statut</t>
        </is>
      </c>
      <c r="G8" s="114" t="inlineStr">
        <is>
          <t>Action recommandée</t>
        </is>
      </c>
      <c r="H8" s="868" t="n"/>
      <c r="I8" s="868" t="n"/>
      <c r="J8" s="868" t="n"/>
      <c r="K8" s="868" t="n"/>
      <c r="L8" s="868" t="n"/>
      <c r="M8" s="868" t="n"/>
      <c r="N8" s="868" t="n"/>
    </row>
    <row r="9" ht="24" customHeight="1" s="847">
      <c r="A9" s="143" t="inlineStr">
        <is>
          <t>C001</t>
        </is>
      </c>
      <c r="B9" s="201" t="inlineStr">
        <is>
          <t>Raison sociale renseignée</t>
        </is>
      </c>
      <c r="C9" s="121" t="inlineStr">
        <is>
          <t>Paramètres!B4 ne doit pas être vide</t>
        </is>
      </c>
      <c r="D9" s="202" t="inlineStr">
        <is>
          <t>Bloquant</t>
        </is>
      </c>
      <c r="E9" s="216">
        <f>Paramètres!B4&lt;&gt;""</f>
        <v/>
      </c>
      <c r="F9" s="217">
        <f>IF(E9=TRUE,"✓ OK",IF(D9="Info","⚠ Info",IF(D9="Avertissement","⚠ Alerte","✗ ERREUR")))</f>
        <v/>
      </c>
      <c r="G9" s="203" t="inlineStr">
        <is>
          <t>Compléter Paramètres!B4</t>
        </is>
      </c>
      <c r="H9" s="868" t="n"/>
      <c r="I9" s="868" t="n"/>
      <c r="J9" s="868" t="n"/>
      <c r="K9" s="868" t="n"/>
      <c r="L9" s="868" t="n"/>
      <c r="M9" s="868" t="n"/>
      <c r="N9" s="868" t="n"/>
    </row>
    <row r="10" ht="24" customHeight="1" s="847">
      <c r="A10" s="204" t="inlineStr">
        <is>
          <t>C002</t>
        </is>
      </c>
      <c r="B10" s="205" t="inlineStr">
        <is>
          <t>Année reporting valide</t>
        </is>
      </c>
      <c r="C10" s="206" t="inlineStr">
        <is>
          <t>Paramètres!B7 entre 2020 et 2035</t>
        </is>
      </c>
      <c r="D10" s="207" t="inlineStr">
        <is>
          <t>Bloquant</t>
        </is>
      </c>
      <c r="E10" s="218">
        <f>AND(Paramètres!B7&gt;=2020,Paramètres!B7&lt;=2035)</f>
        <v/>
      </c>
      <c r="F10" s="219">
        <f>IF(E10=TRUE,"✓ OK",IF(D10="Info","⚠ Info",IF(D10="Avertissement","⚠ Alerte","✗ ERREUR")))</f>
        <v/>
      </c>
      <c r="G10" s="208" t="inlineStr">
        <is>
          <t>Corriger l'année dans Paramètres!B7</t>
        </is>
      </c>
      <c r="H10" s="868" t="n"/>
      <c r="I10" s="868" t="n"/>
      <c r="J10" s="868" t="n"/>
      <c r="K10" s="868" t="n"/>
      <c r="L10" s="868" t="n"/>
      <c r="M10" s="868" t="n"/>
      <c r="N10" s="868" t="n"/>
    </row>
    <row r="11" ht="24" customHeight="1" s="847">
      <c r="A11" s="143" t="inlineStr">
        <is>
          <t>C003</t>
        </is>
      </c>
      <c r="B11" s="201" t="inlineStr">
        <is>
          <t>CA renseigné si intensité demandée</t>
        </is>
      </c>
      <c r="C11" s="121" t="inlineStr">
        <is>
          <t>CA &gt; 0 pour calculer l'intensité carbone</t>
        </is>
      </c>
      <c r="D11" s="202" t="inlineStr">
        <is>
          <t>Bloquant</t>
        </is>
      </c>
      <c r="E11" s="216">
        <f>OR(Synthese_GES!C47=0,Paramètres!B9&gt;0)</f>
        <v/>
      </c>
      <c r="F11" s="217">
        <f>IF(E11=TRUE,"✓ OK",IF(D11="Info","⚠ Info",IF(D11="Avertissement","⚠ Alerte","✗ ERREUR")))</f>
        <v/>
      </c>
      <c r="G11" s="203" t="inlineStr">
        <is>
          <t>Saisir le CA dans Paramètres!B9</t>
        </is>
      </c>
      <c r="H11" s="868" t="n"/>
      <c r="I11" s="868" t="n"/>
      <c r="J11" s="868" t="n"/>
      <c r="K11" s="868" t="n"/>
      <c r="L11" s="868" t="n"/>
      <c r="M11" s="868" t="n"/>
      <c r="N11" s="868" t="n"/>
    </row>
    <row r="12" ht="24" customHeight="1" s="847">
      <c r="A12" s="204" t="inlineStr">
        <is>
          <t>C004</t>
        </is>
      </c>
      <c r="B12" s="205" t="inlineStr">
        <is>
          <t>Effectifs ETP renseignés</t>
        </is>
      </c>
      <c r="C12" s="206" t="inlineStr">
        <is>
          <t>ETP &gt; 0 pour calcul intensité / salarié</t>
        </is>
      </c>
      <c r="D12" s="207" t="inlineStr">
        <is>
          <t>Bloquant</t>
        </is>
      </c>
      <c r="E12" s="218">
        <f>OR(Synthese_GES!C47=0,Paramètres!B11&gt;0)</f>
        <v/>
      </c>
      <c r="F12" s="219">
        <f>IF(E12=TRUE,"✓ OK",IF(D12="Info","⚠ Info",IF(D12="Avertissement","⚠ Alerte","✗ ERREUR")))</f>
        <v/>
      </c>
      <c r="G12" s="208" t="inlineStr">
        <is>
          <t>Saisir les ETP dans Paramètres!B11</t>
        </is>
      </c>
      <c r="H12" s="868" t="n"/>
      <c r="I12" s="868" t="n"/>
      <c r="J12" s="868" t="n"/>
      <c r="K12" s="868" t="n"/>
      <c r="L12" s="868" t="n"/>
      <c r="M12" s="868" t="n"/>
      <c r="N12" s="868" t="n"/>
    </row>
    <row r="13" ht="24" customHeight="1" s="847">
      <c r="A13" s="143" t="inlineStr">
        <is>
          <t>C005</t>
        </is>
      </c>
      <c r="B13" s="201" t="inlineStr">
        <is>
          <t>Périmètre organisationnel défini</t>
        </is>
      </c>
      <c r="C13" s="121" t="inlineStr">
        <is>
          <t>Méthode de consolidation renseignée</t>
        </is>
      </c>
      <c r="D13" s="202" t="inlineStr">
        <is>
          <t>Bloquant</t>
        </is>
      </c>
      <c r="E13" s="216">
        <f>Paramètres!B17&lt;&gt;""</f>
        <v/>
      </c>
      <c r="F13" s="217">
        <f>IF(E13=TRUE,"✓ OK",IF(D13="Info","⚠ Info",IF(D13="Avertissement","⚠ Alerte","✗ ERREUR")))</f>
        <v/>
      </c>
      <c r="G13" s="203" t="inlineStr">
        <is>
          <t>Vérifier Paramètres!B17</t>
        </is>
      </c>
      <c r="H13" s="868" t="n"/>
      <c r="I13" s="868" t="n"/>
      <c r="J13" s="868" t="n"/>
      <c r="K13" s="868" t="n"/>
      <c r="L13" s="868" t="n"/>
      <c r="M13" s="868" t="n"/>
      <c r="N13" s="868" t="n"/>
    </row>
    <row r="14" ht="24" customHeight="1" s="847">
      <c r="A14" s="204" t="inlineStr">
        <is>
          <t>C006</t>
        </is>
      </c>
      <c r="B14" s="205" t="inlineStr">
        <is>
          <t>Tous Scopes inclus</t>
        </is>
      </c>
      <c r="C14" s="206" t="inlineStr">
        <is>
          <t>Scope 1, 2 et 3 doivent être inclus (ou justification)</t>
        </is>
      </c>
      <c r="D14" s="209" t="inlineStr">
        <is>
          <t>Avertissement</t>
        </is>
      </c>
      <c r="E14" s="218">
        <f>AND(Paramètres!B19="Oui",Paramètres!B20="Oui",Paramètres!B21="Oui")</f>
        <v/>
      </c>
      <c r="F14" s="219">
        <f>IF(E14=TRUE,"✓ OK",IF(D14="Info","⚠ Info",IF(D14="Avertissement","⚠ Alerte","✗ ERREUR")))</f>
        <v/>
      </c>
      <c r="G14" s="208" t="inlineStr">
        <is>
          <t>Justifier toute exclusion de Scope</t>
        </is>
      </c>
      <c r="H14" s="868" t="n"/>
      <c r="I14" s="868" t="n"/>
      <c r="J14" s="868" t="n"/>
      <c r="K14" s="868" t="n"/>
      <c r="L14" s="868" t="n"/>
      <c r="M14" s="868" t="n"/>
      <c r="N14" s="868" t="n"/>
    </row>
    <row r="15" ht="24" customHeight="1" s="847">
      <c r="A15" s="143" t="inlineStr">
        <is>
          <t>C007</t>
        </is>
      </c>
      <c r="B15" s="201" t="inlineStr">
        <is>
          <t>Émissions totales &gt; 0</t>
        </is>
      </c>
      <c r="C15" s="121" t="inlineStr">
        <is>
          <t>Au moins une émission doit être saisie</t>
        </is>
      </c>
      <c r="D15" s="202" t="inlineStr">
        <is>
          <t>Bloquant</t>
        </is>
      </c>
      <c r="E15" s="216">
        <f>Synthese_GES!C47&gt;0</f>
        <v/>
      </c>
      <c r="F15" s="217">
        <f>IF(E15=TRUE,"✓ OK",IF(D15="Info","⚠ Info",IF(D15="Avertissement","⚠ Alerte","✗ ERREUR")))</f>
        <v/>
      </c>
      <c r="G15" s="203" t="inlineStr">
        <is>
          <t>Saisir les données dans Scope_1, Scope_2 ou Scope_3</t>
        </is>
      </c>
      <c r="H15" s="868" t="n"/>
      <c r="I15" s="868" t="n"/>
      <c r="J15" s="868" t="n"/>
      <c r="K15" s="868" t="n"/>
      <c r="L15" s="868" t="n"/>
      <c r="M15" s="868" t="n"/>
      <c r="N15" s="868" t="n"/>
    </row>
    <row r="16" ht="24" customHeight="1" s="847">
      <c r="A16" s="204" t="inlineStr">
        <is>
          <t>C008</t>
        </is>
      </c>
      <c r="B16" s="205" t="inlineStr">
        <is>
          <t>Scope 1 non nul</t>
        </is>
      </c>
      <c r="C16" s="206" t="inlineStr">
        <is>
          <t>Très rare qu'une entreprise n'ait aucune émission S1</t>
        </is>
      </c>
      <c r="D16" s="209" t="inlineStr">
        <is>
          <t>Avertissement</t>
        </is>
      </c>
      <c r="E16" s="218">
        <f>Synthese_GES!C10&gt;0</f>
        <v/>
      </c>
      <c r="F16" s="219">
        <f>IF(E16=TRUE,"✓ OK",IF(D16="Info","⚠ Info",IF(D16="Avertissement","⚠ Alerte","✗ ERREUR")))</f>
        <v/>
      </c>
      <c r="G16" s="208" t="inlineStr">
        <is>
          <t>Vérifier Scope_1 — même du chauffage gaz produit du S1</t>
        </is>
      </c>
      <c r="H16" s="868" t="n"/>
      <c r="I16" s="868" t="n"/>
      <c r="J16" s="868" t="n"/>
      <c r="K16" s="868" t="n"/>
      <c r="L16" s="868" t="n"/>
      <c r="M16" s="868" t="n"/>
      <c r="N16" s="868" t="n"/>
    </row>
    <row r="17" ht="24" customHeight="1" s="847">
      <c r="A17" s="143" t="inlineStr">
        <is>
          <t>C009</t>
        </is>
      </c>
      <c r="B17" s="201" t="inlineStr">
        <is>
          <t>Scope 2 non nul</t>
        </is>
      </c>
      <c r="C17" s="121" t="inlineStr">
        <is>
          <t>Toute entreprise consomme de l'électricité</t>
        </is>
      </c>
      <c r="D17" s="210" t="inlineStr">
        <is>
          <t>Avertissement</t>
        </is>
      </c>
      <c r="E17" s="216">
        <f>Synthese_GES!C15&gt;0</f>
        <v/>
      </c>
      <c r="F17" s="217">
        <f>IF(E17=TRUE,"✓ OK",IF(D17="Info","⚠ Info",IF(D17="Avertissement","⚠ Alerte","✗ ERREUR")))</f>
        <v/>
      </c>
      <c r="G17" s="203" t="inlineStr">
        <is>
          <t>Vérifier Scope_2 — au minimum l'électricité</t>
        </is>
      </c>
      <c r="H17" s="868" t="n"/>
      <c r="I17" s="868" t="n"/>
      <c r="J17" s="868" t="n"/>
      <c r="K17" s="868" t="n"/>
      <c r="L17" s="868" t="n"/>
      <c r="M17" s="868" t="n"/>
      <c r="N17" s="868" t="n"/>
    </row>
    <row r="18" ht="24" customHeight="1" s="847">
      <c r="A18" s="204" t="inlineStr">
        <is>
          <t>C010</t>
        </is>
      </c>
      <c r="B18" s="205" t="inlineStr">
        <is>
          <t>Scope 3 non nul</t>
        </is>
      </c>
      <c r="C18" s="206" t="inlineStr">
        <is>
          <t>Obligatoire CSRD — au min. Cat.1 et Cat.6/7</t>
        </is>
      </c>
      <c r="D18" s="209" t="inlineStr">
        <is>
          <t>Avertissement</t>
        </is>
      </c>
      <c r="E18" s="218">
        <f>Synthese_GES!C35&gt;0</f>
        <v/>
      </c>
      <c r="F18" s="219">
        <f>IF(E18=TRUE,"✓ OK",IF(D18="Info","⚠ Info",IF(D18="Avertissement","⚠ Alerte","✗ ERREUR")))</f>
        <v/>
      </c>
      <c r="G18" s="208" t="inlineStr">
        <is>
          <t>Compléter Scope_3 — a minima Cat.1, Cat.6, Cat.7</t>
        </is>
      </c>
      <c r="H18" s="868" t="n"/>
      <c r="I18" s="868" t="n"/>
      <c r="J18" s="868" t="n"/>
      <c r="K18" s="868" t="n"/>
      <c r="L18" s="868" t="n"/>
      <c r="M18" s="868" t="n"/>
      <c r="N18" s="868" t="n"/>
    </row>
    <row r="19" ht="24" customHeight="1" s="847">
      <c r="A19" s="143" t="inlineStr">
        <is>
          <t>C011</t>
        </is>
      </c>
      <c r="B19" s="201" t="inlineStr">
        <is>
          <t>Cohérence total = somme des Scopes</t>
        </is>
      </c>
      <c r="C19" s="121" t="inlineStr">
        <is>
          <t>S1 + S2(LB) + S3 = Total</t>
        </is>
      </c>
      <c r="D19" s="202" t="inlineStr">
        <is>
          <t>Bloquant</t>
        </is>
      </c>
      <c r="E19" s="216">
        <f>ABS(Synthese_GES!C47-(Synthese_GES!C10+Synthese_GES!C15+Synthese_GES!C35))&lt;0.1</f>
        <v/>
      </c>
      <c r="F19" s="217">
        <f>IF(E19=TRUE,"✓ OK",IF(D19="Info","⚠ Info",IF(D19="Avertissement","⚠ Alerte","✗ ERREUR")))</f>
        <v/>
      </c>
      <c r="G19" s="203" t="inlineStr">
        <is>
          <t>Vérifier les formules de Synthese_GES</t>
        </is>
      </c>
      <c r="H19" s="868" t="n"/>
      <c r="I19" s="868" t="n"/>
      <c r="J19" s="868" t="n"/>
      <c r="K19" s="868" t="n"/>
      <c r="L19" s="868" t="n"/>
      <c r="M19" s="868" t="n"/>
      <c r="N19" s="868" t="n"/>
    </row>
    <row r="20" ht="24" customHeight="1" s="847">
      <c r="A20" s="204" t="inlineStr">
        <is>
          <t>C012</t>
        </is>
      </c>
      <c r="B20" s="205" t="inlineStr">
        <is>
          <t>Écart LB vs MB acceptable (&lt; 50%)</t>
        </is>
      </c>
      <c r="C20" s="206" t="inlineStr">
        <is>
          <t>Scope 2 LB et MB ne doivent pas trop diverger</t>
        </is>
      </c>
      <c r="D20" s="209" t="inlineStr">
        <is>
          <t>Avertissement</t>
        </is>
      </c>
      <c r="E20" s="218">
        <f>OR(Synthese_GES!C15=0,ABS(Synthese_GES!C15-Synthese_GES!C17)/MAX(Synthese_GES!C15,0.001)&lt;0.5)</f>
        <v/>
      </c>
      <c r="F20" s="219">
        <f>IF(E20=TRUE,"✓ OK",IF(D20="Info","⚠ Info",IF(D20="Avertissement","⚠ Alerte","✗ ERREUR")))</f>
        <v/>
      </c>
      <c r="G20" s="208" t="inlineStr">
        <is>
          <t>Vérifier les GO et le mix résiduel Scope_2</t>
        </is>
      </c>
      <c r="H20" s="868" t="n"/>
      <c r="I20" s="868" t="n"/>
      <c r="J20" s="868" t="n"/>
      <c r="K20" s="868" t="n"/>
      <c r="L20" s="868" t="n"/>
      <c r="M20" s="868" t="n"/>
      <c r="N20" s="868" t="n"/>
    </row>
    <row r="21" ht="24" customHeight="1" s="847">
      <c r="A21" s="143" t="inlineStr">
        <is>
          <t>C013</t>
        </is>
      </c>
      <c r="B21" s="201" t="inlineStr">
        <is>
          <t>Part Scope 3 &gt; 50%</t>
        </is>
      </c>
      <c r="C21" s="121" t="inlineStr">
        <is>
          <t>Dans la majorité des secteurs, Scope 3 &gt; 50% du total</t>
        </is>
      </c>
      <c r="D21" s="211" t="inlineStr">
        <is>
          <t>Info</t>
        </is>
      </c>
      <c r="E21" s="216">
        <f>OR(Synthese_GES!C47=0,Synthese_GES!C35/MAX(Synthese_GES!C47,0.001)&gt;0.5)</f>
        <v/>
      </c>
      <c r="F21" s="217">
        <f>IF(E21=TRUE,"✓ OK",IF(D21="Info","⚠ Info",IF(D21="Avertissement","⚠ Alerte","✗ ERREUR")))</f>
        <v/>
      </c>
      <c r="G21" s="203" t="inlineStr">
        <is>
          <t>Si S3 &lt; 50%, vérifier l'exhaustivité des catégories</t>
        </is>
      </c>
      <c r="H21" s="868" t="n"/>
      <c r="I21" s="868" t="n"/>
      <c r="J21" s="868" t="n"/>
      <c r="K21" s="868" t="n"/>
      <c r="L21" s="868" t="n"/>
      <c r="M21" s="868" t="n"/>
      <c r="N21" s="868" t="n"/>
    </row>
    <row r="22" ht="24" customHeight="1" s="847">
      <c r="A22" s="204" t="inlineStr">
        <is>
          <t>C014</t>
        </is>
      </c>
      <c r="B22" s="205" t="inlineStr">
        <is>
          <t>Aucune valeur négative dans Scopes</t>
        </is>
      </c>
      <c r="C22" s="206" t="inlineStr">
        <is>
          <t>Les émissions ne peuvent pas être &lt; 0</t>
        </is>
      </c>
      <c r="D22" s="207" t="inlineStr">
        <is>
          <t>Bloquant</t>
        </is>
      </c>
      <c r="E22" s="218">
        <f>AND(Synthese_GES!C10&gt;=0,Synthese_GES!C15&gt;=0,Synthese_GES!C35&gt;=0)</f>
        <v/>
      </c>
      <c r="F22" s="219">
        <f>IF(E22=TRUE,"✓ OK",IF(D22="Info","⚠ Info",IF(D22="Avertissement","⚠ Alerte","✗ ERREUR")))</f>
        <v/>
      </c>
      <c r="G22" s="208" t="inlineStr">
        <is>
          <t>Corriger les valeurs négatives</t>
        </is>
      </c>
      <c r="H22" s="868" t="n"/>
      <c r="I22" s="868" t="n"/>
      <c r="J22" s="868" t="n"/>
      <c r="K22" s="868" t="n"/>
      <c r="L22" s="868" t="n"/>
      <c r="M22" s="868" t="n"/>
      <c r="N22" s="868" t="n"/>
    </row>
    <row r="23" ht="24" customHeight="1" s="847">
      <c r="A23" s="143" t="inlineStr">
        <is>
          <t>C015</t>
        </is>
      </c>
      <c r="B23" s="201" t="inlineStr">
        <is>
          <t>Cat.1 Achats renseignée</t>
        </is>
      </c>
      <c r="C23" s="121" t="inlineStr">
        <is>
          <t>Souvent 1ère source d'émissions Scope 3</t>
        </is>
      </c>
      <c r="D23" s="210" t="inlineStr">
        <is>
          <t>Avertissement</t>
        </is>
      </c>
      <c r="E23" s="216">
        <f>OR(Synthese_GES!C47=0,Synthese_GES!C20&gt;0)</f>
        <v/>
      </c>
      <c r="F23" s="217">
        <f>IF(E23=TRUE,"✓ OK",IF(D23="Info","⚠ Info",IF(D23="Avertissement","⚠ Alerte","✗ ERREUR")))</f>
        <v/>
      </c>
      <c r="G23" s="203" t="inlineStr">
        <is>
          <t>Compléter Matieres_Premieres / Scope_3 Cat.1</t>
        </is>
      </c>
      <c r="H23" s="868" t="n"/>
      <c r="I23" s="868" t="n"/>
      <c r="J23" s="868" t="n"/>
      <c r="K23" s="868" t="n"/>
      <c r="L23" s="868" t="n"/>
      <c r="M23" s="868" t="n"/>
      <c r="N23" s="868" t="n"/>
    </row>
    <row r="24" ht="24" customHeight="1" s="847">
      <c r="A24" s="204" t="inlineStr">
        <is>
          <t>C016</t>
        </is>
      </c>
      <c r="B24" s="205" t="inlineStr">
        <is>
          <t>Cat.6 Déplacements pro renseignée</t>
        </is>
      </c>
      <c r="C24" s="206" t="inlineStr">
        <is>
          <t>Obligatoire dès qu'il y a des voyages</t>
        </is>
      </c>
      <c r="D24" s="209" t="inlineStr">
        <is>
          <t>Avertissement</t>
        </is>
      </c>
      <c r="E24" s="218">
        <f>OR(Synthese_GES!C47=0,Synthese_GES!C25&gt;0)</f>
        <v/>
      </c>
      <c r="F24" s="219">
        <f>IF(E24=TRUE,"✓ OK",IF(D24="Info","⚠ Info",IF(D24="Avertissement","⚠ Alerte","✗ ERREUR")))</f>
        <v/>
      </c>
      <c r="G24" s="208" t="inlineStr">
        <is>
          <t>Compléter Transport / Scope_3 Cat.6</t>
        </is>
      </c>
      <c r="H24" s="868" t="n"/>
      <c r="I24" s="868" t="n"/>
      <c r="J24" s="868" t="n"/>
      <c r="K24" s="868" t="n"/>
      <c r="L24" s="868" t="n"/>
      <c r="M24" s="868" t="n"/>
      <c r="N24" s="868" t="n"/>
    </row>
    <row r="25" ht="24" customHeight="1" s="847">
      <c r="A25" s="143" t="inlineStr">
        <is>
          <t>C017</t>
        </is>
      </c>
      <c r="B25" s="201" t="inlineStr">
        <is>
          <t>Cat.7 Domicile-travail renseignée</t>
        </is>
      </c>
      <c r="C25" s="121" t="inlineStr">
        <is>
          <t>Obligatoire si &gt; 100 salariés</t>
        </is>
      </c>
      <c r="D25" s="210" t="inlineStr">
        <is>
          <t>Avertissement</t>
        </is>
      </c>
      <c r="E25" s="216">
        <f>OR(Paramètres!B11&lt;100,Synthese_GES!C26&gt;0)</f>
        <v/>
      </c>
      <c r="F25" s="217">
        <f>IF(E25=TRUE,"✓ OK",IF(D25="Info","⚠ Info",IF(D25="Avertissement","⚠ Alerte","✗ ERREUR")))</f>
        <v/>
      </c>
      <c r="G25" s="203" t="inlineStr">
        <is>
          <t>Compléter Transport / Scope_3 Cat.7</t>
        </is>
      </c>
      <c r="H25" s="868" t="n"/>
      <c r="I25" s="868" t="n"/>
      <c r="J25" s="868" t="n"/>
      <c r="K25" s="868" t="n"/>
      <c r="L25" s="868" t="n"/>
      <c r="M25" s="868" t="n"/>
      <c r="N25" s="868" t="n"/>
    </row>
    <row r="26" ht="24" customHeight="1" s="847">
      <c r="A26" s="204" t="inlineStr">
        <is>
          <t>C018</t>
        </is>
      </c>
      <c r="B26" s="205" t="inlineStr">
        <is>
          <t>Nb catégories S3 non-nulles ≥ 3</t>
        </is>
      </c>
      <c r="C26" s="206" t="inlineStr">
        <is>
          <t>Au moins 3 catégories S3 doivent être documentées</t>
        </is>
      </c>
      <c r="D26" s="209" t="inlineStr">
        <is>
          <t>Avertissement</t>
        </is>
      </c>
      <c r="E26" s="218">
        <f>OR(Synthese_GES!C47=0,COUNTIF(Synthese_GES!C20:C34,"&gt;0")&gt;=3)</f>
        <v/>
      </c>
      <c r="F26" s="219">
        <f>IF(E26=TRUE,"✓ OK",IF(D26="Info","⚠ Info",IF(D26="Avertissement","⚠ Alerte","✗ ERREUR")))</f>
        <v/>
      </c>
      <c r="G26" s="208" t="inlineStr">
        <is>
          <t>Élargir le périmètre Scope 3</t>
        </is>
      </c>
      <c r="H26" s="868" t="n"/>
      <c r="I26" s="868" t="n"/>
      <c r="J26" s="868" t="n"/>
      <c r="K26" s="868" t="n"/>
      <c r="L26" s="868" t="n"/>
      <c r="M26" s="868" t="n"/>
      <c r="N26" s="868" t="n"/>
    </row>
    <row r="27" ht="24" customHeight="1" s="847">
      <c r="A27" s="143" t="inlineStr">
        <is>
          <t>C019</t>
        </is>
      </c>
      <c r="B27" s="201" t="inlineStr">
        <is>
          <t>Incertitude totale documentée</t>
        </is>
      </c>
      <c r="C27" s="121" t="inlineStr">
        <is>
          <t>Obligatoire ISO 14064-1 §9.2</t>
        </is>
      </c>
      <c r="D27" s="202" t="inlineStr">
        <is>
          <t>Bloquant</t>
        </is>
      </c>
      <c r="E27" s="216">
        <f>OR(Synthese_GES!C47=0,Incertitudes!E35&gt;0)</f>
        <v/>
      </c>
      <c r="F27" s="217">
        <f>IF(E27=TRUE,"✓ OK",IF(D27="Info","⚠ Info",IF(D27="Avertissement","⚠ Alerte","✗ ERREUR")))</f>
        <v/>
      </c>
      <c r="G27" s="203" t="inlineStr">
        <is>
          <t>Compléter l'onglet Incertitudes</t>
        </is>
      </c>
      <c r="H27" s="868" t="n"/>
      <c r="I27" s="868" t="n"/>
      <c r="J27" s="868" t="n"/>
      <c r="K27" s="868" t="n"/>
      <c r="L27" s="868" t="n"/>
      <c r="M27" s="868" t="n"/>
      <c r="N27" s="868" t="n"/>
    </row>
    <row r="28" ht="24" customHeight="1" s="847">
      <c r="A28" s="204" t="inlineStr">
        <is>
          <t>C020</t>
        </is>
      </c>
      <c r="B28" s="205" t="inlineStr">
        <is>
          <t>Incertitude &lt; 100%</t>
        </is>
      </c>
      <c r="C28" s="206" t="inlineStr">
        <is>
          <t>Si &gt; 100%, le bilan n'est pas exploitable</t>
        </is>
      </c>
      <c r="D28" s="209" t="inlineStr">
        <is>
          <t>Avertissement</t>
        </is>
      </c>
      <c r="E28" s="218">
        <f>OR(Incertitudes!E35=0,Incertitudes!E35&lt;100)</f>
        <v/>
      </c>
      <c r="F28" s="219">
        <f>IF(E28=TRUE,"✓ OK",IF(D28="Info","⚠ Info",IF(D28="Avertissement","⚠ Alerte","✗ ERREUR")))</f>
        <v/>
      </c>
      <c r="G28" s="208" t="inlineStr">
        <is>
          <t>Améliorer la qualité des données sources</t>
        </is>
      </c>
      <c r="H28" s="868" t="n"/>
      <c r="I28" s="868" t="n"/>
      <c r="J28" s="868" t="n"/>
      <c r="K28" s="868" t="n"/>
      <c r="L28" s="868" t="n"/>
      <c r="M28" s="868" t="n"/>
      <c r="N28" s="868" t="n"/>
    </row>
    <row r="29" ht="24" customHeight="1" s="847">
      <c r="A29" s="143" t="inlineStr">
        <is>
          <t>C021</t>
        </is>
      </c>
      <c r="B29" s="201" t="inlineStr">
        <is>
          <t>Incertitude &lt; 50%</t>
        </is>
      </c>
      <c r="C29" s="121" t="inlineStr">
        <is>
          <t>Seuil recommandé assurance raisonnable</t>
        </is>
      </c>
      <c r="D29" s="211" t="inlineStr">
        <is>
          <t>Info</t>
        </is>
      </c>
      <c r="E29" s="216">
        <f>OR(Incertitudes!E35=0,Incertitudes!E35&lt;50)</f>
        <v/>
      </c>
      <c r="F29" s="217">
        <f>IF(E29=TRUE,"✓ OK",IF(D29="Info","⚠ Info",IF(D29="Avertissement","⚠ Alerte","✗ ERREUR")))</f>
        <v/>
      </c>
      <c r="G29" s="203" t="inlineStr">
        <is>
          <t>Passer de spend-based à données physiques</t>
        </is>
      </c>
      <c r="H29" s="868" t="n"/>
      <c r="I29" s="868" t="n"/>
      <c r="J29" s="868" t="n"/>
      <c r="K29" s="868" t="n"/>
      <c r="L29" s="868" t="n"/>
      <c r="M29" s="868" t="n"/>
      <c r="N29" s="868" t="n"/>
    </row>
    <row r="30" ht="24" customHeight="1" s="847">
      <c r="A30" s="204" t="inlineStr">
        <is>
          <t>C022</t>
        </is>
      </c>
      <c r="B30" s="205" t="inlineStr">
        <is>
          <t>Année baseline définie</t>
        </is>
      </c>
      <c r="C30" s="206" t="inlineStr">
        <is>
          <t>Trajectoire SBTi nécessite une année de référence</t>
        </is>
      </c>
      <c r="D30" s="209" t="inlineStr">
        <is>
          <t>Avertissement</t>
        </is>
      </c>
      <c r="E30" s="218">
        <f>Trajectoire_SBTi!B4&gt;=2018</f>
        <v/>
      </c>
      <c r="F30" s="219">
        <f>IF(E30=TRUE,"✓ OK",IF(D30="Info","⚠ Info",IF(D30="Avertissement","⚠ Alerte","✗ ERREUR")))</f>
        <v/>
      </c>
      <c r="G30" s="208" t="inlineStr">
        <is>
          <t>Définir l'année baseline dans Trajectoire_SBTi</t>
        </is>
      </c>
      <c r="H30" s="868" t="n"/>
      <c r="I30" s="868" t="n"/>
      <c r="J30" s="868" t="n"/>
      <c r="K30" s="868" t="n"/>
      <c r="L30" s="868" t="n"/>
      <c r="M30" s="868" t="n"/>
      <c r="N30" s="868" t="n"/>
    </row>
    <row r="31" ht="24" customHeight="1" s="847">
      <c r="A31" s="143" t="inlineStr">
        <is>
          <t>C023</t>
        </is>
      </c>
      <c r="B31" s="201" t="inlineStr">
        <is>
          <t>Taux réduction S1+2 ≥ 4.2%/an</t>
        </is>
      </c>
      <c r="C31" s="121" t="inlineStr">
        <is>
          <t>Minimum SBTi pour alignement 1.5°C</t>
        </is>
      </c>
      <c r="D31" s="210" t="inlineStr">
        <is>
          <t>Avertissement</t>
        </is>
      </c>
      <c r="E31" s="216">
        <f>Trajectoire_SBTi!B8&gt;=4.2</f>
        <v/>
      </c>
      <c r="F31" s="217">
        <f>IF(E31=TRUE,"✓ OK",IF(D31="Info","⚠ Info",IF(D31="Avertissement","⚠ Alerte","✗ ERREUR")))</f>
        <v/>
      </c>
      <c r="G31" s="203" t="inlineStr">
        <is>
          <t>Le taux de réduction Scope 1+2 doit être ≥ 4.2%</t>
        </is>
      </c>
      <c r="H31" s="868" t="n"/>
      <c r="I31" s="868" t="n"/>
      <c r="J31" s="868" t="n"/>
      <c r="K31" s="868" t="n"/>
      <c r="L31" s="868" t="n"/>
      <c r="M31" s="868" t="n"/>
      <c r="N31" s="868" t="n"/>
    </row>
    <row r="32" ht="24" customHeight="1" s="847">
      <c r="A32" s="204" t="inlineStr">
        <is>
          <t>C024</t>
        </is>
      </c>
      <c r="B32" s="205" t="inlineStr">
        <is>
          <t>Taux réduction S3 ≥ 2.5%/an</t>
        </is>
      </c>
      <c r="C32" s="206" t="inlineStr">
        <is>
          <t>Minimum SBTi pour Scope 3</t>
        </is>
      </c>
      <c r="D32" s="212" t="inlineStr">
        <is>
          <t>Info</t>
        </is>
      </c>
      <c r="E32" s="218">
        <f>Trajectoire_SBTi!B9&gt;=2.5</f>
        <v/>
      </c>
      <c r="F32" s="219">
        <f>IF(E32=TRUE,"✓ OK",IF(D32="Info","⚠ Info",IF(D32="Avertissement","⚠ Alerte","✗ ERREUR")))</f>
        <v/>
      </c>
      <c r="G32" s="208" t="inlineStr">
        <is>
          <t>Le taux de réduction Scope 3 doit être ≥ 2.5%</t>
        </is>
      </c>
      <c r="H32" s="868" t="n"/>
      <c r="I32" s="868" t="n"/>
      <c r="J32" s="868" t="n"/>
      <c r="K32" s="868" t="n"/>
      <c r="L32" s="868" t="n"/>
      <c r="M32" s="868" t="n"/>
      <c r="N32" s="868" t="n"/>
    </row>
    <row r="33" ht="24" customHeight="1" s="847">
      <c r="A33" s="143" t="inlineStr">
        <is>
          <t>C025</t>
        </is>
      </c>
      <c r="B33" s="201" t="inlineStr">
        <is>
          <t>Complétude ESRS E1 &gt; 50%</t>
        </is>
      </c>
      <c r="C33" s="121" t="inlineStr">
        <is>
          <t>Au moins la moitié des data points doit être renseignée</t>
        </is>
      </c>
      <c r="D33" s="210" t="inlineStr">
        <is>
          <t>Avertissement</t>
        </is>
      </c>
      <c r="E33" s="216">
        <f>ESRS_E1!B37/(ESRS_E1!B36+ESRS_E1!B37+IFERROR(ESRS_E1!B38,0))&gt;0.5</f>
        <v/>
      </c>
      <c r="F33" s="217">
        <f>IF(E33=TRUE,"✓ OK",IF(D33="Info","⚠ Info",IF(D33="Avertissement","⚠ Alerte","✗ ERREUR")))</f>
        <v/>
      </c>
      <c r="G33" s="203" t="inlineStr">
        <is>
          <t>Compléter les data points ESRS E1</t>
        </is>
      </c>
      <c r="H33" s="868" t="n"/>
      <c r="I33" s="868" t="n"/>
      <c r="J33" s="868" t="n"/>
      <c r="K33" s="868" t="n"/>
      <c r="L33" s="868" t="n"/>
      <c r="M33" s="868" t="n"/>
      <c r="N33" s="868" t="n"/>
    </row>
    <row r="34" ht="24" customHeight="1" s="847">
      <c r="A34" s="204" t="inlineStr">
        <is>
          <t>C026</t>
        </is>
      </c>
      <c r="B34" s="205" t="inlineStr">
        <is>
          <t>Plan transition adopté (E1-1)</t>
        </is>
      </c>
      <c r="C34" s="206" t="inlineStr">
        <is>
          <t>ESRS E1-1 : l'entreprise doit avoir un plan</t>
        </is>
      </c>
      <c r="D34" s="209" t="inlineStr">
        <is>
          <t>Avertissement</t>
        </is>
      </c>
      <c r="E34" s="218">
        <f>ESRS_E1!C5&lt;&gt;""</f>
        <v/>
      </c>
      <c r="F34" s="219">
        <f>IF(E34=TRUE,"✓ OK",IF(D34="Info","⚠ Info",IF(D34="Avertissement","⚠ Alerte","✗ ERREUR")))</f>
        <v/>
      </c>
      <c r="G34" s="208" t="inlineStr">
        <is>
          <t>Renseigner E1-1 dans l'onglet ESRS_E1</t>
        </is>
      </c>
      <c r="H34" s="868" t="n"/>
      <c r="I34" s="868" t="n"/>
      <c r="J34" s="868" t="n"/>
      <c r="K34" s="868" t="n"/>
      <c r="L34" s="868" t="n"/>
      <c r="M34" s="868" t="n"/>
      <c r="N34" s="868" t="n"/>
    </row>
    <row r="35" ht="24" customHeight="1" s="847">
      <c r="A35" s="143" t="inlineStr">
        <is>
          <t>C027</t>
        </is>
      </c>
      <c r="B35" s="201" t="inlineStr">
        <is>
          <t>Prix carbone interne défini (E1-8)</t>
        </is>
      </c>
      <c r="C35" s="121" t="inlineStr">
        <is>
          <t>Recommandé pour toute entreprise soumise CSRD</t>
        </is>
      </c>
      <c r="D35" s="211" t="inlineStr">
        <is>
          <t>Info</t>
        </is>
      </c>
      <c r="E35" s="216">
        <f>OR(Plan_Transition!C20=0,Plan_Transition!C20&gt;0)</f>
        <v/>
      </c>
      <c r="F35" s="217">
        <f>IF(E35=TRUE,"✓ OK",IF(D35="Info","⚠ Info",IF(D35="Avertissement","⚠ Alerte","✗ ERREUR")))</f>
        <v/>
      </c>
      <c r="G35" s="203" t="inlineStr">
        <is>
          <t>Définir le prix carbone dans Plan_Transition</t>
        </is>
      </c>
      <c r="H35" s="868" t="n"/>
      <c r="I35" s="868" t="n"/>
      <c r="J35" s="868" t="n"/>
      <c r="K35" s="868" t="n"/>
      <c r="L35" s="868" t="n"/>
      <c r="M35" s="868" t="n"/>
      <c r="N35" s="868" t="n"/>
    </row>
    <row r="36" ht="24" customHeight="1" s="847">
      <c r="A36" s="204" t="inlineStr">
        <is>
          <t>C028</t>
        </is>
      </c>
      <c r="B36" s="205" t="inlineStr">
        <is>
          <t>Synthese liée à Scope_1</t>
        </is>
      </c>
      <c r="C36" s="206" t="inlineStr">
        <is>
          <t>Vérifier que Synthese!C10 provient bien de Scope_1</t>
        </is>
      </c>
      <c r="D36" s="207" t="inlineStr">
        <is>
          <t>Bloquant</t>
        </is>
      </c>
      <c r="E36" s="218">
        <f>Synthese_GES!C10=Scope_1!I16+Scope_1!I30+Scope_1!I42+Scope_1!I54</f>
        <v/>
      </c>
      <c r="F36" s="219">
        <f>IF(E36=TRUE,"✓ OK",IF(D36="Info","⚠ Info",IF(D36="Avertissement","⚠ Alerte","✗ ERREUR")))</f>
        <v/>
      </c>
      <c r="G36" s="208" t="inlineStr">
        <is>
          <t>Formule cassée — vérifier Synthese_GES!C10</t>
        </is>
      </c>
      <c r="H36" s="868" t="n"/>
      <c r="I36" s="868" t="n"/>
      <c r="J36" s="868" t="n"/>
      <c r="K36" s="868" t="n"/>
      <c r="L36" s="868" t="n"/>
      <c r="M36" s="868" t="n"/>
      <c r="N36" s="868" t="n"/>
    </row>
    <row r="37" ht="24" customHeight="1" s="847">
      <c r="A37" s="143" t="inlineStr">
        <is>
          <t>C029</t>
        </is>
      </c>
      <c r="B37" s="201" t="inlineStr">
        <is>
          <t>Energie cohérent avec Scope 2</t>
        </is>
      </c>
      <c r="C37" s="121" t="inlineStr">
        <is>
          <t>La consommation totale doit correspondre</t>
        </is>
      </c>
      <c r="D37" s="211" t="inlineStr">
        <is>
          <t>Info</t>
        </is>
      </c>
      <c r="E37" s="216">
        <f>OR(Energie!E4=0,TRUE)</f>
        <v/>
      </c>
      <c r="F37" s="217">
        <f>IF(E37=TRUE,"✓ OK",IF(D37="Info","⚠ Info",IF(D37="Avertissement","⚠ Alerte","✗ ERREUR")))</f>
        <v/>
      </c>
      <c r="G37" s="203" t="inlineStr">
        <is>
          <t>Comparer manuellement Energie et Scope_2</t>
        </is>
      </c>
      <c r="H37" s="868" t="n"/>
      <c r="I37" s="868" t="n"/>
      <c r="J37" s="868" t="n"/>
      <c r="K37" s="868" t="n"/>
      <c r="L37" s="868" t="n"/>
      <c r="M37" s="868" t="n"/>
      <c r="N37" s="868" t="n"/>
    </row>
    <row r="38" ht="24" customHeight="1" s="847">
      <c r="A38" s="204" t="inlineStr">
        <is>
          <t>C030</t>
        </is>
      </c>
      <c r="B38" s="205" t="inlineStr">
        <is>
          <t>CapEx renseigné (si plan transition)</t>
        </is>
      </c>
      <c r="C38" s="206" t="inlineStr">
        <is>
          <t>CapEx nécessaire pour % aligné Paris</t>
        </is>
      </c>
      <c r="D38" s="209" t="inlineStr">
        <is>
          <t>Avertissement</t>
        </is>
      </c>
      <c r="E38" s="218">
        <f>OR(Plan_Transition!C42=0,Paramètres!B14&gt;0)</f>
        <v/>
      </c>
      <c r="F38" s="219">
        <f>IF(E38=TRUE,"✓ OK",IF(D38="Info","⚠ Info",IF(D38="Avertissement","⚠ Alerte","✗ ERREUR")))</f>
        <v/>
      </c>
      <c r="G38" s="208" t="inlineStr">
        <is>
          <t>Saisir le CapEx total dans Paramètres!B14</t>
        </is>
      </c>
      <c r="H38" s="868" t="n"/>
      <c r="I38" s="868" t="n"/>
      <c r="J38" s="868" t="n"/>
      <c r="K38" s="868" t="n"/>
      <c r="L38" s="868" t="n"/>
      <c r="M38" s="868" t="n"/>
      <c r="N38" s="868" t="n"/>
    </row>
  </sheetData>
  <sheetProtection selectLockedCells="0" selectUnlockedCells="0" sheet="1" objects="1" insertRows="1" insertHyperlinks="1" autoFilter="0" scenarios="1" formatColumns="0" deleteColumns="1" insertColumns="1" pivotTables="1" deleteRows="1" formatCells="0" formatRows="0" sort="0"/>
  <mergeCells count="2">
    <mergeCell ref="A2:G2"/>
    <mergeCell ref="A1:G1"/>
  </mergeCells>
  <conditionalFormatting sqref="E9:E38">
    <cfRule type="cellIs" priority="4" operator="equal" dxfId="5">
      <formula>TRUE</formula>
    </cfRule>
    <cfRule type="cellIs" priority="5" operator="equal" dxfId="4">
      <formula>FALSE</formula>
    </cfRule>
  </conditionalFormatting>
  <conditionalFormatting sqref="F9:F38">
    <cfRule type="containsText" priority="1" operator="containsText" dxfId="0" text="✓ OK">
      <formula>NOT(ISERROR(SEARCH("✓ OK",F9)))</formula>
    </cfRule>
    <cfRule type="containsText" priority="2" operator="containsText" dxfId="2" text="✗ ERREUR">
      <formula>NOT(ISERROR(SEARCH("✗ ERREUR",F9)))</formula>
    </cfRule>
    <cfRule type="containsText" priority="3" operator="containsText" dxfId="1" text="⚠">
      <formula>NOT(ISERROR(SEARCH("⚠",F9)))</formula>
    </cfRule>
  </conditionalFormatting>
  <hyperlinks>
    <hyperlink ref="N1" location="Sommaire!A1" display="🏠 Sommaire"/>
  </hyperlinks>
  <pageMargins left="0.7" right="0.7" top="0.75" bottom="0.75" header="0.3" footer="0.3"/>
</worksheet>
</file>

<file path=xl/worksheets/sheet25.xml><?xml version="1.0" encoding="utf-8"?>
<worksheet xmlns="http://schemas.openxmlformats.org/spreadsheetml/2006/main">
  <sheetPr>
    <tabColor rgb="FF1B5E20"/>
    <outlinePr summaryBelow="1" summaryRight="1"/>
    <pageSetUpPr/>
  </sheetPr>
  <dimension ref="A1:O44"/>
  <sheetViews>
    <sheetView showGridLines="0" topLeftCell="A72" zoomScaleNormal="100" workbookViewId="0">
      <selection activeCell="E30" sqref="E30"/>
    </sheetView>
  </sheetViews>
  <sheetFormatPr baseColWidth="10" defaultColWidth="8.7109375" defaultRowHeight="15" outlineLevelRow="1"/>
  <cols>
    <col width="14" customWidth="1" style="847" min="1" max="1"/>
    <col width="30.7109375" bestFit="1" customWidth="1" style="847" min="2" max="2"/>
    <col width="14" customWidth="1" style="847" min="3" max="12"/>
    <col width="13.28515625" customWidth="1" style="847" min="14" max="14"/>
    <col width="15.28515625" customWidth="1" style="847" min="15" max="15"/>
  </cols>
  <sheetData>
    <row r="1" ht="20.1" customHeight="1" s="847">
      <c r="A1" s="841" t="inlineStr">
        <is>
          <t>TABLEAU DE BORD SYNTHÉTIQUE — BILAN CARBONE</t>
        </is>
      </c>
      <c r="B1" s="994" t="n"/>
      <c r="C1" s="994" t="n"/>
      <c r="D1" s="994" t="n"/>
      <c r="E1" s="994" t="n"/>
      <c r="F1" s="994" t="n"/>
      <c r="G1" s="994" t="n"/>
      <c r="H1" s="994" t="n"/>
      <c r="I1" s="994" t="n"/>
      <c r="J1" s="994" t="n"/>
      <c r="K1" s="994" t="n"/>
      <c r="L1" s="994" t="n"/>
      <c r="N1" s="85" t="inlineStr">
        <is>
          <t>🏠 Sommaire</t>
        </is>
      </c>
      <c r="O1" s="87" t="inlineStr">
        <is>
          <t>📄 Couverture</t>
        </is>
      </c>
    </row>
    <row r="3">
      <c r="A3" s="921" t="inlineStr">
        <is>
          <t>ÉMISSIONS TOTALES</t>
        </is>
      </c>
      <c r="B3" s="994" t="n"/>
      <c r="C3" s="1008" t="n"/>
      <c r="D3" s="922" t="inlineStr">
        <is>
          <t>SCOPE 1</t>
        </is>
      </c>
      <c r="E3" s="994" t="n"/>
      <c r="F3" s="1008" t="n"/>
      <c r="G3" s="923" t="inlineStr">
        <is>
          <t>SCOPE 2 (LB)</t>
        </is>
      </c>
      <c r="H3" s="994" t="n"/>
      <c r="I3" s="1008" t="n"/>
      <c r="J3" s="924" t="inlineStr">
        <is>
          <t>SCOPE 3</t>
        </is>
      </c>
      <c r="K3" s="994" t="n"/>
      <c r="L3" s="1008" t="n"/>
    </row>
    <row r="4">
      <c r="A4" s="33" t="n"/>
      <c r="B4" s="33" t="n"/>
      <c r="C4" s="33" t="n"/>
      <c r="D4" s="62" t="n"/>
      <c r="E4" s="62" t="n"/>
      <c r="F4" s="62" t="n"/>
      <c r="G4" s="63" t="n"/>
      <c r="H4" s="63" t="n"/>
      <c r="I4" s="63" t="n"/>
      <c r="J4" s="39" t="n"/>
      <c r="K4" s="39" t="n"/>
      <c r="L4" s="39" t="n"/>
    </row>
    <row r="5" ht="21" customHeight="1" s="847">
      <c r="A5" s="925">
        <f>Synthese_GES!C47</f>
        <v/>
      </c>
      <c r="B5" s="994" t="n"/>
      <c r="C5" s="1008" t="n"/>
      <c r="D5" s="926">
        <f>Synthese_GES!C10</f>
        <v/>
      </c>
      <c r="E5" s="994" t="n"/>
      <c r="F5" s="1008" t="n"/>
      <c r="G5" s="927">
        <f>Synthese_GES!C15</f>
        <v/>
      </c>
      <c r="H5" s="994" t="n"/>
      <c r="I5" s="1008" t="n"/>
      <c r="J5" s="928">
        <f>Synthese_GES!C35</f>
        <v/>
      </c>
      <c r="K5" s="994" t="n"/>
      <c r="L5" s="1008" t="n"/>
    </row>
    <row r="6">
      <c r="A6" s="220">
        <f>IF(A5=0,"Aucune donnée","tCO2e")</f>
        <v/>
      </c>
      <c r="B6" s="33" t="n"/>
      <c r="C6" s="33" t="n"/>
      <c r="D6" s="221">
        <f>IF(D5=0,"—",TEXT(IF(Synthese_GES!C47=0,0,D5/Synthese_GES!C47)*100,"0.0")&amp;"% du total")</f>
        <v/>
      </c>
      <c r="E6" s="62" t="n"/>
      <c r="F6" s="62" t="n"/>
      <c r="G6" s="222">
        <f>IF(G5=0,"—",TEXT(IF(Synthese_GES!C47=0,0,G5/Synthese_GES!C47)*100,"0.0")&amp;"% du total")</f>
        <v/>
      </c>
      <c r="H6" s="63" t="n"/>
      <c r="I6" s="63" t="n"/>
      <c r="J6" s="223">
        <f>IF(J5=0,"—",TEXT(IF(Synthese_GES!C47=0,0,J5/Synthese_GES!C47)*100,"0.0")&amp;"% du total")</f>
        <v/>
      </c>
      <c r="K6" s="39" t="n"/>
      <c r="L6" s="39" t="n"/>
    </row>
    <row r="7">
      <c r="A7" s="33" t="n"/>
      <c r="B7" s="33" t="n"/>
      <c r="C7" s="33" t="n"/>
      <c r="D7" s="62" t="n"/>
      <c r="E7" s="62" t="n"/>
      <c r="F7" s="62" t="n"/>
      <c r="G7" s="63" t="n"/>
      <c r="H7" s="63" t="n"/>
      <c r="I7" s="63" t="n"/>
      <c r="J7" s="39" t="n"/>
      <c r="K7" s="39" t="n"/>
      <c r="L7" s="39" t="n"/>
    </row>
    <row r="9">
      <c r="A9" s="929" t="inlineStr">
        <is>
          <t>INTENSITÉ / CA</t>
        </is>
      </c>
      <c r="B9" s="994" t="n"/>
      <c r="C9" s="1008" t="n"/>
      <c r="D9" s="930" t="inlineStr">
        <is>
          <t>INTENSITÉ / SALARIÉ</t>
        </is>
      </c>
      <c r="E9" s="994" t="n"/>
      <c r="F9" s="1008" t="n"/>
      <c r="G9" s="931" t="inlineStr">
        <is>
          <t>PART ENR</t>
        </is>
      </c>
      <c r="H9" s="994" t="n"/>
      <c r="I9" s="1008" t="n"/>
      <c r="J9" s="932" t="inlineStr">
        <is>
          <t>BEGES OBLIGATOIRE</t>
        </is>
      </c>
      <c r="K9" s="994" t="n"/>
      <c r="L9" s="1008" t="n"/>
    </row>
    <row r="10">
      <c r="A10" s="58" t="n"/>
      <c r="B10" s="58" t="n"/>
      <c r="C10" s="58" t="n"/>
      <c r="D10" s="64" t="n"/>
      <c r="E10" s="64" t="n"/>
      <c r="F10" s="64" t="n"/>
      <c r="G10" s="65" t="n"/>
      <c r="H10" s="65" t="n"/>
      <c r="I10" s="65" t="n"/>
      <c r="J10" s="66" t="n"/>
      <c r="K10" s="66" t="n"/>
      <c r="L10" s="66" t="n"/>
    </row>
    <row r="11" ht="21" customHeight="1" s="847">
      <c r="A11" s="933">
        <f>Synthese_GES!C50</f>
        <v/>
      </c>
      <c r="B11" s="994" t="n"/>
      <c r="C11" s="1008" t="n"/>
      <c r="D11" s="934">
        <f>Synthese_GES!C51</f>
        <v/>
      </c>
      <c r="E11" s="994" t="n"/>
      <c r="F11" s="1008" t="n"/>
      <c r="G11" s="935">
        <f>Energie!E20</f>
        <v/>
      </c>
      <c r="H11" s="994" t="n"/>
      <c r="I11" s="1008" t="n"/>
      <c r="J11" s="936">
        <f>Paramètres!B50</f>
        <v/>
      </c>
      <c r="K11" s="994" t="n"/>
      <c r="L11" s="1008" t="n"/>
    </row>
    <row r="12">
      <c r="A12" s="224" t="inlineStr">
        <is>
          <t>tCO2e / M€ CA</t>
        </is>
      </c>
      <c r="B12" s="58" t="n"/>
      <c r="C12" s="58" t="n"/>
      <c r="D12" s="225" t="inlineStr">
        <is>
          <t>tCO2e / ETP</t>
        </is>
      </c>
      <c r="E12" s="64" t="n"/>
      <c r="F12" s="64" t="n"/>
      <c r="G12" s="226" t="inlineStr">
        <is>
          <t>% du mix</t>
        </is>
      </c>
      <c r="H12" s="65" t="n"/>
      <c r="I12" s="65" t="n"/>
      <c r="J12" s="66" t="n"/>
      <c r="K12" s="66" t="n"/>
      <c r="L12" s="66" t="n"/>
    </row>
    <row r="13">
      <c r="A13" s="58" t="n"/>
      <c r="B13" s="58" t="n"/>
      <c r="C13" s="58" t="n"/>
      <c r="D13" s="64" t="n"/>
      <c r="E13" s="64" t="n"/>
      <c r="F13" s="64" t="n"/>
      <c r="G13" s="65" t="n"/>
      <c r="H13" s="65" t="n"/>
      <c r="I13" s="65" t="n"/>
      <c r="J13" s="66" t="n"/>
      <c r="K13" s="66" t="n"/>
      <c r="L13" s="66" t="n"/>
    </row>
    <row r="15" ht="21.75" customHeight="1" s="847">
      <c r="A15" s="843" t="inlineStr">
        <is>
          <t>TOP 5 CATÉGORIES SCOPE 3</t>
        </is>
      </c>
      <c r="B15" s="994" t="n"/>
      <c r="C15" s="994" t="n"/>
      <c r="D15" s="994" t="n"/>
      <c r="E15" s="994" t="n"/>
      <c r="F15" s="994" t="n"/>
    </row>
    <row r="16">
      <c r="A16" s="2" t="inlineStr">
        <is>
          <t>Catégorie</t>
        </is>
      </c>
      <c r="B16" s="2" t="n"/>
      <c r="C16" s="2" t="inlineStr">
        <is>
          <t>tCO2e</t>
        </is>
      </c>
      <c r="D16" s="2" t="inlineStr">
        <is>
          <t>% Scope 3</t>
        </is>
      </c>
    </row>
    <row r="17">
      <c r="A17" s="3" t="inlineStr">
        <is>
          <t>Cat. 1</t>
        </is>
      </c>
      <c r="B17" s="3" t="inlineStr">
        <is>
          <t>Achats de biens et services</t>
        </is>
      </c>
      <c r="C17" s="42">
        <f>Scope_3!I19</f>
        <v/>
      </c>
      <c r="D17" s="1009">
        <f>IF(Scope_3!I139=0,0,C17/Scope_3!I139)</f>
        <v/>
      </c>
    </row>
    <row r="18">
      <c r="A18" s="3" t="inlineStr">
        <is>
          <t>Cat. 3</t>
        </is>
      </c>
      <c r="B18" s="3" t="inlineStr">
        <is>
          <t>Combustibles et énergie (amont)</t>
        </is>
      </c>
      <c r="C18" s="42">
        <f>Scope_3!I38</f>
        <v/>
      </c>
      <c r="D18" s="1009">
        <f>IF(Scope_3!I139=0,0,C18/Scope_3!I139)</f>
        <v/>
      </c>
    </row>
    <row r="19">
      <c r="A19" s="3" t="inlineStr">
        <is>
          <t>Cat. 6</t>
        </is>
      </c>
      <c r="B19" s="3" t="inlineStr">
        <is>
          <t>Déplacements professionnels</t>
        </is>
      </c>
      <c r="C19" s="42">
        <f>Scope_3!I63</f>
        <v/>
      </c>
      <c r="D19" s="1009">
        <f>IF(Scope_3!I139=0,0,C19/Scope_3!I139)</f>
        <v/>
      </c>
    </row>
    <row r="20">
      <c r="A20" s="3" t="inlineStr">
        <is>
          <t>Cat. 7</t>
        </is>
      </c>
      <c r="B20" s="3" t="inlineStr">
        <is>
          <t>Domicile-travail</t>
        </is>
      </c>
      <c r="C20" s="42">
        <f>Scope_3!I69</f>
        <v/>
      </c>
      <c r="D20" s="1009">
        <f>IF(Scope_3!I139=0,0,C20/Scope_3!I139)</f>
        <v/>
      </c>
    </row>
    <row r="21">
      <c r="A21" s="3" t="inlineStr">
        <is>
          <t>Cat. 4</t>
        </is>
      </c>
      <c r="B21" s="3" t="inlineStr">
        <is>
          <t>Transport amont</t>
        </is>
      </c>
      <c r="C21" s="42">
        <f>Scope_3!I51</f>
        <v/>
      </c>
      <c r="D21" s="1009">
        <f>IF(Scope_3!I139=0,0,C21/Scope_3!I139)</f>
        <v/>
      </c>
    </row>
    <row r="23" ht="24" customHeight="1" s="847">
      <c r="A23" s="846" t="inlineStr">
        <is>
          <t>CONTRÔLE QUALITÉ</t>
        </is>
      </c>
    </row>
    <row r="24" ht="35.1" customHeight="1" s="847">
      <c r="A24" s="937">
        <f>"✓ "&amp;_Controles_Qualite!B5&amp;" OK"</f>
        <v/>
      </c>
      <c r="D24" s="939">
        <f>"⚠ "&amp;_Controles_Qualite!D5&amp;" Alertes"</f>
        <v/>
      </c>
      <c r="G24" s="940">
        <f>"✗ "&amp;_Controles_Qualite!F5&amp;" Erreurs"</f>
        <v/>
      </c>
      <c r="J24" s="941">
        <f>"± "&amp;TEXT(Incertitudes!E35,"0.0")&amp;"% incertitude"</f>
        <v/>
      </c>
    </row>
    <row r="25" ht="8.1" customHeight="1" s="847"/>
    <row r="26" ht="21.95" customHeight="1" s="847">
      <c r="A26" s="943" t="inlineStr">
        <is>
          <t xml:space="preserve">ESRS E1 : </t>
        </is>
      </c>
      <c r="B26" s="1013" t="n"/>
      <c r="C26" s="945">
        <f>TEXT(ESRS_E1!B37,"0")&amp;"/"&amp;TEXT(ESRS_E1!B36+IFERROR(ESRS_E1!B38,0),"0")&amp;" data points complétés"</f>
        <v/>
      </c>
      <c r="D26" s="1013" t="n"/>
      <c r="E26" s="1013" t="n"/>
      <c r="F26" s="943" t="inlineStr">
        <is>
          <t xml:space="preserve">Incertitude GES : </t>
        </is>
      </c>
      <c r="G26" s="1013" t="n"/>
      <c r="H26" s="945">
        <f>IF(Incertitudes!B38=0,"Pas de données",TEXT(Incertitudes!B38,"# ##0")&amp;" ± "&amp;TEXT(Incertitudes!B39,"# ##0")&amp;" tCO2e")</f>
        <v/>
      </c>
      <c r="I26" s="1013" t="n"/>
      <c r="J26" s="1013" t="n"/>
      <c r="K26" s="1013" t="n"/>
      <c r="L26" s="1013" t="n"/>
    </row>
    <row r="27" outlineLevel="1" s="847">
      <c r="A27" s="942" t="inlineStr">
        <is>
          <t>DONNÉES GRAPHIQUES (source)</t>
        </is>
      </c>
    </row>
    <row r="28" outlineLevel="1" s="847">
      <c r="A28" s="67" t="inlineStr">
        <is>
          <t>Scope</t>
        </is>
      </c>
      <c r="B28" s="67" t="inlineStr">
        <is>
          <t>tCO2e</t>
        </is>
      </c>
      <c r="D28" s="67" t="inlineStr">
        <is>
          <t>Catégorie Scope 3</t>
        </is>
      </c>
      <c r="E28" s="67" t="inlineStr">
        <is>
          <t>tCO2e</t>
        </is>
      </c>
      <c r="G28" s="67" t="inlineStr">
        <is>
          <t>Année</t>
        </is>
      </c>
      <c r="H28" s="67" t="inlineStr">
        <is>
          <t>Cible SBTi (tCO2e)</t>
        </is>
      </c>
      <c r="I28" s="67" t="inlineStr">
        <is>
          <t>Réalisé (tCO2e)</t>
        </is>
      </c>
      <c r="K28" s="67" t="inlineStr">
        <is>
          <t>Année</t>
        </is>
      </c>
      <c r="L28" s="67" t="inlineStr">
        <is>
          <t>Total (tCO2e)</t>
        </is>
      </c>
    </row>
    <row r="29" outlineLevel="1" s="847">
      <c r="A29" t="inlineStr">
        <is>
          <t>Scope 1</t>
        </is>
      </c>
      <c r="B29" s="75">
        <f>Synthese_GES!C10</f>
        <v/>
      </c>
      <c r="D29" t="inlineStr">
        <is>
          <t>Cat.1 Achats</t>
        </is>
      </c>
      <c r="E29" s="75">
        <f>Synthese_GES!C20</f>
        <v/>
      </c>
      <c r="G29" s="71">
        <f>Trajectoire_SBTi!A15</f>
        <v/>
      </c>
      <c r="H29" s="35">
        <f>Trajectoire_SBTi!D15</f>
        <v/>
      </c>
      <c r="I29" s="35">
        <f>Synthese_GES!C47</f>
        <v/>
      </c>
      <c r="K29" s="230" t="inlineStr">
        <is>
          <t>=TEXT(Historique_5ans!B5,"0")</t>
        </is>
      </c>
      <c r="L29" s="35">
        <f>Historique_5ans!B12</f>
        <v/>
      </c>
    </row>
    <row r="30" outlineLevel="1" s="847">
      <c r="A30" t="inlineStr">
        <is>
          <t>Scope 2 (LB)</t>
        </is>
      </c>
      <c r="B30" s="75">
        <f>Synthese_GES!C15</f>
        <v/>
      </c>
      <c r="D30" t="inlineStr">
        <is>
          <t>Cat.2 Biens d'équip.</t>
        </is>
      </c>
      <c r="E30" s="75">
        <f>Synthese_GES!C21</f>
        <v/>
      </c>
      <c r="G30" s="71">
        <f>Trajectoire_SBTi!A16</f>
        <v/>
      </c>
      <c r="H30" s="35">
        <f>Trajectoire_SBTi!D16</f>
        <v/>
      </c>
      <c r="I30" s="35" t="n"/>
      <c r="K30" s="230" t="inlineStr">
        <is>
          <t>=TEXT(Historique_5ans!C5,"0")</t>
        </is>
      </c>
      <c r="L30" s="35">
        <f>Historique_5ans!C12</f>
        <v/>
      </c>
    </row>
    <row r="31" outlineLevel="1" s="847">
      <c r="A31" t="inlineStr">
        <is>
          <t>Scope 3</t>
        </is>
      </c>
      <c r="B31" s="75">
        <f>Synthese_GES!C35</f>
        <v/>
      </c>
      <c r="D31" t="inlineStr">
        <is>
          <t>Cat.3 Énergie amont</t>
        </is>
      </c>
      <c r="E31" s="75">
        <f>Synthese_GES!C22</f>
        <v/>
      </c>
      <c r="G31" s="71">
        <f>Trajectoire_SBTi!A17</f>
        <v/>
      </c>
      <c r="H31" s="35">
        <f>Trajectoire_SBTi!D17</f>
        <v/>
      </c>
      <c r="I31" s="35" t="n"/>
      <c r="K31" s="230" t="inlineStr">
        <is>
          <t>=TEXT(Historique_5ans!D5,"0")</t>
        </is>
      </c>
      <c r="L31" s="35">
        <f>Historique_5ans!D12</f>
        <v/>
      </c>
    </row>
    <row r="32" outlineLevel="1" s="847">
      <c r="D32" t="inlineStr">
        <is>
          <t>Cat.4 Transport amont</t>
        </is>
      </c>
      <c r="E32" s="75">
        <f>Synthese_GES!C23</f>
        <v/>
      </c>
      <c r="G32" s="71">
        <f>Trajectoire_SBTi!A18</f>
        <v/>
      </c>
      <c r="H32" s="35">
        <f>Trajectoire_SBTi!D18</f>
        <v/>
      </c>
      <c r="I32" s="35" t="n"/>
      <c r="K32" s="230" t="inlineStr">
        <is>
          <t>=TEXT(Historique_5ans!E5,"0")</t>
        </is>
      </c>
      <c r="L32" s="35">
        <f>Historique_5ans!E12</f>
        <v/>
      </c>
    </row>
    <row r="33" outlineLevel="1" s="847">
      <c r="D33" t="inlineStr">
        <is>
          <t>Cat.5 Déchets</t>
        </is>
      </c>
      <c r="E33" s="75">
        <f>Synthese_GES!C24</f>
        <v/>
      </c>
      <c r="G33" s="71">
        <f>Trajectoire_SBTi!A19</f>
        <v/>
      </c>
      <c r="H33" s="35">
        <f>Trajectoire_SBTi!D19</f>
        <v/>
      </c>
      <c r="I33" s="35" t="n"/>
      <c r="K33" s="230" t="inlineStr">
        <is>
          <t>=TEXT(Historique_5ans!F5,"0")</t>
        </is>
      </c>
      <c r="L33" s="35">
        <f>Historique_5ans!F12</f>
        <v/>
      </c>
    </row>
    <row r="34" outlineLevel="1" s="847">
      <c r="D34" t="inlineStr">
        <is>
          <t>Cat.6 Dépl. pro</t>
        </is>
      </c>
      <c r="E34" s="75">
        <f>Synthese_GES!C25</f>
        <v/>
      </c>
      <c r="G34" s="71">
        <f>Trajectoire_SBTi!A20</f>
        <v/>
      </c>
      <c r="H34" s="35">
        <f>Trajectoire_SBTi!D20</f>
        <v/>
      </c>
      <c r="I34" s="35" t="n"/>
    </row>
    <row r="35" outlineLevel="1" s="847">
      <c r="D35" t="inlineStr">
        <is>
          <t>Cat.7 Dom.-travail</t>
        </is>
      </c>
      <c r="E35" s="75">
        <f>Synthese_GES!C26</f>
        <v/>
      </c>
      <c r="G35" s="71">
        <f>Trajectoire_SBTi!A21</f>
        <v/>
      </c>
      <c r="H35" s="35">
        <f>Trajectoire_SBTi!D21</f>
        <v/>
      </c>
      <c r="I35" s="35" t="n"/>
    </row>
    <row r="36" outlineLevel="1" s="847">
      <c r="D36" t="inlineStr">
        <is>
          <t>Cat.8 Actifs amont</t>
        </is>
      </c>
      <c r="E36" s="75">
        <f>Synthese_GES!C27</f>
        <v/>
      </c>
      <c r="G36" s="71">
        <f>Trajectoire_SBTi!A22</f>
        <v/>
      </c>
      <c r="H36" s="35">
        <f>Trajectoire_SBTi!D22</f>
        <v/>
      </c>
      <c r="I36" s="35" t="n"/>
    </row>
    <row r="37" outlineLevel="1" s="847">
      <c r="D37" t="inlineStr">
        <is>
          <t>Cat.9 Transport aval</t>
        </is>
      </c>
      <c r="E37" s="75">
        <f>Synthese_GES!C28</f>
        <v/>
      </c>
      <c r="G37" s="71">
        <f>Trajectoire_SBTi!A23</f>
        <v/>
      </c>
      <c r="H37" s="35">
        <f>Trajectoire_SBTi!D23</f>
        <v/>
      </c>
      <c r="I37" s="35" t="n"/>
    </row>
    <row r="38" outlineLevel="1" s="847">
      <c r="D38" t="inlineStr">
        <is>
          <t>Cat.10 Transform.</t>
        </is>
      </c>
      <c r="E38" s="75">
        <f>Synthese_GES!C29</f>
        <v/>
      </c>
      <c r="G38" s="71">
        <f>Trajectoire_SBTi!A24</f>
        <v/>
      </c>
      <c r="H38" s="35">
        <f>Trajectoire_SBTi!D24</f>
        <v/>
      </c>
      <c r="I38" s="35" t="n"/>
    </row>
    <row r="39" outlineLevel="1" s="847">
      <c r="D39" t="inlineStr">
        <is>
          <t>Cat.11 Utilisation</t>
        </is>
      </c>
      <c r="E39" s="75">
        <f>Synthese_GES!C30</f>
        <v/>
      </c>
      <c r="G39" s="71">
        <f>Trajectoire_SBTi!A25</f>
        <v/>
      </c>
      <c r="H39" s="35">
        <f>Trajectoire_SBTi!D25</f>
        <v/>
      </c>
      <c r="I39" s="35" t="n"/>
    </row>
    <row r="40" outlineLevel="1" s="847">
      <c r="D40" t="inlineStr">
        <is>
          <t>Cat.12 Fin de vie</t>
        </is>
      </c>
      <c r="E40" s="75">
        <f>Synthese_GES!C31</f>
        <v/>
      </c>
    </row>
    <row r="41" outlineLevel="1" s="847">
      <c r="D41" t="inlineStr">
        <is>
          <t>Cat.13 Actifs aval</t>
        </is>
      </c>
      <c r="E41" s="75">
        <f>Synthese_GES!C32</f>
        <v/>
      </c>
    </row>
    <row r="42" outlineLevel="1" s="847">
      <c r="D42" t="inlineStr">
        <is>
          <t>Cat.14 Franchises</t>
        </is>
      </c>
      <c r="E42" s="75">
        <f>Synthese_GES!C33</f>
        <v/>
      </c>
    </row>
    <row r="43" outlineLevel="1" s="847">
      <c r="D43" t="inlineStr">
        <is>
          <t>Cat.15 Invest.</t>
        </is>
      </c>
      <c r="E43" s="75">
        <f>Synthese_GES!C34</f>
        <v/>
      </c>
    </row>
    <row r="44" ht="24" customHeight="1" s="847">
      <c r="A44" s="846" t="inlineStr">
        <is>
          <t>GRAPHIQUES D'ANALYSE</t>
        </is>
      </c>
    </row>
    <row r="45" ht="8.1" customHeight="1" s="847"/>
  </sheetData>
  <mergeCells count="29">
    <mergeCell ref="H26:L26"/>
    <mergeCell ref="J24:L24"/>
    <mergeCell ref="D11:F11"/>
    <mergeCell ref="A3:C3"/>
    <mergeCell ref="G3:I3"/>
    <mergeCell ref="A27:L27"/>
    <mergeCell ref="J11:L11"/>
    <mergeCell ref="G24:I24"/>
    <mergeCell ref="A5:C5"/>
    <mergeCell ref="G5:I5"/>
    <mergeCell ref="A23:L23"/>
    <mergeCell ref="D9:F9"/>
    <mergeCell ref="D3:F3"/>
    <mergeCell ref="F26:G26"/>
    <mergeCell ref="J3:L3"/>
    <mergeCell ref="D24:F24"/>
    <mergeCell ref="A26:B26"/>
    <mergeCell ref="D5:F5"/>
    <mergeCell ref="A9:C9"/>
    <mergeCell ref="A44:L44"/>
    <mergeCell ref="G9:I9"/>
    <mergeCell ref="A15:F15"/>
    <mergeCell ref="A24:C24"/>
    <mergeCell ref="G11:I11"/>
    <mergeCell ref="J5:L5"/>
    <mergeCell ref="A11:C11"/>
    <mergeCell ref="A1:L1"/>
    <mergeCell ref="C26:E26"/>
    <mergeCell ref="J9:L9"/>
  </mergeCells>
  <conditionalFormatting sqref="G24:I24">
    <cfRule type="containsText" priority="1" operator="containsText" dxfId="0" text="✗ 0">
      <formula>NOT(ISERROR(SEARCH("✗ 0",G24)))</formula>
    </cfRule>
  </conditionalFormatting>
  <hyperlinks>
    <hyperlink ref="N1" location="Sommaire!A1" display="🏠 Sommaire"/>
    <hyperlink ref="O1" location="Couverture!A1" display="📄 Couverture"/>
  </hyperlinks>
  <pageMargins left="0.75" right="0.75" top="1" bottom="1" header="0.511811023622047" footer="0.511811023622047"/>
  <pageSetup orientation="portrait" paperSize="9" horizontalDpi="300" verticalDpi="300"/>
  <drawing xmlns:r="http://schemas.openxmlformats.org/officeDocument/2006/relationships" r:id="rId1"/>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10" defaultRowHeight="15"/>
  <cols>
    <col width="9.5703125" customWidth="1" style="847" min="1" max="1"/>
    <col width="15.28515625" customWidth="1" style="847" min="2" max="2"/>
    <col width="38.140625" customWidth="1" style="847" min="3" max="4"/>
    <col width="57.140625" customWidth="1" style="847" min="5" max="5"/>
    <col width="38.140625" customWidth="1" style="847" min="6" max="6"/>
  </cols>
  <sheetData>
    <row r="1">
      <c r="A1" s="68" t="inlineStr">
        <is>
          <t>Turn #</t>
        </is>
      </c>
      <c r="B1" s="68" t="inlineStr">
        <is>
          <t>Date</t>
        </is>
      </c>
      <c r="C1" s="68" t="inlineStr">
        <is>
          <t>User Request</t>
        </is>
      </c>
      <c r="D1" s="68" t="inlineStr">
        <is>
          <t>Action Taken</t>
        </is>
      </c>
      <c r="E1" s="68" t="inlineStr">
        <is>
          <t>Details</t>
        </is>
      </c>
      <c r="F1" s="68" t="inlineStr">
        <is>
          <t>Outcome</t>
        </is>
      </c>
    </row>
    <row r="2">
      <c r="A2" t="n">
        <v>1</v>
      </c>
      <c r="B2" s="78" t="n">
        <v>45853</v>
      </c>
      <c r="C2" t="inlineStr">
        <is>
          <t>User provided 12 critical gaps in CarbonCo BEGES workbook (ISO 14064-1, ESRS E1, TCFD, etc.). Asked for plan.</t>
        </is>
      </c>
      <c r="D2" t="inlineStr">
        <is>
          <t>Analyzed 18-sheet workbook structure. Proposed 4-phase plan (12 new sheets). User approved Phase 1.</t>
        </is>
      </c>
      <c r="E2" t="inlineStr">
        <is>
          <t>Read Synthese_GES (existing uncertainty cols E-G), Paramètres (CA/ETP/CapEx), Trajectoire_SBTi, ESRS_E1, Dashboard, Scope_1, Scope_3, Matieres_Premieres. Confirmed existing formulas link to Scope sheets.</t>
        </is>
      </c>
      <c r="F2" t="inlineStr">
        <is>
          <t>Phase plan presented. User approved. Ready for Phase 1 execution.</t>
        </is>
      </c>
    </row>
    <row r="3">
      <c r="A3" t="n">
        <v>2</v>
      </c>
      <c r="B3" s="78" t="n">
        <v>45853</v>
      </c>
      <c r="C3" t="inlineStr">
        <is>
          <t>User approved Phase 1. Build: 1) Incertitudes (ISO 14064-1 §9.2), 2) Plan_Transition (ESRS E1-1), 3) Historique_5ans (ESRS E1-6 §48)</t>
        </is>
      </c>
      <c r="D3" t="inlineStr">
        <is>
          <t>Created 3 new sheets with full formula architecture, cross-sheet links, data validation dropdowns, and ADEME default values.</t>
        </is>
      </c>
      <c r="E3" t="inlineStr">
        <is>
          <t>Incertitudes: √(C²+D²) propagation, 21 emission lines linked to Synthese_GES, dashboard display formula. Plan_Transition: 4 sections (10 levers, financial hypotheses, 7 TCFD risks, CapEx alignment with =Paramètres!B14). Historique_5ans: 5-year table with dynamic years from Paramètres!B7, variation %, TCAM, trend arrows, rebasement section with OUI/NON validation.</t>
        </is>
      </c>
      <c r="F3" t="inlineStr">
        <is>
          <t>All 3 sheets verified: 0 formula errors. All values show 0/empty as expected (template has no data). Phase 1 complete.</t>
        </is>
      </c>
    </row>
    <row r="4">
      <c r="A4" t="n">
        <v>3</v>
      </c>
      <c r="B4" s="78" t="n">
        <v>45853</v>
      </c>
      <c r="C4" t="inlineStr">
        <is>
          <t>User approved Batch A (Polish visuel &amp; UX). Build: Couverture, Sommaire, boutons navigation, versioning.</t>
        </is>
      </c>
      <c r="D4" t="inlineStr">
        <is>
          <t>Created Couverture (page de garde), Sommaire (22 liens cliquables), navigation buttons on all 21 sheets, versioning section in Paramètres.</t>
        </is>
      </c>
      <c r="E4" t="inlineStr">
        <is>
          <t>Couverture: fond blanc cassé, titre BEGES, 11 champs liés à Paramètres, 3 badges conformité, lien Sommaire, footer dynamique. Sommaire: 22 entrées avec hyperliens, codes couleur par catégorie, 4 sections. Boutons 🏠 Sommaire + 📄 Couverture sur 21 onglets (N1:O1). Versioning dans Paramètres rows 54-64. Footer fix: DAY/MONTH/YEAR au lieu de TEXT() pour compatibilité FR.</t>
        </is>
      </c>
      <c r="F4" t="inlineStr">
        <is>
          <t>Batch A complet. 0 erreur de formule. Prochaine étape : Batch B (Contrôles qualité, plages nommées, protection).</t>
        </is>
      </c>
    </row>
    <row r="5">
      <c r="A5" t="n">
        <v>4</v>
      </c>
      <c r="B5" s="78" t="n">
        <v>45853</v>
      </c>
      <c r="C5" t="inlineStr">
        <is>
          <t>User approved Batch B: Contrôles qualité, plages nommées, protection formules.</t>
        </is>
      </c>
      <c r="D5" t="inlineStr">
        <is>
          <t>Created _Controles_Qualite (30 controls), 68 named ranges, protected formulas on 8 sheets.</t>
        </is>
      </c>
      <c r="E5" t="inlineStr">
        <is>
          <t>_Controles_Qualite: 30 automated checks (C001-C030), 3 criticality levels (Bloquant/Avertissement/Info), conditional formatting (green/orange/red), summary dashboard (21✓ 6⚠ 3✗ on empty template). Named ranges: 68 covering Paramètres, Synthese_GES, Incertitudes, Trajectoire_SBTi, Plan_Transition, ESRS_E1, QC. Protection: 8 sheets (Synthese_GES, Intensite_Carbone, Trajectoire_SBTi, ESRS_E1, Incertitudes, Plan_Transition, Historique_5ans, _Controles_Qualite) — formulas locked, inputs unlocked, sort/filter/format allowed. Fixed C013 #DIV/0! error. Added QC entry to Sommaire row 36 with dynamic status formula.</t>
        </is>
      </c>
      <c r="F5" t="inlineStr">
        <is>
          <t>Batch B complete. All 30 controls verified. 0 formula errors. Prochaine étape: Batch C (4 graphiques Dashboard, KPI conditionnels, harmonisation graphique).</t>
        </is>
      </c>
    </row>
    <row r="6">
      <c r="A6" t="n">
        <v>5</v>
      </c>
      <c r="B6" s="78" t="n">
        <v>45853</v>
      </c>
      <c r="C6" t="inlineStr">
        <is>
          <t>User approved Batch C: 4 graphiques Dashboard, KPI conditionnels, harmonisation graphique.</t>
        </is>
      </c>
      <c r="D6" t="inlineStr">
        <is>
          <t>Created 4 pro charts (Donut, Bar, Line, Column), enhanced KPI cards with contextual sub-labels, added QC banner + ESRS/incertitude indicators, harmonized 15 sheet title bars + navigation links.</t>
        </is>
      </c>
      <c r="E6" t="inlineStr">
        <is>
          <t>Charts: 1) Donut S1/S2/S3 (red/orange/blue), 2) Bar Scope 3 x15 catégories, 3) Line SBTi trajectory (green dashed target vs blue actual), 4) Column 5yr evolution. KPIs: QC banner row 24 with dynamic counts from _Controles_Qualite, ESRS E1 completeness (0/22), incertitude display. Harmonization: 15 sheets given consistent #1F4E79 title bar, white font 13pt, nav button '🏠 Sommaire' with hyperlink. Chart data in grouped rows 27-43 (collapsible). Fixed 5yr chart year labels (TEXT formula for text categories).</t>
        </is>
      </c>
      <c r="F6" t="inlineStr">
        <is>
          <t>Batch C complete. 4 charts verified. All KPI formulas correct. 15 sheets harmonized. Next: Batch D (Notes_Methodologiques, FAQ, 30-40 commentaires contextuels).</t>
        </is>
      </c>
    </row>
    <row r="7">
      <c r="A7" t="n">
        <v>6</v>
      </c>
      <c r="B7" s="78" t="n">
        <v>45853</v>
      </c>
      <c r="C7" t="inlineStr">
        <is>
          <t>User approved Batch D: Notes_Methodologiques, FAQ dans Guide (12 Q&amp;R), 30-40 commentaires contextuels, versioning dans Paramètres.</t>
        </is>
      </c>
      <c r="D7" t="inlineStr">
        <is>
          <t>Créé Notes_Methodologiques (5 sections), ajouté 12 FAQ dans Guide, 24 commentaires sur cellules clés, versioning dans Paramètres, re-protection des onglets.</t>
        </is>
      </c>
      <c r="E7" t="inlineStr">
        <is>
          <t>Notes_Methodologiques : S1-Périmètre (entités consolidées + tableau 5 ent.), S2-Sources données (8 sources pré-remplies), S3-Hypothèses (10 conventions), S4-Changements méthodo, S5-Limites/exclusions. FAQ : 12 Q&amp;R couvrant location, leasing, datacenter, télétravail, LB/MB, Cat.1, BEGES vs CSRD, Omnibus, SF6, émissions évitées. 24 commentaires : Paramètres (7), Scope_1/2/3 (3), Synthese_GES (5), SBTi (3), ESRS_E1 (1), Incertitudes (2), Plan_Transition (2), Dashboard (1). Versioning : section ajoutée en Paramètres row 66, version actuelle liée à Couverture!C19.</t>
        </is>
      </c>
      <c r="F7" t="inlineStr">
        <is>
          <t>Batch D complet. Notes_Metho et FAQ visuellement validées. 5 onglets re-protà0e9s. Prochaine étape : Batch E (Benchmark_Sectoriel + Scenarios).</t>
        </is>
      </c>
    </row>
    <row r="8">
      <c r="A8" t="n">
        <v>3</v>
      </c>
      <c r="B8" s="78" t="n">
        <v>45687</v>
      </c>
      <c r="C8" t="inlineStr">
        <is>
          <t>Créer 14 nouveaux onglets dans CarbonCo_Calcul_Carbone_v2.xlsx selon la structure décrite</t>
        </is>
      </c>
      <c r="D8" t="inlineStr">
        <is>
          <t>Créé les 14 onglets : 01_PARAMÈTRES2, 02_FACTEURS_ÉMISSION2, 03_ÉNERGIE_BÂTIMENTS, 04_TRANSPORT2, 05_RESTAURATION, 06_NOTES_DE_FRAIS, 07_DÉCHETS2, 08_SERVEURS_PHYSIQUES, 09_INSTANCES_CLOUD, 10_INVENTAIRE_SI, 11_ÉQUIPEMENTS_BUREAU, 12_USAGES_NUMÉRIQUES, 13_MODÉLISATION_SERVICES, 14_SYNTHÈSE_GLOBALE</t>
        </is>
      </c>
      <c r="E8" t="inlineStr">
        <is>
          <t>Style cohérent avec l'existant (fond vert #1B5E20, bleu #0D47A1). Onglets numériques en violet #4A148C. Formules dynamiques : conso × FE → émissions → tCO2e. 14_SYNTHÈSE_GLOBALE agrège tous les totaux avec liens cross-onglets, KPIs (intensité/ETP, intensité/CA), répartition par scope. FE ADEME 2024, Boavizta, Shift Project intégrés dans 02_FACTEURS_ÉMISSION2.</t>
        </is>
      </c>
      <c r="F8" t="inlineStr">
        <is>
          <t>14 onglets créés et opérationnels. Saisie : remplir '01_PARAMÈTRES2' d'abord, puis chaque onglet de saisie. La synthèse se met à jour automatiquement.</t>
        </is>
      </c>
    </row>
    <row r="9">
      <c r="A9" t="n">
        <v>4</v>
      </c>
      <c r="B9" s="78" t="n">
        <v>45687</v>
      </c>
      <c r="C9" t="inlineStr">
        <is>
          <t>Remplir 02_FACTEURS_ÉMISSION2 avec la table complète des FE fournie par l'utilisateur</t>
        </is>
      </c>
      <c r="D9" t="inlineStr">
        <is>
          <t>Effacé l'ancien contenu, écrit 116 facteurs d'émission répartis en 13 sections avec code couleur, fiabilité colorée, format 6 décimales. Corrigé l'affichage année et largeurs colonnes.</t>
        </is>
      </c>
      <c r="E9" t="inlineStr">
        <is>
          <t>Sections : Électricité (E01-06), Chauffage (C01-08), Transport passagers (T01-21), Fret (M01-04), Alimentation (A01-08), Numérique Usages (N01-07), IA (I01-04), Infra (D01-08), Eau (W01-03), Déchets (R01-07), Notes frais (F01-03), Fabrication IT (H01-21), PUE (P01-08), Régions Cloud (G01-08).</t>
        </is>
      </c>
      <c r="F9" t="inlineStr">
        <is>
          <t>116 FE disponibles jusqu'à la ligne 134. Colonnes B et E élargies pour éviter troncature.</t>
        </is>
      </c>
    </row>
    <row r="10">
      <c r="A10" t="n">
        <v>5</v>
      </c>
      <c r="B10" s="78" t="n">
        <v>45687</v>
      </c>
      <c r="C10" t="inlineStr">
        <is>
          <t>Reconstruire 03_ÉNERGIE_BÂTIMENTS avec nouvelle structure 4 sections et formules détaillées</t>
        </is>
      </c>
      <c r="D10" t="inlineStr">
        <is>
          <t>Effacé et reconstruit entièrement. Section A électricité (6 sites, formule B*(1-E)*D + B*E*0.006), Section B chauffage (5 sites, Surface*Conso*Facteur), Section C clim (4 sites, Surface*kW*h + COP3), Section D eau (3 sites, m3*FE+ECS), Synthèse aggregée.</t>
        </is>
      </c>
      <c r="E10" t="inlineStr">
        <is>
          <t>VLOOKUP dynamique sur 02_FACTEURS_ÉMISSION2 pour D (mix élec), E (combustible), F (clim), D-F (eau W01-03). Cellules saisie en jaune. Lignes sous-titre en gris avec formules en texte. Gel rangées 1-2.</t>
        </is>
      </c>
      <c r="F10" t="inlineStr">
        <is>
          <t>Structure opérationnelle. Saisir : B (conso kWh), C (ID FE ex E01), E (% EnR), F (prix €/kWh) pour Section A. La synthèse ligne 47 agrège les 4 sections automatiquement.</t>
        </is>
      </c>
    </row>
    <row r="11">
      <c r="A11" t="n">
        <v>6</v>
      </c>
      <c r="B11" s="78" t="n">
        <v>45687</v>
      </c>
      <c r="C11" t="inlineStr">
        <is>
          <t>Reconstruire 04_TRANSPORT2 avec nouvelle structure 3 sections et formules détaillées</t>
        </is>
      </c>
      <c r="D11" t="inlineStr">
        <is>
          <t>Effacé et reconstruit entièrement. Section A domicile-travail (8 lignes, modes pré-remplis), Section B déplacements pro (10 lignes, covoiturage), Section C flotte (7 véhicules). Synthèse avec % par scope.</t>
        </is>
      </c>
      <c r="E11" t="inlineStr">
        <is>
          <t>VLOOKUP dynamique sur 02_FACTEURS_ÉMISSION2 pour FE mode transport. Déplacements pro avec ajustement covoiturage (H/E). Flotte : formule Km x Conso/100 x FE_carburant. Jours ouvrés liés à Paramètres!B30.</t>
        </is>
      </c>
      <c r="F11" t="inlineStr">
        <is>
          <t>Fonctionnel avec exemples pré-remplis : 5 modes domicile-travail, 5 trajets pro, 7 véhicules. Synthèse ligne 49 : 46 tCO2e avec les données exemples.</t>
        </is>
      </c>
    </row>
    <row r="12">
      <c r="A12" t="n">
        <v>7</v>
      </c>
      <c r="B12" s="78" t="n">
        <v>45687</v>
      </c>
      <c r="C12" t="inlineStr">
        <is>
          <t>Reconstruire 05_RESTAURATION avec nouvelle structure repas par type + café/boissons</t>
        </is>
      </c>
      <c r="D12" t="inlineStr">
        <is>
          <t>Effacé et reconstruit. Section A : 7 types de repas (A01-A08) avec % répartition, VLOOKUP FE via LEFT(A;3), Nb employés et jours liés Paramètres. Contrôle % = 100% en ligne 13. Section B : 5 boissons avec FE fixes.</t>
        </is>
      </c>
      <c r="E12" t="inlineStr">
        <is>
          <t>Formule repas : D x E x B (total repas) x C (FE) = CO2. Café : D x E x B x 0.058. Pré-rempli : 5% végétalien, 15% végétarien, 35% viande blanche, 25% viande rouge, 20% poisson = 100%. Synthèse ligne 31.</t>
        </is>
      </c>
      <c r="F12" t="inlineStr">
        <is>
          <t>Fonctionnel. Remplir 01_PARAMÈTRES2!B11 (effectif) pour activer les calculs. La ligne 13 vérifie que les % = 100%.</t>
        </is>
      </c>
    </row>
    <row r="13">
      <c r="A13" t="n">
        <v>8</v>
      </c>
      <c r="B13" s="78" t="n">
        <v>45687</v>
      </c>
      <c r="C13" t="inlineStr">
        <is>
          <t>Construire 06_NOTES_DE_FRAIS et 07_DÉCHETS2</t>
        </is>
      </c>
      <c r="D13" t="inlineStr">
        <is>
          <t>06 : 10 postes (hôtel, repas, taxi, avions CC/MC/LC/affaires, location, autres), FE fixes ADEME, intensité kgCO2e/EUR, 6 KPIs. 07 : 10 flux déchets, VLOOKUP LEFT(D,3) sur FE, gestion unités t/kg auto, valeurs négatives recyclage en rouge.</t>
        </is>
      </c>
      <c r="E13" t="inlineStr">
        <is>
          <t>06 : FE directs (pas VLOOKUP) car postes mixtes. Intensité = F/G. 07 : formule IF(C=kg AND F contains /t, B/1000*E, B*E) pour conversion automatique t/kg. Indicateurs : émissions brutes vs évitées, taux valorisation COUNTIF.</t>
        </is>
      </c>
      <c r="F13" t="inlineStr">
        <is>
          <t>Fonctionnel. 06 : 9.5 tCO2e exemples, ratio vols 55.9%. 07 : total net 22 tCO2e, évitées -1600 kg, taux valorisation 60%.</t>
        </is>
      </c>
    </row>
    <row r="14">
      <c r="A14" t="n">
        <v>9</v>
      </c>
      <c r="B14" s="78" t="n">
        <v>45687</v>
      </c>
      <c r="C14" t="inlineStr">
        <is>
          <t>Construire 08_SERVEURS_PHYSIQUES et 09_INSTANCES_CLOUD</t>
        </is>
      </c>
      <c r="D14" t="inlineStr">
        <is>
          <t>08 : 10 serveurs on-premise, 26 colonnes A-Z, formule P_moy = TDP x (0.3+0.7xcharge) + RAM_W + Stock_W, CO2_fab amorti par an. 09 : 15 instances cloud, méthode CCF proportionnelle vCPU/vCPU_hote, VLOOKUP FE région (G01-G08), PUE par fournisseur.</t>
        </is>
      </c>
      <c r="E14" t="inlineStr">
        <is>
          <t>08 : Stock_W différencié SSD/HDD (2.5W vs 6W/To). 09 : P_CPU = (vCPU/vCPU_hote) x TDP x (0.3+0.7xcharge), approche location-based. Note limites REC/PPA.</t>
        </is>
      </c>
      <c r="F14" t="inlineStr">
        <is>
          <t>08 : 4066 kgCO2e/an, 23518 kWh/an pour 10 serveurs. 09 : 710 kgCO2e/an pour 76 vCPU (15 instances), 3123 kWh/an.</t>
        </is>
      </c>
    </row>
    <row r="15">
      <c r="A15" t="n">
        <v>10</v>
      </c>
      <c r="B15" s="78" t="n">
        <v>45687</v>
      </c>
      <c r="C15" t="inlineStr">
        <is>
          <t>Construire 10_INVENTAIRE_SI et 11_ÉQUIPEMENTS_BUREAU</t>
        </is>
      </c>
      <c r="D15" t="inlineStr">
        <is>
          <t>10 : 15 équipements SI (switchs, routeurs, firewalls, SAN, NAS, UPS), 19 colonnes A-S, statut renouvellement auto. 11 : 15 lignes équipements bureau (laptop/écran/smartphone/imprimante/docking), 20 colonnes A-T, coeff reconditionné 0.25, VLOOKUP CO2_fab sur FE sheet.</t>
        </is>
      </c>
      <c r="E15" t="inlineStr">
        <is>
          <t>10 : P_totale = E x F x D (puissance x charge x quantité). 11 : Part fab = O/P. Reconditionné = FFF9C4 jaune si Non, C8E6C9 vert si Oui. Dates corrigées avec =DATE(y,m,d) pour calcul âge dynamique.</t>
        </is>
      </c>
      <c r="F15" t="inlineStr">
        <is>
          <t>10 : 4508 kgCO2e/an, 31428 kWh/an. 11 : 13886 kgCO2e/an pour 354 équipements, part fab ~94% (confirme la règle 70-80%). 0 équipements à renouveler (parc récent).</t>
        </is>
      </c>
    </row>
    <row r="16">
      <c r="A16" t="n">
        <v>11</v>
      </c>
      <c r="B16" s="78" t="n">
        <v>45687</v>
      </c>
      <c r="C16" t="inlineStr">
        <is>
          <t>Construire 12_USAGES_NUMÉRIQUES et 13_MODÉLISATION_SERVICES</t>
        </is>
      </c>
      <c r="D16" t="inlineStr">
        <is>
          <t>12 : 7 sections (A-G) + synthèse row 72. A=emails, B=visio, C=IA/LLM, D=stockage SaaS, E=réseau télécom, F=impressions, G=logiciels SaaS. 13 : 15 services multicouche REN, colonnes A-T, lookups croisés vers onglets 08/09.</t>
        </is>
      </c>
      <c r="E16" t="inlineStr">
        <is>
          <t>12 : Emails = E×0.004+F×0.035. Visio = h×FE×ETP×jours. IA = req×FE×users×jours + GPU×FE_GPU. Réseau VLOOKUP D01-D04 FE. 13 : N=CO2_infra XLOOKUP 08/09, O=Go/an, P=O×I, Q=sessions×durée×P_terminal×FE, R=N+P+Q, S=CO2/requête, T=CO2/user.</t>
        </is>
      </c>
      <c r="F16" t="inlineStr">
        <is>
          <t>12 : total 5399 kgCO2e (dont 83% IA car 3 modèles pré-chargés). 13 : total 2282 kgCO2e pour 15 services, dont Streaming=936 kg (dominant) et ERP_BDD=374 kg. Dashboard BI = 1.23 kg CO2/requête.</t>
        </is>
      </c>
    </row>
    <row r="17">
      <c r="A17" t="n">
        <v>12</v>
      </c>
      <c r="B17" s="78" t="n">
        <v>45687</v>
      </c>
      <c r="C17" t="inlineStr">
        <is>
          <t>Construire 14_SYNTHÈSE_GLOBALE avec 5 sections + 2 graphiques</t>
        </is>
      </c>
      <c r="D17" t="inlineStr">
        <is>
          <t>Section A : 15 postes avec références croisées onglets 03-12 (CO2 usage + fab, tCO2e, %, kWh). Section B : regroupement thématique 8 catégories. Section C : 14 KPIs. Section D : 6 équivalences parlantes. Section E : 5 contrôles anti-double comptage. Section F : données source graphiques.</t>
        </is>
      </c>
      <c r="E17" t="inlineStr">
        <is>
          <t>Données source graph en lignes 70-85 : thèmes A70:B78, postes D70:E85. 2 charts : camembert thèmes (droite haut) + barres horizontales postes (droite bas). Freeze row 3.</t>
        </is>
      </c>
      <c r="F17" t="inlineStr">
        <is>
          <t>TOTAL BILAN = 69 527 kgCO2e = 69.53 tCO2e. Part IT = 36.2%, Part fab = 5.5%. 318 929 km voiture, 39 A/R Paris-NY, 2781 arbres. CO2/M EUR = 34 334 tCO2e (car CA vide dans Paramètres).</t>
        </is>
      </c>
    </row>
    <row r="18">
      <c r="A18" t="n">
        <v>13</v>
      </c>
      <c r="B18" s="78" t="n">
        <v>45687</v>
      </c>
      <c r="C18" t="inlineStr">
        <is>
          <t>Construire 01_PARAMÈTRES2 avec 7 sections et corriger 85 références croisées</t>
        </is>
      </c>
      <c r="D18" t="inlineStr">
        <is>
          <t>7 sections : Identité, Effectifs &amp; Locaux, Financier, Prix énergie, Objectifs, Paramètres de calcul, Note. Cellules jaunes = saisies utilisateur (blue font), gris = calcés. Mapping corrigé : B11-&gt;B12 (ETP), B30-&gt;B15 (jours), dans 85 formules sur 11 onglets.</t>
        </is>
      </c>
      <c r="E18" t="inlineStr">
        <is>
          <t>Corrections : B11-&gt;B12 (nb_employés), B30-&gt;B15 (jours_ouvrés) dans onglets 03-12. B26-&gt;B26 inchangé (prix_gaz même position). Synthese B20=CA, B25=prix_elec, B31=objectif, B14=surface.</t>
        </is>
      </c>
      <c r="F18" t="inlineStr">
        <is>
          <t>TOTAL BILAN = 107.8 tCO2e avec 50 ETP pré-remplis. CO2/ETP = 2.16 tCO2e/ETP, CO2/M EUR = 8.98, kWh total = 34 565, cout elec = 6 222 EUR/an. Tous KPIs actifs.</t>
        </is>
      </c>
    </row>
    <row r="19">
      <c r="A19" t="n">
        <v>14</v>
      </c>
      <c r="B19" s="78" t="n">
        <v>45687</v>
      </c>
      <c r="C19" t="inlineStr">
        <is>
          <t>Analyse complète du fichier : doublons, onglets en trop, recommandations de fusion</t>
        </is>
      </c>
      <c r="D19" t="inlineStr">
        <is>
          <t>Audit des 40 onglets. Identifié 7 doublons thématiques (Paramètres, FE, Energie, Transport, Déchets, Eau, Synthèse). 12 onglets originaux à valeur unique (CBAM, Taxonomie, ESRS, SBTi, Incertitudes, etc.)</t>
        </is>
      </c>
      <c r="E19" t="inlineStr">
        <is>
          <t>Recommandation : fusionner les 2 familles. Supprimer les doublons, garder les onglets normatifs uniques, alimenter Scope_1/2/3 par formules depuis onglets 03-12. Créer un onglet Scope 1/2/3 consolidé.</t>
        </is>
      </c>
      <c r="F19" t="inlineStr">
        <is>
          <t>Analyse seulement, aucune modification. Attente de la décision utilisateur sur la stratégie de fusion et les indicateurs hors scope souhaités.</t>
        </is>
      </c>
    </row>
    <row r="20">
      <c r="A20" t="n">
        <v>15</v>
      </c>
      <c r="B20" s="78" t="n">
        <v>45687</v>
      </c>
      <c r="C20" t="inlineStr">
        <is>
          <t>Analyse comparative approfondie : onglets originaux vs nouveaux — complétude méthodologique</t>
        </is>
      </c>
      <c r="D20" t="inlineStr">
        <is>
          <t>Lu en détail : Paramètres (74 lignes), Facteurs_Emission (108 FE avec split combustion/amont), Scope_1 (4 sections 1A-1D), Scope_2 (LB+MB), Scope_3 (15 catégories), Synthese_GES (format BEGES), Energie (ventilation ESRS E1-5 + suivi mensuel)</t>
        </is>
      </c>
      <c r="E20" t="inlineStr">
        <is>
          <t>Identifié des lacunes dans les deux familles. Originaux : plus rigoureux (split S1/S3, market-based, 15 cat S3, incertitudes, ESRS) mais vides. Nouveaux : calcul détaillé (IT, restauration) mais pas de split combustion/amont, pas de market-based, pas de 15 cat S3.</t>
        </is>
      </c>
      <c r="F20" t="inlineStr">
        <is>
          <t>Recommandation : fusionner les atouts des deux. Voir réponse détaillée pour la matrice complète.</t>
        </is>
      </c>
    </row>
    <row r="21">
      <c r="A21" t="n">
        <v>16</v>
      </c>
      <c r="B21" s="78" t="n">
        <v>45687</v>
      </c>
      <c r="C21" t="inlineStr">
        <is>
          <t>Ajout des 7 features normatives critiques aux onglets nouveaux</t>
        </is>
      </c>
      <c r="D21" t="inlineStr">
        <is>
          <t>7 ajouts : (1) Split Combustion/Amont cols H-M dans FE2 pour 120+ FE. (2) Section E Market-based dans 03 (LB vs MB, GO/PPA). (3) 15 catégories Scope 3 avec mapping vers onglets (rows 107-121 Synthèse). (4a) Frigorigènes FG01-08 dans FE2 + (4b) Section F dans 03 (5 équip, PRG AR6). (5) Incertitudes col K (ISO 14064). (6) Comparaison N-1 cols L-N. (7) Ventilation ENR/non-ENR section G dans 03 (ESRS E1-5).</t>
        </is>
      </c>
      <c r="E21" t="inlineStr">
        <is>
          <t>85 formules cross-sheet corrigées (B11-&gt;B12 ETP, B30-&gt;B15 jours). Scope 1 rows 90-96, Scope 2 rows 98-103, 15 cat S3 rows 107-121, totaux rows 124-129. Split FE: C01 gaz=0.205+0.022=0.227, T01 voiture=0.193+0.025=0.218.</t>
        </is>
      </c>
      <c r="F21" t="inlineStr">
        <is>
          <t>Total S1+S2+S3 = 95 742 kg = 95.74 tCO2e. S1=3.9% (frigorigènes), S2=0% (données non saisies), S3=96.1%. Cat.1=21150, Cat.2=3532, Cat.5=441, Cat.6=44350, Cat.7=0(référence correcte mais J14 vide), Cat.11=22544.</t>
        </is>
      </c>
    </row>
    <row r="22">
      <c r="A22" t="n">
        <v>17</v>
      </c>
      <c r="B22" s="78" t="n">
        <v>45687</v>
      </c>
      <c r="C22" t="inlineStr">
        <is>
          <t>Harmoniser le formatage sur les 14 onglets (largeurs colonnes, num formats, navigation, bordures)</t>
        </is>
      </c>
      <c r="D22" t="inlineStr">
        <is>
          <t>Pass de formatage uniforme : largeurs de colonnes ajustées sur 14 onglets, number formats cohérents (%, #,##0, 0.000), liens navigation 🏠/📄 ajoutés sur 08-11,13,14, bordures professionnelles sur Synthèse (sections A, B, Scopes).</t>
        </is>
      </c>
      <c r="E22" t="inlineStr">
        <is>
          <t>01: inputs en bleu/jaune. 04: km #,##0, FE 0.000. 14: col K=0%, L=#,##0.00, M=0.0%, N=#,##0.00. Bordures thin gris #D0D0D0 inside, medium extérieures. Scopes rows 88-132 avec bordures grid complètes.</t>
        </is>
      </c>
      <c r="F22" t="inlineStr">
        <is>
          <t>Tous les 14 onglets sont maintenant formatés de manière cohérente avec navigation, bordures et number formats uniformes. Synthèse affiche S1=3725 (3.9%), S2=0, S3=92017 (96.1%), Total=95742 kgCO2e.</t>
        </is>
      </c>
    </row>
    <row r="23">
      <c r="A23" t="n">
        <v>18</v>
      </c>
      <c r="B23" t="inlineStr">
        <is>
          <t>2026-04-12</t>
        </is>
      </c>
      <c r="C23" t="inlineStr">
        <is>
          <t>Block A data contract alignment</t>
        </is>
      </c>
      <c r="D23" t="inlineStr">
        <is>
          <t>Added canonical CC_* named ranges for shared enterprise, carbon, energy, taxonomie, CBAM and SBTi fields.</t>
        </is>
      </c>
      <c r="E23" t="inlineStr">
        <is>
          <t>Named ranges now expose the stable integration contract consumed by Phase 0 documentation and future backend ingestion.</t>
        </is>
      </c>
      <c r="F23" t="inlineStr">
        <is>
          <t>Carbon master workbook now contains the Phase 0 source contract.</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E44"/>
  <sheetViews>
    <sheetView showGridLines="0" workbookViewId="0">
      <pane ySplit="2" topLeftCell="A31" activePane="bottomLeft" state="frozen"/>
      <selection pane="bottomLeft" activeCell="C2" sqref="C2"/>
    </sheetView>
  </sheetViews>
  <sheetFormatPr baseColWidth="10" defaultRowHeight="15"/>
  <cols>
    <col width="34.42578125" bestFit="1" customWidth="1" style="847" min="1" max="1"/>
    <col width="29.85546875" customWidth="1" style="847" min="2" max="2"/>
    <col width="38.140625" bestFit="1" customWidth="1" style="847" min="3" max="3"/>
    <col width="17.140625" customWidth="1" style="847" min="5" max="5"/>
  </cols>
  <sheetData>
    <row r="1" ht="36" customHeight="1" s="847">
      <c r="A1" s="949" t="inlineStr">
        <is>
          <t>PARAMETRES DE L'ENTREPRISE — Bilan Carbone</t>
        </is>
      </c>
      <c r="E1" s="547" t="inlineStr">
        <is>
          <t>Sommaire</t>
        </is>
      </c>
    </row>
    <row r="2" ht="21.95" customHeight="1" s="847">
      <c r="A2" s="323" t="inlineStr">
        <is>
          <t>Parametre</t>
        </is>
      </c>
      <c r="B2" s="323" t="inlineStr">
        <is>
          <t>Valeur</t>
        </is>
      </c>
      <c r="C2" s="323" t="inlineStr">
        <is>
          <t>Unite / Remarque</t>
        </is>
      </c>
    </row>
    <row r="3" ht="20.1" customHeight="1" s="847">
      <c r="A3" s="946" t="inlineStr">
        <is>
          <t>1 — IDENTITE DE L'ENTREPRISE</t>
        </is>
      </c>
    </row>
    <row r="4" ht="21.95" customHeight="1" s="847">
      <c r="A4" s="548" t="inlineStr">
        <is>
          <t>Nom de l'entreprise</t>
        </is>
      </c>
      <c r="B4" s="549" t="n"/>
      <c r="C4" s="540" t="inlineStr">
        <is>
          <t>Texte libre</t>
        </is>
      </c>
    </row>
    <row r="5" ht="21.95" customHeight="1" s="847">
      <c r="A5" s="550" t="inlineStr">
        <is>
          <t>Secteur d'activite</t>
        </is>
      </c>
      <c r="B5" s="549" t="n"/>
      <c r="C5" s="504" t="inlineStr">
        <is>
          <t>ex: Services numeriques, Industrie, Retail…</t>
        </is>
      </c>
    </row>
    <row r="6" ht="21.95" customHeight="1" s="847">
      <c r="A6" s="548" t="inlineStr">
        <is>
          <t>Code NAF / APE</t>
        </is>
      </c>
      <c r="B6" s="549" t="n"/>
      <c r="C6" s="540" t="inlineStr">
        <is>
          <t>ex: 6201Z, 4791B…</t>
        </is>
      </c>
    </row>
    <row r="7" ht="21.95" customHeight="1" s="847">
      <c r="A7" s="550" t="inlineStr">
        <is>
          <t>Responsable du bilan</t>
        </is>
      </c>
      <c r="B7" s="549" t="n"/>
      <c r="C7" s="504" t="inlineStr">
        <is>
          <t>Nom et prenom</t>
        </is>
      </c>
    </row>
    <row r="8" ht="21.95" customHeight="1" s="847">
      <c r="A8" s="548" t="inlineStr">
        <is>
          <t>Date de remplissage</t>
        </is>
      </c>
      <c r="B8" s="556" t="n"/>
      <c r="C8" s="540" t="inlineStr">
        <is>
          <t>Format JJ/MM/AAAA</t>
        </is>
      </c>
    </row>
    <row r="9" ht="21.95" customHeight="1" s="847">
      <c r="A9" s="550" t="inlineStr">
        <is>
          <t>Annee de reference</t>
        </is>
      </c>
      <c r="B9" s="549" t="n">
        <v>2024</v>
      </c>
      <c r="C9" s="504" t="inlineStr">
        <is>
          <t>Annee du bilan carbone</t>
        </is>
      </c>
    </row>
    <row r="10" ht="21.95" customHeight="1" s="847">
      <c r="A10" s="548" t="inlineStr">
        <is>
          <t>Annee de comparaison N-1</t>
        </is>
      </c>
      <c r="B10" s="549" t="n">
        <v>2023</v>
      </c>
      <c r="C10" s="540" t="inlineStr">
        <is>
          <t>Pour calcul evolution YoY</t>
        </is>
      </c>
    </row>
    <row r="11" ht="20.1" customHeight="1" s="847">
      <c r="A11" s="946" t="inlineStr">
        <is>
          <t>2 — EFFECTIFS &amp; LOCAUX</t>
        </is>
      </c>
    </row>
    <row r="12" ht="21.95" customHeight="1" s="847">
      <c r="A12" s="548" t="inlineStr">
        <is>
          <t>Nb employes (ETP)</t>
        </is>
      </c>
      <c r="B12" s="551" t="n">
        <v>50</v>
      </c>
      <c r="C12" s="540" t="inlineStr">
        <is>
          <t>Equivalent temps plein — saisonniers inclus</t>
        </is>
      </c>
    </row>
    <row r="13" ht="21.95" customHeight="1" s="847">
      <c r="A13" s="550" t="inlineStr">
        <is>
          <t>Nb de sites</t>
        </is>
      </c>
      <c r="B13" s="551" t="n">
        <v>1</v>
      </c>
      <c r="C13" s="504" t="inlineStr">
        <is>
          <t>Nombre de bureaux / sites</t>
        </is>
      </c>
    </row>
    <row r="14" ht="21.95" customHeight="1" s="847">
      <c r="A14" s="548" t="inlineStr">
        <is>
          <t>Surface totale locaux (m2)</t>
        </is>
      </c>
      <c r="B14" s="551" t="n">
        <v>1200</v>
      </c>
      <c r="C14" s="540" t="inlineStr">
        <is>
          <t>Total m2 chauffes</t>
        </is>
      </c>
    </row>
    <row r="15" ht="21.95" customHeight="1" s="847">
      <c r="A15" s="550" t="inlineStr">
        <is>
          <t>Jours ouvres / an</t>
        </is>
      </c>
      <c r="B15" s="551" t="n">
        <v>220</v>
      </c>
      <c r="C15" s="504" t="inlineStr">
        <is>
          <t>Ex: 220 (5j/sem, 52 sem, -8 jours feries)</t>
        </is>
      </c>
    </row>
    <row r="16" ht="21.95" customHeight="1" s="847">
      <c r="A16" s="548" t="inlineStr">
        <is>
          <t>Taux teletravail (%)</t>
        </is>
      </c>
      <c r="B16" s="552" t="n">
        <v>0.2</v>
      </c>
      <c r="C16" s="540" t="inlineStr">
        <is>
          <t>Part du temps en teletravail (0 a 1)</t>
        </is>
      </c>
    </row>
    <row r="17" ht="21.95" customHeight="1" s="847">
      <c r="A17" s="550" t="inlineStr">
        <is>
          <t>Pays principal</t>
        </is>
      </c>
      <c r="B17" s="549" t="inlineStr">
        <is>
          <t>France</t>
        </is>
      </c>
      <c r="C17" s="504" t="inlineStr">
        <is>
          <t>Pour facteur emissif electricite par defaut</t>
        </is>
      </c>
    </row>
    <row r="18">
      <c r="B18" s="549" t="n"/>
    </row>
    <row r="19" ht="20.1" customHeight="1" s="847">
      <c r="A19" s="946" t="inlineStr">
        <is>
          <t>3 — DONNEES FINANCIERES</t>
        </is>
      </c>
    </row>
    <row r="20" ht="21.95" customHeight="1" s="847">
      <c r="A20" s="548" t="inlineStr">
        <is>
          <t>Chiffre d'affaires (EUR)</t>
        </is>
      </c>
      <c r="B20" s="551" t="n">
        <v>12000000</v>
      </c>
      <c r="C20" s="540" t="inlineStr">
        <is>
          <t>En euros — pour intensite carbone CO2/M EUR</t>
        </is>
      </c>
    </row>
    <row r="21" ht="21.95" customHeight="1" s="847">
      <c r="A21" s="550" t="inlineStr">
        <is>
          <t>Masse salariale (EUR)</t>
        </is>
      </c>
      <c r="B21" s="551" t="n"/>
      <c r="C21" s="504" t="inlineStr">
        <is>
          <t>Optionnel — pour ratio salaires</t>
        </is>
      </c>
    </row>
    <row r="22" ht="21.95" customHeight="1" s="847">
      <c r="A22" s="548" t="inlineStr">
        <is>
          <t>Budget IT (EUR)</t>
        </is>
      </c>
      <c r="B22" s="551" t="n"/>
      <c r="C22" s="540" t="inlineStr">
        <is>
          <t>Optionnel — pour ratio IT</t>
        </is>
      </c>
    </row>
    <row r="24" ht="20.1" customHeight="1" s="847">
      <c r="A24" s="946" t="inlineStr">
        <is>
          <t>4 — PRIX DE L'ENERGIE (pour estimation couts)</t>
        </is>
      </c>
    </row>
    <row r="25" ht="21.95" customHeight="1" s="847">
      <c r="A25" s="550" t="inlineStr">
        <is>
          <t>Prix electricite (EUR/kWh)</t>
        </is>
      </c>
      <c r="B25" s="553" t="n">
        <v>0.18</v>
      </c>
      <c r="C25" s="504" t="inlineStr">
        <is>
          <t>Moyenne annuelle TTC — source facture</t>
        </is>
      </c>
    </row>
    <row r="26" ht="21.95" customHeight="1" s="847">
      <c r="A26" s="548" t="inlineStr">
        <is>
          <t>Prix gaz naturel (EUR/kWh)</t>
        </is>
      </c>
      <c r="B26" s="553" t="n">
        <v>0.08</v>
      </c>
      <c r="C26" s="540" t="inlineStr">
        <is>
          <t>Moyenne annuelle TTC</t>
        </is>
      </c>
    </row>
    <row r="27" ht="21.95" customHeight="1" s="847">
      <c r="A27" s="550" t="inlineStr">
        <is>
          <t>Prix eau (EUR/m3)</t>
        </is>
      </c>
      <c r="B27" s="553" t="n">
        <v>4.5</v>
      </c>
      <c r="C27" s="504" t="inlineStr">
        <is>
          <t>Eau froide + assainissement</t>
        </is>
      </c>
    </row>
    <row r="28" ht="21.95" customHeight="1" s="847">
      <c r="A28" s="548" t="inlineStr">
        <is>
          <t>Prix fioul (EUR/litre)</t>
        </is>
      </c>
      <c r="B28" s="553" t="n">
        <v>0.95</v>
      </c>
      <c r="C28" s="540" t="inlineStr">
        <is>
          <t>Optionnel</t>
        </is>
      </c>
    </row>
    <row r="30" ht="20.1" customHeight="1" s="847">
      <c r="A30" s="946" t="inlineStr">
        <is>
          <t>5 — OBJECTIFS DE REDUCTION</t>
        </is>
      </c>
    </row>
    <row r="31" ht="21.95" customHeight="1" s="847">
      <c r="A31" s="550" t="inlineStr">
        <is>
          <t>Objectif reduction (%/an)</t>
        </is>
      </c>
      <c r="B31" s="1014" t="n">
        <v>-0.15</v>
      </c>
      <c r="C31" s="504" t="inlineStr">
        <is>
          <t>Ex: -0.15 = -15% / an. Reference Section C synthese</t>
        </is>
      </c>
    </row>
    <row r="32" ht="21.95" customHeight="1" s="847">
      <c r="A32" s="548" t="inlineStr">
        <is>
          <t>Annee cible objectif</t>
        </is>
      </c>
      <c r="B32" s="1014" t="n">
        <v>2030</v>
      </c>
      <c r="C32" s="540" t="inlineStr">
        <is>
          <t>Horizon de neutralite cible</t>
        </is>
      </c>
    </row>
    <row r="33" ht="21.95" customHeight="1" s="847">
      <c r="A33" s="550" t="inlineStr">
        <is>
          <t>Reference externe</t>
        </is>
      </c>
      <c r="B33" s="1014" t="inlineStr">
        <is>
          <t>SBTi 1.5C</t>
        </is>
      </c>
      <c r="C33" s="504" t="inlineStr">
        <is>
          <t>Ex: SBTi, SBTN, accord Paris, RE2020…</t>
        </is>
      </c>
    </row>
    <row r="34">
      <c r="B34" s="549" t="n"/>
    </row>
    <row r="35" ht="20.1" customHeight="1" s="847">
      <c r="A35" s="946" t="inlineStr">
        <is>
          <t>6 — PARAMETRES DE CALCUL (references onglets)</t>
        </is>
      </c>
    </row>
    <row r="36" ht="21.95" customHeight="1" s="847">
      <c r="A36" s="548" t="inlineStr">
        <is>
          <t>Facteur emissif elec France (kgCO2e/kWh)</t>
        </is>
      </c>
      <c r="B36" s="1015" t="n">
        <v>0.0569</v>
      </c>
      <c r="C36" s="540" t="inlineStr">
        <is>
          <t>ADEME Base Carbone 2024 — reseau FR</t>
        </is>
      </c>
    </row>
    <row r="37" ht="21.95" customHeight="1" s="847">
      <c r="A37" s="550" t="inlineStr">
        <is>
          <t>Facteur emissif gaz naturel (kgCO2e/kWh)</t>
        </is>
      </c>
      <c r="B37" s="1015" t="n">
        <v>0.2272</v>
      </c>
      <c r="C37" s="504" t="inlineStr">
        <is>
          <t>ADEME Base Carbone 2024</t>
        </is>
      </c>
    </row>
    <row r="38" ht="21.95" customHeight="1" s="847">
      <c r="A38" s="548" t="inlineStr">
        <is>
          <t>Facteur emissif fioul (kgCO2e/kWh)</t>
        </is>
      </c>
      <c r="B38" s="1015" t="n">
        <v>0.324</v>
      </c>
      <c r="C38" s="540" t="inlineStr">
        <is>
          <t>ADEME Base Carbone 2024</t>
        </is>
      </c>
    </row>
    <row r="39" ht="21.95" customHeight="1" s="847">
      <c r="A39" s="550" t="inlineStr">
        <is>
          <t>COP climatisation (defaut)</t>
        </is>
      </c>
      <c r="B39" s="554" t="n">
        <v>3</v>
      </c>
      <c r="C39" s="504" t="inlineStr">
        <is>
          <t>Efficacite energetique clim (2.5 a 4.0)</t>
        </is>
      </c>
    </row>
    <row r="40" ht="21.95" customHeight="1" s="847">
      <c r="A40" s="548" t="inlineStr">
        <is>
          <t>PUE datacenter interne</t>
        </is>
      </c>
      <c r="B40" s="554" t="n">
        <v>1.5</v>
      </c>
      <c r="C40" s="540" t="inlineStr">
        <is>
          <t>Power Usage Effectiveness (1.1 a 2.0)</t>
        </is>
      </c>
    </row>
    <row r="41" ht="21.95" customHeight="1" s="847">
      <c r="A41" s="550" t="inlineStr">
        <is>
          <t>Duree amortissement IT (ans)</t>
        </is>
      </c>
      <c r="B41" s="555" t="n">
        <v>4</v>
      </c>
      <c r="C41" s="504" t="inlineStr">
        <is>
          <t>Duree de vie standard equipements IT</t>
        </is>
      </c>
    </row>
    <row r="42" ht="21.95" customHeight="1" s="847">
      <c r="A42" s="548" t="inlineStr">
        <is>
          <t>Taux recyclage dechets (%)</t>
        </is>
      </c>
      <c r="B42" s="555" t="n">
        <v>0.35</v>
      </c>
      <c r="C42" s="540" t="inlineStr">
        <is>
          <t>Part des dechets effectivement recycles</t>
        </is>
      </c>
    </row>
    <row r="44" ht="39.95" customHeight="1" s="847">
      <c r="A44" s="948" t="inlineStr">
        <is>
          <t>Note : toutes les cellules jaunes (colonne B) sont des saisies utilisateur. Les formules des autres onglets referentent ces cellules via '01_PARAMETRES2'!B12 etc. Ne pas modifier les noms des onglets.</t>
        </is>
      </c>
    </row>
  </sheetData>
  <mergeCells count="8">
    <mergeCell ref="A1:D1"/>
    <mergeCell ref="A19:C19"/>
    <mergeCell ref="A11:C11"/>
    <mergeCell ref="A44:C44"/>
    <mergeCell ref="A3:C3"/>
    <mergeCell ref="A30:C30"/>
    <mergeCell ref="A35:C35"/>
    <mergeCell ref="A24:C24"/>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O200"/>
  <sheetViews>
    <sheetView showGridLines="0" workbookViewId="0">
      <pane ySplit="3" topLeftCell="A4" activePane="bottomLeft" state="frozen"/>
      <selection pane="bottomLeft" activeCell="I14" sqref="I14"/>
    </sheetView>
  </sheetViews>
  <sheetFormatPr baseColWidth="10" defaultRowHeight="15"/>
  <cols>
    <col width="57.7109375" bestFit="1" customWidth="1" style="847" min="2" max="2"/>
    <col width="11.5703125" bestFit="1" customWidth="1" style="847" min="3" max="3"/>
    <col width="13.140625" bestFit="1" customWidth="1" style="847" min="4" max="4"/>
    <col width="17" bestFit="1" customWidth="1" style="847" min="5" max="5"/>
    <col width="17.140625" bestFit="1" customWidth="1" style="847" min="8" max="8"/>
    <col width="17.42578125" bestFit="1" customWidth="1" style="847" min="9" max="9"/>
    <col width="15.5703125" bestFit="1" customWidth="1" style="847" min="11" max="11"/>
    <col width="13.85546875" bestFit="1" customWidth="1" style="847" min="15" max="15"/>
  </cols>
  <sheetData>
    <row r="1" ht="18.75" customHeight="1" s="847">
      <c r="A1" s="950" t="inlineStr">
        <is>
          <t>BASE DE FACTEURS D'ÉMISSION — ADEME Base Carbone / IEA / GIEC / Boavizta / Ecoinvent</t>
        </is>
      </c>
      <c r="N1" s="283" t="inlineStr">
        <is>
          <t>🏠 Sommaire</t>
        </is>
      </c>
      <c r="O1" s="284" t="inlineStr">
        <is>
          <t>📄 Couverture</t>
        </is>
      </c>
    </row>
    <row r="2">
      <c r="A2" s="951" t="inlineStr">
        <is>
          <t>Table de référence complète avec sources. ✅✅✅ = haute fiabilité (source officielle). ✅✅ = fiabilité bonne. ✅ = estimation. ⚠️ = incertitude élevée.</t>
        </is>
      </c>
    </row>
    <row r="3">
      <c r="A3" s="946" t="inlineStr">
        <is>
          <t>ID</t>
        </is>
      </c>
      <c r="B3" s="946" t="inlineStr">
        <is>
          <t>Libellé</t>
        </is>
      </c>
      <c r="C3" s="946" t="inlineStr">
        <is>
          <t>Valeur</t>
        </is>
      </c>
      <c r="D3" s="946" t="inlineStr">
        <is>
          <t>Unité</t>
        </is>
      </c>
      <c r="E3" s="946" t="inlineStr">
        <is>
          <t>Source</t>
        </is>
      </c>
      <c r="F3" s="946" t="inlineStr">
        <is>
          <t>Année</t>
        </is>
      </c>
      <c r="G3" s="946" t="inlineStr">
        <is>
          <t>Fiabilité</t>
        </is>
      </c>
      <c r="H3" s="558" t="inlineStr">
        <is>
          <t>FE Combustion (Scope 1)</t>
        </is>
      </c>
      <c r="I3" s="559" t="inlineStr">
        <is>
          <t>FE Amont (Scope 3 Cat.3)</t>
        </is>
      </c>
      <c r="J3" s="557" t="inlineStr">
        <is>
          <t>FE Total (kgCO2e/u)</t>
        </is>
      </c>
      <c r="K3" s="560" t="inlineStr">
        <is>
          <t>FE Market-based</t>
        </is>
      </c>
      <c r="L3" s="557" t="inlineStr">
        <is>
          <t>Incertitude (%)</t>
        </is>
      </c>
      <c r="M3" s="557" t="inlineStr">
        <is>
          <t>Scope</t>
        </is>
      </c>
    </row>
    <row r="4">
      <c r="A4" s="323" t="n"/>
      <c r="B4" s="323" t="inlineStr">
        <is>
          <t>═══ ÉLECTRICITÉ ═══</t>
        </is>
      </c>
      <c r="C4" s="324" t="n"/>
      <c r="D4" s="323" t="n"/>
      <c r="E4" s="324" t="n"/>
      <c r="F4" s="406" t="inlineStr"/>
      <c r="G4" s="324" t="n"/>
      <c r="H4" s="288" t="n"/>
      <c r="I4" s="291" t="n"/>
      <c r="J4" s="287" t="n"/>
      <c r="K4" s="287" t="n"/>
    </row>
    <row r="5">
      <c r="A5" s="325" t="inlineStr">
        <is>
          <t>E01</t>
        </is>
      </c>
      <c r="B5" s="81" t="inlineStr">
        <is>
          <t>Mix France</t>
        </is>
      </c>
      <c r="C5" s="390" t="n">
        <v>0.0569</v>
      </c>
      <c r="D5" s="81" t="inlineStr">
        <is>
          <t>kgCO₂e/kWh</t>
        </is>
      </c>
      <c r="E5" s="289" t="inlineStr">
        <is>
          <t>Base Carbone</t>
        </is>
      </c>
      <c r="F5" s="407" t="inlineStr">
        <is>
          <t>2024</t>
        </is>
      </c>
      <c r="G5" s="326" t="inlineStr">
        <is>
          <t>✅✅✅</t>
        </is>
      </c>
      <c r="H5" s="1016" t="n">
        <v>0</v>
      </c>
      <c r="I5" s="1016" t="n">
        <v>0</v>
      </c>
      <c r="J5" s="1016">
        <f>C5</f>
        <v/>
      </c>
      <c r="K5" s="1017" t="n">
        <v>0.06</v>
      </c>
      <c r="L5" s="71" t="n">
        <v>10</v>
      </c>
      <c r="M5" t="inlineStr">
        <is>
          <t>Scope 2</t>
        </is>
      </c>
    </row>
    <row r="6">
      <c r="A6" s="328" t="inlineStr">
        <is>
          <t>E02</t>
        </is>
      </c>
      <c r="B6" s="296" t="inlineStr">
        <is>
          <t>Mix Allemagne</t>
        </is>
      </c>
      <c r="C6" s="391" t="n">
        <v>0.385</v>
      </c>
      <c r="D6" s="296" t="inlineStr">
        <is>
          <t>kgCO₂e/kWh</t>
        </is>
      </c>
      <c r="E6" s="327" t="inlineStr">
        <is>
          <t>IEA</t>
        </is>
      </c>
      <c r="F6" s="408" t="inlineStr">
        <is>
          <t>2024</t>
        </is>
      </c>
      <c r="G6" s="329" t="inlineStr">
        <is>
          <t>✅✅✅</t>
        </is>
      </c>
      <c r="H6" s="1018" t="n">
        <v>0</v>
      </c>
      <c r="I6" s="1018" t="n">
        <v>0</v>
      </c>
      <c r="J6" s="1018">
        <f>C6</f>
        <v/>
      </c>
      <c r="K6" s="1019" t="n">
        <v>0.576</v>
      </c>
      <c r="L6" s="71" t="n">
        <v>10</v>
      </c>
      <c r="M6" t="inlineStr">
        <is>
          <t>Scope 2</t>
        </is>
      </c>
    </row>
    <row r="7">
      <c r="A7" s="325" t="inlineStr">
        <is>
          <t>E03</t>
        </is>
      </c>
      <c r="B7" s="81" t="inlineStr">
        <is>
          <t>Mix UE moyen</t>
        </is>
      </c>
      <c r="C7" s="390" t="n">
        <v>0.23</v>
      </c>
      <c r="D7" s="81" t="inlineStr">
        <is>
          <t>kgCO₂e/kWh</t>
        </is>
      </c>
      <c r="E7" s="289" t="inlineStr">
        <is>
          <t>IEA</t>
        </is>
      </c>
      <c r="F7" s="407" t="inlineStr">
        <is>
          <t>2024</t>
        </is>
      </c>
      <c r="G7" s="326" t="inlineStr">
        <is>
          <t>✅✅✅</t>
        </is>
      </c>
      <c r="H7" s="1016" t="n">
        <v>0</v>
      </c>
      <c r="I7" s="1016" t="n">
        <v>0</v>
      </c>
      <c r="J7" s="1016">
        <f>C7</f>
        <v/>
      </c>
      <c r="K7" s="1017" t="n">
        <v>0.396</v>
      </c>
      <c r="L7" s="71" t="n">
        <v>15</v>
      </c>
      <c r="M7" t="inlineStr">
        <is>
          <t>Scope 2</t>
        </is>
      </c>
    </row>
    <row r="8">
      <c r="A8" s="328" t="inlineStr">
        <is>
          <t>E04</t>
        </is>
      </c>
      <c r="B8" s="296" t="inlineStr">
        <is>
          <t>Mix Royaume-Uni</t>
        </is>
      </c>
      <c r="C8" s="391" t="n">
        <v>0.207</v>
      </c>
      <c r="D8" s="296" t="inlineStr">
        <is>
          <t>kgCO₂e/kWh</t>
        </is>
      </c>
      <c r="E8" s="327" t="inlineStr">
        <is>
          <t>DEFRA/IEA</t>
        </is>
      </c>
      <c r="F8" s="408" t="inlineStr">
        <is>
          <t>2024</t>
        </is>
      </c>
      <c r="G8" s="329" t="inlineStr">
        <is>
          <t>✅✅✅</t>
        </is>
      </c>
      <c r="H8" s="1018" t="n">
        <v>0</v>
      </c>
      <c r="I8" s="1018" t="n">
        <v>0</v>
      </c>
      <c r="J8" s="1018">
        <f>C8</f>
        <v/>
      </c>
      <c r="K8" s="1019" t="n">
        <v>0.31</v>
      </c>
      <c r="L8" s="71" t="n">
        <v>10</v>
      </c>
      <c r="M8" t="inlineStr">
        <is>
          <t>Scope 2</t>
        </is>
      </c>
    </row>
    <row r="9">
      <c r="A9" s="325" t="inlineStr">
        <is>
          <t>E05</t>
        </is>
      </c>
      <c r="B9" s="81" t="inlineStr">
        <is>
          <t>Mix États-Unis moyen</t>
        </is>
      </c>
      <c r="C9" s="390" t="n">
        <v>0.39</v>
      </c>
      <c r="D9" s="81" t="inlineStr">
        <is>
          <t>kgCO₂e/kWh</t>
        </is>
      </c>
      <c r="E9" s="289" t="inlineStr">
        <is>
          <t>EPA eGRID</t>
        </is>
      </c>
      <c r="F9" s="407" t="inlineStr">
        <is>
          <t>2024</t>
        </is>
      </c>
      <c r="G9" s="326" t="inlineStr">
        <is>
          <t>✅✅✅</t>
        </is>
      </c>
      <c r="H9" s="1016" t="n">
        <v>0</v>
      </c>
      <c r="I9" s="1016" t="n">
        <v>0</v>
      </c>
      <c r="J9" s="1016">
        <f>C9</f>
        <v/>
      </c>
      <c r="K9" s="1017" t="n">
        <v>0.39</v>
      </c>
      <c r="L9" s="71" t="n">
        <v>10</v>
      </c>
      <c r="M9" t="inlineStr">
        <is>
          <t>Scope 2</t>
        </is>
      </c>
    </row>
    <row r="10">
      <c r="A10" s="328" t="inlineStr">
        <is>
          <t>E06</t>
        </is>
      </c>
      <c r="B10" s="296" t="inlineStr">
        <is>
          <t>EnR (éolien/solaire/hydro)</t>
        </is>
      </c>
      <c r="C10" s="391" t="n">
        <v>0.006</v>
      </c>
      <c r="D10" s="296" t="inlineStr">
        <is>
          <t>kgCO₂e/kWh</t>
        </is>
      </c>
      <c r="E10" s="327" t="inlineStr">
        <is>
          <t>GIEC AR6</t>
        </is>
      </c>
      <c r="F10" s="408" t="inlineStr">
        <is>
          <t>2023</t>
        </is>
      </c>
      <c r="G10" s="329" t="inlineStr">
        <is>
          <t>✅✅✅</t>
        </is>
      </c>
      <c r="H10" s="1018" t="n">
        <v>0</v>
      </c>
      <c r="I10" s="1018" t="n">
        <v>0</v>
      </c>
      <c r="J10" s="1018">
        <f>C10</f>
        <v/>
      </c>
      <c r="K10" s="1019" t="n">
        <v>0.006</v>
      </c>
      <c r="L10" s="71" t="n">
        <v>50</v>
      </c>
      <c r="M10" t="inlineStr">
        <is>
          <t>Scope 2</t>
        </is>
      </c>
    </row>
    <row r="11">
      <c r="A11" s="323" t="n"/>
      <c r="B11" s="323" t="inlineStr">
        <is>
          <t>═══ CHAUFFAGE ═══</t>
        </is>
      </c>
      <c r="C11" s="324" t="n"/>
      <c r="D11" s="323" t="n"/>
      <c r="E11" s="324" t="n"/>
      <c r="F11" s="406" t="inlineStr"/>
      <c r="G11" s="324" t="n"/>
      <c r="H11" s="289" t="n"/>
      <c r="I11" s="292" t="n"/>
      <c r="J11" s="81" t="n"/>
      <c r="K11" s="81" t="n"/>
    </row>
    <row r="12">
      <c r="A12" s="325" t="inlineStr">
        <is>
          <t>C01</t>
        </is>
      </c>
      <c r="B12" s="81" t="inlineStr">
        <is>
          <t>Gaz naturel</t>
        </is>
      </c>
      <c r="C12" s="390" t="n">
        <v>0.227</v>
      </c>
      <c r="D12" s="81" t="inlineStr">
        <is>
          <t>kgCO₂e/kWh</t>
        </is>
      </c>
      <c r="E12" s="289" t="inlineStr">
        <is>
          <t>Base Carbone</t>
        </is>
      </c>
      <c r="F12" s="407" t="inlineStr">
        <is>
          <t>2024</t>
        </is>
      </c>
      <c r="G12" s="326" t="inlineStr">
        <is>
          <t>✅✅✅</t>
        </is>
      </c>
      <c r="H12" s="1020" t="n">
        <v>0.205</v>
      </c>
      <c r="I12" s="1021" t="n">
        <v>0.022</v>
      </c>
      <c r="J12" s="1018">
        <f>C12</f>
        <v/>
      </c>
      <c r="K12" s="1018" t="n"/>
      <c r="L12" s="71" t="n">
        <v>5</v>
      </c>
      <c r="M12" t="inlineStr">
        <is>
          <t>S1+S3.3</t>
        </is>
      </c>
    </row>
    <row r="13">
      <c r="A13" s="331" t="inlineStr">
        <is>
          <t>C02</t>
        </is>
      </c>
      <c r="B13" s="295" t="inlineStr">
        <is>
          <t>Fioul domestique</t>
        </is>
      </c>
      <c r="C13" s="392" t="n">
        <v>0.324</v>
      </c>
      <c r="D13" s="295" t="inlineStr">
        <is>
          <t>kgCO₂e/kWh</t>
        </is>
      </c>
      <c r="E13" s="330" t="inlineStr">
        <is>
          <t>Base Carbone</t>
        </is>
      </c>
      <c r="F13" s="409" t="inlineStr">
        <is>
          <t>2024</t>
        </is>
      </c>
      <c r="G13" s="332" t="inlineStr">
        <is>
          <t>✅✅✅</t>
        </is>
      </c>
      <c r="H13" s="1022" t="n">
        <v>0.268</v>
      </c>
      <c r="I13" s="1023" t="n">
        <v>0.056</v>
      </c>
      <c r="J13" s="1016">
        <f>C13</f>
        <v/>
      </c>
      <c r="K13" s="1016" t="n"/>
      <c r="L13" s="71" t="n">
        <v>5</v>
      </c>
      <c r="M13" t="inlineStr">
        <is>
          <t>S1+S3.3</t>
        </is>
      </c>
    </row>
    <row r="14">
      <c r="A14" s="325" t="inlineStr">
        <is>
          <t>C03</t>
        </is>
      </c>
      <c r="B14" s="81" t="inlineStr">
        <is>
          <t>Réseau de chaleur (moy. FR)</t>
        </is>
      </c>
      <c r="C14" s="390" t="n">
        <v>0.125</v>
      </c>
      <c r="D14" s="81" t="inlineStr">
        <is>
          <t>kgCO₂e/kWh</t>
        </is>
      </c>
      <c r="E14" s="289" t="inlineStr">
        <is>
          <t>Base Carbone</t>
        </is>
      </c>
      <c r="F14" s="407" t="inlineStr">
        <is>
          <t>2024</t>
        </is>
      </c>
      <c r="G14" s="333" t="inlineStr">
        <is>
          <t>✅✅</t>
        </is>
      </c>
      <c r="H14" s="1018" t="n">
        <v>0</v>
      </c>
      <c r="I14" s="1018" t="n">
        <v>0</v>
      </c>
      <c r="J14" s="1018">
        <f>C14</f>
        <v/>
      </c>
      <c r="K14" s="1018" t="n"/>
      <c r="L14" s="71" t="n">
        <v>20</v>
      </c>
      <c r="M14" t="inlineStr">
        <is>
          <t>Scope 2</t>
        </is>
      </c>
    </row>
    <row r="15">
      <c r="A15" s="331" t="inlineStr">
        <is>
          <t>C04</t>
        </is>
      </c>
      <c r="B15" s="295" t="inlineStr">
        <is>
          <t>Pompe à chaleur (COP 3.5 FR)</t>
        </is>
      </c>
      <c r="C15" s="392" t="n">
        <v>0.045</v>
      </c>
      <c r="D15" s="295" t="inlineStr">
        <is>
          <t>kgCO₂e/kWh</t>
        </is>
      </c>
      <c r="E15" s="330" t="inlineStr">
        <is>
          <t>Calcul ADEME</t>
        </is>
      </c>
      <c r="F15" s="409" t="inlineStr">
        <is>
          <t>2024</t>
        </is>
      </c>
      <c r="G15" s="334" t="inlineStr">
        <is>
          <t>✅✅</t>
        </is>
      </c>
      <c r="H15" s="1016" t="n">
        <v>0</v>
      </c>
      <c r="I15" s="1016" t="n">
        <v>0</v>
      </c>
      <c r="J15" s="1016">
        <f>C15</f>
        <v/>
      </c>
      <c r="K15" s="1016" t="n"/>
      <c r="L15" s="71" t="n">
        <v>20</v>
      </c>
      <c r="M15" t="inlineStr">
        <is>
          <t>Scope 2</t>
        </is>
      </c>
    </row>
    <row r="16">
      <c r="A16" s="325" t="inlineStr">
        <is>
          <t>C05</t>
        </is>
      </c>
      <c r="B16" s="81" t="inlineStr">
        <is>
          <t>Granulés bois</t>
        </is>
      </c>
      <c r="C16" s="390" t="n">
        <v>0.03</v>
      </c>
      <c r="D16" s="81" t="inlineStr">
        <is>
          <t>kgCO₂e/kWh</t>
        </is>
      </c>
      <c r="E16" s="289" t="inlineStr">
        <is>
          <t>Base Carbone</t>
        </is>
      </c>
      <c r="F16" s="407" t="inlineStr">
        <is>
          <t>2024</t>
        </is>
      </c>
      <c r="G16" s="326" t="inlineStr">
        <is>
          <t>✅✅✅</t>
        </is>
      </c>
      <c r="H16" s="1018" t="n">
        <v>0</v>
      </c>
      <c r="I16" s="1021" t="n">
        <v>0.03</v>
      </c>
      <c r="J16" s="1018">
        <f>C16</f>
        <v/>
      </c>
      <c r="K16" s="1018" t="n"/>
      <c r="L16" s="71" t="n">
        <v>30</v>
      </c>
      <c r="M16" t="inlineStr">
        <is>
          <t>S3.3</t>
        </is>
      </c>
    </row>
    <row r="17">
      <c r="A17" s="331" t="inlineStr">
        <is>
          <t>C06</t>
        </is>
      </c>
      <c r="B17" s="295" t="inlineStr">
        <is>
          <t>Radiateur électrique (FR)</t>
        </is>
      </c>
      <c r="C17" s="392" t="n">
        <v>0.0569</v>
      </c>
      <c r="D17" s="295" t="inlineStr">
        <is>
          <t>kgCO₂e/kWh</t>
        </is>
      </c>
      <c r="E17" s="330">
        <f> E1</f>
        <v/>
      </c>
      <c r="F17" s="409" t="inlineStr">
        <is>
          <t>2024</t>
        </is>
      </c>
      <c r="G17" s="332" t="inlineStr">
        <is>
          <t>✅✅✅</t>
        </is>
      </c>
      <c r="H17" s="1016" t="n">
        <v>0</v>
      </c>
      <c r="I17" s="1016" t="n">
        <v>0</v>
      </c>
      <c r="J17" s="1016">
        <f>C17</f>
        <v/>
      </c>
      <c r="K17" s="1016" t="n"/>
      <c r="L17" s="71" t="n">
        <v>10</v>
      </c>
      <c r="M17" t="inlineStr">
        <is>
          <t>Scope 2</t>
        </is>
      </c>
    </row>
    <row r="18">
      <c r="A18" s="325" t="inlineStr">
        <is>
          <t>C07</t>
        </is>
      </c>
      <c r="B18" s="81" t="inlineStr">
        <is>
          <t>Climatisation standard</t>
        </is>
      </c>
      <c r="C18" s="390" t="n">
        <v>0.025</v>
      </c>
      <c r="D18" s="81" t="inlineStr">
        <is>
          <t>kgCO₂e/kWh</t>
        </is>
      </c>
      <c r="E18" s="289" t="inlineStr">
        <is>
          <t>Base Carbone</t>
        </is>
      </c>
      <c r="F18" s="407" t="inlineStr">
        <is>
          <t>2024</t>
        </is>
      </c>
      <c r="G18" s="333" t="inlineStr">
        <is>
          <t>✅✅</t>
        </is>
      </c>
      <c r="H18" s="1018" t="n">
        <v>0</v>
      </c>
      <c r="I18" s="1018" t="n">
        <v>0</v>
      </c>
      <c r="J18" s="1018">
        <f>C18</f>
        <v/>
      </c>
      <c r="K18" s="1018" t="n"/>
      <c r="L18" s="71" t="n">
        <v>20</v>
      </c>
      <c r="M18" t="inlineStr">
        <is>
          <t>Scope 2</t>
        </is>
      </c>
    </row>
    <row r="19">
      <c r="A19" s="331" t="inlineStr">
        <is>
          <t>C08</t>
        </is>
      </c>
      <c r="B19" s="295" t="inlineStr">
        <is>
          <t>Climatisation ancienne</t>
        </is>
      </c>
      <c r="C19" s="392" t="n">
        <v>0.055</v>
      </c>
      <c r="D19" s="295" t="inlineStr">
        <is>
          <t>kgCO₂e/kWh</t>
        </is>
      </c>
      <c r="E19" s="330" t="inlineStr">
        <is>
          <t>Base Carbone</t>
        </is>
      </c>
      <c r="F19" s="409" t="inlineStr">
        <is>
          <t>2024</t>
        </is>
      </c>
      <c r="G19" s="334" t="inlineStr">
        <is>
          <t>✅✅</t>
        </is>
      </c>
      <c r="H19" s="1016" t="n">
        <v>0</v>
      </c>
      <c r="I19" s="1016" t="n">
        <v>0</v>
      </c>
      <c r="J19" s="1016">
        <f>C19</f>
        <v/>
      </c>
      <c r="K19" s="1016" t="n"/>
      <c r="L19" s="71" t="n">
        <v>20</v>
      </c>
      <c r="M19" t="inlineStr">
        <is>
          <t>Scope 2</t>
        </is>
      </c>
    </row>
    <row r="20">
      <c r="A20" s="323" t="n"/>
      <c r="B20" s="323" t="inlineStr">
        <is>
          <t>═══ TRANSPORT PASSAGERS ═══</t>
        </is>
      </c>
      <c r="C20" s="324" t="n"/>
      <c r="D20" s="323" t="n"/>
      <c r="E20" s="324" t="n"/>
      <c r="F20" s="406" t="inlineStr"/>
      <c r="G20" s="324" t="n"/>
      <c r="H20" s="288" t="n"/>
      <c r="I20" s="291" t="n"/>
      <c r="J20" s="287" t="n"/>
      <c r="K20" s="287" t="n"/>
    </row>
    <row r="21">
      <c r="A21" s="325" t="inlineStr">
        <is>
          <t>T01</t>
        </is>
      </c>
      <c r="B21" s="81" t="inlineStr">
        <is>
          <t>Voiture thermique moyenne</t>
        </is>
      </c>
      <c r="C21" s="390" t="n">
        <v>0.218</v>
      </c>
      <c r="D21" s="81" t="inlineStr">
        <is>
          <t>kgCO₂e/km</t>
        </is>
      </c>
      <c r="E21" s="289" t="inlineStr">
        <is>
          <t>Base Carbone</t>
        </is>
      </c>
      <c r="F21" s="407" t="inlineStr">
        <is>
          <t>2024</t>
        </is>
      </c>
      <c r="G21" s="326" t="inlineStr">
        <is>
          <t>✅✅✅</t>
        </is>
      </c>
      <c r="H21" s="1022" t="n">
        <v>0.193</v>
      </c>
      <c r="I21" s="1023" t="n">
        <v>0.025</v>
      </c>
      <c r="J21" s="1016">
        <f>C21</f>
        <v/>
      </c>
      <c r="K21" s="1016" t="n"/>
      <c r="L21" s="71" t="n">
        <v>15</v>
      </c>
      <c r="M21" t="inlineStr">
        <is>
          <t>S1/S3</t>
        </is>
      </c>
    </row>
    <row r="22">
      <c r="A22" s="336" t="inlineStr">
        <is>
          <t>T02</t>
        </is>
      </c>
      <c r="B22" s="293" t="inlineStr">
        <is>
          <t>Voiture diesel</t>
        </is>
      </c>
      <c r="C22" s="393" t="n">
        <v>0.234</v>
      </c>
      <c r="D22" s="293" t="inlineStr">
        <is>
          <t>kgCO₂e/km</t>
        </is>
      </c>
      <c r="E22" s="335" t="inlineStr">
        <is>
          <t>Base Carbone</t>
        </is>
      </c>
      <c r="F22" s="410" t="inlineStr">
        <is>
          <t>2024</t>
        </is>
      </c>
      <c r="G22" s="337" t="inlineStr">
        <is>
          <t>✅✅✅</t>
        </is>
      </c>
      <c r="H22" s="1020" t="n">
        <v>0.207</v>
      </c>
      <c r="I22" s="1021" t="n">
        <v>0.027</v>
      </c>
      <c r="J22" s="1018">
        <f>C22</f>
        <v/>
      </c>
      <c r="K22" s="1018" t="n"/>
      <c r="L22" s="71" t="n">
        <v>10</v>
      </c>
      <c r="M22" t="inlineStr">
        <is>
          <t>S1/S3</t>
        </is>
      </c>
    </row>
    <row r="23">
      <c r="A23" s="325" t="inlineStr">
        <is>
          <t>T03</t>
        </is>
      </c>
      <c r="B23" s="81" t="inlineStr">
        <is>
          <t>Voiture essence</t>
        </is>
      </c>
      <c r="C23" s="390" t="n">
        <v>0.206</v>
      </c>
      <c r="D23" s="81" t="inlineStr">
        <is>
          <t>kgCO₂e/km</t>
        </is>
      </c>
      <c r="E23" s="289" t="inlineStr">
        <is>
          <t>Base Carbone</t>
        </is>
      </c>
      <c r="F23" s="407" t="inlineStr">
        <is>
          <t>2024</t>
        </is>
      </c>
      <c r="G23" s="326" t="inlineStr">
        <is>
          <t>✅✅✅</t>
        </is>
      </c>
      <c r="H23" s="1022" t="n">
        <v>0.182</v>
      </c>
      <c r="I23" s="1023" t="n">
        <v>0.024</v>
      </c>
      <c r="J23" s="1016">
        <f>C23</f>
        <v/>
      </c>
      <c r="K23" s="1016" t="n"/>
      <c r="L23" s="71" t="n">
        <v>10</v>
      </c>
      <c r="M23" t="inlineStr">
        <is>
          <t>S1/S3</t>
        </is>
      </c>
    </row>
    <row r="24">
      <c r="A24" s="336" t="inlineStr">
        <is>
          <t>T04</t>
        </is>
      </c>
      <c r="B24" s="293" t="inlineStr">
        <is>
          <t>Voiture hybride</t>
        </is>
      </c>
      <c r="C24" s="393" t="n">
        <v>0.11</v>
      </c>
      <c r="D24" s="293" t="inlineStr">
        <is>
          <t>kgCO₂e/km</t>
        </is>
      </c>
      <c r="E24" s="335" t="inlineStr">
        <is>
          <t>Base Carbone</t>
        </is>
      </c>
      <c r="F24" s="410" t="inlineStr">
        <is>
          <t>2024</t>
        </is>
      </c>
      <c r="G24" s="337" t="inlineStr">
        <is>
          <t>✅✅✅</t>
        </is>
      </c>
      <c r="H24" s="1020" t="n">
        <v>0.09</v>
      </c>
      <c r="I24" s="1021" t="n">
        <v>0.02</v>
      </c>
      <c r="J24" s="1018">
        <f>C24</f>
        <v/>
      </c>
      <c r="K24" s="1018" t="n"/>
      <c r="L24" s="71" t="n">
        <v>20</v>
      </c>
      <c r="M24" t="inlineStr">
        <is>
          <t>S1/S3</t>
        </is>
      </c>
    </row>
    <row r="25">
      <c r="A25" s="325" t="inlineStr">
        <is>
          <t>T05</t>
        </is>
      </c>
      <c r="B25" s="81" t="inlineStr">
        <is>
          <t>Voiture électrique (FR)</t>
        </is>
      </c>
      <c r="C25" s="390" t="n">
        <v>0.02</v>
      </c>
      <c r="D25" s="81" t="inlineStr">
        <is>
          <t>kgCO₂e/km</t>
        </is>
      </c>
      <c r="E25" s="289" t="inlineStr">
        <is>
          <t>Base Carbone</t>
        </is>
      </c>
      <c r="F25" s="407" t="inlineStr">
        <is>
          <t>2024</t>
        </is>
      </c>
      <c r="G25" s="326" t="inlineStr">
        <is>
          <t>✅✅✅</t>
        </is>
      </c>
      <c r="H25" s="1016" t="n">
        <v>0</v>
      </c>
      <c r="I25" s="1023" t="n">
        <v>0.02</v>
      </c>
      <c r="J25" s="1016">
        <f>C25</f>
        <v/>
      </c>
      <c r="K25" s="1016" t="n"/>
      <c r="L25" s="71" t="n">
        <v>20</v>
      </c>
      <c r="M25" t="inlineStr">
        <is>
          <t>S3</t>
        </is>
      </c>
    </row>
    <row r="26">
      <c r="A26" s="336" t="inlineStr">
        <is>
          <t>T06</t>
        </is>
      </c>
      <c r="B26" s="293" t="inlineStr">
        <is>
          <t>Voiture électrique (UE)</t>
        </is>
      </c>
      <c r="C26" s="393" t="n">
        <v>0.055</v>
      </c>
      <c r="D26" s="293" t="inlineStr">
        <is>
          <t>kgCO₂e/km</t>
        </is>
      </c>
      <c r="E26" s="335" t="inlineStr">
        <is>
          <t>Calcul IEA</t>
        </is>
      </c>
      <c r="F26" s="410" t="inlineStr">
        <is>
          <t>2024</t>
        </is>
      </c>
      <c r="G26" s="338" t="inlineStr">
        <is>
          <t>✅✅</t>
        </is>
      </c>
      <c r="H26" s="1018" t="n">
        <v>0</v>
      </c>
      <c r="I26" s="1021" t="n">
        <v>0.055</v>
      </c>
      <c r="J26" s="1018">
        <f>C26</f>
        <v/>
      </c>
      <c r="K26" s="1018" t="n"/>
      <c r="L26" s="71" t="n">
        <v>20</v>
      </c>
      <c r="M26" t="inlineStr">
        <is>
          <t>S3</t>
        </is>
      </c>
    </row>
    <row r="27">
      <c r="A27" s="325" t="inlineStr">
        <is>
          <t>T07</t>
        </is>
      </c>
      <c r="B27" s="81" t="inlineStr">
        <is>
          <t>TGV</t>
        </is>
      </c>
      <c r="C27" s="390" t="n">
        <v>0.00297</v>
      </c>
      <c r="D27" s="81" t="inlineStr">
        <is>
          <t>kgCO₂e/km</t>
        </is>
      </c>
      <c r="E27" s="289" t="inlineStr">
        <is>
          <t>Base Carbone</t>
        </is>
      </c>
      <c r="F27" s="407" t="inlineStr">
        <is>
          <t>2024</t>
        </is>
      </c>
      <c r="G27" s="326" t="inlineStr">
        <is>
          <t>✅✅✅</t>
        </is>
      </c>
      <c r="H27" s="1016" t="n">
        <v>0</v>
      </c>
      <c r="I27" s="1016" t="n">
        <v>0</v>
      </c>
      <c r="J27" s="1016">
        <f>C27</f>
        <v/>
      </c>
      <c r="K27" s="1016" t="n"/>
      <c r="L27" s="71" t="n">
        <v>20</v>
      </c>
      <c r="M27" t="inlineStr">
        <is>
          <t>S3</t>
        </is>
      </c>
    </row>
    <row r="28">
      <c r="A28" s="336" t="inlineStr">
        <is>
          <t>T08</t>
        </is>
      </c>
      <c r="B28" s="293" t="inlineStr">
        <is>
          <t>TER</t>
        </is>
      </c>
      <c r="C28" s="393" t="n">
        <v>0.0248</v>
      </c>
      <c r="D28" s="293" t="inlineStr">
        <is>
          <t>kgCO₂e/km</t>
        </is>
      </c>
      <c r="E28" s="335" t="inlineStr">
        <is>
          <t>Base Carbone</t>
        </is>
      </c>
      <c r="F28" s="410" t="inlineStr">
        <is>
          <t>2024</t>
        </is>
      </c>
      <c r="G28" s="337" t="inlineStr">
        <is>
          <t>✅✅✅</t>
        </is>
      </c>
      <c r="H28" s="1020" t="n">
        <v>0.02</v>
      </c>
      <c r="I28" s="1021" t="n">
        <v>0.005</v>
      </c>
      <c r="J28" s="1018">
        <f>C28</f>
        <v/>
      </c>
      <c r="K28" s="1018" t="n"/>
      <c r="L28" s="71" t="n">
        <v>20</v>
      </c>
      <c r="M28" t="inlineStr">
        <is>
          <t>S3</t>
        </is>
      </c>
    </row>
    <row r="29">
      <c r="A29" s="325" t="inlineStr">
        <is>
          <t>T09</t>
        </is>
      </c>
      <c r="B29" s="81" t="inlineStr">
        <is>
          <t>Intercités</t>
        </is>
      </c>
      <c r="C29" s="390" t="n">
        <v>0.0058</v>
      </c>
      <c r="D29" s="81" t="inlineStr">
        <is>
          <t>kgCO₂e/km</t>
        </is>
      </c>
      <c r="E29" s="289" t="inlineStr">
        <is>
          <t>Base Carbone</t>
        </is>
      </c>
      <c r="F29" s="407" t="inlineStr">
        <is>
          <t>2024</t>
        </is>
      </c>
      <c r="G29" s="326" t="inlineStr">
        <is>
          <t>✅✅✅</t>
        </is>
      </c>
      <c r="H29" s="1024" t="n">
        <v>0</v>
      </c>
      <c r="I29" s="1024" t="n">
        <v>0</v>
      </c>
      <c r="J29" s="1016">
        <f>C29</f>
        <v/>
      </c>
      <c r="K29" s="1024" t="n"/>
      <c r="L29" s="71" t="n">
        <v>20</v>
      </c>
      <c r="M29" t="inlineStr">
        <is>
          <t>S3</t>
        </is>
      </c>
    </row>
    <row r="30">
      <c r="A30" s="336" t="inlineStr">
        <is>
          <t>T10</t>
        </is>
      </c>
      <c r="B30" s="293" t="inlineStr">
        <is>
          <t>Métro / Tramway</t>
        </is>
      </c>
      <c r="C30" s="393" t="n">
        <v>0.00425</v>
      </c>
      <c r="D30" s="293" t="inlineStr">
        <is>
          <t>kgCO₂e/km</t>
        </is>
      </c>
      <c r="E30" s="335" t="inlineStr">
        <is>
          <t>Base Carbone</t>
        </is>
      </c>
      <c r="F30" s="410" t="inlineStr">
        <is>
          <t>2024</t>
        </is>
      </c>
      <c r="G30" s="337" t="inlineStr">
        <is>
          <t>✅✅✅</t>
        </is>
      </c>
      <c r="H30" s="1024" t="n">
        <v>0</v>
      </c>
      <c r="I30" s="1024" t="n">
        <v>0</v>
      </c>
      <c r="J30" s="1018">
        <f>C30</f>
        <v/>
      </c>
      <c r="K30" s="1024" t="n"/>
      <c r="L30" s="71" t="n">
        <v>20</v>
      </c>
      <c r="M30" t="inlineStr">
        <is>
          <t>S3</t>
        </is>
      </c>
    </row>
    <row r="31">
      <c r="A31" s="325" t="inlineStr">
        <is>
          <t>T11</t>
        </is>
      </c>
      <c r="B31" s="81" t="inlineStr">
        <is>
          <t>Bus urbain</t>
        </is>
      </c>
      <c r="C31" s="390" t="n">
        <v>0.103</v>
      </c>
      <c r="D31" s="81" t="inlineStr">
        <is>
          <t>kgCO₂e/km</t>
        </is>
      </c>
      <c r="E31" s="289" t="inlineStr">
        <is>
          <t>Base Carbone</t>
        </is>
      </c>
      <c r="F31" s="407" t="inlineStr">
        <is>
          <t>2024</t>
        </is>
      </c>
      <c r="G31" s="326" t="inlineStr">
        <is>
          <t>✅✅✅</t>
        </is>
      </c>
      <c r="H31" s="1025" t="n">
        <v>0.09</v>
      </c>
      <c r="I31" s="1026" t="n">
        <v>0.013</v>
      </c>
      <c r="J31" s="1016">
        <f>C31</f>
        <v/>
      </c>
      <c r="K31" s="1024" t="n"/>
      <c r="L31" s="71" t="n">
        <v>15</v>
      </c>
      <c r="M31" t="inlineStr">
        <is>
          <t>S3</t>
        </is>
      </c>
    </row>
    <row r="32">
      <c r="A32" s="336" t="inlineStr">
        <is>
          <t>T12</t>
        </is>
      </c>
      <c r="B32" s="293" t="inlineStr">
        <is>
          <t>Autocar</t>
        </is>
      </c>
      <c r="C32" s="393" t="n">
        <v>0.035</v>
      </c>
      <c r="D32" s="293" t="inlineStr">
        <is>
          <t>kgCO₂e/km</t>
        </is>
      </c>
      <c r="E32" s="335" t="inlineStr">
        <is>
          <t>Base Carbone</t>
        </is>
      </c>
      <c r="F32" s="410" t="inlineStr">
        <is>
          <t>2024</t>
        </is>
      </c>
      <c r="G32" s="337" t="inlineStr">
        <is>
          <t>✅✅✅</t>
        </is>
      </c>
      <c r="H32" s="1025" t="n">
        <v>0.03</v>
      </c>
      <c r="I32" s="1026" t="n">
        <v>0.005</v>
      </c>
      <c r="J32" s="1018">
        <f>C32</f>
        <v/>
      </c>
      <c r="K32" s="1024" t="n"/>
      <c r="L32" s="71" t="n">
        <v>15</v>
      </c>
      <c r="M32" t="inlineStr">
        <is>
          <t>S3</t>
        </is>
      </c>
    </row>
    <row r="33">
      <c r="A33" s="325" t="inlineStr">
        <is>
          <t>T13</t>
        </is>
      </c>
      <c r="B33" s="81" t="inlineStr">
        <is>
          <t>Avion court-courrier (&lt;1000 km)</t>
        </is>
      </c>
      <c r="C33" s="390" t="n">
        <v>0.258</v>
      </c>
      <c r="D33" s="81" t="inlineStr">
        <is>
          <t>kgCO₂e/km</t>
        </is>
      </c>
      <c r="E33" s="289" t="inlineStr">
        <is>
          <t>Base Carbone</t>
        </is>
      </c>
      <c r="F33" s="407" t="inlineStr">
        <is>
          <t>2024</t>
        </is>
      </c>
      <c r="G33" s="326" t="inlineStr">
        <is>
          <t>✅✅✅</t>
        </is>
      </c>
      <c r="H33" s="1025" t="n">
        <v>0.258</v>
      </c>
      <c r="I33" s="1024" t="n">
        <v>0</v>
      </c>
      <c r="J33" s="1016">
        <f>C33</f>
        <v/>
      </c>
      <c r="K33" s="1024" t="n"/>
      <c r="L33" s="71" t="n">
        <v>15</v>
      </c>
      <c r="M33" t="inlineStr">
        <is>
          <t>S3 Cat.6</t>
        </is>
      </c>
    </row>
    <row r="34">
      <c r="A34" s="336" t="inlineStr">
        <is>
          <t>T14</t>
        </is>
      </c>
      <c r="B34" s="293" t="inlineStr">
        <is>
          <t>Avion moyen-courrier</t>
        </is>
      </c>
      <c r="C34" s="393" t="n">
        <v>0.187</v>
      </c>
      <c r="D34" s="293" t="inlineStr">
        <is>
          <t>kgCO₂e/km</t>
        </is>
      </c>
      <c r="E34" s="335" t="inlineStr">
        <is>
          <t>Base Carbone</t>
        </is>
      </c>
      <c r="F34" s="410" t="inlineStr">
        <is>
          <t>2024</t>
        </is>
      </c>
      <c r="G34" s="337" t="inlineStr">
        <is>
          <t>✅✅✅</t>
        </is>
      </c>
      <c r="H34" s="1025" t="n">
        <v>0.187</v>
      </c>
      <c r="I34" s="1024" t="n">
        <v>0</v>
      </c>
      <c r="J34" s="1018">
        <f>C34</f>
        <v/>
      </c>
      <c r="K34" s="1024" t="n"/>
      <c r="L34" s="71" t="n">
        <v>15</v>
      </c>
      <c r="M34" t="inlineStr">
        <is>
          <t>S3 Cat.6</t>
        </is>
      </c>
    </row>
    <row r="35">
      <c r="A35" s="325" t="inlineStr">
        <is>
          <t>T15</t>
        </is>
      </c>
      <c r="B35" s="81" t="inlineStr">
        <is>
          <t>Avion long-courrier</t>
        </is>
      </c>
      <c r="C35" s="390" t="n">
        <v>0.152</v>
      </c>
      <c r="D35" s="81" t="inlineStr">
        <is>
          <t>kgCO₂e/km</t>
        </is>
      </c>
      <c r="E35" s="289" t="inlineStr">
        <is>
          <t>Base Carbone</t>
        </is>
      </c>
      <c r="F35" s="407" t="inlineStr">
        <is>
          <t>2024</t>
        </is>
      </c>
      <c r="G35" s="326" t="inlineStr">
        <is>
          <t>✅✅✅</t>
        </is>
      </c>
      <c r="H35" s="1025" t="n">
        <v>0.152</v>
      </c>
      <c r="I35" s="1024" t="n">
        <v>0</v>
      </c>
      <c r="J35" s="1016">
        <f>C35</f>
        <v/>
      </c>
      <c r="K35" s="1024" t="n"/>
      <c r="L35" s="71" t="n">
        <v>15</v>
      </c>
      <c r="M35" t="inlineStr">
        <is>
          <t>S3 Cat.6</t>
        </is>
      </c>
    </row>
    <row r="36">
      <c r="A36" s="336" t="inlineStr">
        <is>
          <t>T16</t>
        </is>
      </c>
      <c r="B36" s="293" t="inlineStr">
        <is>
          <t>Avion classe business</t>
        </is>
      </c>
      <c r="C36" s="393" t="n">
        <v>0.456</v>
      </c>
      <c r="D36" s="293" t="inlineStr">
        <is>
          <t>kgCO₂e/km</t>
        </is>
      </c>
      <c r="E36" s="335" t="inlineStr">
        <is>
          <t>DGAC/ADEME</t>
        </is>
      </c>
      <c r="F36" s="410" t="inlineStr">
        <is>
          <t>2024</t>
        </is>
      </c>
      <c r="G36" s="338" t="inlineStr">
        <is>
          <t>✅✅</t>
        </is>
      </c>
      <c r="H36" s="1025" t="n">
        <v>0.456</v>
      </c>
      <c r="I36" s="1024" t="n">
        <v>0</v>
      </c>
      <c r="J36" s="1018">
        <f>C36</f>
        <v/>
      </c>
      <c r="K36" s="1024" t="n"/>
      <c r="L36" s="71" t="n">
        <v>15</v>
      </c>
      <c r="M36" t="inlineStr">
        <is>
          <t>S3 Cat.6</t>
        </is>
      </c>
    </row>
    <row r="37">
      <c r="A37" s="325" t="inlineStr">
        <is>
          <t>T17</t>
        </is>
      </c>
      <c r="B37" s="81" t="inlineStr">
        <is>
          <t>Vélo / Marche</t>
        </is>
      </c>
      <c r="C37" s="390" t="n">
        <v>0</v>
      </c>
      <c r="D37" s="81" t="inlineStr">
        <is>
          <t>kgCO₂e/km</t>
        </is>
      </c>
      <c r="E37" s="289" t="inlineStr">
        <is>
          <t>—</t>
        </is>
      </c>
      <c r="F37" s="407" t="inlineStr">
        <is>
          <t>—</t>
        </is>
      </c>
      <c r="G37" s="326" t="inlineStr">
        <is>
          <t>✅✅✅</t>
        </is>
      </c>
      <c r="H37" s="1024" t="n">
        <v>0</v>
      </c>
      <c r="I37" s="1024" t="n">
        <v>0</v>
      </c>
      <c r="J37" s="1016">
        <f>C37</f>
        <v/>
      </c>
      <c r="K37" s="1024" t="n"/>
      <c r="L37" s="71" t="n">
        <v>0</v>
      </c>
      <c r="M37" t="inlineStr">
        <is>
          <t>—</t>
        </is>
      </c>
    </row>
    <row r="38">
      <c r="A38" s="336" t="inlineStr">
        <is>
          <t>T18</t>
        </is>
      </c>
      <c r="B38" s="293" t="inlineStr">
        <is>
          <t>VAE (vélo électrique)</t>
        </is>
      </c>
      <c r="C38" s="393" t="n">
        <v>0.005</v>
      </c>
      <c r="D38" s="293" t="inlineStr">
        <is>
          <t>kgCO₂e/km</t>
        </is>
      </c>
      <c r="E38" s="335" t="inlineStr">
        <is>
          <t>Estimations</t>
        </is>
      </c>
      <c r="F38" s="410" t="inlineStr">
        <is>
          <t>2024</t>
        </is>
      </c>
      <c r="G38" s="339" t="inlineStr">
        <is>
          <t>✅</t>
        </is>
      </c>
      <c r="H38" s="1024" t="n">
        <v>0</v>
      </c>
      <c r="I38" s="1026" t="n">
        <v>0.005</v>
      </c>
      <c r="J38" s="1018">
        <f>C38</f>
        <v/>
      </c>
      <c r="K38" s="1024" t="n"/>
      <c r="L38" s="71" t="n">
        <v>30</v>
      </c>
      <c r="M38" t="inlineStr">
        <is>
          <t>S3</t>
        </is>
      </c>
    </row>
    <row r="39">
      <c r="A39" s="325" t="inlineStr">
        <is>
          <t>T19</t>
        </is>
      </c>
      <c r="B39" s="81" t="inlineStr">
        <is>
          <t>Scooter thermique</t>
        </is>
      </c>
      <c r="C39" s="390" t="n">
        <v>0.089</v>
      </c>
      <c r="D39" s="81" t="inlineStr">
        <is>
          <t>kgCO₂e/km</t>
        </is>
      </c>
      <c r="E39" s="289" t="inlineStr">
        <is>
          <t>Base Carbone</t>
        </is>
      </c>
      <c r="F39" s="407" t="inlineStr">
        <is>
          <t>2024</t>
        </is>
      </c>
      <c r="G39" s="326" t="inlineStr">
        <is>
          <t>✅✅✅</t>
        </is>
      </c>
      <c r="H39" s="1025" t="n">
        <v>0.08</v>
      </c>
      <c r="I39" s="1026" t="n">
        <v>0.008999999999999999</v>
      </c>
      <c r="J39" s="1016">
        <f>C39</f>
        <v/>
      </c>
      <c r="K39" s="1024" t="n"/>
      <c r="L39" s="71" t="n">
        <v>10</v>
      </c>
      <c r="M39" t="inlineStr">
        <is>
          <t>S1/S3</t>
        </is>
      </c>
    </row>
    <row r="40">
      <c r="A40" s="336" t="inlineStr">
        <is>
          <t>T20</t>
        </is>
      </c>
      <c r="B40" s="293" t="inlineStr">
        <is>
          <t>Scooter électrique</t>
        </is>
      </c>
      <c r="C40" s="393" t="n">
        <v>0.01</v>
      </c>
      <c r="D40" s="293" t="inlineStr">
        <is>
          <t>kgCO₂e/km</t>
        </is>
      </c>
      <c r="E40" s="335" t="inlineStr">
        <is>
          <t>Estimations</t>
        </is>
      </c>
      <c r="F40" s="410" t="inlineStr">
        <is>
          <t>2024</t>
        </is>
      </c>
      <c r="G40" s="339" t="inlineStr">
        <is>
          <t>✅</t>
        </is>
      </c>
      <c r="H40" s="1024" t="n">
        <v>0</v>
      </c>
      <c r="I40" s="1026" t="n">
        <v>0.01</v>
      </c>
      <c r="J40" s="1018">
        <f>C40</f>
        <v/>
      </c>
      <c r="K40" s="1024" t="n"/>
      <c r="L40" s="71" t="n">
        <v>30</v>
      </c>
      <c r="M40" t="inlineStr">
        <is>
          <t>S3</t>
        </is>
      </c>
    </row>
    <row r="41">
      <c r="A41" s="325" t="inlineStr">
        <is>
          <t>T21</t>
        </is>
      </c>
      <c r="B41" s="81" t="inlineStr">
        <is>
          <t>Taxi / VTC</t>
        </is>
      </c>
      <c r="C41" s="390" t="n">
        <v>0.26</v>
      </c>
      <c r="D41" s="81" t="inlineStr">
        <is>
          <t>kgCO₂e/km</t>
        </is>
      </c>
      <c r="E41" s="289" t="inlineStr">
        <is>
          <t>Base Carbone</t>
        </is>
      </c>
      <c r="F41" s="407" t="inlineStr">
        <is>
          <t>2024</t>
        </is>
      </c>
      <c r="G41" s="326" t="inlineStr">
        <is>
          <t>✅✅✅</t>
        </is>
      </c>
      <c r="H41" s="1025" t="n">
        <v>0.23</v>
      </c>
      <c r="I41" s="1026" t="n">
        <v>0.03</v>
      </c>
      <c r="J41" s="1016">
        <f>C41</f>
        <v/>
      </c>
      <c r="K41" s="1024" t="n"/>
      <c r="L41" s="71" t="n">
        <v>10</v>
      </c>
      <c r="M41" t="inlineStr">
        <is>
          <t>S3 Cat.6</t>
        </is>
      </c>
    </row>
    <row r="42">
      <c r="A42" s="323" t="n"/>
      <c r="B42" s="323" t="inlineStr">
        <is>
          <t>═══ TRANSPORT MARCHANDISES ═══</t>
        </is>
      </c>
      <c r="C42" s="324" t="n"/>
      <c r="D42" s="323" t="n"/>
      <c r="E42" s="324" t="n"/>
      <c r="F42" s="406" t="inlineStr"/>
      <c r="G42" s="324" t="n"/>
      <c r="H42" s="290" t="n"/>
      <c r="I42" s="71" t="n"/>
    </row>
    <row r="43">
      <c r="A43" s="325" t="inlineStr">
        <is>
          <t>M01</t>
        </is>
      </c>
      <c r="B43" s="81" t="inlineStr">
        <is>
          <t>Camion (route)</t>
        </is>
      </c>
      <c r="C43" s="390" t="n">
        <v>0.081</v>
      </c>
      <c r="D43" s="81" t="inlineStr">
        <is>
          <t>kgCO₂e/tkm</t>
        </is>
      </c>
      <c r="E43" s="289" t="inlineStr">
        <is>
          <t>Base Carbone</t>
        </is>
      </c>
      <c r="F43" s="407" t="inlineStr">
        <is>
          <t>2024</t>
        </is>
      </c>
      <c r="G43" s="326" t="inlineStr">
        <is>
          <t>✅✅✅</t>
        </is>
      </c>
      <c r="H43" s="1025" t="n">
        <v>0.073</v>
      </c>
      <c r="I43" s="1026" t="n">
        <v>0.008</v>
      </c>
      <c r="J43" s="1024">
        <f>C43</f>
        <v/>
      </c>
      <c r="K43" s="1024" t="n"/>
      <c r="L43" s="71" t="n">
        <v>15</v>
      </c>
      <c r="M43" t="inlineStr">
        <is>
          <t>S3 Cat.4</t>
        </is>
      </c>
    </row>
    <row r="44">
      <c r="A44" s="341" t="inlineStr">
        <is>
          <t>M02</t>
        </is>
      </c>
      <c r="B44" s="297" t="inlineStr">
        <is>
          <t>Train (fret)</t>
        </is>
      </c>
      <c r="C44" s="394" t="n">
        <v>0.0046</v>
      </c>
      <c r="D44" s="297" t="inlineStr">
        <is>
          <t>kgCO₂e/tkm</t>
        </is>
      </c>
      <c r="E44" s="340" t="inlineStr">
        <is>
          <t>Base Carbone</t>
        </is>
      </c>
      <c r="F44" s="411" t="inlineStr">
        <is>
          <t>2024</t>
        </is>
      </c>
      <c r="G44" s="342" t="inlineStr">
        <is>
          <t>✅✅✅</t>
        </is>
      </c>
      <c r="H44" s="1024" t="n">
        <v>0</v>
      </c>
      <c r="I44" s="1026" t="n">
        <v>0.0046</v>
      </c>
      <c r="J44" s="1024">
        <f>C44</f>
        <v/>
      </c>
      <c r="K44" s="1024" t="n"/>
      <c r="L44" s="71" t="n">
        <v>20</v>
      </c>
      <c r="M44" t="inlineStr">
        <is>
          <t>S3 Cat.4</t>
        </is>
      </c>
    </row>
    <row r="45">
      <c r="A45" s="325" t="inlineStr">
        <is>
          <t>M03</t>
        </is>
      </c>
      <c r="B45" s="81" t="inlineStr">
        <is>
          <t>Cargo (mer)</t>
        </is>
      </c>
      <c r="C45" s="390" t="n">
        <v>0.016</v>
      </c>
      <c r="D45" s="81" t="inlineStr">
        <is>
          <t>kgCO₂e/tkm</t>
        </is>
      </c>
      <c r="E45" s="289" t="inlineStr">
        <is>
          <t>Base Carbone</t>
        </is>
      </c>
      <c r="F45" s="407" t="inlineStr">
        <is>
          <t>2024</t>
        </is>
      </c>
      <c r="G45" s="326" t="inlineStr">
        <is>
          <t>✅✅✅</t>
        </is>
      </c>
      <c r="H45" s="1024" t="n">
        <v>0</v>
      </c>
      <c r="I45" s="1026" t="n">
        <v>0.016</v>
      </c>
      <c r="J45" s="1024">
        <f>C45</f>
        <v/>
      </c>
      <c r="K45" s="1024" t="n"/>
      <c r="L45" s="71" t="n">
        <v>20</v>
      </c>
      <c r="M45" t="inlineStr">
        <is>
          <t>S3 Cat.4</t>
        </is>
      </c>
    </row>
    <row r="46">
      <c r="A46" s="341" t="inlineStr">
        <is>
          <t>M04</t>
        </is>
      </c>
      <c r="B46" s="297" t="inlineStr">
        <is>
          <t>Avion (fret)</t>
        </is>
      </c>
      <c r="C46" s="394" t="n">
        <v>0.875</v>
      </c>
      <c r="D46" s="297" t="inlineStr">
        <is>
          <t>kgCO₂e/tkm</t>
        </is>
      </c>
      <c r="E46" s="340" t="inlineStr">
        <is>
          <t>Base Carbone</t>
        </is>
      </c>
      <c r="F46" s="411" t="inlineStr">
        <is>
          <t>2024</t>
        </is>
      </c>
      <c r="G46" s="342" t="inlineStr">
        <is>
          <t>✅✅✅</t>
        </is>
      </c>
      <c r="H46" s="1025" t="n">
        <v>0.875</v>
      </c>
      <c r="I46" s="1024" t="n">
        <v>0</v>
      </c>
      <c r="J46" s="1024">
        <f>C46</f>
        <v/>
      </c>
      <c r="K46" s="1024" t="n"/>
      <c r="L46" s="71" t="n">
        <v>15</v>
      </c>
      <c r="M46" t="inlineStr">
        <is>
          <t>S3 Cat.4</t>
        </is>
      </c>
    </row>
    <row r="47">
      <c r="A47" s="323" t="n"/>
      <c r="B47" s="323" t="inlineStr">
        <is>
          <t>═══ ALIMENTATION ═══</t>
        </is>
      </c>
      <c r="C47" s="324" t="n"/>
      <c r="D47" s="323" t="n"/>
      <c r="E47" s="324" t="n"/>
      <c r="F47" s="406" t="inlineStr"/>
      <c r="G47" s="324" t="n"/>
      <c r="H47" s="290" t="n"/>
      <c r="I47" s="71" t="n"/>
    </row>
    <row r="48">
      <c r="A48" s="325" t="inlineStr">
        <is>
          <t>A01</t>
        </is>
      </c>
      <c r="B48" s="81" t="inlineStr">
        <is>
          <t>Repas végétalien</t>
        </is>
      </c>
      <c r="C48" s="390" t="n">
        <v>0.51</v>
      </c>
      <c r="D48" s="81" t="inlineStr">
        <is>
          <t>kgCO₂e/repas</t>
        </is>
      </c>
      <c r="E48" s="289" t="inlineStr">
        <is>
          <t>Ecoinvent/ADEME</t>
        </is>
      </c>
      <c r="F48" s="407" t="inlineStr">
        <is>
          <t>2024</t>
        </is>
      </c>
      <c r="G48" s="333" t="inlineStr">
        <is>
          <t>✅✅</t>
        </is>
      </c>
      <c r="H48" s="1024" t="n">
        <v>0</v>
      </c>
      <c r="I48" s="1026" t="n">
        <v>0.51</v>
      </c>
      <c r="J48" s="1024">
        <f>C48</f>
        <v/>
      </c>
      <c r="K48" s="1024" t="n"/>
      <c r="L48" s="71" t="n">
        <v>30</v>
      </c>
      <c r="M48" t="inlineStr">
        <is>
          <t>S3 Cat.1</t>
        </is>
      </c>
    </row>
    <row r="49">
      <c r="A49" s="344" t="inlineStr">
        <is>
          <t>A02</t>
        </is>
      </c>
      <c r="B49" s="306" t="inlineStr">
        <is>
          <t>Repas végétarien</t>
        </is>
      </c>
      <c r="C49" s="395" t="n">
        <v>0.84</v>
      </c>
      <c r="D49" s="306" t="inlineStr">
        <is>
          <t>kgCO₂e/repas</t>
        </is>
      </c>
      <c r="E49" s="343" t="inlineStr">
        <is>
          <t>Ecoinvent/ADEME</t>
        </is>
      </c>
      <c r="F49" s="412" t="inlineStr">
        <is>
          <t>2024</t>
        </is>
      </c>
      <c r="G49" s="345" t="inlineStr">
        <is>
          <t>✅✅</t>
        </is>
      </c>
      <c r="H49" s="1024" t="n">
        <v>0</v>
      </c>
      <c r="I49" s="1026" t="n">
        <v>0.84</v>
      </c>
      <c r="J49" s="1024">
        <f>C49</f>
        <v/>
      </c>
      <c r="K49" s="1024" t="n"/>
      <c r="L49" s="71" t="n">
        <v>30</v>
      </c>
      <c r="M49" t="inlineStr">
        <is>
          <t>S3 Cat.1</t>
        </is>
      </c>
    </row>
    <row r="50">
      <c r="A50" s="325" t="inlineStr">
        <is>
          <t>A03</t>
        </is>
      </c>
      <c r="B50" s="81" t="inlineStr">
        <is>
          <t>Repas standard (mixte)</t>
        </is>
      </c>
      <c r="C50" s="390" t="n">
        <v>1.58</v>
      </c>
      <c r="D50" s="81" t="inlineStr">
        <is>
          <t>kgCO₂e/repas</t>
        </is>
      </c>
      <c r="E50" s="289" t="inlineStr">
        <is>
          <t>Ecoinvent/ADEME</t>
        </is>
      </c>
      <c r="F50" s="407" t="inlineStr">
        <is>
          <t>2024</t>
        </is>
      </c>
      <c r="G50" s="333" t="inlineStr">
        <is>
          <t>✅✅</t>
        </is>
      </c>
      <c r="H50" s="1024" t="n">
        <v>0</v>
      </c>
      <c r="I50" s="1026" t="n">
        <v>1.58</v>
      </c>
      <c r="J50" s="1024">
        <f>C50</f>
        <v/>
      </c>
      <c r="K50" s="1024" t="n"/>
      <c r="L50" s="71" t="n">
        <v>30</v>
      </c>
      <c r="M50" t="inlineStr">
        <is>
          <t>S3 Cat.1</t>
        </is>
      </c>
    </row>
    <row r="51">
      <c r="A51" s="344" t="inlineStr">
        <is>
          <t>A04</t>
        </is>
      </c>
      <c r="B51" s="306" t="inlineStr">
        <is>
          <t>Repas viande rouge</t>
        </is>
      </c>
      <c r="C51" s="395" t="n">
        <v>3.25</v>
      </c>
      <c r="D51" s="306" t="inlineStr">
        <is>
          <t>kgCO₂e/repas</t>
        </is>
      </c>
      <c r="E51" s="343" t="inlineStr">
        <is>
          <t>Ecoinvent/ADEME</t>
        </is>
      </c>
      <c r="F51" s="412" t="inlineStr">
        <is>
          <t>2024</t>
        </is>
      </c>
      <c r="G51" s="345" t="inlineStr">
        <is>
          <t>✅✅</t>
        </is>
      </c>
      <c r="H51" s="1024" t="n">
        <v>0</v>
      </c>
      <c r="I51" s="1026" t="n">
        <v>3.25</v>
      </c>
      <c r="J51" s="1024">
        <f>C51</f>
        <v/>
      </c>
      <c r="K51" s="1024" t="n"/>
      <c r="L51" s="71" t="n">
        <v>30</v>
      </c>
      <c r="M51" t="inlineStr">
        <is>
          <t>S3 Cat.1</t>
        </is>
      </c>
    </row>
    <row r="52">
      <c r="A52" s="325" t="inlineStr">
        <is>
          <t>A05</t>
        </is>
      </c>
      <c r="B52" s="81" t="inlineStr">
        <is>
          <t>Repas viande blanche</t>
        </is>
      </c>
      <c r="C52" s="390" t="n">
        <v>1.35</v>
      </c>
      <c r="D52" s="81" t="inlineStr">
        <is>
          <t>kgCO₂e/repas</t>
        </is>
      </c>
      <c r="E52" s="289" t="inlineStr">
        <is>
          <t>Ecoinvent/ADEME</t>
        </is>
      </c>
      <c r="F52" s="407" t="inlineStr">
        <is>
          <t>2024</t>
        </is>
      </c>
      <c r="G52" s="333" t="inlineStr">
        <is>
          <t>✅✅</t>
        </is>
      </c>
      <c r="H52" s="1024" t="n">
        <v>0</v>
      </c>
      <c r="I52" s="1026" t="n">
        <v>1.35</v>
      </c>
      <c r="J52" s="1024">
        <f>C52</f>
        <v/>
      </c>
      <c r="K52" s="1024" t="n"/>
      <c r="L52" s="71" t="n">
        <v>30</v>
      </c>
      <c r="M52" t="inlineStr">
        <is>
          <t>S3 Cat.1</t>
        </is>
      </c>
    </row>
    <row r="53">
      <c r="A53" s="344" t="inlineStr">
        <is>
          <t>A06</t>
        </is>
      </c>
      <c r="B53" s="306" t="inlineStr">
        <is>
          <t>Repas poisson</t>
        </is>
      </c>
      <c r="C53" s="395" t="n">
        <v>1.02</v>
      </c>
      <c r="D53" s="306" t="inlineStr">
        <is>
          <t>kgCO₂e/repas</t>
        </is>
      </c>
      <c r="E53" s="343" t="inlineStr">
        <is>
          <t>Ecoinvent/ADEME</t>
        </is>
      </c>
      <c r="F53" s="412" t="inlineStr">
        <is>
          <t>2024</t>
        </is>
      </c>
      <c r="G53" s="345" t="inlineStr">
        <is>
          <t>✅✅</t>
        </is>
      </c>
      <c r="H53" s="1024" t="n">
        <v>0</v>
      </c>
      <c r="I53" s="1026" t="n">
        <v>1.02</v>
      </c>
      <c r="J53" s="1024">
        <f>C53</f>
        <v/>
      </c>
      <c r="K53" s="1024" t="n"/>
      <c r="L53" s="71" t="n">
        <v>30</v>
      </c>
      <c r="M53" t="inlineStr">
        <is>
          <t>S3 Cat.1</t>
        </is>
      </c>
    </row>
    <row r="54">
      <c r="A54" s="325" t="inlineStr">
        <is>
          <t>A07</t>
        </is>
      </c>
      <c r="B54" s="81" t="inlineStr">
        <is>
          <t>Café (tasse 200ml)</t>
        </is>
      </c>
      <c r="C54" s="390" t="n">
        <v>0.058</v>
      </c>
      <c r="D54" s="81" t="inlineStr">
        <is>
          <t>kgCO₂e</t>
        </is>
      </c>
      <c r="E54" s="289" t="inlineStr">
        <is>
          <t>Études LCA</t>
        </is>
      </c>
      <c r="F54" s="407" t="inlineStr">
        <is>
          <t>2023</t>
        </is>
      </c>
      <c r="G54" s="333" t="inlineStr">
        <is>
          <t>✅✅</t>
        </is>
      </c>
      <c r="H54" s="1024" t="n">
        <v>0</v>
      </c>
      <c r="I54" s="1026" t="n">
        <v>0.058</v>
      </c>
      <c r="J54" s="1024">
        <f>C54</f>
        <v/>
      </c>
      <c r="K54" s="1024" t="n"/>
      <c r="L54" s="71" t="n">
        <v>30</v>
      </c>
      <c r="M54" t="inlineStr">
        <is>
          <t>S3 Cat.1</t>
        </is>
      </c>
    </row>
    <row r="55">
      <c r="A55" s="344" t="inlineStr">
        <is>
          <t>A08</t>
        </is>
      </c>
      <c r="B55" s="306" t="inlineStr">
        <is>
          <t>Repas restaurant extérieur</t>
        </is>
      </c>
      <c r="C55" s="395" t="n">
        <v>2.1</v>
      </c>
      <c r="D55" s="306" t="inlineStr">
        <is>
          <t>kgCO₂e/repas</t>
        </is>
      </c>
      <c r="E55" s="343" t="inlineStr">
        <is>
          <t>ADEME</t>
        </is>
      </c>
      <c r="F55" s="412" t="inlineStr">
        <is>
          <t>2024</t>
        </is>
      </c>
      <c r="G55" s="345" t="inlineStr">
        <is>
          <t>✅✅</t>
        </is>
      </c>
      <c r="H55" s="1024" t="n">
        <v>0</v>
      </c>
      <c r="I55" s="1026" t="n">
        <v>2.1</v>
      </c>
      <c r="J55" s="1024">
        <f>C55</f>
        <v/>
      </c>
      <c r="K55" s="1024" t="n"/>
      <c r="L55" s="71" t="n">
        <v>30</v>
      </c>
      <c r="M55" t="inlineStr">
        <is>
          <t>S3 Cat.1</t>
        </is>
      </c>
    </row>
    <row r="56">
      <c r="A56" s="323" t="n"/>
      <c r="B56" s="323" t="inlineStr">
        <is>
          <t>═══ NUMÉRIQUE — USAGES ═══</t>
        </is>
      </c>
      <c r="C56" s="324" t="n"/>
      <c r="D56" s="323" t="n"/>
      <c r="E56" s="324" t="n"/>
      <c r="F56" s="406" t="inlineStr"/>
      <c r="G56" s="324" t="n"/>
      <c r="H56" s="290" t="n"/>
      <c r="I56" s="71" t="n"/>
    </row>
    <row r="57">
      <c r="A57" s="325" t="inlineStr">
        <is>
          <t>N01</t>
        </is>
      </c>
      <c r="B57" s="81" t="inlineStr">
        <is>
          <t>Email simple (texte)</t>
        </is>
      </c>
      <c r="C57" s="390" t="n">
        <v>0.004</v>
      </c>
      <c r="D57" s="81" t="inlineStr">
        <is>
          <t>kgCO₂e</t>
        </is>
      </c>
      <c r="E57" s="289" t="inlineStr">
        <is>
          <t>ADEME</t>
        </is>
      </c>
      <c r="F57" s="407" t="inlineStr">
        <is>
          <t>2024</t>
        </is>
      </c>
      <c r="G57" s="333" t="inlineStr">
        <is>
          <t>✅✅</t>
        </is>
      </c>
      <c r="H57" s="1024" t="n">
        <v>0</v>
      </c>
      <c r="I57" s="1026" t="n">
        <v>0.004</v>
      </c>
      <c r="J57" s="1024">
        <f>C57</f>
        <v/>
      </c>
      <c r="K57" s="1024" t="n"/>
      <c r="L57" s="71" t="n">
        <v>50</v>
      </c>
      <c r="M57" t="inlineStr">
        <is>
          <t>S3 Cat.9</t>
        </is>
      </c>
    </row>
    <row r="58">
      <c r="A58" s="347" t="inlineStr">
        <is>
          <t>N02</t>
        </is>
      </c>
      <c r="B58" s="313" t="inlineStr">
        <is>
          <t>Email avec PJ (1 Mo)</t>
        </is>
      </c>
      <c r="C58" s="396" t="n">
        <v>0.035</v>
      </c>
      <c r="D58" s="313" t="inlineStr">
        <is>
          <t>kgCO₂e</t>
        </is>
      </c>
      <c r="E58" s="346" t="inlineStr">
        <is>
          <t>ADEME</t>
        </is>
      </c>
      <c r="F58" s="413" t="inlineStr">
        <is>
          <t>2024</t>
        </is>
      </c>
      <c r="G58" s="348" t="inlineStr">
        <is>
          <t>✅✅</t>
        </is>
      </c>
      <c r="H58" s="1024" t="n">
        <v>0</v>
      </c>
      <c r="I58" s="1026" t="n">
        <v>0.035</v>
      </c>
      <c r="J58" s="1024">
        <f>C58</f>
        <v/>
      </c>
      <c r="K58" s="1024" t="n"/>
      <c r="L58" s="71" t="n">
        <v>50</v>
      </c>
      <c r="M58" t="inlineStr">
        <is>
          <t>S3 Cat.9</t>
        </is>
      </c>
    </row>
    <row r="59">
      <c r="A59" s="325" t="inlineStr">
        <is>
          <t>N03</t>
        </is>
      </c>
      <c r="B59" s="81" t="inlineStr">
        <is>
          <t>Visioconférence (1h)</t>
        </is>
      </c>
      <c r="C59" s="390" t="n">
        <v>0.15</v>
      </c>
      <c r="D59" s="81" t="inlineStr">
        <is>
          <t>kgCO₂e</t>
        </is>
      </c>
      <c r="E59" s="289" t="inlineStr">
        <is>
          <t>IEA/Shift</t>
        </is>
      </c>
      <c r="F59" s="407" t="inlineStr">
        <is>
          <t>2024</t>
        </is>
      </c>
      <c r="G59" s="333" t="inlineStr">
        <is>
          <t>✅✅</t>
        </is>
      </c>
      <c r="H59" s="1024" t="n">
        <v>0</v>
      </c>
      <c r="I59" s="1026" t="n">
        <v>0.15</v>
      </c>
      <c r="J59" s="1024">
        <f>C59</f>
        <v/>
      </c>
      <c r="K59" s="1024" t="n"/>
      <c r="L59" s="71" t="n">
        <v>50</v>
      </c>
      <c r="M59" t="inlineStr">
        <is>
          <t>S3 Cat.9</t>
        </is>
      </c>
    </row>
    <row r="60">
      <c r="A60" s="347" t="inlineStr">
        <is>
          <t>N04</t>
        </is>
      </c>
      <c r="B60" s="313" t="inlineStr">
        <is>
          <t>Streaming vidéo SD (1h)</t>
        </is>
      </c>
      <c r="C60" s="396" t="n">
        <v>0.036</v>
      </c>
      <c r="D60" s="313" t="inlineStr">
        <is>
          <t>kgCO₂e</t>
        </is>
      </c>
      <c r="E60" s="346" t="inlineStr">
        <is>
          <t>IEA</t>
        </is>
      </c>
      <c r="F60" s="413" t="inlineStr">
        <is>
          <t>2024</t>
        </is>
      </c>
      <c r="G60" s="348" t="inlineStr">
        <is>
          <t>✅✅</t>
        </is>
      </c>
      <c r="H60" s="1024" t="n">
        <v>0</v>
      </c>
      <c r="I60" s="1026" t="n">
        <v>0.036</v>
      </c>
      <c r="J60" s="1024">
        <f>C60</f>
        <v/>
      </c>
      <c r="K60" s="1024" t="n"/>
      <c r="L60" s="71" t="n">
        <v>50</v>
      </c>
      <c r="M60" t="inlineStr">
        <is>
          <t>S3 Cat.9</t>
        </is>
      </c>
    </row>
    <row r="61">
      <c r="A61" s="325" t="inlineStr">
        <is>
          <t>N05</t>
        </is>
      </c>
      <c r="B61" s="81" t="inlineStr">
        <is>
          <t>Streaming vidéo HD (1h)</t>
        </is>
      </c>
      <c r="C61" s="390" t="n">
        <v>0.08</v>
      </c>
      <c r="D61" s="81" t="inlineStr">
        <is>
          <t>kgCO₂e</t>
        </is>
      </c>
      <c r="E61" s="289" t="inlineStr">
        <is>
          <t>IEA</t>
        </is>
      </c>
      <c r="F61" s="407" t="inlineStr">
        <is>
          <t>2024</t>
        </is>
      </c>
      <c r="G61" s="333" t="inlineStr">
        <is>
          <t>✅✅</t>
        </is>
      </c>
      <c r="H61" s="1024" t="n">
        <v>0</v>
      </c>
      <c r="I61" s="1026" t="n">
        <v>0.08</v>
      </c>
      <c r="J61" s="1024">
        <f>C61</f>
        <v/>
      </c>
      <c r="K61" s="1024" t="n"/>
      <c r="L61" s="71" t="n">
        <v>50</v>
      </c>
      <c r="M61" t="inlineStr">
        <is>
          <t>S3 Cat.9</t>
        </is>
      </c>
    </row>
    <row r="62">
      <c r="A62" s="347" t="inlineStr">
        <is>
          <t>N06</t>
        </is>
      </c>
      <c r="B62" s="313" t="inlineStr">
        <is>
          <t>Requête web simple</t>
        </is>
      </c>
      <c r="C62" s="396" t="n">
        <v>0.0007</v>
      </c>
      <c r="D62" s="313" t="inlineStr">
        <is>
          <t>kgCO₂e</t>
        </is>
      </c>
      <c r="E62" s="346" t="inlineStr">
        <is>
          <t>Shift/NegaOctet</t>
        </is>
      </c>
      <c r="F62" s="413" t="inlineStr">
        <is>
          <t>2023</t>
        </is>
      </c>
      <c r="G62" s="349" t="inlineStr">
        <is>
          <t>✅</t>
        </is>
      </c>
      <c r="H62" s="1024" t="n">
        <v>0</v>
      </c>
      <c r="I62" s="1026" t="n">
        <v>0.0007</v>
      </c>
      <c r="J62" s="1024">
        <f>C62</f>
        <v/>
      </c>
      <c r="K62" s="1024" t="n"/>
      <c r="L62" s="71" t="n">
        <v>50</v>
      </c>
      <c r="M62" t="inlineStr">
        <is>
          <t>S3 Cat.9</t>
        </is>
      </c>
    </row>
    <row r="63">
      <c r="A63" s="325" t="inlineStr">
        <is>
          <t>N07</t>
        </is>
      </c>
      <c r="B63" s="81" t="inlineStr">
        <is>
          <t>Impression (par page A4)</t>
        </is>
      </c>
      <c r="C63" s="390" t="n">
        <v>0.005</v>
      </c>
      <c r="D63" s="81" t="inlineStr">
        <is>
          <t>kgCO₂e</t>
        </is>
      </c>
      <c r="E63" s="289" t="inlineStr">
        <is>
          <t>ADEME</t>
        </is>
      </c>
      <c r="F63" s="407" t="inlineStr">
        <is>
          <t>2024</t>
        </is>
      </c>
      <c r="G63" s="333" t="inlineStr">
        <is>
          <t>✅✅</t>
        </is>
      </c>
      <c r="H63" s="1024" t="n">
        <v>0</v>
      </c>
      <c r="I63" s="1026" t="n">
        <v>0.005</v>
      </c>
      <c r="J63" s="1024">
        <f>C63</f>
        <v/>
      </c>
      <c r="K63" s="1024" t="n"/>
      <c r="L63" s="71" t="n">
        <v>40</v>
      </c>
      <c r="M63" t="inlineStr">
        <is>
          <t>S3 Cat.9</t>
        </is>
      </c>
    </row>
    <row r="64">
      <c r="A64" s="323" t="n"/>
      <c r="B64" s="323" t="inlineStr">
        <is>
          <t>═══ NUMÉRIQUE — IA ═══</t>
        </is>
      </c>
      <c r="C64" s="324" t="n"/>
      <c r="D64" s="323" t="n"/>
      <c r="E64" s="324" t="n"/>
      <c r="F64" s="406" t="inlineStr"/>
      <c r="G64" s="324" t="n"/>
      <c r="H64" s="290" t="n"/>
      <c r="I64" s="71" t="n"/>
    </row>
    <row r="65">
      <c r="A65" s="325" t="inlineStr">
        <is>
          <t>I01</t>
        </is>
      </c>
      <c r="B65" s="81" t="inlineStr">
        <is>
          <t>Requête GPT-4 / Claude 3.5</t>
        </is>
      </c>
      <c r="C65" s="390" t="n">
        <v>0.01</v>
      </c>
      <c r="D65" s="81" t="inlineStr">
        <is>
          <t>kgCO₂e</t>
        </is>
      </c>
      <c r="E65" s="289" t="inlineStr">
        <is>
          <t>IEA/études ML</t>
        </is>
      </c>
      <c r="F65" s="407" t="inlineStr">
        <is>
          <t>2024</t>
        </is>
      </c>
      <c r="G65" s="350" t="inlineStr">
        <is>
          <t>⚠️</t>
        </is>
      </c>
      <c r="H65" s="1024" t="n">
        <v>0</v>
      </c>
      <c r="I65" s="1026" t="n">
        <v>0.01</v>
      </c>
      <c r="J65" s="1024">
        <f>C65</f>
        <v/>
      </c>
      <c r="K65" s="1024" t="n"/>
      <c r="L65" s="71" t="n">
        <v>50</v>
      </c>
      <c r="M65" t="inlineStr">
        <is>
          <t>S3 Cat.11</t>
        </is>
      </c>
    </row>
    <row r="66">
      <c r="A66" s="353" t="inlineStr">
        <is>
          <t>I02</t>
        </is>
      </c>
      <c r="B66" s="351" t="inlineStr">
        <is>
          <t>Requête modèle léger (Mistral)</t>
        </is>
      </c>
      <c r="C66" s="397" t="n">
        <v>0.002</v>
      </c>
      <c r="D66" s="351" t="inlineStr">
        <is>
          <t>kgCO₂e</t>
        </is>
      </c>
      <c r="E66" s="352" t="inlineStr">
        <is>
          <t>Estimations</t>
        </is>
      </c>
      <c r="F66" s="414" t="inlineStr">
        <is>
          <t>2024</t>
        </is>
      </c>
      <c r="G66" s="354" t="inlineStr">
        <is>
          <t>⚠️</t>
        </is>
      </c>
      <c r="H66" s="1024" t="n">
        <v>0</v>
      </c>
      <c r="I66" s="1026" t="n">
        <v>0.002</v>
      </c>
      <c r="J66" s="1024">
        <f>C66</f>
        <v/>
      </c>
      <c r="K66" s="1024" t="n"/>
      <c r="L66" s="71" t="n">
        <v>50</v>
      </c>
      <c r="M66" t="inlineStr">
        <is>
          <t>S3 Cat.11</t>
        </is>
      </c>
    </row>
    <row r="67">
      <c r="A67" s="325" t="inlineStr">
        <is>
          <t>I03</t>
        </is>
      </c>
      <c r="B67" s="81" t="inlineStr">
        <is>
          <t>Entraînement modèle (1h GPU)</t>
        </is>
      </c>
      <c r="C67" s="390" t="n">
        <v>50</v>
      </c>
      <c r="D67" s="81" t="inlineStr">
        <is>
          <t>kgCO₂e</t>
        </is>
      </c>
      <c r="E67" s="289" t="inlineStr">
        <is>
          <t>Green Algorithms</t>
        </is>
      </c>
      <c r="F67" s="407" t="inlineStr">
        <is>
          <t>2023</t>
        </is>
      </c>
      <c r="G67" s="350" t="inlineStr">
        <is>
          <t>⚠️</t>
        </is>
      </c>
      <c r="H67" s="1024" t="n">
        <v>0</v>
      </c>
      <c r="I67" s="1026" t="n">
        <v>50</v>
      </c>
      <c r="J67" s="1024">
        <f>C67</f>
        <v/>
      </c>
      <c r="K67" s="1024" t="n"/>
      <c r="L67" s="71" t="n">
        <v>50</v>
      </c>
      <c r="M67" t="inlineStr">
        <is>
          <t>S3 Cat.11</t>
        </is>
      </c>
    </row>
    <row r="68">
      <c r="A68" s="353" t="inlineStr">
        <is>
          <t>I04</t>
        </is>
      </c>
      <c r="B68" s="351" t="inlineStr">
        <is>
          <t>Fine-tuning (1h GPU A100)</t>
        </is>
      </c>
      <c r="C68" s="397" t="n">
        <v>3.5</v>
      </c>
      <c r="D68" s="351" t="inlineStr">
        <is>
          <t>kgCO₂e</t>
        </is>
      </c>
      <c r="E68" s="352" t="inlineStr">
        <is>
          <t>Green Algorithms</t>
        </is>
      </c>
      <c r="F68" s="414" t="inlineStr">
        <is>
          <t>2023</t>
        </is>
      </c>
      <c r="G68" s="354" t="inlineStr">
        <is>
          <t>⚠️</t>
        </is>
      </c>
      <c r="H68" s="1024" t="n">
        <v>0</v>
      </c>
      <c r="I68" s="1026" t="n">
        <v>3.5</v>
      </c>
      <c r="J68" s="1024">
        <f>C68</f>
        <v/>
      </c>
      <c r="K68" s="1024" t="n"/>
      <c r="L68" s="71" t="n">
        <v>50</v>
      </c>
      <c r="M68" t="inlineStr">
        <is>
          <t>S3 Cat.11</t>
        </is>
      </c>
    </row>
    <row r="69">
      <c r="A69" s="356" t="n"/>
      <c r="B69" s="356" t="inlineStr">
        <is>
          <t>⚠️ Facteurs IA = estimations (pas encore standardisés ADEME)</t>
        </is>
      </c>
      <c r="C69" s="357" t="n"/>
      <c r="D69" s="356" t="n"/>
      <c r="E69" s="357" t="n"/>
      <c r="F69" s="415" t="inlineStr"/>
      <c r="G69" s="357" t="n"/>
      <c r="H69" s="290" t="n"/>
      <c r="I69" s="71" t="n"/>
    </row>
    <row r="70">
      <c r="A70" s="323" t="n"/>
      <c r="B70" s="323" t="inlineStr">
        <is>
          <t>═══ NUMÉRIQUE — INFRA ═══</t>
        </is>
      </c>
      <c r="C70" s="324" t="n"/>
      <c r="D70" s="323" t="n"/>
      <c r="E70" s="324" t="n"/>
      <c r="F70" s="406" t="inlineStr"/>
      <c r="G70" s="324" t="n"/>
      <c r="H70" s="290" t="n"/>
      <c r="I70" s="71" t="n"/>
    </row>
    <row r="71">
      <c r="A71" s="325" t="inlineStr">
        <is>
          <t>D01</t>
        </is>
      </c>
      <c r="B71" s="81" t="inlineStr">
        <is>
          <t>Stockage cloud (1 Go/an)</t>
        </is>
      </c>
      <c r="C71" s="390" t="n">
        <v>0.02</v>
      </c>
      <c r="D71" s="81" t="inlineStr">
        <is>
          <t>kgCO₂e</t>
        </is>
      </c>
      <c r="E71" s="289" t="inlineStr">
        <is>
          <t>Boavizta</t>
        </is>
      </c>
      <c r="F71" s="407" t="inlineStr">
        <is>
          <t>2024</t>
        </is>
      </c>
      <c r="G71" s="333" t="inlineStr">
        <is>
          <t>✅✅</t>
        </is>
      </c>
      <c r="H71" s="1024" t="n">
        <v>0</v>
      </c>
      <c r="I71" s="1026" t="n">
        <v>0.02</v>
      </c>
      <c r="J71" s="1024">
        <f>C71</f>
        <v/>
      </c>
      <c r="K71" s="1024" t="n"/>
      <c r="L71" s="71" t="n">
        <v>50</v>
      </c>
      <c r="M71" t="inlineStr">
        <is>
          <t>S3 Cat.11</t>
        </is>
      </c>
    </row>
    <row r="72">
      <c r="A72" s="359" t="inlineStr">
        <is>
          <t>D02</t>
        </is>
      </c>
      <c r="B72" s="317" t="inlineStr">
        <is>
          <t>Réseau fixe fibre (1 Go)</t>
        </is>
      </c>
      <c r="C72" s="398" t="n">
        <v>0.015</v>
      </c>
      <c r="D72" s="317" t="inlineStr">
        <is>
          <t>kgCO₂e</t>
        </is>
      </c>
      <c r="E72" s="358" t="inlineStr">
        <is>
          <t>ADEME/ARCEP</t>
        </is>
      </c>
      <c r="F72" s="416" t="inlineStr">
        <is>
          <t>2023</t>
        </is>
      </c>
      <c r="G72" s="360" t="inlineStr">
        <is>
          <t>✅✅</t>
        </is>
      </c>
      <c r="H72" s="1024" t="n">
        <v>0</v>
      </c>
      <c r="I72" s="1026" t="n">
        <v>0.015</v>
      </c>
      <c r="J72" s="1024">
        <f>C72</f>
        <v/>
      </c>
      <c r="K72" s="1024" t="n"/>
      <c r="L72" s="71" t="n">
        <v>40</v>
      </c>
      <c r="M72" t="inlineStr">
        <is>
          <t>S3 Cat.9</t>
        </is>
      </c>
    </row>
    <row r="73">
      <c r="A73" s="325" t="inlineStr">
        <is>
          <t>D03</t>
        </is>
      </c>
      <c r="B73" s="81" t="inlineStr">
        <is>
          <t>Réseau fixe ADSL (1 Go)</t>
        </is>
      </c>
      <c r="C73" s="390" t="n">
        <v>0.025</v>
      </c>
      <c r="D73" s="81" t="inlineStr">
        <is>
          <t>kgCO₂e</t>
        </is>
      </c>
      <c r="E73" s="289" t="inlineStr">
        <is>
          <t>ADEME/ARCEP</t>
        </is>
      </c>
      <c r="F73" s="407" t="inlineStr">
        <is>
          <t>2023</t>
        </is>
      </c>
      <c r="G73" s="333" t="inlineStr">
        <is>
          <t>✅✅</t>
        </is>
      </c>
      <c r="H73" s="1024" t="n">
        <v>0</v>
      </c>
      <c r="I73" s="1026" t="n">
        <v>0.025</v>
      </c>
      <c r="J73" s="1024">
        <f>C73</f>
        <v/>
      </c>
      <c r="K73" s="1024" t="n"/>
      <c r="L73" s="71" t="n">
        <v>40</v>
      </c>
      <c r="M73" t="inlineStr">
        <is>
          <t>S3 Cat.9</t>
        </is>
      </c>
    </row>
    <row r="74">
      <c r="A74" s="359" t="inlineStr">
        <is>
          <t>D04</t>
        </is>
      </c>
      <c r="B74" s="317" t="inlineStr">
        <is>
          <t>Réseau mobile 4G (1 Go)</t>
        </is>
      </c>
      <c r="C74" s="398" t="n">
        <v>0.065</v>
      </c>
      <c r="D74" s="317" t="inlineStr">
        <is>
          <t>kgCO₂e</t>
        </is>
      </c>
      <c r="E74" s="358" t="inlineStr">
        <is>
          <t>ADEME/ARCEP</t>
        </is>
      </c>
      <c r="F74" s="416" t="inlineStr">
        <is>
          <t>2023</t>
        </is>
      </c>
      <c r="G74" s="360" t="inlineStr">
        <is>
          <t>✅✅</t>
        </is>
      </c>
      <c r="H74" s="1024" t="n">
        <v>0</v>
      </c>
      <c r="I74" s="1026" t="n">
        <v>0.065</v>
      </c>
      <c r="J74" s="1024">
        <f>C74</f>
        <v/>
      </c>
      <c r="K74" s="1024" t="n"/>
      <c r="L74" s="71" t="n">
        <v>40</v>
      </c>
      <c r="M74" t="inlineStr">
        <is>
          <t>S3 Cat.9</t>
        </is>
      </c>
    </row>
    <row r="75">
      <c r="A75" s="325" t="inlineStr">
        <is>
          <t>D05</t>
        </is>
      </c>
      <c r="B75" s="81" t="inlineStr">
        <is>
          <t>Réseau mobile 5G (1 Go)</t>
        </is>
      </c>
      <c r="C75" s="390" t="n">
        <v>0.035</v>
      </c>
      <c r="D75" s="81" t="inlineStr">
        <is>
          <t>kgCO₂e</t>
        </is>
      </c>
      <c r="E75" s="289" t="inlineStr">
        <is>
          <t>ADEME/ARCEP</t>
        </is>
      </c>
      <c r="F75" s="407" t="inlineStr">
        <is>
          <t>2023</t>
        </is>
      </c>
      <c r="G75" s="333" t="inlineStr">
        <is>
          <t>✅✅</t>
        </is>
      </c>
      <c r="H75" s="1024" t="n">
        <v>0</v>
      </c>
      <c r="I75" s="1026" t="n">
        <v>0.035</v>
      </c>
      <c r="J75" s="1024">
        <f>C75</f>
        <v/>
      </c>
      <c r="K75" s="1024" t="n"/>
      <c r="L75" s="71" t="n">
        <v>40</v>
      </c>
      <c r="M75" t="inlineStr">
        <is>
          <t>S3 Cat.9</t>
        </is>
      </c>
    </row>
    <row r="76">
      <c r="A76" s="359" t="inlineStr">
        <is>
          <t>D06</t>
        </is>
      </c>
      <c r="B76" s="317" t="inlineStr">
        <is>
          <t>RAM serveur (1 Go actif)</t>
        </is>
      </c>
      <c r="C76" s="398" t="n">
        <v>0.469</v>
      </c>
      <c r="D76" s="317" t="inlineStr">
        <is>
          <t>W</t>
        </is>
      </c>
      <c r="E76" s="358" t="inlineStr">
        <is>
          <t>JEDEC DDR4/5</t>
        </is>
      </c>
      <c r="F76" s="416" t="inlineStr">
        <is>
          <t>2024</t>
        </is>
      </c>
      <c r="G76" s="360" t="inlineStr">
        <is>
          <t>✅✅</t>
        </is>
      </c>
      <c r="H76" s="1024" t="n">
        <v>0</v>
      </c>
      <c r="I76" s="1024" t="n">
        <v>0</v>
      </c>
      <c r="J76" s="1024">
        <f>C76</f>
        <v/>
      </c>
      <c r="K76" s="1024" t="n"/>
      <c r="L76" s="71" t="n">
        <v>30</v>
      </c>
      <c r="M76" t="inlineStr">
        <is>
          <t>—</t>
        </is>
      </c>
    </row>
    <row r="77">
      <c r="A77" s="325" t="inlineStr">
        <is>
          <t>D07</t>
        </is>
      </c>
      <c r="B77" s="81" t="inlineStr">
        <is>
          <t>SSD serveur (1 To)</t>
        </is>
      </c>
      <c r="C77" s="390" t="n">
        <v>2.5</v>
      </c>
      <c r="D77" s="81" t="inlineStr">
        <is>
          <t>W</t>
        </is>
      </c>
      <c r="E77" s="289" t="inlineStr">
        <is>
          <t>Constructeurs</t>
        </is>
      </c>
      <c r="F77" s="407" t="inlineStr">
        <is>
          <t>2024</t>
        </is>
      </c>
      <c r="G77" s="333" t="inlineStr">
        <is>
          <t>✅✅</t>
        </is>
      </c>
      <c r="H77" s="1024" t="n">
        <v>0</v>
      </c>
      <c r="I77" s="1024" t="n">
        <v>0</v>
      </c>
      <c r="J77" s="1024">
        <f>C77</f>
        <v/>
      </c>
      <c r="K77" s="1024" t="n"/>
      <c r="L77" s="71" t="n">
        <v>30</v>
      </c>
      <c r="M77" t="inlineStr">
        <is>
          <t>—</t>
        </is>
      </c>
    </row>
    <row r="78">
      <c r="A78" s="359" t="inlineStr">
        <is>
          <t>D08</t>
        </is>
      </c>
      <c r="B78" s="317" t="inlineStr">
        <is>
          <t>HDD serveur (1 To)</t>
        </is>
      </c>
      <c r="C78" s="398" t="n">
        <v>6</v>
      </c>
      <c r="D78" s="317" t="inlineStr">
        <is>
          <t>W</t>
        </is>
      </c>
      <c r="E78" s="358" t="inlineStr">
        <is>
          <t>Constructeurs</t>
        </is>
      </c>
      <c r="F78" s="416" t="inlineStr">
        <is>
          <t>2024</t>
        </is>
      </c>
      <c r="G78" s="360" t="inlineStr">
        <is>
          <t>✅✅</t>
        </is>
      </c>
      <c r="H78" s="1024" t="n">
        <v>0</v>
      </c>
      <c r="I78" s="1024" t="n">
        <v>0</v>
      </c>
      <c r="J78" s="1024">
        <f>C78</f>
        <v/>
      </c>
      <c r="K78" s="1024" t="n"/>
      <c r="L78" s="71" t="n">
        <v>30</v>
      </c>
      <c r="M78" t="inlineStr">
        <is>
          <t>—</t>
        </is>
      </c>
    </row>
    <row r="79">
      <c r="A79" s="323" t="n"/>
      <c r="B79" s="323" t="inlineStr">
        <is>
          <t>═══ EAU ═══</t>
        </is>
      </c>
      <c r="C79" s="324" t="n"/>
      <c r="D79" s="323" t="n"/>
      <c r="E79" s="324" t="n"/>
      <c r="F79" s="406" t="inlineStr"/>
      <c r="G79" s="324" t="n"/>
      <c r="H79" s="290" t="n"/>
      <c r="I79" s="71" t="n"/>
    </row>
    <row r="80">
      <c r="A80" s="325" t="inlineStr">
        <is>
          <t>W01</t>
        </is>
      </c>
      <c r="B80" s="81" t="inlineStr">
        <is>
          <t>Production eau potable</t>
        </is>
      </c>
      <c r="C80" s="390" t="n">
        <v>0.132</v>
      </c>
      <c r="D80" s="81" t="inlineStr">
        <is>
          <t>kgCO₂e/m³</t>
        </is>
      </c>
      <c r="E80" s="289" t="inlineStr">
        <is>
          <t>Base Carbone</t>
        </is>
      </c>
      <c r="F80" s="407" t="inlineStr">
        <is>
          <t>2024</t>
        </is>
      </c>
      <c r="G80" s="326" t="inlineStr">
        <is>
          <t>✅✅✅</t>
        </is>
      </c>
      <c r="H80" s="1024" t="n">
        <v>0</v>
      </c>
      <c r="I80" s="1026" t="n">
        <v>0.132</v>
      </c>
      <c r="J80" s="1024">
        <f>C80</f>
        <v/>
      </c>
      <c r="K80" s="1024" t="n"/>
      <c r="L80" s="71" t="n">
        <v>30</v>
      </c>
      <c r="M80" t="inlineStr">
        <is>
          <t>S3 Cat.1</t>
        </is>
      </c>
    </row>
    <row r="81">
      <c r="A81" s="364" t="inlineStr">
        <is>
          <t>W02</t>
        </is>
      </c>
      <c r="B81" s="361" t="inlineStr">
        <is>
          <t>Traitement eaux usées</t>
        </is>
      </c>
      <c r="C81" s="399" t="n">
        <v>0.344</v>
      </c>
      <c r="D81" s="361" t="inlineStr">
        <is>
          <t>kgCO₂e/m³</t>
        </is>
      </c>
      <c r="E81" s="362" t="inlineStr">
        <is>
          <t>Base Carbone</t>
        </is>
      </c>
      <c r="F81" s="417" t="inlineStr">
        <is>
          <t>2024</t>
        </is>
      </c>
      <c r="G81" s="365" t="inlineStr">
        <is>
          <t>✅✅✅</t>
        </is>
      </c>
      <c r="H81" s="1024" t="n">
        <v>0</v>
      </c>
      <c r="I81" s="1026" t="n">
        <v>0.344</v>
      </c>
      <c r="J81" s="1024">
        <f>C81</f>
        <v/>
      </c>
      <c r="K81" s="1024" t="n"/>
      <c r="L81" s="71" t="n">
        <v>30</v>
      </c>
      <c r="M81" t="inlineStr">
        <is>
          <t>S3 Cat.1</t>
        </is>
      </c>
    </row>
    <row r="82">
      <c r="A82" s="325" t="inlineStr">
        <is>
          <t>W03</t>
        </is>
      </c>
      <c r="B82" s="81" t="inlineStr">
        <is>
          <t>Eau chaude sanitaire (1L)</t>
        </is>
      </c>
      <c r="C82" s="390" t="n">
        <v>0.0036</v>
      </c>
      <c r="D82" s="81" t="inlineStr">
        <is>
          <t>kgCO₂e</t>
        </is>
      </c>
      <c r="E82" s="289" t="inlineStr">
        <is>
          <t>Calcul ADEME</t>
        </is>
      </c>
      <c r="F82" s="407" t="inlineStr">
        <is>
          <t>2024</t>
        </is>
      </c>
      <c r="G82" s="333" t="inlineStr">
        <is>
          <t>✅✅</t>
        </is>
      </c>
      <c r="H82" s="1024" t="n">
        <v>0</v>
      </c>
      <c r="I82" s="1026" t="n">
        <v>0.0036</v>
      </c>
      <c r="J82" s="1024">
        <f>C82</f>
        <v/>
      </c>
      <c r="K82" s="1024" t="n"/>
      <c r="L82" s="71" t="n">
        <v>30</v>
      </c>
      <c r="M82" t="inlineStr">
        <is>
          <t>S3 Cat.1</t>
        </is>
      </c>
    </row>
    <row r="83">
      <c r="A83" s="323" t="n"/>
      <c r="B83" s="323" t="inlineStr">
        <is>
          <t>═══ DÉCHETS ═══</t>
        </is>
      </c>
      <c r="C83" s="324" t="n"/>
      <c r="D83" s="323" t="n"/>
      <c r="E83" s="324" t="n"/>
      <c r="F83" s="406" t="inlineStr"/>
      <c r="G83" s="324" t="n"/>
      <c r="H83" s="290" t="n"/>
      <c r="I83" s="71" t="n"/>
    </row>
    <row r="84">
      <c r="A84" s="325" t="inlineStr">
        <is>
          <t>R01</t>
        </is>
      </c>
      <c r="B84" s="81" t="inlineStr">
        <is>
          <t>Enfouissement (1 t)</t>
        </is>
      </c>
      <c r="C84" s="390" t="n">
        <v>440</v>
      </c>
      <c r="D84" s="81" t="inlineStr">
        <is>
          <t>kgCO₂e/t</t>
        </is>
      </c>
      <c r="E84" s="289" t="inlineStr">
        <is>
          <t>Base Carbone</t>
        </is>
      </c>
      <c r="F84" s="407" t="inlineStr">
        <is>
          <t>2024</t>
        </is>
      </c>
      <c r="G84" s="326" t="inlineStr">
        <is>
          <t>✅✅✅</t>
        </is>
      </c>
      <c r="H84" s="1024" t="n">
        <v>0</v>
      </c>
      <c r="I84" s="1026" t="n">
        <v>440</v>
      </c>
      <c r="J84" s="1024">
        <f>C84</f>
        <v/>
      </c>
      <c r="K84" s="1024" t="n"/>
      <c r="L84" s="71" t="n">
        <v>30</v>
      </c>
      <c r="M84" t="inlineStr">
        <is>
          <t>S3 Cat.5</t>
        </is>
      </c>
    </row>
    <row r="85">
      <c r="A85" s="369" t="inlineStr">
        <is>
          <t>R02</t>
        </is>
      </c>
      <c r="B85" s="366" t="inlineStr">
        <is>
          <t>Incinération avec récup. (1 t)</t>
        </is>
      </c>
      <c r="C85" s="400" t="n">
        <v>20</v>
      </c>
      <c r="D85" s="366" t="inlineStr">
        <is>
          <t>kgCO₂e/t</t>
        </is>
      </c>
      <c r="E85" s="367" t="inlineStr">
        <is>
          <t>Base Carbone</t>
        </is>
      </c>
      <c r="F85" s="418" t="inlineStr">
        <is>
          <t>2024</t>
        </is>
      </c>
      <c r="G85" s="370" t="inlineStr">
        <is>
          <t>✅✅✅</t>
        </is>
      </c>
      <c r="H85" s="1024" t="n">
        <v>0</v>
      </c>
      <c r="I85" s="1026" t="n">
        <v>20</v>
      </c>
      <c r="J85" s="1024">
        <f>C85</f>
        <v/>
      </c>
      <c r="K85" s="1024" t="n"/>
      <c r="L85" s="71" t="n">
        <v>30</v>
      </c>
      <c r="M85" t="inlineStr">
        <is>
          <t>S3 Cat.5</t>
        </is>
      </c>
    </row>
    <row r="86">
      <c r="A86" s="325" t="inlineStr">
        <is>
          <t>R03</t>
        </is>
      </c>
      <c r="B86" s="81" t="inlineStr">
        <is>
          <t>Recyclage — émissions évitées</t>
        </is>
      </c>
      <c r="C86" s="401" t="n">
        <v>-300</v>
      </c>
      <c r="D86" s="81" t="inlineStr">
        <is>
          <t>kgCO₂e/t</t>
        </is>
      </c>
      <c r="E86" s="289" t="inlineStr">
        <is>
          <t>Base Carbone</t>
        </is>
      </c>
      <c r="F86" s="407" t="inlineStr">
        <is>
          <t>2024</t>
        </is>
      </c>
      <c r="G86" s="333" t="inlineStr">
        <is>
          <t>✅✅</t>
        </is>
      </c>
      <c r="H86" s="1024" t="n">
        <v>0</v>
      </c>
      <c r="I86" s="1026" t="n">
        <v>-300</v>
      </c>
      <c r="J86" s="1024">
        <f>C86</f>
        <v/>
      </c>
      <c r="K86" s="1024" t="n"/>
      <c r="L86" s="71" t="n">
        <v>30</v>
      </c>
      <c r="M86" t="inlineStr">
        <is>
          <t>S3 Cat.5</t>
        </is>
      </c>
    </row>
    <row r="87">
      <c r="A87" s="369" t="inlineStr">
        <is>
          <t>R04</t>
        </is>
      </c>
      <c r="B87" s="366" t="inlineStr">
        <is>
          <t>Compostage</t>
        </is>
      </c>
      <c r="C87" s="402" t="n">
        <v>-50</v>
      </c>
      <c r="D87" s="366" t="inlineStr">
        <is>
          <t>kgCO₂e/t</t>
        </is>
      </c>
      <c r="E87" s="367" t="inlineStr">
        <is>
          <t>Base Carbone</t>
        </is>
      </c>
      <c r="F87" s="418" t="inlineStr">
        <is>
          <t>2024</t>
        </is>
      </c>
      <c r="G87" s="371" t="inlineStr">
        <is>
          <t>✅✅</t>
        </is>
      </c>
      <c r="H87" s="1024" t="n">
        <v>0</v>
      </c>
      <c r="I87" s="1026" t="n">
        <v>-50</v>
      </c>
      <c r="J87" s="1024">
        <f>C87</f>
        <v/>
      </c>
      <c r="K87" s="1024" t="n"/>
      <c r="L87" s="71" t="n">
        <v>30</v>
      </c>
      <c r="M87" t="inlineStr">
        <is>
          <t>S3 Cat.5</t>
        </is>
      </c>
    </row>
    <row r="88">
      <c r="A88" s="325" t="inlineStr">
        <is>
          <t>R05</t>
        </is>
      </c>
      <c r="B88" s="81" t="inlineStr">
        <is>
          <t>Papier/carton (1 kg)</t>
        </is>
      </c>
      <c r="C88" s="390" t="n">
        <v>0.919</v>
      </c>
      <c r="D88" s="81" t="inlineStr">
        <is>
          <t>kgCO₂e</t>
        </is>
      </c>
      <c r="E88" s="289" t="inlineStr">
        <is>
          <t>Base Carbone</t>
        </is>
      </c>
      <c r="F88" s="407" t="inlineStr">
        <is>
          <t>2024</t>
        </is>
      </c>
      <c r="G88" s="326" t="inlineStr">
        <is>
          <t>✅✅✅</t>
        </is>
      </c>
      <c r="H88" s="1024" t="n">
        <v>0</v>
      </c>
      <c r="I88" s="1026" t="n">
        <v>0.919</v>
      </c>
      <c r="J88" s="1024">
        <f>C88</f>
        <v/>
      </c>
      <c r="K88" s="1024" t="n"/>
      <c r="L88" s="71" t="n">
        <v>30</v>
      </c>
      <c r="M88" t="inlineStr">
        <is>
          <t>S3 Cat.5</t>
        </is>
      </c>
    </row>
    <row r="89">
      <c r="A89" s="369" t="inlineStr">
        <is>
          <t>R06</t>
        </is>
      </c>
      <c r="B89" s="366" t="inlineStr">
        <is>
          <t>Plastique (1 kg)</t>
        </is>
      </c>
      <c r="C89" s="400" t="n">
        <v>2</v>
      </c>
      <c r="D89" s="366" t="inlineStr">
        <is>
          <t>kgCO₂e</t>
        </is>
      </c>
      <c r="E89" s="367" t="inlineStr">
        <is>
          <t>Base Carbone</t>
        </is>
      </c>
      <c r="F89" s="418" t="inlineStr">
        <is>
          <t>2024</t>
        </is>
      </c>
      <c r="G89" s="371" t="inlineStr">
        <is>
          <t>✅✅</t>
        </is>
      </c>
      <c r="H89" s="1024" t="n">
        <v>0</v>
      </c>
      <c r="I89" s="1026" t="n">
        <v>2</v>
      </c>
      <c r="J89" s="1024">
        <f>C89</f>
        <v/>
      </c>
      <c r="K89" s="1024" t="n"/>
      <c r="L89" s="71" t="n">
        <v>30</v>
      </c>
      <c r="M89" t="inlineStr">
        <is>
          <t>S3 Cat.5</t>
        </is>
      </c>
    </row>
    <row r="90">
      <c r="A90" s="325" t="inlineStr">
        <is>
          <t>R07</t>
        </is>
      </c>
      <c r="B90" s="81" t="inlineStr">
        <is>
          <t>DEEE (1 kg)</t>
        </is>
      </c>
      <c r="C90" s="390" t="n">
        <v>25</v>
      </c>
      <c r="D90" s="81" t="inlineStr">
        <is>
          <t>kgCO₂e</t>
        </is>
      </c>
      <c r="E90" s="289" t="inlineStr">
        <is>
          <t>ADEME/Ecologic</t>
        </is>
      </c>
      <c r="F90" s="407" t="inlineStr">
        <is>
          <t>2024</t>
        </is>
      </c>
      <c r="G90" s="333" t="inlineStr">
        <is>
          <t>✅✅</t>
        </is>
      </c>
      <c r="H90" s="1024" t="n">
        <v>0</v>
      </c>
      <c r="I90" s="1026" t="n">
        <v>25</v>
      </c>
      <c r="J90" s="1024">
        <f>C90</f>
        <v/>
      </c>
      <c r="K90" s="1024" t="n"/>
      <c r="L90" s="71" t="n">
        <v>30</v>
      </c>
      <c r="M90" t="inlineStr">
        <is>
          <t>S3 Cat.5</t>
        </is>
      </c>
    </row>
    <row r="91">
      <c r="A91" s="323" t="n"/>
      <c r="B91" s="323" t="inlineStr">
        <is>
          <t>═══ NOTES DE FRAIS ═══</t>
        </is>
      </c>
      <c r="C91" s="324" t="n"/>
      <c r="D91" s="323" t="n"/>
      <c r="E91" s="324" t="n"/>
      <c r="F91" s="406" t="inlineStr"/>
      <c r="G91" s="324" t="n"/>
      <c r="H91" s="290" t="n"/>
      <c r="I91" s="71" t="n"/>
    </row>
    <row r="92">
      <c r="A92" s="325" t="inlineStr">
        <is>
          <t>F01</t>
        </is>
      </c>
      <c r="B92" s="81" t="inlineStr">
        <is>
          <t>Nuit hôtel business</t>
        </is>
      </c>
      <c r="C92" s="390" t="n">
        <v>19.6</v>
      </c>
      <c r="D92" s="81" t="inlineStr">
        <is>
          <t>kgCO₂e</t>
        </is>
      </c>
      <c r="E92" s="289" t="inlineStr">
        <is>
          <t>Base Carbone</t>
        </is>
      </c>
      <c r="F92" s="407" t="inlineStr">
        <is>
          <t>2024</t>
        </is>
      </c>
      <c r="G92" s="333" t="inlineStr">
        <is>
          <t>✅✅</t>
        </is>
      </c>
      <c r="H92" s="1024" t="n">
        <v>0</v>
      </c>
      <c r="I92" s="1026" t="n">
        <v>19.6</v>
      </c>
      <c r="J92" s="1024">
        <f>C92</f>
        <v/>
      </c>
      <c r="K92" s="1024" t="n"/>
      <c r="L92" s="71" t="n">
        <v>40</v>
      </c>
      <c r="M92" t="inlineStr">
        <is>
          <t>S3 Cat.6</t>
        </is>
      </c>
    </row>
    <row r="93">
      <c r="A93" s="375" t="inlineStr">
        <is>
          <t>F02</t>
        </is>
      </c>
      <c r="B93" s="991" t="inlineStr">
        <is>
          <t>Nuit hôtel éco-labellisé</t>
        </is>
      </c>
      <c r="C93" s="403" t="n">
        <v>6.7</v>
      </c>
      <c r="D93" s="991" t="inlineStr">
        <is>
          <t>kgCO₂e</t>
        </is>
      </c>
      <c r="E93" s="373" t="inlineStr">
        <is>
          <t>Base Carbone</t>
        </is>
      </c>
      <c r="F93" s="419" t="inlineStr">
        <is>
          <t>2024</t>
        </is>
      </c>
      <c r="G93" s="376" t="inlineStr">
        <is>
          <t>✅✅</t>
        </is>
      </c>
      <c r="H93" s="1024" t="n">
        <v>0</v>
      </c>
      <c r="I93" s="1026" t="n">
        <v>6.7</v>
      </c>
      <c r="J93" s="1024">
        <f>C93</f>
        <v/>
      </c>
      <c r="K93" s="1024" t="n"/>
      <c r="L93" s="71" t="n">
        <v>40</v>
      </c>
      <c r="M93" t="inlineStr">
        <is>
          <t>S3 Cat.6</t>
        </is>
      </c>
    </row>
    <row r="94">
      <c r="A94" s="325" t="inlineStr">
        <is>
          <t>F03</t>
        </is>
      </c>
      <c r="B94" s="81" t="inlineStr">
        <is>
          <t>Taxi (1 km)</t>
        </is>
      </c>
      <c r="C94" s="390" t="n">
        <v>0.26</v>
      </c>
      <c r="D94" s="81" t="inlineStr">
        <is>
          <t>kgCO₂e</t>
        </is>
      </c>
      <c r="E94" s="289" t="inlineStr">
        <is>
          <t>Base Carbone</t>
        </is>
      </c>
      <c r="F94" s="407" t="inlineStr">
        <is>
          <t>2024</t>
        </is>
      </c>
      <c r="G94" s="326" t="inlineStr">
        <is>
          <t>✅✅✅</t>
        </is>
      </c>
      <c r="H94" s="1024" t="n">
        <v>0</v>
      </c>
      <c r="I94" s="1026" t="n">
        <v>0.26</v>
      </c>
      <c r="J94" s="1024">
        <f>C94</f>
        <v/>
      </c>
      <c r="K94" s="1024" t="n"/>
      <c r="L94" s="71" t="n">
        <v>10</v>
      </c>
      <c r="M94" t="inlineStr">
        <is>
          <t>S3 Cat.6</t>
        </is>
      </c>
    </row>
    <row r="95">
      <c r="A95" s="323" t="n"/>
      <c r="B95" s="323" t="inlineStr">
        <is>
          <t>═══ FABRICATION IT ═══</t>
        </is>
      </c>
      <c r="C95" s="324" t="n"/>
      <c r="D95" s="323" t="n"/>
      <c r="E95" s="324" t="n"/>
      <c r="F95" s="406" t="inlineStr"/>
      <c r="G95" s="324" t="n"/>
      <c r="H95" s="290" t="n"/>
      <c r="I95" s="71" t="n"/>
    </row>
    <row r="96">
      <c r="A96" s="325" t="inlineStr">
        <is>
          <t>H01</t>
        </is>
      </c>
      <c r="B96" s="81" t="inlineStr">
        <is>
          <t>Serveur rack 2U</t>
        </is>
      </c>
      <c r="C96" s="390" t="n">
        <v>1500</v>
      </c>
      <c r="D96" s="81" t="inlineStr">
        <is>
          <t>kgCO₂e</t>
        </is>
      </c>
      <c r="E96" s="289" t="inlineStr">
        <is>
          <t>Boavizta/Dell</t>
        </is>
      </c>
      <c r="F96" s="407" t="inlineStr">
        <is>
          <t>2024</t>
        </is>
      </c>
      <c r="G96" s="333" t="inlineStr">
        <is>
          <t>✅✅</t>
        </is>
      </c>
      <c r="H96" s="1024" t="n">
        <v>0</v>
      </c>
      <c r="I96" s="1024" t="n">
        <v>0</v>
      </c>
      <c r="J96" s="1024">
        <f>C96</f>
        <v/>
      </c>
      <c r="K96" s="1024" t="n"/>
      <c r="L96" s="71" t="n">
        <v>30</v>
      </c>
      <c r="M96" t="inlineStr">
        <is>
          <t>S3 Cat.2</t>
        </is>
      </c>
    </row>
    <row r="97">
      <c r="A97" s="341" t="inlineStr">
        <is>
          <t>H02</t>
        </is>
      </c>
      <c r="B97" s="297" t="inlineStr">
        <is>
          <t>Switch 48 ports</t>
        </is>
      </c>
      <c r="C97" s="394" t="n">
        <v>475</v>
      </c>
      <c r="D97" s="297" t="inlineStr">
        <is>
          <t>kgCO₂e</t>
        </is>
      </c>
      <c r="E97" s="340" t="inlineStr">
        <is>
          <t>Boavizta</t>
        </is>
      </c>
      <c r="F97" s="411" t="inlineStr">
        <is>
          <t>2024</t>
        </is>
      </c>
      <c r="G97" s="377" t="inlineStr">
        <is>
          <t>✅✅</t>
        </is>
      </c>
      <c r="H97" s="1024" t="n">
        <v>0</v>
      </c>
      <c r="I97" s="1024" t="n">
        <v>0</v>
      </c>
      <c r="J97" s="1024">
        <f>C97</f>
        <v/>
      </c>
      <c r="K97" s="1024" t="n"/>
      <c r="L97" s="71" t="n">
        <v>30</v>
      </c>
      <c r="M97" t="inlineStr">
        <is>
          <t>S3 Cat.2</t>
        </is>
      </c>
    </row>
    <row r="98">
      <c r="A98" s="325" t="inlineStr">
        <is>
          <t>H03</t>
        </is>
      </c>
      <c r="B98" s="81" t="inlineStr">
        <is>
          <t>Routeur enterprise</t>
        </is>
      </c>
      <c r="C98" s="390" t="n">
        <v>350</v>
      </c>
      <c r="D98" s="81" t="inlineStr">
        <is>
          <t>kgCO₂e</t>
        </is>
      </c>
      <c r="E98" s="289" t="inlineStr">
        <is>
          <t>Boavizta</t>
        </is>
      </c>
      <c r="F98" s="407" t="inlineStr">
        <is>
          <t>2024</t>
        </is>
      </c>
      <c r="G98" s="333" t="inlineStr">
        <is>
          <t>✅✅</t>
        </is>
      </c>
      <c r="H98" s="1024" t="n">
        <v>0</v>
      </c>
      <c r="I98" s="1024" t="n">
        <v>0</v>
      </c>
      <c r="J98" s="1024">
        <f>C98</f>
        <v/>
      </c>
      <c r="K98" s="1024" t="n"/>
      <c r="L98" s="71" t="n">
        <v>30</v>
      </c>
      <c r="M98" t="inlineStr">
        <is>
          <t>S3 Cat.2</t>
        </is>
      </c>
    </row>
    <row r="99">
      <c r="A99" s="341" t="inlineStr">
        <is>
          <t>H04</t>
        </is>
      </c>
      <c r="B99" s="297" t="inlineStr">
        <is>
          <t>Firewall mid-range</t>
        </is>
      </c>
      <c r="C99" s="394" t="n">
        <v>550</v>
      </c>
      <c r="D99" s="297" t="inlineStr">
        <is>
          <t>kgCO₂e</t>
        </is>
      </c>
      <c r="E99" s="340" t="inlineStr">
        <is>
          <t>Boavizta</t>
        </is>
      </c>
      <c r="F99" s="411" t="inlineStr">
        <is>
          <t>2024</t>
        </is>
      </c>
      <c r="G99" s="377" t="inlineStr">
        <is>
          <t>✅✅</t>
        </is>
      </c>
      <c r="H99" s="1024" t="n">
        <v>0</v>
      </c>
      <c r="I99" s="1024" t="n">
        <v>0</v>
      </c>
      <c r="J99" s="1024">
        <f>C99</f>
        <v/>
      </c>
      <c r="K99" s="1024" t="n"/>
      <c r="L99" s="71" t="n">
        <v>30</v>
      </c>
      <c r="M99" t="inlineStr">
        <is>
          <t>S3 Cat.2</t>
        </is>
      </c>
    </row>
    <row r="100">
      <c r="A100" s="325" t="inlineStr">
        <is>
          <t>H05</t>
        </is>
      </c>
      <c r="B100" s="81" t="inlineStr">
        <is>
          <t>Baie SAN 10 To SSD</t>
        </is>
      </c>
      <c r="C100" s="390" t="n">
        <v>5500</v>
      </c>
      <c r="D100" s="81" t="inlineStr">
        <is>
          <t>kgCO₂e</t>
        </is>
      </c>
      <c r="E100" s="289" t="inlineStr">
        <is>
          <t>Boavizta</t>
        </is>
      </c>
      <c r="F100" s="407" t="inlineStr">
        <is>
          <t>2024</t>
        </is>
      </c>
      <c r="G100" s="333" t="inlineStr">
        <is>
          <t>✅✅</t>
        </is>
      </c>
      <c r="H100" s="1024" t="n">
        <v>0</v>
      </c>
      <c r="I100" s="1024" t="n">
        <v>0</v>
      </c>
      <c r="J100" s="1024">
        <f>C100</f>
        <v/>
      </c>
      <c r="K100" s="1024" t="n"/>
      <c r="L100" s="71" t="n">
        <v>30</v>
      </c>
      <c r="M100" t="inlineStr">
        <is>
          <t>S3 Cat.2</t>
        </is>
      </c>
    </row>
    <row r="101">
      <c r="A101" s="341" t="inlineStr">
        <is>
          <t>H06</t>
        </is>
      </c>
      <c r="B101" s="297" t="inlineStr">
        <is>
          <t>NAS 4 baies</t>
        </is>
      </c>
      <c r="C101" s="394" t="n">
        <v>550</v>
      </c>
      <c r="D101" s="297" t="inlineStr">
        <is>
          <t>kgCO₂e</t>
        </is>
      </c>
      <c r="E101" s="297" t="inlineStr">
        <is>
          <t>Boavizta</t>
        </is>
      </c>
      <c r="F101" s="411" t="inlineStr">
        <is>
          <t>2024</t>
        </is>
      </c>
      <c r="G101" s="378" t="inlineStr">
        <is>
          <t>✅✅</t>
        </is>
      </c>
      <c r="H101" s="1024" t="n">
        <v>0</v>
      </c>
      <c r="I101" s="1024" t="n">
        <v>0</v>
      </c>
      <c r="J101" s="1024">
        <f>C101</f>
        <v/>
      </c>
      <c r="K101" s="1024" t="n"/>
      <c r="L101" s="71" t="n">
        <v>30</v>
      </c>
      <c r="M101" t="inlineStr">
        <is>
          <t>S3 Cat.2</t>
        </is>
      </c>
    </row>
    <row r="102">
      <c r="A102" s="325" t="inlineStr">
        <is>
          <t>H07</t>
        </is>
      </c>
      <c r="B102" s="81" t="inlineStr">
        <is>
          <t>Onduleur (UPS) 3kVA</t>
        </is>
      </c>
      <c r="C102" s="390" t="n">
        <v>400</v>
      </c>
      <c r="D102" s="81" t="inlineStr">
        <is>
          <t>kgCO₂e</t>
        </is>
      </c>
      <c r="E102" s="81" t="inlineStr">
        <is>
          <t>ADEME</t>
        </is>
      </c>
      <c r="F102" s="407" t="inlineStr">
        <is>
          <t>2024</t>
        </is>
      </c>
      <c r="G102" s="379" t="inlineStr">
        <is>
          <t>✅</t>
        </is>
      </c>
      <c r="H102" s="1024" t="n">
        <v>0</v>
      </c>
      <c r="I102" s="1024" t="n">
        <v>0</v>
      </c>
      <c r="J102" s="1024">
        <f>C102</f>
        <v/>
      </c>
      <c r="K102" s="1024" t="n"/>
      <c r="L102" s="71" t="n">
        <v>30</v>
      </c>
      <c r="M102" t="inlineStr">
        <is>
          <t>S3 Cat.2</t>
        </is>
      </c>
    </row>
    <row r="103">
      <c r="A103" s="341" t="inlineStr">
        <is>
          <t>H08</t>
        </is>
      </c>
      <c r="B103" s="297" t="inlineStr">
        <is>
          <t>Laptop 14" standard</t>
        </is>
      </c>
      <c r="C103" s="394" t="n">
        <v>350</v>
      </c>
      <c r="D103" s="297" t="inlineStr">
        <is>
          <t>kgCO₂e</t>
        </is>
      </c>
      <c r="E103" s="297" t="inlineStr">
        <is>
          <t>Dell PCF</t>
        </is>
      </c>
      <c r="F103" s="411" t="inlineStr">
        <is>
          <t>2024</t>
        </is>
      </c>
      <c r="G103" s="380" t="inlineStr">
        <is>
          <t>✅✅✅</t>
        </is>
      </c>
      <c r="H103" s="1024" t="n">
        <v>0</v>
      </c>
      <c r="I103" s="1024" t="n">
        <v>0</v>
      </c>
      <c r="J103" s="1024">
        <f>C103</f>
        <v/>
      </c>
      <c r="K103" s="1024" t="n"/>
      <c r="L103" s="71" t="n">
        <v>30</v>
      </c>
      <c r="M103" t="inlineStr">
        <is>
          <t>S3 Cat.2</t>
        </is>
      </c>
    </row>
    <row r="104">
      <c r="A104" s="325" t="inlineStr">
        <is>
          <t>H09</t>
        </is>
      </c>
      <c r="B104" s="81" t="inlineStr">
        <is>
          <t>Laptop 14" performant</t>
        </is>
      </c>
      <c r="C104" s="390" t="n">
        <v>475</v>
      </c>
      <c r="D104" s="81" t="inlineStr">
        <is>
          <t>kgCO₂e</t>
        </is>
      </c>
      <c r="E104" s="81" t="inlineStr">
        <is>
          <t>Dell/Lenovo</t>
        </is>
      </c>
      <c r="F104" s="407" t="inlineStr">
        <is>
          <t>2024</t>
        </is>
      </c>
      <c r="G104" s="381" t="inlineStr">
        <is>
          <t>✅✅✅</t>
        </is>
      </c>
      <c r="H104" s="1024" t="n">
        <v>0</v>
      </c>
      <c r="I104" s="1024" t="n">
        <v>0</v>
      </c>
      <c r="J104" s="1024">
        <f>C104</f>
        <v/>
      </c>
      <c r="K104" s="1024" t="n"/>
      <c r="L104" s="71" t="n">
        <v>30</v>
      </c>
      <c r="M104" t="inlineStr">
        <is>
          <t>S3 Cat.2</t>
        </is>
      </c>
    </row>
    <row r="105">
      <c r="A105" s="341" t="inlineStr">
        <is>
          <t>H10</t>
        </is>
      </c>
      <c r="B105" s="297" t="inlineStr">
        <is>
          <t>Desktop (tour)</t>
        </is>
      </c>
      <c r="C105" s="394" t="n">
        <v>500</v>
      </c>
      <c r="D105" s="297" t="inlineStr">
        <is>
          <t>kgCO₂e</t>
        </is>
      </c>
      <c r="E105" s="297" t="inlineStr">
        <is>
          <t>Boavizta/HP</t>
        </is>
      </c>
      <c r="F105" s="411" t="inlineStr">
        <is>
          <t>2024</t>
        </is>
      </c>
      <c r="G105" s="378" t="inlineStr">
        <is>
          <t>✅✅</t>
        </is>
      </c>
      <c r="H105" s="1024" t="n">
        <v>0</v>
      </c>
      <c r="I105" s="1024" t="n">
        <v>0</v>
      </c>
      <c r="J105" s="1024">
        <f>C105</f>
        <v/>
      </c>
      <c r="K105" s="1024" t="n"/>
      <c r="L105" s="71" t="n">
        <v>30</v>
      </c>
      <c r="M105" t="inlineStr">
        <is>
          <t>S3 Cat.2</t>
        </is>
      </c>
    </row>
    <row r="106">
      <c r="A106" s="325" t="inlineStr">
        <is>
          <t>H11</t>
        </is>
      </c>
      <c r="B106" s="81" t="inlineStr">
        <is>
          <t>Mini PC</t>
        </is>
      </c>
      <c r="C106" s="390" t="n">
        <v>250</v>
      </c>
      <c r="D106" s="81" t="inlineStr">
        <is>
          <t>kgCO₂e</t>
        </is>
      </c>
      <c r="E106" s="81" t="inlineStr">
        <is>
          <t>Boavizta</t>
        </is>
      </c>
      <c r="F106" s="407" t="inlineStr">
        <is>
          <t>2024</t>
        </is>
      </c>
      <c r="G106" s="382" t="inlineStr">
        <is>
          <t>✅✅</t>
        </is>
      </c>
      <c r="H106" s="1024" t="n">
        <v>0</v>
      </c>
      <c r="I106" s="1024" t="n">
        <v>0</v>
      </c>
      <c r="J106" s="1024">
        <f>C106</f>
        <v/>
      </c>
      <c r="K106" s="1024" t="n"/>
      <c r="L106" s="71" t="n">
        <v>30</v>
      </c>
      <c r="M106" t="inlineStr">
        <is>
          <t>S3 Cat.2</t>
        </is>
      </c>
    </row>
    <row r="107">
      <c r="A107" s="341" t="inlineStr">
        <is>
          <t>H12</t>
        </is>
      </c>
      <c r="B107" s="297" t="inlineStr">
        <is>
          <t>Écran 24"</t>
        </is>
      </c>
      <c r="C107" s="394" t="n">
        <v>425</v>
      </c>
      <c r="D107" s="297" t="inlineStr">
        <is>
          <t>kgCO₂e</t>
        </is>
      </c>
      <c r="E107" s="297" t="inlineStr">
        <is>
          <t>Dell PCF</t>
        </is>
      </c>
      <c r="F107" s="411" t="inlineStr">
        <is>
          <t>2024</t>
        </is>
      </c>
      <c r="G107" s="380" t="inlineStr">
        <is>
          <t>✅✅✅</t>
        </is>
      </c>
      <c r="H107" s="1024" t="n">
        <v>0</v>
      </c>
      <c r="I107" s="1024" t="n">
        <v>0</v>
      </c>
      <c r="J107" s="1024">
        <f>C107</f>
        <v/>
      </c>
      <c r="K107" s="1024" t="n"/>
      <c r="L107" s="71" t="n">
        <v>30</v>
      </c>
      <c r="M107" t="inlineStr">
        <is>
          <t>S3 Cat.2</t>
        </is>
      </c>
    </row>
    <row r="108">
      <c r="A108" s="325" t="inlineStr">
        <is>
          <t>H13</t>
        </is>
      </c>
      <c r="B108" s="81" t="inlineStr">
        <is>
          <t>Écran 27"</t>
        </is>
      </c>
      <c r="C108" s="390" t="n">
        <v>500</v>
      </c>
      <c r="D108" s="81" t="inlineStr">
        <is>
          <t>kgCO₂e</t>
        </is>
      </c>
      <c r="E108" s="81" t="inlineStr">
        <is>
          <t>Dell PCF</t>
        </is>
      </c>
      <c r="F108" s="407" t="inlineStr">
        <is>
          <t>2024</t>
        </is>
      </c>
      <c r="G108" s="381" t="inlineStr">
        <is>
          <t>✅✅✅</t>
        </is>
      </c>
      <c r="H108" s="1024" t="n">
        <v>0</v>
      </c>
      <c r="I108" s="1024" t="n">
        <v>0</v>
      </c>
      <c r="J108" s="1024">
        <f>C108</f>
        <v/>
      </c>
      <c r="K108" s="1024" t="n"/>
      <c r="L108" s="71" t="n">
        <v>30</v>
      </c>
      <c r="M108" t="inlineStr">
        <is>
          <t>S3 Cat.2</t>
        </is>
      </c>
    </row>
    <row r="109">
      <c r="A109" s="341" t="inlineStr">
        <is>
          <t>H14</t>
        </is>
      </c>
      <c r="B109" s="297" t="inlineStr">
        <is>
          <t>Écran 32" 4K</t>
        </is>
      </c>
      <c r="C109" s="394" t="n">
        <v>625</v>
      </c>
      <c r="D109" s="297" t="inlineStr">
        <is>
          <t>kgCO₂e</t>
        </is>
      </c>
      <c r="E109" s="297" t="inlineStr">
        <is>
          <t>Estimations</t>
        </is>
      </c>
      <c r="F109" s="411" t="inlineStr">
        <is>
          <t>2024</t>
        </is>
      </c>
      <c r="G109" s="383" t="inlineStr">
        <is>
          <t>✅</t>
        </is>
      </c>
      <c r="H109" s="1024" t="n">
        <v>0</v>
      </c>
      <c r="I109" s="1024" t="n">
        <v>0</v>
      </c>
      <c r="J109" s="1024">
        <f>C109</f>
        <v/>
      </c>
      <c r="K109" s="1024" t="n"/>
      <c r="L109" s="71" t="n">
        <v>30</v>
      </c>
      <c r="M109" t="inlineStr">
        <is>
          <t>S3 Cat.2</t>
        </is>
      </c>
    </row>
    <row r="110">
      <c r="A110" s="325" t="inlineStr">
        <is>
          <t>H15</t>
        </is>
      </c>
      <c r="B110" s="81" t="inlineStr">
        <is>
          <t>Smartphone</t>
        </is>
      </c>
      <c r="C110" s="390" t="n">
        <v>65</v>
      </c>
      <c r="D110" s="81" t="inlineStr">
        <is>
          <t>kgCO₂e</t>
        </is>
      </c>
      <c r="E110" s="81" t="inlineStr">
        <is>
          <t>Apple/Samsung</t>
        </is>
      </c>
      <c r="F110" s="407" t="inlineStr">
        <is>
          <t>2024</t>
        </is>
      </c>
      <c r="G110" s="381" t="inlineStr">
        <is>
          <t>✅✅✅</t>
        </is>
      </c>
      <c r="H110" s="1024" t="n">
        <v>0</v>
      </c>
      <c r="I110" s="1024" t="n">
        <v>0</v>
      </c>
      <c r="J110" s="1024">
        <f>C110</f>
        <v/>
      </c>
      <c r="K110" s="1024" t="n"/>
      <c r="L110" s="71" t="n">
        <v>30</v>
      </c>
      <c r="M110" t="inlineStr">
        <is>
          <t>S3 Cat.2</t>
        </is>
      </c>
    </row>
    <row r="111">
      <c r="A111" s="341" t="inlineStr">
        <is>
          <t>H16</t>
        </is>
      </c>
      <c r="B111" s="297" t="inlineStr">
        <is>
          <t>Tablette</t>
        </is>
      </c>
      <c r="C111" s="394" t="n">
        <v>90</v>
      </c>
      <c r="D111" s="297" t="inlineStr">
        <is>
          <t>kgCO₂e</t>
        </is>
      </c>
      <c r="E111" s="297" t="inlineStr">
        <is>
          <t>Apple</t>
        </is>
      </c>
      <c r="F111" s="411" t="inlineStr">
        <is>
          <t>2024</t>
        </is>
      </c>
      <c r="G111" s="380" t="inlineStr">
        <is>
          <t>✅✅✅</t>
        </is>
      </c>
      <c r="H111" s="1024" t="n">
        <v>0</v>
      </c>
      <c r="I111" s="1024" t="n">
        <v>0</v>
      </c>
      <c r="J111" s="1024">
        <f>C111</f>
        <v/>
      </c>
      <c r="K111" s="1024" t="n"/>
      <c r="L111" s="71" t="n">
        <v>30</v>
      </c>
      <c r="M111" t="inlineStr">
        <is>
          <t>S3 Cat.2</t>
        </is>
      </c>
    </row>
    <row r="112">
      <c r="A112" s="325" t="inlineStr">
        <is>
          <t>H17</t>
        </is>
      </c>
      <c r="B112" s="81" t="inlineStr">
        <is>
          <t>Imprimante laser</t>
        </is>
      </c>
      <c r="C112" s="390" t="n">
        <v>115</v>
      </c>
      <c r="D112" s="81" t="inlineStr">
        <is>
          <t>kgCO₂e</t>
        </is>
      </c>
      <c r="E112" s="81" t="inlineStr">
        <is>
          <t>HP</t>
        </is>
      </c>
      <c r="F112" s="407" t="inlineStr">
        <is>
          <t>2024</t>
        </is>
      </c>
      <c r="G112" s="382" t="inlineStr">
        <is>
          <t>✅✅</t>
        </is>
      </c>
      <c r="H112" s="1024" t="n">
        <v>0</v>
      </c>
      <c r="I112" s="1024" t="n">
        <v>0</v>
      </c>
      <c r="J112" s="1024">
        <f>C112</f>
        <v/>
      </c>
      <c r="K112" s="1024" t="n"/>
      <c r="L112" s="71" t="n">
        <v>30</v>
      </c>
      <c r="M112" t="inlineStr">
        <is>
          <t>S3 Cat.2</t>
        </is>
      </c>
    </row>
    <row r="113">
      <c r="A113" s="341" t="inlineStr">
        <is>
          <t>H18</t>
        </is>
      </c>
      <c r="B113" s="297" t="inlineStr">
        <is>
          <t>Imprimante multifonction</t>
        </is>
      </c>
      <c r="C113" s="394" t="n">
        <v>225</v>
      </c>
      <c r="D113" s="297" t="inlineStr">
        <is>
          <t>kgCO₂e</t>
        </is>
      </c>
      <c r="E113" s="297" t="inlineStr">
        <is>
          <t>Estimations</t>
        </is>
      </c>
      <c r="F113" s="411" t="inlineStr">
        <is>
          <t>2024</t>
        </is>
      </c>
      <c r="G113" s="383" t="inlineStr">
        <is>
          <t>✅</t>
        </is>
      </c>
      <c r="H113" s="1024" t="n">
        <v>0</v>
      </c>
      <c r="I113" s="1024" t="n">
        <v>0</v>
      </c>
      <c r="J113" s="1024">
        <f>C113</f>
        <v/>
      </c>
      <c r="K113" s="1024" t="n"/>
      <c r="L113" s="71" t="n">
        <v>30</v>
      </c>
      <c r="M113" t="inlineStr">
        <is>
          <t>S3 Cat.2</t>
        </is>
      </c>
    </row>
    <row r="114">
      <c r="A114" s="325" t="inlineStr">
        <is>
          <t>H19</t>
        </is>
      </c>
      <c r="B114" s="81" t="inlineStr">
        <is>
          <t>Téléphone IP</t>
        </is>
      </c>
      <c r="C114" s="390" t="n">
        <v>30</v>
      </c>
      <c r="D114" s="81" t="inlineStr">
        <is>
          <t>kgCO₂e</t>
        </is>
      </c>
      <c r="E114" s="81" t="inlineStr">
        <is>
          <t>Boavizta</t>
        </is>
      </c>
      <c r="F114" s="407" t="inlineStr">
        <is>
          <t>2024</t>
        </is>
      </c>
      <c r="G114" s="379" t="inlineStr">
        <is>
          <t>✅</t>
        </is>
      </c>
      <c r="H114" s="1024" t="n">
        <v>0</v>
      </c>
      <c r="I114" s="1024" t="n">
        <v>0</v>
      </c>
      <c r="J114" s="1024">
        <f>C114</f>
        <v/>
      </c>
      <c r="K114" s="1024" t="n"/>
      <c r="L114" s="71" t="n">
        <v>30</v>
      </c>
      <c r="M114" t="inlineStr">
        <is>
          <t>S3 Cat.2</t>
        </is>
      </c>
    </row>
    <row r="115">
      <c r="A115" s="341" t="inlineStr">
        <is>
          <t>H20</t>
        </is>
      </c>
      <c r="B115" s="297" t="inlineStr">
        <is>
          <t>Docking station</t>
        </is>
      </c>
      <c r="C115" s="394" t="n">
        <v>45</v>
      </c>
      <c r="D115" s="297" t="inlineStr">
        <is>
          <t>kgCO₂e</t>
        </is>
      </c>
      <c r="E115" s="297" t="inlineStr">
        <is>
          <t>Boavizta</t>
        </is>
      </c>
      <c r="F115" s="411" t="inlineStr">
        <is>
          <t>2024</t>
        </is>
      </c>
      <c r="G115" s="383" t="inlineStr">
        <is>
          <t>✅</t>
        </is>
      </c>
      <c r="H115" s="1024" t="n">
        <v>0</v>
      </c>
      <c r="I115" s="1024" t="n">
        <v>0</v>
      </c>
      <c r="J115" s="1024">
        <f>C115</f>
        <v/>
      </c>
      <c r="K115" s="1024" t="n"/>
      <c r="L115" s="71" t="n">
        <v>30</v>
      </c>
      <c r="M115" t="inlineStr">
        <is>
          <t>S3 Cat.2</t>
        </is>
      </c>
    </row>
    <row r="116">
      <c r="A116" s="325" t="inlineStr">
        <is>
          <t>H21</t>
        </is>
      </c>
      <c r="B116" s="81" t="inlineStr">
        <is>
          <t>Casque audio/vidéo</t>
        </is>
      </c>
      <c r="C116" s="390" t="n">
        <v>20</v>
      </c>
      <c r="D116" s="81" t="inlineStr">
        <is>
          <t>kgCO₂e</t>
        </is>
      </c>
      <c r="E116" s="81" t="inlineStr">
        <is>
          <t>Estimations</t>
        </is>
      </c>
      <c r="F116" s="407" t="inlineStr">
        <is>
          <t>2024</t>
        </is>
      </c>
      <c r="G116" s="379" t="inlineStr">
        <is>
          <t>✅</t>
        </is>
      </c>
      <c r="H116" s="1024" t="n">
        <v>0</v>
      </c>
      <c r="I116" s="1024" t="n">
        <v>0</v>
      </c>
      <c r="J116" s="1024">
        <f>C116</f>
        <v/>
      </c>
      <c r="K116" s="1024" t="n"/>
      <c r="L116" s="71" t="n">
        <v>30</v>
      </c>
      <c r="M116" t="inlineStr">
        <is>
          <t>S3 Cat.2</t>
        </is>
      </c>
    </row>
    <row r="117">
      <c r="A117" s="323" t="n"/>
      <c r="B117" s="323" t="inlineStr">
        <is>
          <t>═══ PUE DATA CENTERS ═══</t>
        </is>
      </c>
      <c r="C117" s="324" t="n"/>
      <c r="D117" s="323" t="n"/>
      <c r="E117" s="323" t="n"/>
      <c r="F117" s="406" t="inlineStr"/>
      <c r="G117" s="323" t="n"/>
    </row>
    <row r="118">
      <c r="A118" s="325" t="inlineStr">
        <is>
          <t>P01</t>
        </is>
      </c>
      <c r="B118" s="81" t="inlineStr">
        <is>
          <t>PUE moyen mondial</t>
        </is>
      </c>
      <c r="C118" s="390" t="n">
        <v>1.58</v>
      </c>
      <c r="D118" s="81" t="inlineStr">
        <is>
          <t>—</t>
        </is>
      </c>
      <c r="E118" s="81" t="inlineStr">
        <is>
          <t>Uptime Inst.</t>
        </is>
      </c>
      <c r="F118" s="407" t="inlineStr">
        <is>
          <t>2024</t>
        </is>
      </c>
      <c r="G118" s="381" t="inlineStr">
        <is>
          <t>✅✅✅</t>
        </is>
      </c>
      <c r="H118" s="1024" t="n">
        <v>0</v>
      </c>
      <c r="I118" s="1024" t="n">
        <v>0</v>
      </c>
      <c r="J118" s="1024">
        <f>C118</f>
        <v/>
      </c>
      <c r="K118" s="1024" t="n"/>
      <c r="L118" s="71" t="n">
        <v>5</v>
      </c>
      <c r="M118" t="inlineStr">
        <is>
          <t>—</t>
        </is>
      </c>
    </row>
    <row r="119">
      <c r="A119" s="384" t="inlineStr">
        <is>
          <t>P02</t>
        </is>
      </c>
      <c r="B119" s="287" t="inlineStr">
        <is>
          <t>PUE bon (FR, watercooling)</t>
        </is>
      </c>
      <c r="C119" s="404" t="n">
        <v>1.3</v>
      </c>
      <c r="D119" s="287" t="inlineStr">
        <is>
          <t>—</t>
        </is>
      </c>
      <c r="E119" s="287" t="inlineStr">
        <is>
          <t>Uptime/OVH</t>
        </is>
      </c>
      <c r="F119" s="420" t="inlineStr">
        <is>
          <t>2024</t>
        </is>
      </c>
      <c r="G119" s="385" t="inlineStr">
        <is>
          <t>✅✅</t>
        </is>
      </c>
      <c r="H119" s="1024" t="n">
        <v>0</v>
      </c>
      <c r="I119" s="1024" t="n">
        <v>0</v>
      </c>
      <c r="J119" s="1024">
        <f>C119</f>
        <v/>
      </c>
      <c r="K119" s="1024" t="n"/>
      <c r="L119" s="71" t="n">
        <v>5</v>
      </c>
      <c r="M119" t="inlineStr">
        <is>
          <t>—</t>
        </is>
      </c>
    </row>
    <row r="120">
      <c r="A120" s="325" t="inlineStr">
        <is>
          <t>P03</t>
        </is>
      </c>
      <c r="B120" s="81" t="inlineStr">
        <is>
          <t>PUE excellent</t>
        </is>
      </c>
      <c r="C120" s="390" t="n">
        <v>1.1</v>
      </c>
      <c r="D120" s="81" t="inlineStr">
        <is>
          <t>—</t>
        </is>
      </c>
      <c r="E120" s="81" t="inlineStr">
        <is>
          <t>Google/AWS</t>
        </is>
      </c>
      <c r="F120" s="407" t="inlineStr">
        <is>
          <t>2024</t>
        </is>
      </c>
      <c r="G120" s="381" t="inlineStr">
        <is>
          <t>✅✅✅</t>
        </is>
      </c>
      <c r="H120" s="1024" t="n">
        <v>0</v>
      </c>
      <c r="I120" s="1024" t="n">
        <v>0</v>
      </c>
      <c r="J120" s="1024">
        <f>C120</f>
        <v/>
      </c>
      <c r="K120" s="1024" t="n"/>
      <c r="L120" s="71" t="n">
        <v>5</v>
      </c>
      <c r="M120" t="inlineStr">
        <is>
          <t>—</t>
        </is>
      </c>
    </row>
    <row r="121">
      <c r="A121" s="384" t="inlineStr">
        <is>
          <t>P04</t>
        </is>
      </c>
      <c r="B121" s="287" t="inlineStr">
        <is>
          <t>AWS (moyenne)</t>
        </is>
      </c>
      <c r="C121" s="404" t="n">
        <v>1.135</v>
      </c>
      <c r="D121" s="287" t="inlineStr">
        <is>
          <t>—</t>
        </is>
      </c>
      <c r="E121" s="287" t="inlineStr">
        <is>
          <t>AWS Sustain.</t>
        </is>
      </c>
      <c r="F121" s="420" t="inlineStr">
        <is>
          <t>2023</t>
        </is>
      </c>
      <c r="G121" s="386" t="inlineStr">
        <is>
          <t>✅✅✅</t>
        </is>
      </c>
    </row>
    <row r="122">
      <c r="A122" s="571" t="n"/>
      <c r="B122" s="321" t="inlineStr">
        <is>
          <t>GCP (moyenne)</t>
        </is>
      </c>
      <c r="C122" s="572" t="n">
        <v>1.1</v>
      </c>
      <c r="D122" s="321" t="inlineStr">
        <is>
          <t>—</t>
        </is>
      </c>
      <c r="E122" s="321" t="inlineStr">
        <is>
          <t>Google Env.</t>
        </is>
      </c>
      <c r="F122" s="573" t="inlineStr">
        <is>
          <t>2024</t>
        </is>
      </c>
      <c r="G122" s="574" t="inlineStr">
        <is>
          <t>✅✅✅</t>
        </is>
      </c>
      <c r="H122" s="321" t="n"/>
      <c r="I122" s="321" t="n"/>
      <c r="J122" s="321" t="n"/>
      <c r="K122" s="321" t="n"/>
      <c r="L122" s="321" t="n"/>
      <c r="M122" s="321" t="n"/>
    </row>
    <row r="123">
      <c r="A123" s="384" t="inlineStr">
        <is>
          <t>P06</t>
        </is>
      </c>
      <c r="B123" s="287" t="inlineStr">
        <is>
          <t>Azure (moyenne)</t>
        </is>
      </c>
      <c r="C123" s="404" t="n">
        <v>1.185</v>
      </c>
      <c r="D123" s="287" t="inlineStr">
        <is>
          <t>—</t>
        </is>
      </c>
      <c r="E123" s="287" t="inlineStr">
        <is>
          <t>Microsoft</t>
        </is>
      </c>
      <c r="F123" s="420" t="inlineStr">
        <is>
          <t>2024</t>
        </is>
      </c>
      <c r="G123" s="386" t="inlineStr">
        <is>
          <t>✅✅✅</t>
        </is>
      </c>
    </row>
    <row r="124">
      <c r="A124" s="325" t="inlineStr">
        <is>
          <t>P07</t>
        </is>
      </c>
      <c r="B124" s="81" t="inlineStr">
        <is>
          <t>OVH</t>
        </is>
      </c>
      <c r="C124" s="390" t="n">
        <v>1.3</v>
      </c>
      <c r="D124" s="81" t="inlineStr">
        <is>
          <t>—</t>
        </is>
      </c>
      <c r="E124" s="81" t="inlineStr">
        <is>
          <t>OVH RSE</t>
        </is>
      </c>
      <c r="F124" s="407" t="inlineStr">
        <is>
          <t>2023</t>
        </is>
      </c>
      <c r="G124" s="382" t="inlineStr">
        <is>
          <t>✅✅</t>
        </is>
      </c>
    </row>
    <row r="125">
      <c r="A125" s="384" t="inlineStr">
        <is>
          <t>P08</t>
        </is>
      </c>
      <c r="B125" s="287" t="inlineStr">
        <is>
          <t>Scaleway</t>
        </is>
      </c>
      <c r="C125" s="404" t="n">
        <v>1.25</v>
      </c>
      <c r="D125" s="287" t="inlineStr">
        <is>
          <t>—</t>
        </is>
      </c>
      <c r="E125" s="287" t="inlineStr">
        <is>
          <t>Scaleway</t>
        </is>
      </c>
      <c r="F125" s="420" t="inlineStr">
        <is>
          <t>2023</t>
        </is>
      </c>
      <c r="G125" s="385" t="inlineStr">
        <is>
          <t>✅✅</t>
        </is>
      </c>
    </row>
    <row r="126">
      <c r="A126" s="323" t="n"/>
      <c r="B126" s="323" t="inlineStr">
        <is>
          <t>═══ RÉGIONS CLOUD ═══</t>
        </is>
      </c>
      <c r="C126" s="324" t="n"/>
      <c r="D126" s="323" t="n"/>
      <c r="E126" s="323" t="n"/>
      <c r="F126" s="406" t="inlineStr"/>
      <c r="G126" s="323" t="n"/>
    </row>
    <row r="127">
      <c r="A127" s="325" t="inlineStr">
        <is>
          <t>G01</t>
        </is>
      </c>
      <c r="B127" s="81" t="inlineStr">
        <is>
          <t>eu-west-3 (Paris)</t>
        </is>
      </c>
      <c r="C127" s="390" t="n">
        <v>0.0569</v>
      </c>
      <c r="D127" s="81" t="inlineStr">
        <is>
          <t>kgCO₂e/kWh</t>
        </is>
      </c>
      <c r="E127" s="81" t="inlineStr">
        <is>
          <t>ADEME</t>
        </is>
      </c>
      <c r="F127" s="407" t="inlineStr">
        <is>
          <t>2024</t>
        </is>
      </c>
      <c r="G127" s="381" t="inlineStr">
        <is>
          <t>✅✅✅</t>
        </is>
      </c>
    </row>
    <row r="128">
      <c r="A128" s="388" t="inlineStr">
        <is>
          <t>G02</t>
        </is>
      </c>
      <c r="B128" s="387" t="inlineStr">
        <is>
          <t>eu-west-1 (Irlande)</t>
        </is>
      </c>
      <c r="C128" s="405" t="n">
        <v>0.296</v>
      </c>
      <c r="D128" s="387" t="inlineStr">
        <is>
          <t>kgCO₂e/kWh</t>
        </is>
      </c>
      <c r="E128" s="387" t="inlineStr">
        <is>
          <t>IEA</t>
        </is>
      </c>
      <c r="F128" s="421" t="inlineStr">
        <is>
          <t>2024</t>
        </is>
      </c>
      <c r="G128" s="389" t="inlineStr">
        <is>
          <t>✅✅✅</t>
        </is>
      </c>
    </row>
    <row r="129">
      <c r="A129" s="325" t="inlineStr">
        <is>
          <t>G03</t>
        </is>
      </c>
      <c r="B129" s="81" t="inlineStr">
        <is>
          <t>eu-central-1 (Francfort)</t>
        </is>
      </c>
      <c r="C129" s="390" t="n">
        <v>0.385</v>
      </c>
      <c r="D129" s="81" t="inlineStr">
        <is>
          <t>kgCO₂e/kWh</t>
        </is>
      </c>
      <c r="E129" s="81" t="inlineStr">
        <is>
          <t>IEA</t>
        </is>
      </c>
      <c r="F129" s="407" t="inlineStr">
        <is>
          <t>2024</t>
        </is>
      </c>
      <c r="G129" s="381" t="inlineStr">
        <is>
          <t>✅✅✅</t>
        </is>
      </c>
    </row>
    <row r="130">
      <c r="A130" s="388" t="inlineStr">
        <is>
          <t>G04</t>
        </is>
      </c>
      <c r="B130" s="387" t="inlineStr">
        <is>
          <t>eu-north-1 (Stockholm)</t>
        </is>
      </c>
      <c r="C130" s="405" t="n">
        <v>0.012</v>
      </c>
      <c r="D130" s="387" t="inlineStr">
        <is>
          <t>kgCO₂e/kWh</t>
        </is>
      </c>
      <c r="E130" s="387" t="inlineStr">
        <is>
          <t>IEA</t>
        </is>
      </c>
      <c r="F130" s="421" t="inlineStr">
        <is>
          <t>2024</t>
        </is>
      </c>
      <c r="G130" s="389" t="inlineStr">
        <is>
          <t>✅✅✅</t>
        </is>
      </c>
    </row>
    <row r="131">
      <c r="A131" s="325" t="inlineStr">
        <is>
          <t>G05</t>
        </is>
      </c>
      <c r="B131" s="81" t="inlineStr">
        <is>
          <t>us-east-1 (Virginie)</t>
        </is>
      </c>
      <c r="C131" s="390" t="n">
        <v>0.379</v>
      </c>
      <c r="D131" s="81" t="inlineStr">
        <is>
          <t>kgCO₂e/kWh</t>
        </is>
      </c>
      <c r="E131" s="81" t="inlineStr">
        <is>
          <t>EPA eGRID</t>
        </is>
      </c>
      <c r="F131" s="407" t="inlineStr">
        <is>
          <t>2024</t>
        </is>
      </c>
      <c r="G131" s="381" t="inlineStr">
        <is>
          <t>✅✅✅</t>
        </is>
      </c>
    </row>
    <row r="132">
      <c r="A132" s="388" t="inlineStr">
        <is>
          <t>G06</t>
        </is>
      </c>
      <c r="B132" s="387" t="inlineStr">
        <is>
          <t>us-west-2 (Oregon)</t>
        </is>
      </c>
      <c r="C132" s="405" t="n">
        <v>0.078</v>
      </c>
      <c r="D132" s="387" t="inlineStr">
        <is>
          <t>kgCO₂e/kWh</t>
        </is>
      </c>
      <c r="E132" s="387" t="inlineStr">
        <is>
          <t>EPA eGRID</t>
        </is>
      </c>
      <c r="F132" s="421" t="inlineStr">
        <is>
          <t>2024</t>
        </is>
      </c>
      <c r="G132" s="389" t="inlineStr">
        <is>
          <t>✅✅✅</t>
        </is>
      </c>
    </row>
    <row r="133">
      <c r="A133" s="325" t="inlineStr">
        <is>
          <t>G07</t>
        </is>
      </c>
      <c r="B133" s="81" t="inlineStr">
        <is>
          <t>ap-southeast-1 (Singapour)</t>
        </is>
      </c>
      <c r="C133" s="390" t="n">
        <v>0.408</v>
      </c>
      <c r="D133" s="81" t="inlineStr">
        <is>
          <t>kgCO₂e/kWh</t>
        </is>
      </c>
      <c r="E133" s="81" t="inlineStr">
        <is>
          <t>IEA</t>
        </is>
      </c>
      <c r="F133" s="407" t="inlineStr">
        <is>
          <t>2024</t>
        </is>
      </c>
      <c r="G133" s="381" t="inlineStr">
        <is>
          <t>✅✅✅</t>
        </is>
      </c>
    </row>
    <row r="134">
      <c r="A134" s="388" t="inlineStr">
        <is>
          <t>G08</t>
        </is>
      </c>
      <c r="B134" s="387" t="inlineStr">
        <is>
          <t>ap-northeast-1 (Tokyo)</t>
        </is>
      </c>
      <c r="C134" s="405" t="n">
        <v>0.462</v>
      </c>
      <c r="D134" s="387" t="inlineStr">
        <is>
          <t>kgCO₂e/kWh</t>
        </is>
      </c>
      <c r="E134" s="387" t="inlineStr">
        <is>
          <t>IEA</t>
        </is>
      </c>
      <c r="F134" s="421" t="inlineStr">
        <is>
          <t>2024</t>
        </is>
      </c>
      <c r="G134" s="389" t="inlineStr">
        <is>
          <t>✅✅✅</t>
        </is>
      </c>
    </row>
    <row r="135">
      <c r="C135" s="290" t="n"/>
      <c r="F135" s="230" t="inlineStr"/>
    </row>
    <row r="136">
      <c r="A136" s="575" t="n"/>
      <c r="B136" s="578" t="inlineStr">
        <is>
          <t>FRIGORIGENES (Scope 1 - 1D)</t>
        </is>
      </c>
      <c r="C136" s="576" t="n"/>
      <c r="D136" s="575" t="n"/>
      <c r="E136" s="575" t="n"/>
      <c r="F136" s="577" t="inlineStr"/>
      <c r="G136" s="575" t="n"/>
      <c r="H136" s="575" t="n"/>
      <c r="I136" s="575" t="n"/>
      <c r="J136" s="575" t="n"/>
      <c r="K136" s="575" t="n"/>
      <c r="L136" s="575" t="n"/>
      <c r="M136" s="575" t="n"/>
    </row>
    <row r="137">
      <c r="A137" s="579" t="inlineStr">
        <is>
          <t>FG01</t>
        </is>
      </c>
      <c r="B137" s="580" t="inlineStr">
        <is>
          <t>R-410A (fuite clim/PAC)</t>
        </is>
      </c>
      <c r="C137" s="581" t="n">
        <v>2088</v>
      </c>
      <c r="D137" s="580" t="inlineStr">
        <is>
          <t>kgCO2e/kg</t>
        </is>
      </c>
      <c r="E137" s="580" t="inlineStr">
        <is>
          <t>GIEC AR6</t>
        </is>
      </c>
      <c r="F137" s="582" t="n">
        <v>2024</v>
      </c>
      <c r="G137" s="580" t="inlineStr">
        <is>
          <t>+++</t>
        </is>
      </c>
      <c r="H137" s="1027" t="n">
        <v>2088</v>
      </c>
      <c r="I137" s="1028" t="n">
        <v>0</v>
      </c>
      <c r="J137" s="1028">
        <f>C137</f>
        <v/>
      </c>
      <c r="K137" s="1028" t="n"/>
      <c r="L137" s="580" t="n">
        <v>10</v>
      </c>
      <c r="M137" s="580" t="inlineStr">
        <is>
          <t>Scope 1 1D</t>
        </is>
      </c>
    </row>
    <row r="138">
      <c r="A138" s="325" t="inlineStr">
        <is>
          <t>FG02</t>
        </is>
      </c>
      <c r="B138" s="81" t="inlineStr">
        <is>
          <t>R-134a (fuite clim auto)</t>
        </is>
      </c>
      <c r="C138" s="289" t="n">
        <v>1530</v>
      </c>
      <c r="D138" s="81" t="inlineStr">
        <is>
          <t>kgCO2e/kg</t>
        </is>
      </c>
      <c r="E138" s="81" t="inlineStr">
        <is>
          <t>GIEC AR6</t>
        </is>
      </c>
      <c r="F138" s="407" t="n">
        <v>2024</v>
      </c>
      <c r="G138" s="81" t="inlineStr">
        <is>
          <t>+++</t>
        </is>
      </c>
      <c r="H138" s="1029" t="n">
        <v>1530</v>
      </c>
      <c r="I138" s="1030" t="n">
        <v>0</v>
      </c>
      <c r="J138" s="1030">
        <f>C138</f>
        <v/>
      </c>
      <c r="K138" s="1030" t="n"/>
      <c r="L138" s="81" t="n">
        <v>10</v>
      </c>
      <c r="M138" s="81" t="inlineStr">
        <is>
          <t>Scope 1 1D</t>
        </is>
      </c>
    </row>
    <row r="139">
      <c r="A139" s="579" t="inlineStr">
        <is>
          <t>FG03</t>
        </is>
      </c>
      <c r="B139" s="580" t="inlineStr">
        <is>
          <t>R-32 (nouveau fluide clim)</t>
        </is>
      </c>
      <c r="C139" s="581" t="n">
        <v>675</v>
      </c>
      <c r="D139" s="580" t="inlineStr">
        <is>
          <t>kgCO2e/kg</t>
        </is>
      </c>
      <c r="E139" s="580" t="inlineStr">
        <is>
          <t>GIEC AR6</t>
        </is>
      </c>
      <c r="F139" s="582" t="n">
        <v>2024</v>
      </c>
      <c r="G139" s="580" t="inlineStr">
        <is>
          <t>+++</t>
        </is>
      </c>
      <c r="H139" s="1027" t="n">
        <v>675</v>
      </c>
      <c r="I139" s="1028" t="n">
        <v>0</v>
      </c>
      <c r="J139" s="1028">
        <f>C139</f>
        <v/>
      </c>
      <c r="K139" s="1028" t="n"/>
      <c r="L139" s="580" t="n">
        <v>10</v>
      </c>
      <c r="M139" s="580" t="inlineStr">
        <is>
          <t>Scope 1 1D</t>
        </is>
      </c>
    </row>
    <row r="140">
      <c r="A140" s="325" t="inlineStr">
        <is>
          <t>FG04</t>
        </is>
      </c>
      <c r="B140" s="81" t="inlineStr">
        <is>
          <t>R-290 Propane (naturel)</t>
        </is>
      </c>
      <c r="C140" s="289" t="n">
        <v>0.07199999999999999</v>
      </c>
      <c r="D140" s="81" t="inlineStr">
        <is>
          <t>kgCO2e/kg</t>
        </is>
      </c>
      <c r="E140" s="81" t="inlineStr">
        <is>
          <t>GIEC AR6</t>
        </is>
      </c>
      <c r="F140" s="407" t="n">
        <v>2024</v>
      </c>
      <c r="G140" s="81" t="inlineStr">
        <is>
          <t>+++</t>
        </is>
      </c>
      <c r="H140" s="1029" t="n">
        <v>0.07199999999999999</v>
      </c>
      <c r="I140" s="1030" t="n">
        <v>0</v>
      </c>
      <c r="J140" s="1030">
        <f>C140</f>
        <v/>
      </c>
      <c r="K140" s="1030" t="n"/>
      <c r="L140" s="81" t="n">
        <v>10</v>
      </c>
      <c r="M140" s="81" t="inlineStr">
        <is>
          <t>Scope 1 1D</t>
        </is>
      </c>
    </row>
    <row r="141">
      <c r="A141" s="579" t="inlineStr">
        <is>
          <t>FG05</t>
        </is>
      </c>
      <c r="B141" s="580" t="inlineStr">
        <is>
          <t>R-744 CO2 (naturel)</t>
        </is>
      </c>
      <c r="C141" s="581" t="n">
        <v>1</v>
      </c>
      <c r="D141" s="580" t="inlineStr">
        <is>
          <t>kgCO2e/kg</t>
        </is>
      </c>
      <c r="E141" s="580" t="inlineStr">
        <is>
          <t>GIEC AR6</t>
        </is>
      </c>
      <c r="F141" s="582" t="n">
        <v>2024</v>
      </c>
      <c r="G141" s="580" t="inlineStr">
        <is>
          <t>+++</t>
        </is>
      </c>
      <c r="H141" s="1027" t="n">
        <v>1</v>
      </c>
      <c r="I141" s="1028" t="n">
        <v>0</v>
      </c>
      <c r="J141" s="1028">
        <f>C141</f>
        <v/>
      </c>
      <c r="K141" s="1028" t="n"/>
      <c r="L141" s="580" t="n">
        <v>10</v>
      </c>
      <c r="M141" s="580" t="inlineStr">
        <is>
          <t>Scope 1 1D</t>
        </is>
      </c>
    </row>
    <row r="142">
      <c r="A142" s="325" t="inlineStr">
        <is>
          <t>FG06</t>
        </is>
      </c>
      <c r="B142" s="81" t="inlineStr">
        <is>
          <t>SF6 (appareillage electrique)</t>
        </is>
      </c>
      <c r="C142" s="289" t="n">
        <v>25200</v>
      </c>
      <c r="D142" s="81" t="inlineStr">
        <is>
          <t>kgCO2e/kg</t>
        </is>
      </c>
      <c r="E142" s="81" t="inlineStr">
        <is>
          <t>GIEC AR6</t>
        </is>
      </c>
      <c r="F142" s="407" t="n">
        <v>2024</v>
      </c>
      <c r="G142" s="81" t="inlineStr">
        <is>
          <t>+++</t>
        </is>
      </c>
      <c r="H142" s="1029" t="n">
        <v>25200</v>
      </c>
      <c r="I142" s="1030" t="n">
        <v>0</v>
      </c>
      <c r="J142" s="1030">
        <f>C142</f>
        <v/>
      </c>
      <c r="K142" s="1030" t="n"/>
      <c r="L142" s="81" t="n">
        <v>10</v>
      </c>
      <c r="M142" s="81" t="inlineStr">
        <is>
          <t>Scope 1 1D</t>
        </is>
      </c>
    </row>
    <row r="143">
      <c r="A143" s="579" t="inlineStr">
        <is>
          <t>FG07</t>
        </is>
      </c>
      <c r="B143" s="580" t="inlineStr">
        <is>
          <t>R-404A (froid commercial)</t>
        </is>
      </c>
      <c r="C143" s="581" t="n">
        <v>3922</v>
      </c>
      <c r="D143" s="580" t="inlineStr">
        <is>
          <t>kgCO2e/kg</t>
        </is>
      </c>
      <c r="E143" s="580" t="inlineStr">
        <is>
          <t>GIEC AR6</t>
        </is>
      </c>
      <c r="F143" s="582" t="n">
        <v>2024</v>
      </c>
      <c r="G143" s="580" t="inlineStr">
        <is>
          <t>+++</t>
        </is>
      </c>
      <c r="H143" s="1027" t="n">
        <v>3922</v>
      </c>
      <c r="I143" s="1028" t="n">
        <v>0</v>
      </c>
      <c r="J143" s="1028">
        <f>C143</f>
        <v/>
      </c>
      <c r="K143" s="1028" t="n"/>
      <c r="L143" s="580" t="n">
        <v>10</v>
      </c>
      <c r="M143" s="580" t="inlineStr">
        <is>
          <t>Scope 1 1D</t>
        </is>
      </c>
    </row>
    <row r="144">
      <c r="A144" s="325" t="inlineStr">
        <is>
          <t>FG08</t>
        </is>
      </c>
      <c r="B144" s="81" t="inlineStr">
        <is>
          <t>R-407C (clim tertiaire)</t>
        </is>
      </c>
      <c r="C144" s="289" t="n">
        <v>1774</v>
      </c>
      <c r="D144" s="81" t="inlineStr">
        <is>
          <t>kgCO2e/kg</t>
        </is>
      </c>
      <c r="E144" s="81" t="inlineStr">
        <is>
          <t>GIEC AR6</t>
        </is>
      </c>
      <c r="F144" s="407" t="n">
        <v>2024</v>
      </c>
      <c r="G144" s="81" t="inlineStr">
        <is>
          <t>+++</t>
        </is>
      </c>
      <c r="H144" s="1029" t="n">
        <v>1774</v>
      </c>
      <c r="I144" s="1030" t="n">
        <v>0</v>
      </c>
      <c r="J144" s="1030">
        <f>C144</f>
        <v/>
      </c>
      <c r="K144" s="1030" t="n"/>
      <c r="L144" s="81" t="n">
        <v>10</v>
      </c>
      <c r="M144" s="81" t="inlineStr">
        <is>
          <t>Scope 1 1D</t>
        </is>
      </c>
    </row>
    <row r="145">
      <c r="A145" s="281" t="n"/>
      <c r="B145" s="535" t="inlineStr">
        <is>
          <t>Scope 1 cat. 1D : fuites = quantite(kg) x PRG. GIEC AR6 (2021).</t>
        </is>
      </c>
      <c r="C145" s="355" t="n"/>
      <c r="D145" s="281" t="n"/>
      <c r="E145" s="281" t="n"/>
      <c r="F145" s="586" t="inlineStr"/>
      <c r="G145" s="281" t="n"/>
      <c r="H145" s="281" t="n"/>
      <c r="I145" s="281" t="n"/>
      <c r="J145" s="281" t="n"/>
      <c r="K145" s="281" t="n"/>
      <c r="L145" s="281" t="n"/>
      <c r="M145" s="281" t="n"/>
    </row>
    <row r="146">
      <c r="C146" s="290" t="n"/>
      <c r="F146" s="230" t="inlineStr"/>
    </row>
    <row r="147">
      <c r="C147" s="290" t="n"/>
      <c r="F147" s="230" t="inlineStr"/>
    </row>
    <row r="148">
      <c r="C148" s="290" t="n"/>
      <c r="F148" s="230" t="inlineStr"/>
    </row>
    <row r="149">
      <c r="C149" s="290" t="n"/>
      <c r="F149" s="230" t="inlineStr"/>
    </row>
    <row r="150">
      <c r="C150" s="290" t="n"/>
      <c r="F150" s="230" t="inlineStr"/>
    </row>
    <row r="151">
      <c r="C151" s="290" t="n"/>
      <c r="F151" s="230" t="inlineStr"/>
    </row>
    <row r="152">
      <c r="C152" s="290" t="n"/>
      <c r="F152" s="230" t="inlineStr"/>
    </row>
    <row r="153">
      <c r="C153" s="290" t="n"/>
      <c r="F153" s="230" t="inlineStr"/>
    </row>
    <row r="154">
      <c r="C154" s="290" t="n"/>
      <c r="F154" s="230" t="inlineStr"/>
    </row>
    <row r="155">
      <c r="C155" s="290" t="n"/>
      <c r="F155" s="230" t="inlineStr"/>
    </row>
    <row r="156">
      <c r="C156" s="290" t="n"/>
      <c r="F156" s="230" t="inlineStr"/>
    </row>
    <row r="157">
      <c r="C157" s="290" t="n"/>
      <c r="F157" s="230" t="inlineStr"/>
    </row>
    <row r="158">
      <c r="C158" s="290" t="n"/>
      <c r="F158" s="230" t="inlineStr"/>
    </row>
    <row r="159">
      <c r="C159" s="290" t="n"/>
      <c r="F159" s="230" t="inlineStr"/>
    </row>
    <row r="160">
      <c r="C160" s="290" t="n"/>
      <c r="F160" s="230" t="inlineStr"/>
    </row>
    <row r="161">
      <c r="C161" s="290" t="n"/>
      <c r="F161" s="230" t="inlineStr"/>
    </row>
    <row r="162">
      <c r="C162" s="290" t="n"/>
      <c r="F162" s="230" t="inlineStr"/>
    </row>
    <row r="163">
      <c r="C163" s="290" t="n"/>
      <c r="F163" s="230" t="inlineStr"/>
    </row>
    <row r="164">
      <c r="C164" s="290" t="n"/>
      <c r="F164" s="230" t="inlineStr"/>
    </row>
    <row r="165">
      <c r="C165" s="290" t="n"/>
      <c r="F165" s="230" t="inlineStr"/>
    </row>
    <row r="166">
      <c r="C166" s="290" t="n"/>
      <c r="F166" s="230" t="inlineStr"/>
    </row>
    <row r="167">
      <c r="C167" s="290" t="n"/>
      <c r="F167" s="230" t="inlineStr"/>
    </row>
    <row r="168">
      <c r="C168" s="290" t="n"/>
      <c r="F168" s="230" t="inlineStr"/>
    </row>
    <row r="169">
      <c r="C169" s="290" t="n"/>
      <c r="F169" s="230" t="inlineStr"/>
    </row>
    <row r="170">
      <c r="C170" s="290" t="n"/>
      <c r="F170" s="230" t="inlineStr"/>
    </row>
    <row r="171">
      <c r="C171" s="290" t="n"/>
      <c r="F171" s="230" t="inlineStr"/>
    </row>
    <row r="172">
      <c r="C172" s="290" t="n"/>
      <c r="F172" s="230" t="inlineStr"/>
    </row>
    <row r="173">
      <c r="C173" s="290" t="n"/>
      <c r="F173" s="230" t="inlineStr"/>
    </row>
    <row r="174">
      <c r="C174" s="290" t="n"/>
      <c r="F174" s="230" t="inlineStr"/>
    </row>
    <row r="175">
      <c r="C175" s="290" t="n"/>
      <c r="F175" s="230" t="inlineStr"/>
    </row>
    <row r="176">
      <c r="C176" s="290" t="n"/>
      <c r="F176" s="230" t="inlineStr"/>
    </row>
    <row r="177">
      <c r="C177" s="290" t="n"/>
      <c r="F177" s="230" t="inlineStr"/>
    </row>
    <row r="178">
      <c r="C178" s="290" t="n"/>
      <c r="F178" s="230" t="inlineStr"/>
    </row>
    <row r="179">
      <c r="C179" s="290" t="n"/>
      <c r="F179" s="230" t="inlineStr"/>
    </row>
    <row r="180">
      <c r="C180" s="290" t="n"/>
      <c r="F180" s="230" t="inlineStr"/>
    </row>
    <row r="181">
      <c r="C181" s="290" t="n"/>
      <c r="F181" s="230" t="inlineStr"/>
    </row>
    <row r="182">
      <c r="C182" s="290" t="n"/>
      <c r="F182" s="230" t="inlineStr"/>
    </row>
    <row r="183">
      <c r="C183" s="290" t="n"/>
      <c r="F183" s="230" t="inlineStr"/>
    </row>
    <row r="184">
      <c r="C184" s="290" t="n"/>
      <c r="F184" s="230" t="inlineStr"/>
    </row>
    <row r="185">
      <c r="C185" s="290" t="n"/>
      <c r="F185" s="230" t="inlineStr"/>
    </row>
    <row r="186">
      <c r="C186" s="290" t="n"/>
      <c r="F186" s="230" t="inlineStr"/>
    </row>
    <row r="187">
      <c r="C187" s="290" t="n"/>
      <c r="F187" s="230" t="inlineStr"/>
    </row>
    <row r="188">
      <c r="C188" s="290" t="n"/>
      <c r="F188" s="230" t="inlineStr"/>
    </row>
    <row r="189">
      <c r="C189" s="290" t="n"/>
      <c r="F189" s="230" t="inlineStr"/>
    </row>
    <row r="190">
      <c r="C190" s="290" t="n"/>
      <c r="F190" s="230" t="inlineStr"/>
    </row>
    <row r="191">
      <c r="C191" s="290" t="n"/>
      <c r="F191" s="230" t="inlineStr"/>
    </row>
    <row r="192">
      <c r="C192" s="290" t="n"/>
      <c r="F192" s="230" t="inlineStr"/>
    </row>
    <row r="193">
      <c r="C193" s="290" t="n"/>
      <c r="F193" s="230" t="inlineStr"/>
    </row>
    <row r="194">
      <c r="C194" s="290" t="n"/>
      <c r="F194" s="230" t="inlineStr"/>
    </row>
    <row r="195">
      <c r="C195" s="290" t="n"/>
      <c r="F195" s="230" t="inlineStr"/>
    </row>
    <row r="196">
      <c r="C196" s="290" t="n"/>
      <c r="F196" s="230" t="inlineStr"/>
    </row>
    <row r="197">
      <c r="C197" s="290" t="n"/>
      <c r="F197" s="230" t="inlineStr"/>
    </row>
    <row r="198">
      <c r="C198" s="290" t="n"/>
      <c r="F198" s="230" t="inlineStr"/>
    </row>
    <row r="199">
      <c r="C199" s="290" t="n"/>
      <c r="F199" s="230" t="inlineStr"/>
    </row>
    <row r="200">
      <c r="C200" s="290" t="n"/>
      <c r="F200" s="230" t="inlineStr"/>
    </row>
  </sheetData>
  <mergeCells count="2">
    <mergeCell ref="A2:M2"/>
    <mergeCell ref="A1:M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O83"/>
  <sheetViews>
    <sheetView showGridLines="0" workbookViewId="0">
      <pane ySplit="2" topLeftCell="A3" activePane="bottomLeft" state="frozen"/>
      <selection pane="bottomLeft" activeCell="L20" sqref="L20"/>
    </sheetView>
  </sheetViews>
  <sheetFormatPr baseColWidth="10" defaultRowHeight="15"/>
  <cols>
    <col width="30.7109375" bestFit="1" customWidth="1" style="847" min="1" max="1"/>
  </cols>
  <sheetData>
    <row r="1" ht="18.75" customHeight="1" s="847">
      <c r="A1" s="950" t="inlineStr">
        <is>
          <t>ÉNERGIE &amp; BÂTIMENTS — Électricité, Chauffage, Climatisation, Eau</t>
        </is>
      </c>
      <c r="N1" s="283" t="inlineStr">
        <is>
          <t>🏠 Sommaire</t>
        </is>
      </c>
      <c r="O1" s="284" t="inlineStr">
        <is>
          <t>📄 Couverture</t>
        </is>
      </c>
    </row>
    <row r="2">
      <c r="A2" s="954" t="inlineStr">
        <is>
          <t>Émissions élec = Conso x [(1-EnR%) x Facteur_mix + EnR% x 0.006]  |  Chauffage = Surface x Conso_unit x Facteur  |  Sources : Base Carbone ADEME 2024 / IEA 2024</t>
        </is>
      </c>
    </row>
    <row r="3">
      <c r="A3" s="952" t="inlineStr">
        <is>
          <t>A — ÉLECTRICITÉ (Scope 2 — location-based &amp; market-based)</t>
        </is>
      </c>
    </row>
    <row r="4" ht="36" customHeight="1" s="847">
      <c r="A4" s="423" t="inlineStr">
        <is>
          <t>Site / Bâtiment</t>
        </is>
      </c>
      <c r="B4" s="423" t="inlineStr">
        <is>
          <t>Conso annuelle (kWh)</t>
        </is>
      </c>
      <c r="C4" s="423" t="inlineStr">
        <is>
          <t>Mix elec (ID FE)</t>
        </is>
      </c>
      <c r="D4" s="423" t="inlineStr">
        <is>
          <t>Facteur elec (kgCO2e/kWh)</t>
        </is>
      </c>
      <c r="E4" s="423" t="inlineStr">
        <is>
          <t>Part EnR/PPA (%)</t>
        </is>
      </c>
      <c r="F4" s="423" t="inlineStr">
        <is>
          <t>Cout (EUR/kWh)</t>
        </is>
      </c>
      <c r="G4" s="423" t="inlineStr">
        <is>
          <t>CO2 reseau (kgCO2e)</t>
        </is>
      </c>
      <c r="H4" s="423" t="inlineStr">
        <is>
          <t>CO2 EnR (kgCO2e)</t>
        </is>
      </c>
      <c r="I4" s="423" t="inlineStr">
        <is>
          <t>CO2 total (kgCO2e)</t>
        </is>
      </c>
      <c r="J4" s="423" t="inlineStr">
        <is>
          <t>CO2 total (tCO2e)</t>
        </is>
      </c>
      <c r="K4" s="423" t="inlineStr">
        <is>
          <t>Cout annuel (EUR)</t>
        </is>
      </c>
      <c r="L4" s="423" t="inlineStr">
        <is>
          <t>Par ETP (kgCO2e)</t>
        </is>
      </c>
    </row>
    <row r="5">
      <c r="A5" s="425" t="n"/>
      <c r="B5" s="425" t="inlineStr">
        <is>
          <t>relevé compteur / facture</t>
        </is>
      </c>
      <c r="C5" s="425" t="inlineStr">
        <is>
          <t>ex: E01 France</t>
        </is>
      </c>
      <c r="D5" s="425" t="inlineStr">
        <is>
          <t>VLOOKUP(C;FE!A:C;3)</t>
        </is>
      </c>
      <c r="E5" s="425" t="inlineStr">
        <is>
          <t>0% si pas de PPA</t>
        </is>
      </c>
      <c r="F5" s="425" t="inlineStr">
        <is>
          <t>ou Paramètres</t>
        </is>
      </c>
      <c r="G5" s="425" t="inlineStr">
        <is>
          <t>B x (1-E) x D</t>
        </is>
      </c>
      <c r="H5" s="425" t="inlineStr">
        <is>
          <t>B x E x 0.006</t>
        </is>
      </c>
      <c r="I5" s="425" t="inlineStr">
        <is>
          <t>G + H</t>
        </is>
      </c>
      <c r="J5" s="425" t="inlineStr">
        <is>
          <t>I / 1000</t>
        </is>
      </c>
      <c r="K5" s="425" t="inlineStr">
        <is>
          <t>B x F</t>
        </is>
      </c>
      <c r="L5" s="425" t="inlineStr">
        <is>
          <t>I / nb_ETP</t>
        </is>
      </c>
    </row>
    <row r="6">
      <c r="A6" s="296" t="inlineStr">
        <is>
          <t>Siège social</t>
        </is>
      </c>
      <c r="B6" s="426" t="n">
        <v>0</v>
      </c>
      <c r="C6" s="297" t="inlineStr">
        <is>
          <t>E01</t>
        </is>
      </c>
      <c r="D6" s="1031">
        <f>IFERROR(VLOOKUP(C6,'02_FACTEURS_ÉMISSION2'!$A:$C,3,0),0.0569)</f>
        <v/>
      </c>
      <c r="E6" s="429" t="n">
        <v>0</v>
      </c>
      <c r="F6" s="430" t="n">
        <v>0.18</v>
      </c>
      <c r="G6" s="302">
        <f>B6*(1-E6)*D6</f>
        <v/>
      </c>
      <c r="H6" s="302">
        <f>B6*E6*0.006</f>
        <v/>
      </c>
      <c r="I6" s="302">
        <f>G6+H6</f>
        <v/>
      </c>
      <c r="J6" s="302">
        <f>I6/1000</f>
        <v/>
      </c>
      <c r="K6" s="302">
        <f>B6*F6</f>
        <v/>
      </c>
      <c r="L6" s="302">
        <f>IFERROR(I6/'01_PARAMÈTRES2'!B12,0)</f>
        <v/>
      </c>
    </row>
    <row r="7">
      <c r="A7" s="81" t="inlineStr">
        <is>
          <t>Site production</t>
        </is>
      </c>
      <c r="B7" s="426" t="n">
        <v>0</v>
      </c>
      <c r="C7" s="297" t="inlineStr">
        <is>
          <t>E01</t>
        </is>
      </c>
      <c r="D7" s="1016">
        <f>IFERROR(VLOOKUP(C7,'02_FACTEURS_ÉMISSION2'!$A:$C,3,0),0.0569)</f>
        <v/>
      </c>
      <c r="E7" s="429" t="n">
        <v>0</v>
      </c>
      <c r="F7" s="430" t="n">
        <v>0.18</v>
      </c>
      <c r="G7" s="299">
        <f>B7*(1-E7)*D7</f>
        <v/>
      </c>
      <c r="H7" s="299">
        <f>B7*E7*0.006</f>
        <v/>
      </c>
      <c r="I7" s="299">
        <f>G7+H7</f>
        <v/>
      </c>
      <c r="J7" s="299">
        <f>I7/1000</f>
        <v/>
      </c>
      <c r="K7" s="299">
        <f>B7*F7</f>
        <v/>
      </c>
      <c r="L7" s="299">
        <f>IFERROR(I7/'01_PARAMÈTRES2'!B12,0)</f>
        <v/>
      </c>
    </row>
    <row r="8">
      <c r="A8" s="296" t="inlineStr">
        <is>
          <t>Entrepôt / Logistique</t>
        </is>
      </c>
      <c r="B8" s="426" t="n">
        <v>0</v>
      </c>
      <c r="C8" s="297" t="inlineStr">
        <is>
          <t>E01</t>
        </is>
      </c>
      <c r="D8" s="1031">
        <f>IFERROR(VLOOKUP(C8,'02_FACTEURS_ÉMISSION2'!$A:$C,3,0),0.0569)</f>
        <v/>
      </c>
      <c r="E8" s="429" t="n">
        <v>0</v>
      </c>
      <c r="F8" s="430" t="n">
        <v>0.18</v>
      </c>
      <c r="G8" s="302">
        <f>B8*(1-E8)*D8</f>
        <v/>
      </c>
      <c r="H8" s="302">
        <f>B8*E8*0.006</f>
        <v/>
      </c>
      <c r="I8" s="302">
        <f>G8+H8</f>
        <v/>
      </c>
      <c r="J8" s="302">
        <f>I8/1000</f>
        <v/>
      </c>
      <c r="K8" s="302">
        <f>B8*F8</f>
        <v/>
      </c>
      <c r="L8" s="302">
        <f>IFERROR(I8/'01_PARAMÈTRES2'!B12,0)</f>
        <v/>
      </c>
    </row>
    <row r="9">
      <c r="A9" s="81" t="inlineStr">
        <is>
          <t>Agence régionale 1</t>
        </is>
      </c>
      <c r="B9" s="426" t="n">
        <v>0</v>
      </c>
      <c r="C9" s="297" t="inlineStr">
        <is>
          <t>E01</t>
        </is>
      </c>
      <c r="D9" s="1016">
        <f>IFERROR(VLOOKUP(C9,'02_FACTEURS_ÉMISSION2'!$A:$C,3,0),0.0569)</f>
        <v/>
      </c>
      <c r="E9" s="429" t="n">
        <v>0</v>
      </c>
      <c r="F9" s="430" t="n">
        <v>0.18</v>
      </c>
      <c r="G9" s="299">
        <f>B9*(1-E9)*D9</f>
        <v/>
      </c>
      <c r="H9" s="299">
        <f>B9*E9*0.006</f>
        <v/>
      </c>
      <c r="I9" s="299">
        <f>G9+H9</f>
        <v/>
      </c>
      <c r="J9" s="299">
        <f>I9/1000</f>
        <v/>
      </c>
      <c r="K9" s="299">
        <f>B9*F9</f>
        <v/>
      </c>
      <c r="L9" s="299">
        <f>IFERROR(I9/'01_PARAMÈTRES2'!B12,0)</f>
        <v/>
      </c>
    </row>
    <row r="10">
      <c r="A10" s="296" t="inlineStr">
        <is>
          <t>Agence régionale 2</t>
        </is>
      </c>
      <c r="B10" s="426" t="n">
        <v>0</v>
      </c>
      <c r="C10" s="297" t="inlineStr">
        <is>
          <t>E01</t>
        </is>
      </c>
      <c r="D10" s="1031">
        <f>IFERROR(VLOOKUP(C10,'02_FACTEURS_ÉMISSION2'!$A:$C,3,0),0.0569)</f>
        <v/>
      </c>
      <c r="E10" s="429" t="n">
        <v>0</v>
      </c>
      <c r="F10" s="430" t="n">
        <v>0.18</v>
      </c>
      <c r="G10" s="302">
        <f>B10*(1-E10)*D10</f>
        <v/>
      </c>
      <c r="H10" s="302">
        <f>B10*E10*0.006</f>
        <v/>
      </c>
      <c r="I10" s="302">
        <f>G10+H10</f>
        <v/>
      </c>
      <c r="J10" s="302">
        <f>I10/1000</f>
        <v/>
      </c>
      <c r="K10" s="302">
        <f>B10*F10</f>
        <v/>
      </c>
      <c r="L10" s="302">
        <f>IFERROR(I10/'01_PARAMÈTRES2'!B12,0)</f>
        <v/>
      </c>
    </row>
    <row r="11">
      <c r="A11" s="81" t="inlineStr">
        <is>
          <t>Datacenter on-premise</t>
        </is>
      </c>
      <c r="B11" s="426" t="n">
        <v>0</v>
      </c>
      <c r="C11" s="297" t="inlineStr">
        <is>
          <t>E01</t>
        </is>
      </c>
      <c r="D11" s="1016">
        <f>IFERROR(VLOOKUP(C11,'02_FACTEURS_ÉMISSION2'!$A:$C,3,0),0.0569)</f>
        <v/>
      </c>
      <c r="E11" s="429" t="n">
        <v>0</v>
      </c>
      <c r="F11" s="430" t="n">
        <v>0.18</v>
      </c>
      <c r="G11" s="299">
        <f>B11*(1-E11)*D11</f>
        <v/>
      </c>
      <c r="H11" s="299">
        <f>B11*E11*0.006</f>
        <v/>
      </c>
      <c r="I11" s="299">
        <f>G11+H11</f>
        <v/>
      </c>
      <c r="J11" s="299">
        <f>I11/1000</f>
        <v/>
      </c>
      <c r="K11" s="299">
        <f>B11*F11</f>
        <v/>
      </c>
      <c r="L11" s="299">
        <f>IFERROR(I11/'01_PARAMÈTRES2'!B12,0)</f>
        <v/>
      </c>
    </row>
    <row r="12">
      <c r="A12" s="976" t="inlineStr">
        <is>
          <t>TOTAL ÉLECTRICITÉ</t>
        </is>
      </c>
      <c r="B12" s="433">
        <f>SUM(B6:B11)</f>
        <v/>
      </c>
      <c r="C12" s="433" t="n"/>
      <c r="D12" s="433" t="n"/>
      <c r="E12" s="433" t="n"/>
      <c r="F12" s="433" t="n"/>
      <c r="G12" s="433">
        <f>SUM(G6:G11)</f>
        <v/>
      </c>
      <c r="H12" s="433">
        <f>SUM(H6:H11)</f>
        <v/>
      </c>
      <c r="I12" s="433">
        <f>SUM(I6:I11)</f>
        <v/>
      </c>
      <c r="J12" s="433">
        <f>SUM(J6:J11)</f>
        <v/>
      </c>
      <c r="K12" s="433">
        <f>SUM(K6:K11)</f>
        <v/>
      </c>
      <c r="L12" s="433">
        <f>IFERROR(I12/'01_PARAMÈTRES2'!B12,0)</f>
        <v/>
      </c>
    </row>
    <row r="14">
      <c r="A14" s="952" t="inlineStr">
        <is>
          <t>B — CHAUFFAGE / COMBUSTIBLES (Scope 1 — combustion directe)</t>
        </is>
      </c>
    </row>
    <row r="15">
      <c r="A15" s="946" t="inlineStr">
        <is>
          <t>Site / Bâtiment</t>
        </is>
      </c>
      <c r="B15" s="946" t="inlineStr">
        <is>
          <t>Surface chauffée (m2)</t>
        </is>
      </c>
      <c r="C15" s="946" t="inlineStr">
        <is>
          <t>Conso unitaire (kWh/m2/an)</t>
        </is>
      </c>
      <c r="D15" s="946" t="inlineStr">
        <is>
          <t>Type combustible (ID FE)</t>
        </is>
      </c>
      <c r="E15" s="946" t="inlineStr">
        <is>
          <t>Facteur combustible (kgCO2e/kWh)</t>
        </is>
      </c>
      <c r="F15" s="946" t="inlineStr">
        <is>
          <t>Conso totale (kWh)</t>
        </is>
      </c>
      <c r="G15" s="946" t="inlineStr">
        <is>
          <t>CO2 total (kgCO2e)</t>
        </is>
      </c>
      <c r="H15" s="946" t="inlineStr">
        <is>
          <t>CO2 total (tCO2e)</t>
        </is>
      </c>
      <c r="I15" s="946" t="inlineStr">
        <is>
          <t>CO2 par m2 (kgCO2e/m2)</t>
        </is>
      </c>
      <c r="J15" s="946" t="inlineStr">
        <is>
          <t>Cout estimé (EUR)</t>
        </is>
      </c>
    </row>
    <row r="16">
      <c r="A16" s="425" t="n"/>
      <c r="B16" s="425" t="inlineStr">
        <is>
          <t>m2 chauffés</t>
        </is>
      </c>
      <c r="C16" s="425" t="inlineStr">
        <is>
          <t>30 BBC a 250 passoire</t>
        </is>
      </c>
      <c r="D16" s="425" t="inlineStr">
        <is>
          <t>ex: C01 Gaz</t>
        </is>
      </c>
      <c r="E16" s="425" t="inlineStr">
        <is>
          <t>VLOOKUP(D;FE)</t>
        </is>
      </c>
      <c r="F16" s="425" t="inlineStr">
        <is>
          <t>B x C</t>
        </is>
      </c>
      <c r="G16" s="425" t="inlineStr">
        <is>
          <t>F x E</t>
        </is>
      </c>
      <c r="H16" s="425" t="inlineStr">
        <is>
          <t>G / 1000</t>
        </is>
      </c>
      <c r="I16" s="425" t="inlineStr">
        <is>
          <t>G / B</t>
        </is>
      </c>
      <c r="J16" s="425" t="inlineStr">
        <is>
          <t>F x prix_gaz</t>
        </is>
      </c>
    </row>
    <row r="17">
      <c r="A17" s="295" t="inlineStr">
        <is>
          <t>Siège social</t>
        </is>
      </c>
      <c r="B17" s="426" t="n">
        <v>0</v>
      </c>
      <c r="C17" s="426" t="n">
        <v>120</v>
      </c>
      <c r="D17" s="303" t="inlineStr">
        <is>
          <t>C01</t>
        </is>
      </c>
      <c r="E17" s="1032">
        <f>IFERROR(VLOOKUP(D17,'02_FACTEURS_ÉMISSION2'!$A:$C,3,0),0.227)</f>
        <v/>
      </c>
      <c r="F17" s="301">
        <f>B17*C17</f>
        <v/>
      </c>
      <c r="G17" s="301">
        <f>F17*E17</f>
        <v/>
      </c>
      <c r="H17" s="301">
        <f>G17/1000</f>
        <v/>
      </c>
      <c r="I17" s="301">
        <f>IFERROR(G17/B17,0)</f>
        <v/>
      </c>
      <c r="J17" s="301">
        <f>F17*IFERROR('01_PARAMÈTRES2'!B26,0.08)</f>
        <v/>
      </c>
      <c r="K17" s="295" t="n"/>
      <c r="L17" s="295" t="n"/>
    </row>
    <row r="18">
      <c r="A18" s="81" t="inlineStr">
        <is>
          <t>Site production</t>
        </is>
      </c>
      <c r="B18" s="426" t="n">
        <v>0</v>
      </c>
      <c r="C18" s="426" t="n">
        <v>120</v>
      </c>
      <c r="D18" s="303" t="inlineStr">
        <is>
          <t>C01</t>
        </is>
      </c>
      <c r="E18" s="1016">
        <f>IFERROR(VLOOKUP(D18,'02_FACTEURS_ÉMISSION2'!$A:$C,3,0),0.227)</f>
        <v/>
      </c>
      <c r="F18" s="299">
        <f>B18*C18</f>
        <v/>
      </c>
      <c r="G18" s="299">
        <f>F18*E18</f>
        <v/>
      </c>
      <c r="H18" s="299">
        <f>G18/1000</f>
        <v/>
      </c>
      <c r="I18" s="299">
        <f>IFERROR(G18/B18,0)</f>
        <v/>
      </c>
      <c r="J18" s="299">
        <f>F18*IFERROR('01_PARAMÈTRES2'!B26,0.08)</f>
        <v/>
      </c>
      <c r="K18" s="81" t="n"/>
      <c r="L18" s="81" t="n"/>
    </row>
    <row r="19">
      <c r="A19" s="295" t="inlineStr">
        <is>
          <t>Entrepôt / Logistique</t>
        </is>
      </c>
      <c r="B19" s="426" t="n">
        <v>0</v>
      </c>
      <c r="C19" s="426" t="n">
        <v>120</v>
      </c>
      <c r="D19" s="303" t="inlineStr">
        <is>
          <t>C01</t>
        </is>
      </c>
      <c r="E19" s="1032">
        <f>IFERROR(VLOOKUP(D19,'02_FACTEURS_ÉMISSION2'!$A:$C,3,0),0.227)</f>
        <v/>
      </c>
      <c r="F19" s="301">
        <f>B19*C19</f>
        <v/>
      </c>
      <c r="G19" s="301">
        <f>F19*E19</f>
        <v/>
      </c>
      <c r="H19" s="301">
        <f>G19/1000</f>
        <v/>
      </c>
      <c r="I19" s="301">
        <f>IFERROR(G19/B19,0)</f>
        <v/>
      </c>
      <c r="J19" s="301">
        <f>F19*IFERROR('01_PARAMÈTRES2'!B26,0.08)</f>
        <v/>
      </c>
      <c r="K19" s="295" t="n"/>
      <c r="L19" s="295" t="n"/>
    </row>
    <row r="20">
      <c r="A20" s="81" t="inlineStr">
        <is>
          <t>Agence régionale 1</t>
        </is>
      </c>
      <c r="B20" s="426" t="n">
        <v>0</v>
      </c>
      <c r="C20" s="426" t="n">
        <v>120</v>
      </c>
      <c r="D20" s="303" t="inlineStr">
        <is>
          <t>C01</t>
        </is>
      </c>
      <c r="E20" s="1016">
        <f>IFERROR(VLOOKUP(D20,'02_FACTEURS_ÉMISSION2'!$A:$C,3,0),0.227)</f>
        <v/>
      </c>
      <c r="F20" s="299">
        <f>B20*C20</f>
        <v/>
      </c>
      <c r="G20" s="299">
        <f>F20*E20</f>
        <v/>
      </c>
      <c r="H20" s="299">
        <f>G20/1000</f>
        <v/>
      </c>
      <c r="I20" s="299">
        <f>IFERROR(G20/B20,0)</f>
        <v/>
      </c>
      <c r="J20" s="299">
        <f>F20*IFERROR('01_PARAMÈTRES2'!B26,0.08)</f>
        <v/>
      </c>
      <c r="K20" s="81" t="n"/>
      <c r="L20" s="81" t="n"/>
    </row>
    <row r="21">
      <c r="A21" s="295" t="inlineStr">
        <is>
          <t>Agence régionale 2</t>
        </is>
      </c>
      <c r="B21" s="426" t="n">
        <v>0</v>
      </c>
      <c r="C21" s="426" t="n">
        <v>120</v>
      </c>
      <c r="D21" s="303" t="inlineStr">
        <is>
          <t>C01</t>
        </is>
      </c>
      <c r="E21" s="1032">
        <f>IFERROR(VLOOKUP(D21,'02_FACTEURS_ÉMISSION2'!$A:$C,3,0),0.227)</f>
        <v/>
      </c>
      <c r="F21" s="301">
        <f>B21*C21</f>
        <v/>
      </c>
      <c r="G21" s="301">
        <f>F21*E21</f>
        <v/>
      </c>
      <c r="H21" s="301">
        <f>G21/1000</f>
        <v/>
      </c>
      <c r="I21" s="301">
        <f>IFERROR(G21/B21,0)</f>
        <v/>
      </c>
      <c r="J21" s="301">
        <f>F21*IFERROR('01_PARAMÈTRES2'!B26,0.08)</f>
        <v/>
      </c>
      <c r="K21" s="295" t="n"/>
      <c r="L21" s="295" t="n"/>
    </row>
    <row r="22">
      <c r="A22" s="972" t="inlineStr">
        <is>
          <t>TOTAL CHAUFFAGE</t>
        </is>
      </c>
      <c r="B22" s="436" t="n"/>
      <c r="C22" s="436" t="n"/>
      <c r="D22" s="436" t="n"/>
      <c r="E22" s="436" t="n"/>
      <c r="F22" s="438">
        <f>SUM(F17:F21)</f>
        <v/>
      </c>
      <c r="G22" s="438">
        <f>SUM(G17:G21)</f>
        <v/>
      </c>
      <c r="H22" s="438">
        <f>SUM(H17:H21)</f>
        <v/>
      </c>
      <c r="I22" s="438">
        <f>IFERROR(G22/SUM(B17:B21),0)</f>
        <v/>
      </c>
      <c r="J22" s="438">
        <f>SUM(J17:J21)</f>
        <v/>
      </c>
    </row>
    <row r="24">
      <c r="A24" s="952" t="inlineStr">
        <is>
          <t>C — CLIMATISATION &amp; REFROIDISSEMENT (Scope 1 + Scope 2)</t>
        </is>
      </c>
    </row>
    <row r="25">
      <c r="A25" s="946" t="inlineStr">
        <is>
          <t>Site / Bâtiment</t>
        </is>
      </c>
      <c r="B25" s="946" t="inlineStr">
        <is>
          <t>Surface climatisée (m2)</t>
        </is>
      </c>
      <c r="C25" s="946" t="inlineStr">
        <is>
          <t>Puissance froid/m2 (kW/m2)</t>
        </is>
      </c>
      <c r="D25" s="946" t="inlineStr">
        <is>
          <t>Heures fonct. (h/an)</t>
        </is>
      </c>
      <c r="E25" s="946" t="inlineStr">
        <is>
          <t>Type système (ID FE)</t>
        </is>
      </c>
      <c r="F25" s="946" t="inlineStr">
        <is>
          <t>Facteur clim (kgCO2e/kWh)</t>
        </is>
      </c>
      <c r="G25" s="946" t="inlineStr">
        <is>
          <t>Energie froid (kWh)</t>
        </is>
      </c>
      <c r="H25" s="946" t="inlineStr">
        <is>
          <t>CO2 fuites (kgCO2e)</t>
        </is>
      </c>
      <c r="I25" s="946" t="inlineStr">
        <is>
          <t>CO2 élec compresseur (kgCO2e)</t>
        </is>
      </c>
      <c r="J25" s="946" t="inlineStr">
        <is>
          <t>CO2 total (tCO2e)</t>
        </is>
      </c>
    </row>
    <row r="26">
      <c r="A26" s="425" t="n"/>
      <c r="B26" s="425" t="inlineStr">
        <is>
          <t>m2 climatisés</t>
        </is>
      </c>
      <c r="C26" s="425" t="inlineStr">
        <is>
          <t>0.08 standard bureaux</t>
        </is>
      </c>
      <c r="D26" s="425" t="inlineStr">
        <is>
          <t>800 été+mi-saison</t>
        </is>
      </c>
      <c r="E26" s="425" t="inlineStr">
        <is>
          <t>C07 std ou C08 anc</t>
        </is>
      </c>
      <c r="F26" s="425" t="inlineStr">
        <is>
          <t>VLOOKUP(E;FE)</t>
        </is>
      </c>
      <c r="G26" s="425" t="inlineStr">
        <is>
          <t>B x C x D</t>
        </is>
      </c>
      <c r="H26" s="425" t="inlineStr">
        <is>
          <t>G x F</t>
        </is>
      </c>
      <c r="I26" s="425" t="inlineStr">
        <is>
          <t>G / 3 x 0.0569 (COP3)</t>
        </is>
      </c>
      <c r="J26" s="425" t="inlineStr">
        <is>
          <t>(H+I) / 1000</t>
        </is>
      </c>
    </row>
    <row r="27">
      <c r="A27" s="296" t="inlineStr">
        <is>
          <t>Siège social</t>
        </is>
      </c>
      <c r="B27" s="434" t="n">
        <v>0</v>
      </c>
      <c r="C27" s="439" t="n">
        <v>0.08</v>
      </c>
      <c r="D27" s="439" t="n">
        <v>800</v>
      </c>
      <c r="E27" s="303" t="inlineStr">
        <is>
          <t>C07</t>
        </is>
      </c>
      <c r="F27" s="1031">
        <f>IFERROR(VLOOKUP(E27,'02_FACTEURS_ÉMISSION2'!$A:$C,3,0),0.025)</f>
        <v/>
      </c>
      <c r="G27" s="302">
        <f>B27*C27*D27</f>
        <v/>
      </c>
      <c r="H27" s="302">
        <f>G27*F27</f>
        <v/>
      </c>
      <c r="I27" s="302">
        <f>G27/3*0.0569</f>
        <v/>
      </c>
      <c r="J27" s="302">
        <f>(H27+I27)/1000</f>
        <v/>
      </c>
    </row>
    <row r="28">
      <c r="A28" s="81" t="inlineStr">
        <is>
          <t>Site production</t>
        </is>
      </c>
      <c r="B28" s="434" t="n">
        <v>0</v>
      </c>
      <c r="C28" s="439" t="n">
        <v>0.08</v>
      </c>
      <c r="D28" s="439" t="n">
        <v>800</v>
      </c>
      <c r="E28" s="303" t="inlineStr">
        <is>
          <t>C07</t>
        </is>
      </c>
      <c r="F28" s="1016">
        <f>IFERROR(VLOOKUP(E28,'02_FACTEURS_ÉMISSION2'!$A:$C,3,0),0.025)</f>
        <v/>
      </c>
      <c r="G28" s="299">
        <f>B28*C28*D28</f>
        <v/>
      </c>
      <c r="H28" s="299">
        <f>G28*F28</f>
        <v/>
      </c>
      <c r="I28" s="299">
        <f>G28/3*0.0569</f>
        <v/>
      </c>
      <c r="J28" s="299">
        <f>(H28+I28)/1000</f>
        <v/>
      </c>
    </row>
    <row r="29">
      <c r="A29" s="296" t="inlineStr">
        <is>
          <t>Salle serveurs DC</t>
        </is>
      </c>
      <c r="B29" s="434" t="n">
        <v>0</v>
      </c>
      <c r="C29" s="439" t="n">
        <v>0.08</v>
      </c>
      <c r="D29" s="439" t="n">
        <v>800</v>
      </c>
      <c r="E29" s="303" t="inlineStr">
        <is>
          <t>C07</t>
        </is>
      </c>
      <c r="F29" s="1031">
        <f>IFERROR(VLOOKUP(E29,'02_FACTEURS_ÉMISSION2'!$A:$C,3,0),0.025)</f>
        <v/>
      </c>
      <c r="G29" s="302">
        <f>B29*C29*D29</f>
        <v/>
      </c>
      <c r="H29" s="302">
        <f>G29*F29</f>
        <v/>
      </c>
      <c r="I29" s="302">
        <f>G29/3*0.0569</f>
        <v/>
      </c>
      <c r="J29" s="302">
        <f>(H29+I29)/1000</f>
        <v/>
      </c>
    </row>
    <row r="30">
      <c r="A30" s="81" t="inlineStr">
        <is>
          <t>Agence régionale 1</t>
        </is>
      </c>
      <c r="B30" s="434" t="n">
        <v>0</v>
      </c>
      <c r="C30" s="439" t="n">
        <v>0.08</v>
      </c>
      <c r="D30" s="439" t="n">
        <v>800</v>
      </c>
      <c r="E30" s="303" t="inlineStr">
        <is>
          <t>C07</t>
        </is>
      </c>
      <c r="F30" s="1016">
        <f>IFERROR(VLOOKUP(E30,'02_FACTEURS_ÉMISSION2'!$A:$C,3,0),0.025)</f>
        <v/>
      </c>
      <c r="G30" s="299">
        <f>B30*C30*D30</f>
        <v/>
      </c>
      <c r="H30" s="299">
        <f>G30*F30</f>
        <v/>
      </c>
      <c r="I30" s="299">
        <f>G30/3*0.0569</f>
        <v/>
      </c>
      <c r="J30" s="299">
        <f>(H30+I30)/1000</f>
        <v/>
      </c>
    </row>
    <row r="31">
      <c r="A31" s="976" t="inlineStr">
        <is>
          <t>TOTAL CLIMATISATION</t>
        </is>
      </c>
      <c r="B31" s="431" t="n"/>
      <c r="C31" s="431" t="n"/>
      <c r="D31" s="431" t="n"/>
      <c r="E31" s="431" t="n"/>
      <c r="F31" s="431" t="n"/>
      <c r="G31" s="433">
        <f>SUM(G27:G30)</f>
        <v/>
      </c>
      <c r="H31" s="433">
        <f>SUM(H27:H30)</f>
        <v/>
      </c>
      <c r="I31" s="433">
        <f>SUM(I27:I30)</f>
        <v/>
      </c>
      <c r="J31" s="433">
        <f>SUM(J27:J30)</f>
        <v/>
      </c>
    </row>
    <row r="33">
      <c r="A33" s="952" t="inlineStr">
        <is>
          <t>D — EAU (Scope 3 Cat. 1)</t>
        </is>
      </c>
    </row>
    <row r="34">
      <c r="A34" s="946" t="inlineStr">
        <is>
          <t>Site / Bâtiment</t>
        </is>
      </c>
      <c r="B34" s="946" t="inlineStr">
        <is>
          <t>Eau froide (m3/an)</t>
        </is>
      </c>
      <c r="C34" s="946" t="inlineStr">
        <is>
          <t>Eau chaude san. (m3/an)</t>
        </is>
      </c>
      <c r="D34" s="946" t="inlineStr">
        <is>
          <t>Facteur production (kgCO2e/m3)</t>
        </is>
      </c>
      <c r="E34" s="946" t="inlineStr">
        <is>
          <t>Facteur traitement (kgCO2e/m3)</t>
        </is>
      </c>
      <c r="F34" s="946" t="inlineStr">
        <is>
          <t>Facteur ECS (/litre)</t>
        </is>
      </c>
      <c r="G34" s="946" t="inlineStr">
        <is>
          <t>CO2 eau froide (kgCO2e)</t>
        </is>
      </c>
      <c r="H34" s="946" t="inlineStr">
        <is>
          <t>CO2 eau chaude (kgCO2e)</t>
        </is>
      </c>
      <c r="I34" s="946" t="inlineStr">
        <is>
          <t>CO2 total (tCO2e)</t>
        </is>
      </c>
    </row>
    <row r="35">
      <c r="A35" s="425" t="n"/>
      <c r="B35" s="425" t="inlineStr">
        <is>
          <t>relevé compteur</t>
        </is>
      </c>
      <c r="C35" s="425" t="inlineStr">
        <is>
          <t>m3 ECS/an</t>
        </is>
      </c>
      <c r="D35" s="425" t="inlineStr">
        <is>
          <t>FE W01 = 0.132</t>
        </is>
      </c>
      <c r="E35" s="425" t="inlineStr">
        <is>
          <t>FE W02 = 0.344</t>
        </is>
      </c>
      <c r="F35" s="425" t="inlineStr">
        <is>
          <t>FE W03 = 0.0036</t>
        </is>
      </c>
      <c r="G35" s="425" t="inlineStr">
        <is>
          <t>B x (D + E)</t>
        </is>
      </c>
      <c r="H35" s="425" t="inlineStr">
        <is>
          <t>C x 1000 x F</t>
        </is>
      </c>
      <c r="I35" s="425" t="inlineStr">
        <is>
          <t>(G + H) / 1000</t>
        </is>
      </c>
    </row>
    <row r="36">
      <c r="A36" s="361" t="inlineStr">
        <is>
          <t>Siège social</t>
        </is>
      </c>
      <c r="B36" s="434" t="n">
        <v>0</v>
      </c>
      <c r="C36" s="434" t="n">
        <v>0</v>
      </c>
      <c r="D36" s="1033">
        <f>IFERROR(VLOOKUP("W01",'02_FACTEURS_ÉMISSION2'!$A:$C,3,0),0.132)</f>
        <v/>
      </c>
      <c r="E36" s="1033">
        <f>IFERROR(VLOOKUP("W02",'02_FACTEURS_ÉMISSION2'!$A:$C,3,0),0.344)</f>
        <v/>
      </c>
      <c r="F36" s="1033">
        <f>IFERROR(VLOOKUP("W03",'02_FACTEURS_ÉMISSION2'!$A:$C,3,0),0.0036)</f>
        <v/>
      </c>
      <c r="G36" s="440">
        <f>B36*(D36+E36)</f>
        <v/>
      </c>
      <c r="H36" s="440">
        <f>C36*1000*F36</f>
        <v/>
      </c>
      <c r="I36" s="440">
        <f>(G36+H36)/1000</f>
        <v/>
      </c>
    </row>
    <row r="37">
      <c r="A37" s="81" t="inlineStr">
        <is>
          <t>Site production</t>
        </is>
      </c>
      <c r="B37" s="434" t="n">
        <v>0</v>
      </c>
      <c r="C37" s="434" t="n">
        <v>0</v>
      </c>
      <c r="D37" s="1016">
        <f>IFERROR(VLOOKUP("W01",'02_FACTEURS_ÉMISSION2'!$A:$C,3,0),0.132)</f>
        <v/>
      </c>
      <c r="E37" s="1016">
        <f>IFERROR(VLOOKUP("W02",'02_FACTEURS_ÉMISSION2'!$A:$C,3,0),0.344)</f>
        <v/>
      </c>
      <c r="F37" s="1016">
        <f>IFERROR(VLOOKUP("W03",'02_FACTEURS_ÉMISSION2'!$A:$C,3,0),0.0036)</f>
        <v/>
      </c>
      <c r="G37" s="299">
        <f>B37*(D37+E37)</f>
        <v/>
      </c>
      <c r="H37" s="299">
        <f>C37*1000*F37</f>
        <v/>
      </c>
      <c r="I37" s="299">
        <f>(G37+H37)/1000</f>
        <v/>
      </c>
    </row>
    <row r="38">
      <c r="A38" s="361" t="inlineStr">
        <is>
          <t>Entrepôt / Logistique</t>
        </is>
      </c>
      <c r="B38" s="434" t="n">
        <v>0</v>
      </c>
      <c r="C38" s="434" t="n">
        <v>0</v>
      </c>
      <c r="D38" s="1033">
        <f>IFERROR(VLOOKUP("W01",'02_FACTEURS_ÉMISSION2'!$A:$C,3,0),0.132)</f>
        <v/>
      </c>
      <c r="E38" s="1033">
        <f>IFERROR(VLOOKUP("W02",'02_FACTEURS_ÉMISSION2'!$A:$C,3,0),0.344)</f>
        <v/>
      </c>
      <c r="F38" s="1033">
        <f>IFERROR(VLOOKUP("W03",'02_FACTEURS_ÉMISSION2'!$A:$C,3,0),0.0036)</f>
        <v/>
      </c>
      <c r="G38" s="440">
        <f>B38*(D38+E38)</f>
        <v/>
      </c>
      <c r="H38" s="440">
        <f>C38*1000*F38</f>
        <v/>
      </c>
      <c r="I38" s="440">
        <f>(G38+H38)/1000</f>
        <v/>
      </c>
    </row>
    <row r="39">
      <c r="A39" s="977" t="inlineStr">
        <is>
          <t>TOTAL EAU</t>
        </is>
      </c>
      <c r="B39" s="442">
        <f>SUM(B36:B38)</f>
        <v/>
      </c>
      <c r="C39" s="442" t="n"/>
      <c r="D39" s="442" t="n"/>
      <c r="E39" s="442" t="n"/>
      <c r="F39" s="442" t="n"/>
      <c r="G39" s="444">
        <f>SUM(G36:G38)</f>
        <v/>
      </c>
      <c r="H39" s="444">
        <f>SUM(H36:H38)</f>
        <v/>
      </c>
      <c r="I39" s="444">
        <f>SUM(I36:I38)</f>
        <v/>
      </c>
    </row>
    <row r="41">
      <c r="A41" s="953" t="inlineStr">
        <is>
          <t>SYNTHÈSE — TOTAL ÉNERGIE &amp; BÂTIMENTS</t>
        </is>
      </c>
    </row>
    <row r="42">
      <c r="A42" s="946" t="inlineStr">
        <is>
          <t>Poste</t>
        </is>
      </c>
      <c r="B42" s="946" t="inlineStr">
        <is>
          <t>CO2 (kgCO2e)</t>
        </is>
      </c>
      <c r="C42" s="946" t="inlineStr">
        <is>
          <t>CO2 (tCO2e)</t>
        </is>
      </c>
      <c r="D42" s="946" t="inlineStr">
        <is>
          <t>Scope GES</t>
        </is>
      </c>
      <c r="E42" s="946" t="inlineStr">
        <is>
          <t>% du total énergie</t>
        </is>
      </c>
      <c r="F42" s="946" t="n"/>
      <c r="G42" s="946" t="n"/>
      <c r="H42" s="946" t="n"/>
      <c r="I42" s="946" t="n"/>
      <c r="J42" s="946" t="n"/>
      <c r="K42" s="946" t="n"/>
      <c r="L42" s="946" t="n"/>
    </row>
    <row r="43">
      <c r="A43" s="297" t="inlineStr">
        <is>
          <t>Électricité</t>
        </is>
      </c>
      <c r="B43" s="445">
        <f>I12</f>
        <v/>
      </c>
      <c r="C43" s="303">
        <f>J12</f>
        <v/>
      </c>
      <c r="D43" s="297" t="inlineStr">
        <is>
          <t>Scope 2</t>
        </is>
      </c>
      <c r="E43" s="1034">
        <f>IFERROR(C43/C47,0)</f>
        <v/>
      </c>
    </row>
    <row r="44">
      <c r="A44" s="81" t="inlineStr">
        <is>
          <t>Chauffage / Combustibles</t>
        </is>
      </c>
      <c r="B44" s="446">
        <f>G22</f>
        <v/>
      </c>
      <c r="C44" s="299">
        <f>H22</f>
        <v/>
      </c>
      <c r="D44" s="81" t="inlineStr">
        <is>
          <t>Scope 1</t>
        </is>
      </c>
      <c r="E44" s="1035">
        <f>IFERROR(C44/C47,0)</f>
        <v/>
      </c>
    </row>
    <row r="45">
      <c r="A45" s="297" t="inlineStr">
        <is>
          <t>Climatisation</t>
        </is>
      </c>
      <c r="B45" s="445">
        <f>SUM(H31,I31)</f>
        <v/>
      </c>
      <c r="C45" s="303">
        <f>J31</f>
        <v/>
      </c>
      <c r="D45" s="297" t="inlineStr">
        <is>
          <t>Scope 1 + 2</t>
        </is>
      </c>
      <c r="E45" s="1034">
        <f>IFERROR(C45/C47,0)</f>
        <v/>
      </c>
    </row>
    <row r="46">
      <c r="A46" s="81" t="inlineStr">
        <is>
          <t>Eau</t>
        </is>
      </c>
      <c r="B46" s="446">
        <f>SUM(G39,H39)</f>
        <v/>
      </c>
      <c r="C46" s="299">
        <f>I39</f>
        <v/>
      </c>
      <c r="D46" s="81" t="inlineStr">
        <is>
          <t>Scope 3 Cat.1</t>
        </is>
      </c>
      <c r="E46" s="1035">
        <f>IFERROR(C46/C47,0)</f>
        <v/>
      </c>
    </row>
    <row r="47" ht="15.75" customHeight="1" s="847">
      <c r="A47" s="970" t="inlineStr">
        <is>
          <t>TOTAL ENERGIE &amp; BATIMENTS</t>
        </is>
      </c>
      <c r="B47" s="448">
        <f>SUM(B43:B46)</f>
        <v/>
      </c>
      <c r="C47" s="448">
        <f>SUM(C43:C46)</f>
        <v/>
      </c>
      <c r="D47" s="298" t="n"/>
      <c r="E47" s="298" t="n"/>
      <c r="F47" s="298" t="n"/>
      <c r="G47" s="298" t="n"/>
      <c r="H47" s="298" t="n"/>
      <c r="I47" s="298" t="n"/>
      <c r="J47" s="298" t="n"/>
      <c r="K47" s="298" t="n"/>
      <c r="L47" s="298" t="n"/>
    </row>
    <row r="49">
      <c r="A49" s="978" t="inlineStr">
        <is>
          <t>E — SCOPE 2 MARKET-BASED (double reporting obligatoire CSRD/ESRS E1-6)</t>
        </is>
      </c>
      <c r="B49" s="314" t="n"/>
      <c r="C49" s="314" t="n"/>
      <c r="D49" s="314" t="n"/>
      <c r="E49" s="314" t="n"/>
      <c r="F49" s="314" t="n"/>
      <c r="G49" s="314" t="n"/>
      <c r="H49" s="314" t="n"/>
      <c r="I49" s="314" t="n"/>
      <c r="J49" s="314" t="n"/>
      <c r="K49" s="314" t="n"/>
      <c r="L49" s="314" t="n"/>
    </row>
    <row r="50">
      <c r="A50" s="587" t="inlineStr">
        <is>
          <t>Site / Usage</t>
        </is>
      </c>
      <c r="B50" s="587" t="inlineStr">
        <is>
          <t>Pays</t>
        </is>
      </c>
      <c r="C50" s="587" t="inlineStr">
        <is>
          <t>kWh</t>
        </is>
      </c>
      <c r="D50" s="587" t="inlineStr">
        <is>
          <t>GO/PPA? (O/N)</t>
        </is>
      </c>
      <c r="E50" s="587" t="inlineStr">
        <is>
          <t>FE LB (kgCO2e/kWh)</t>
        </is>
      </c>
      <c r="F50" s="587" t="inlineStr">
        <is>
          <t>CO2 LB (kgCO2e)</t>
        </is>
      </c>
      <c r="G50" s="587" t="inlineStr">
        <is>
          <t>FE MB (kgCO2e/kWh)</t>
        </is>
      </c>
      <c r="H50" s="587" t="inlineStr">
        <is>
          <t>CO2 MB (kgCO2e)</t>
        </is>
      </c>
      <c r="I50" s="587" t="inlineStr">
        <is>
          <t>Ecart LB-MB (kgCO2e)</t>
        </is>
      </c>
      <c r="J50" s="587" t="inlineStr">
        <is>
          <t>Ecart (%)</t>
        </is>
      </c>
    </row>
    <row r="51">
      <c r="A51" s="313" t="inlineStr">
        <is>
          <t>Bureaux principaux</t>
        </is>
      </c>
      <c r="B51" s="313" t="inlineStr">
        <is>
          <t>France</t>
        </is>
      </c>
      <c r="C51" s="313" t="n">
        <v>0</v>
      </c>
      <c r="D51" s="313" t="inlineStr">
        <is>
          <t>Non</t>
        </is>
      </c>
      <c r="E51" s="1036">
        <f>IFERROR(VLOOKUP("E01",'02_FACTEURS_ÉMISSION2'!A:C,3,0),0.0569)</f>
        <v/>
      </c>
      <c r="F51" s="1036">
        <f>C51*E51</f>
        <v/>
      </c>
      <c r="G51" s="1036">
        <f>IF(D51="Oui",0.006,IF(B51="France",0.06,IF(B51="Allemagne",0.576,0.396)))</f>
        <v/>
      </c>
      <c r="H51" s="508">
        <f>C51*G51</f>
        <v/>
      </c>
      <c r="I51" s="508">
        <f>F51-H51</f>
        <v/>
      </c>
      <c r="J51" s="1037">
        <f>IFERROR(I51/F51,0)</f>
        <v/>
      </c>
    </row>
    <row r="52">
      <c r="A52" s="81" t="inlineStr">
        <is>
          <t>Datacenter interne</t>
        </is>
      </c>
      <c r="B52" s="81" t="inlineStr">
        <is>
          <t>France</t>
        </is>
      </c>
      <c r="C52" s="81" t="n">
        <v>0</v>
      </c>
      <c r="D52" s="81" t="inlineStr">
        <is>
          <t>Non</t>
        </is>
      </c>
      <c r="E52" s="1016">
        <f>IFERROR(VLOOKUP("E01",'02_FACTEURS_ÉMISSION2'!A:C,3,0),0.0569)</f>
        <v/>
      </c>
      <c r="F52" s="1016">
        <f>C52*E52</f>
        <v/>
      </c>
      <c r="G52" s="1016">
        <f>IF(D52="Oui",0.006,IF(B52="France",0.06,IF(B52="Allemagne",0.576,0.396)))</f>
        <v/>
      </c>
      <c r="H52" s="299">
        <f>C52*G52</f>
        <v/>
      </c>
      <c r="I52" s="299">
        <f>F52-H52</f>
        <v/>
      </c>
      <c r="J52" s="1035">
        <f>IFERROR(I52/F52,0)</f>
        <v/>
      </c>
    </row>
    <row r="53">
      <c r="A53" s="313" t="inlineStr">
        <is>
          <t>Site Allemagne</t>
        </is>
      </c>
      <c r="B53" s="313" t="inlineStr">
        <is>
          <t>Allemagne</t>
        </is>
      </c>
      <c r="C53" s="313" t="n">
        <v>0</v>
      </c>
      <c r="D53" s="313" t="inlineStr">
        <is>
          <t>Oui</t>
        </is>
      </c>
      <c r="E53" s="1036">
        <f>IFERROR(VLOOKUP("E02",'02_FACTEURS_ÉMISSION2'!A:C,3,0),0.385)</f>
        <v/>
      </c>
      <c r="F53" s="1036">
        <f>C53*E53</f>
        <v/>
      </c>
      <c r="G53" s="1036">
        <f>IF(D53="Oui",0.006,IF(B53="France",0.06,IF(B53="Allemagne",0.576,0.396)))</f>
        <v/>
      </c>
      <c r="H53" s="508">
        <f>C53*G53</f>
        <v/>
      </c>
      <c r="I53" s="508">
        <f>F53-H53</f>
        <v/>
      </c>
      <c r="J53" s="1037">
        <f>IFERROR(I53/F53,0)</f>
        <v/>
      </c>
    </row>
    <row r="54">
      <c r="A54" s="978" t="inlineStr">
        <is>
          <t>TOTAL SCOPE 2</t>
        </is>
      </c>
      <c r="B54" s="314" t="n"/>
      <c r="C54" s="314" t="n"/>
      <c r="D54" s="314" t="n"/>
      <c r="E54" s="314" t="n"/>
      <c r="F54" s="509">
        <f>SUM(F51:F53)</f>
        <v/>
      </c>
      <c r="G54" s="509" t="n"/>
      <c r="H54" s="509">
        <f>SUM(H51:H53)</f>
        <v/>
      </c>
      <c r="I54" s="509">
        <f>F54-H54</f>
        <v/>
      </c>
      <c r="J54" s="1038">
        <f>IFERROR(I54/F54,0)</f>
        <v/>
      </c>
    </row>
    <row r="55">
      <c r="A55" s="971" t="inlineStr">
        <is>
          <t>ESRS E1-6 : reporter LB ET MB. En l'absence de GO/PPA, utiliser le mix residuel (AIB 2023).</t>
        </is>
      </c>
      <c r="B55" s="317" t="n"/>
      <c r="C55" s="317" t="n"/>
      <c r="D55" s="317" t="n"/>
      <c r="E55" s="317" t="n"/>
      <c r="F55" s="317" t="n"/>
      <c r="G55" s="317" t="n"/>
      <c r="H55" s="317" t="n"/>
      <c r="I55" s="317" t="n"/>
      <c r="J55" s="317" t="n"/>
    </row>
    <row r="57">
      <c r="A57" s="578" t="inlineStr">
        <is>
          <t>F -- EMISSIONS FUGITIVES / FRIGORIGENES (Scope 1 -- 1D)</t>
        </is>
      </c>
      <c r="B57" s="575" t="n"/>
      <c r="C57" s="575" t="n"/>
      <c r="D57" s="575" t="n"/>
      <c r="E57" s="575" t="n"/>
      <c r="F57" s="575" t="n"/>
      <c r="G57" s="575" t="n"/>
      <c r="H57" s="575" t="n"/>
      <c r="I57" s="575" t="n"/>
      <c r="J57" s="575" t="n"/>
      <c r="K57" s="575" t="n"/>
      <c r="L57" s="575" t="n"/>
    </row>
    <row r="58">
      <c r="A58" s="590" t="inlineStr">
        <is>
          <t>Equipement</t>
        </is>
      </c>
      <c r="B58" s="590" t="inlineStr">
        <is>
          <t>Fluide frigorigene</t>
        </is>
      </c>
      <c r="C58" s="590" t="inlineStr">
        <is>
          <t>ID FE</t>
        </is>
      </c>
      <c r="D58" s="590" t="inlineStr">
        <is>
          <t>Charge initiale (kg)</t>
        </is>
      </c>
      <c r="E58" s="590" t="inlineStr">
        <is>
          <t>Taux fuite (%/an)</t>
        </is>
      </c>
      <c r="F58" s="590" t="inlineStr">
        <is>
          <t>Quantite fuitee (kg)</t>
        </is>
      </c>
      <c r="G58" s="590" t="inlineStr">
        <is>
          <t>PRG (kgCO2e/kg)</t>
        </is>
      </c>
      <c r="H58" s="590" t="inlineStr">
        <is>
          <t>CO2 (kgCO2e)</t>
        </is>
      </c>
      <c r="I58" s="590" t="inlineStr">
        <is>
          <t>CO2 (tCO2e)</t>
        </is>
      </c>
    </row>
    <row r="59">
      <c r="A59" s="580" t="inlineStr">
        <is>
          <t>Climatisation bureaux</t>
        </is>
      </c>
      <c r="B59" s="580" t="inlineStr">
        <is>
          <t>R-410A</t>
        </is>
      </c>
      <c r="C59" s="580" t="inlineStr">
        <is>
          <t>FG01</t>
        </is>
      </c>
      <c r="D59" s="591" t="n">
        <v>8</v>
      </c>
      <c r="E59" s="1039" t="n">
        <v>0.05</v>
      </c>
      <c r="F59" s="593">
        <f>D59*E59</f>
        <v/>
      </c>
      <c r="G59" s="594">
        <f>IFERROR(VLOOKUP(C59,'02_FACTEURS_ÉMISSION2'!A:C,3,0),0)</f>
        <v/>
      </c>
      <c r="H59" s="595">
        <f>F59*G59</f>
        <v/>
      </c>
      <c r="I59" s="1028">
        <f>H59/1000</f>
        <v/>
      </c>
    </row>
    <row r="60">
      <c r="A60" s="81" t="inlineStr">
        <is>
          <t>Climatisation salle serveur</t>
        </is>
      </c>
      <c r="B60" s="81" t="inlineStr">
        <is>
          <t>R-410A</t>
        </is>
      </c>
      <c r="C60" s="81" t="inlineStr">
        <is>
          <t>FG01</t>
        </is>
      </c>
      <c r="D60" s="493" t="n">
        <v>12</v>
      </c>
      <c r="E60" s="1035" t="n">
        <v>0.06</v>
      </c>
      <c r="F60" s="453">
        <f>D60*E60</f>
        <v/>
      </c>
      <c r="G60" s="451">
        <f>IFERROR(VLOOKUP(C60,'02_FACTEURS_ÉMISSION2'!A:C,3,0),0)</f>
        <v/>
      </c>
      <c r="H60" s="299">
        <f>F60*G60</f>
        <v/>
      </c>
      <c r="I60" s="1030">
        <f>H60/1000</f>
        <v/>
      </c>
    </row>
    <row r="61">
      <c r="A61" s="580" t="inlineStr">
        <is>
          <t>Pompe a chaleur</t>
        </is>
      </c>
      <c r="B61" s="580" t="inlineStr">
        <is>
          <t>R-32</t>
        </is>
      </c>
      <c r="C61" s="580" t="inlineStr">
        <is>
          <t>FG03</t>
        </is>
      </c>
      <c r="D61" s="591" t="n">
        <v>5</v>
      </c>
      <c r="E61" s="1039" t="n">
        <v>0.03</v>
      </c>
      <c r="F61" s="593">
        <f>D61*E61</f>
        <v/>
      </c>
      <c r="G61" s="594">
        <f>IFERROR(VLOOKUP(C61,'02_FACTEURS_ÉMISSION2'!A:C,3,0),0)</f>
        <v/>
      </c>
      <c r="H61" s="595">
        <f>F61*G61</f>
        <v/>
      </c>
      <c r="I61" s="1028">
        <f>H61/1000</f>
        <v/>
      </c>
    </row>
    <row r="62">
      <c r="A62" s="81" t="inlineStr">
        <is>
          <t>Clim vehicules (flotte)</t>
        </is>
      </c>
      <c r="B62" s="81" t="inlineStr">
        <is>
          <t>R-134a</t>
        </is>
      </c>
      <c r="C62" s="81" t="inlineStr">
        <is>
          <t>FG02</t>
        </is>
      </c>
      <c r="D62" s="493" t="n">
        <v>1.5</v>
      </c>
      <c r="E62" s="1035" t="n">
        <v>0.15</v>
      </c>
      <c r="F62" s="453">
        <f>D62*E62</f>
        <v/>
      </c>
      <c r="G62" s="451">
        <f>IFERROR(VLOOKUP(C62,'02_FACTEURS_ÉMISSION2'!A:C,3,0),0)</f>
        <v/>
      </c>
      <c r="H62" s="299">
        <f>F62*G62</f>
        <v/>
      </c>
      <c r="I62" s="1030">
        <f>H62/1000</f>
        <v/>
      </c>
    </row>
    <row r="63">
      <c r="A63" s="580" t="inlineStr">
        <is>
          <t>Froid alimentaire</t>
        </is>
      </c>
      <c r="B63" s="580" t="inlineStr">
        <is>
          <t>R-404A</t>
        </is>
      </c>
      <c r="C63" s="580" t="inlineStr">
        <is>
          <t>FG07</t>
        </is>
      </c>
      <c r="D63" s="591" t="n">
        <v>3</v>
      </c>
      <c r="E63" s="1039" t="n">
        <v>0.08</v>
      </c>
      <c r="F63" s="593">
        <f>D63*E63</f>
        <v/>
      </c>
      <c r="G63" s="594">
        <f>IFERROR(VLOOKUP(C63,'02_FACTEURS_ÉMISSION2'!A:C,3,0),0)</f>
        <v/>
      </c>
      <c r="H63" s="595">
        <f>F63*G63</f>
        <v/>
      </c>
      <c r="I63" s="1028">
        <f>H63/1000</f>
        <v/>
      </c>
    </row>
    <row r="64">
      <c r="A64" s="578" t="inlineStr">
        <is>
          <t>TOTAL FRIGORIGENES (Scope 1 1D)</t>
        </is>
      </c>
      <c r="B64" s="575" t="n"/>
      <c r="C64" s="575" t="n"/>
      <c r="D64" s="575" t="n"/>
      <c r="E64" s="575" t="n"/>
      <c r="F64" s="575" t="n"/>
      <c r="G64" s="575" t="n"/>
      <c r="H64" s="596">
        <f>SUM(H59:H63)</f>
        <v/>
      </c>
      <c r="I64" s="596">
        <f>SUM(I59:I63)</f>
        <v/>
      </c>
    </row>
    <row r="65">
      <c r="A65" s="597" t="inlineStr">
        <is>
          <t>Scope 1 1D. Taux fuite moyen : 3-15%/an selon equipement. Source PRG : GIEC AR6.</t>
        </is>
      </c>
      <c r="B65" s="580" t="n"/>
      <c r="C65" s="580" t="n"/>
      <c r="D65" s="580" t="n"/>
      <c r="E65" s="580" t="n"/>
      <c r="F65" s="580" t="n"/>
      <c r="G65" s="580" t="n"/>
      <c r="H65" s="580" t="n"/>
      <c r="I65" s="580" t="n"/>
    </row>
    <row r="67">
      <c r="A67" s="953" t="inlineStr">
        <is>
          <t>G -- VENTILATION ENR / NON-ENR (ESRS E1-5 paragraphes 37-38)</t>
        </is>
      </c>
      <c r="B67" s="298" t="n"/>
      <c r="C67" s="298" t="n"/>
      <c r="D67" s="298" t="n"/>
      <c r="E67" s="298" t="n"/>
      <c r="F67" s="298" t="n"/>
      <c r="G67" s="298" t="n"/>
      <c r="H67" s="298" t="n"/>
      <c r="I67" s="298" t="n"/>
      <c r="J67" s="298" t="n"/>
      <c r="K67" s="298" t="n"/>
      <c r="L67" s="298" t="n"/>
    </row>
    <row r="68">
      <c r="A68" s="459" t="inlineStr">
        <is>
          <t>Poste</t>
        </is>
      </c>
      <c r="B68" s="459" t="inlineStr">
        <is>
          <t>Quantite</t>
        </is>
      </c>
      <c r="C68" s="459" t="inlineStr">
        <is>
          <t>Unite</t>
        </is>
      </c>
      <c r="D68" s="459" t="inlineStr">
        <is>
          <t>MWh</t>
        </is>
      </c>
      <c r="E68" s="459" t="inlineStr">
        <is>
          <t>Type (ENR/Non-ENR)</t>
        </is>
      </c>
    </row>
    <row r="69">
      <c r="A69" s="598" t="inlineStr">
        <is>
          <t>NON-RENOUVELABLE</t>
        </is>
      </c>
      <c r="B69" s="276" t="n"/>
      <c r="C69" s="276" t="n"/>
      <c r="D69" s="276" t="n"/>
      <c r="E69" s="276" t="n"/>
    </row>
    <row r="70">
      <c r="A70" s="599" t="inlineStr">
        <is>
          <t>Gaz naturel</t>
        </is>
      </c>
      <c r="B70" s="599" t="n">
        <v>0</v>
      </c>
      <c r="C70" s="599" t="inlineStr">
        <is>
          <t>kWh</t>
        </is>
      </c>
      <c r="D70" s="600">
        <f>B70/1000</f>
        <v/>
      </c>
      <c r="E70" s="599" t="inlineStr">
        <is>
          <t>Non-ENR</t>
        </is>
      </c>
    </row>
    <row r="71">
      <c r="A71" s="81" t="inlineStr">
        <is>
          <t>Fioul domestique</t>
        </is>
      </c>
      <c r="B71" s="81" t="n">
        <v>0</v>
      </c>
      <c r="C71" s="81" t="inlineStr">
        <is>
          <t>litres</t>
        </is>
      </c>
      <c r="D71" s="299">
        <f>B71*10.08/1000</f>
        <v/>
      </c>
      <c r="E71" s="81" t="inlineStr">
        <is>
          <t>Non-ENR</t>
        </is>
      </c>
    </row>
    <row r="72">
      <c r="A72" s="599" t="inlineStr">
        <is>
          <t>Electricite reseau (hors GO)</t>
        </is>
      </c>
      <c r="B72" s="599" t="n">
        <v>0</v>
      </c>
      <c r="C72" s="599" t="inlineStr">
        <is>
          <t>kWh</t>
        </is>
      </c>
      <c r="D72" s="600">
        <f>B72/1000</f>
        <v/>
      </c>
      <c r="E72" s="599" t="inlineStr">
        <is>
          <t>Non-ENR</t>
        </is>
      </c>
    </row>
    <row r="73">
      <c r="A73" s="602" t="inlineStr">
        <is>
          <t>TOTAL NON-ENR</t>
        </is>
      </c>
      <c r="B73" s="601" t="n"/>
      <c r="C73" s="601" t="n"/>
      <c r="D73" s="602">
        <f>SUM(D70:D72)</f>
        <v/>
      </c>
      <c r="E73" s="601" t="n"/>
    </row>
    <row r="74">
      <c r="A74" s="294" t="inlineStr">
        <is>
          <t>RENOUVELABLE</t>
        </is>
      </c>
      <c r="B74" s="277" t="n"/>
      <c r="C74" s="277" t="n"/>
      <c r="D74" s="277" t="n"/>
      <c r="E74" s="277" t="n"/>
    </row>
    <row r="75">
      <c r="A75" s="297" t="inlineStr">
        <is>
          <t>Electricite GO/PPA (certifiee)</t>
        </is>
      </c>
      <c r="B75" s="297" t="n">
        <v>0</v>
      </c>
      <c r="C75" s="297" t="inlineStr">
        <is>
          <t>kWh</t>
        </is>
      </c>
      <c r="D75" s="303">
        <f>B75/1000</f>
        <v/>
      </c>
      <c r="E75" s="297" t="inlineStr">
        <is>
          <t>ENR</t>
        </is>
      </c>
    </row>
    <row r="76">
      <c r="A76" s="81" t="inlineStr">
        <is>
          <t>Autoproduction solaire PV</t>
        </is>
      </c>
      <c r="B76" s="81" t="n">
        <v>0</v>
      </c>
      <c r="C76" s="81" t="inlineStr">
        <is>
          <t>kWh</t>
        </is>
      </c>
      <c r="D76" s="299">
        <f>B76/1000</f>
        <v/>
      </c>
      <c r="E76" s="81" t="inlineStr">
        <is>
          <t>ENR</t>
        </is>
      </c>
    </row>
    <row r="77">
      <c r="A77" s="297" t="inlineStr">
        <is>
          <t>Granules bois / biomasse</t>
        </is>
      </c>
      <c r="B77" s="297" t="n">
        <v>0</v>
      </c>
      <c r="C77" s="297" t="inlineStr">
        <is>
          <t>kWh</t>
        </is>
      </c>
      <c r="D77" s="303">
        <f>B77/1000</f>
        <v/>
      </c>
      <c r="E77" s="297" t="inlineStr">
        <is>
          <t>ENR</t>
        </is>
      </c>
    </row>
    <row r="78">
      <c r="A78" s="459" t="inlineStr">
        <is>
          <t>TOTAL ENR</t>
        </is>
      </c>
      <c r="B78" s="458" t="n"/>
      <c r="C78" s="458" t="n"/>
      <c r="D78" s="459">
        <f>SUM(D75:D77)</f>
        <v/>
      </c>
      <c r="E78" s="458" t="n"/>
    </row>
    <row r="80">
      <c r="A80" s="310" t="inlineStr">
        <is>
          <t>TOTAL CONSOMMATION ENERGIE (MWh)</t>
        </is>
      </c>
      <c r="B80" s="297" t="n"/>
      <c r="C80" s="297" t="n"/>
      <c r="D80" s="445">
        <f>D73+D78</f>
        <v/>
      </c>
      <c r="E80" s="297" t="n"/>
    </row>
    <row r="81">
      <c r="A81" s="310" t="inlineStr">
        <is>
          <t>Part ENR (%)</t>
        </is>
      </c>
      <c r="B81" s="297" t="n"/>
      <c r="C81" s="297" t="n"/>
      <c r="D81" s="1040">
        <f>IFERROR(D78/D80,0)</f>
        <v/>
      </c>
      <c r="E81" s="297" t="n"/>
    </row>
    <row r="82">
      <c r="A82" s="310" t="inlineStr">
        <is>
          <t>Intensite energetique (MWh/M EUR CA)</t>
        </is>
      </c>
      <c r="B82" s="297" t="n"/>
      <c r="C82" s="297" t="n"/>
      <c r="D82" s="445">
        <f>IFERROR(D80/('01_PARAMÈTRES2'!B20/1000000),0)</f>
        <v/>
      </c>
      <c r="E82" s="297" t="n"/>
    </row>
    <row r="83">
      <c r="A83" s="604" t="inlineStr">
        <is>
          <t>ESRS E1-5 par. 37-38 : ventilation obligatoire ENR / non-ENR en MWh. Inclure auto-production.</t>
        </is>
      </c>
      <c r="B83" s="281" t="n"/>
      <c r="C83" s="281" t="n"/>
      <c r="D83" s="281" t="n"/>
      <c r="E83" s="281" t="n"/>
    </row>
  </sheetData>
  <mergeCells count="7">
    <mergeCell ref="A33:I33"/>
    <mergeCell ref="A14:J14"/>
    <mergeCell ref="A1:M1"/>
    <mergeCell ref="A41:L41"/>
    <mergeCell ref="A3:M3"/>
    <mergeCell ref="A24:J24"/>
    <mergeCell ref="A2:M2"/>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O49"/>
  <sheetViews>
    <sheetView showGridLines="0" workbookViewId="0">
      <pane ySplit="2" topLeftCell="A21" activePane="bottomLeft" state="frozen"/>
      <selection pane="bottomLeft" activeCell="C45" sqref="C45"/>
    </sheetView>
  </sheetViews>
  <sheetFormatPr baseColWidth="10" defaultRowHeight="15"/>
  <cols>
    <col width="29.28515625" bestFit="1" customWidth="1" style="847" min="1" max="1"/>
    <col width="15.140625" customWidth="1" style="847" min="2" max="2"/>
    <col width="21.85546875" bestFit="1" customWidth="1" style="847" min="3" max="3"/>
  </cols>
  <sheetData>
    <row r="1" ht="18.75" customHeight="1" s="847">
      <c r="A1" s="950" t="inlineStr">
        <is>
          <t>TRANSPORT — Domicile-Travail, Déplacements Professionnels, Flotte Véhicules</t>
        </is>
      </c>
      <c r="N1" s="283" t="inlineStr">
        <is>
          <t>🏠 Sommaire</t>
        </is>
      </c>
      <c r="O1" s="284" t="inlineStr">
        <is>
          <t>📄 Couverture</t>
        </is>
      </c>
    </row>
    <row r="2">
      <c r="A2" s="954" t="inlineStr">
        <is>
          <t>Scope 3 Cat.7 : domicile-travail. Scope 3 Cat.6 : déplacements pro. Scope 1 : flotte. Sources : Base Carbone ADEME 2024 / DGAC.</t>
        </is>
      </c>
    </row>
    <row r="3">
      <c r="A3" s="952" t="inlineStr">
        <is>
          <t>A — DOMICILE-TRAVAIL (Scope 3 Cat. 7)</t>
        </is>
      </c>
    </row>
    <row r="4">
      <c r="A4" s="946" t="inlineStr">
        <is>
          <t>Mode de transport (ID FE)</t>
        </is>
      </c>
      <c r="B4" s="946" t="inlineStr">
        <is>
          <t>Nb employés</t>
        </is>
      </c>
      <c r="C4" s="946" t="inlineStr">
        <is>
          <t>Distance A/R (km)</t>
        </is>
      </c>
      <c r="D4" s="946" t="inlineStr">
        <is>
          <t>Jours ouvrés/an</t>
        </is>
      </c>
      <c r="E4" s="946" t="inlineStr">
        <is>
          <t>Facteur (kgCO2e/km)</t>
        </is>
      </c>
      <c r="F4" s="946" t="inlineStr">
        <is>
          <t>Km totaux/an</t>
        </is>
      </c>
      <c r="G4" s="946" t="inlineStr">
        <is>
          <t>CO2 (kgCO2e)</t>
        </is>
      </c>
      <c r="H4" s="946" t="inlineStr">
        <is>
          <t>CO2/employé (kgCO2e)</t>
        </is>
      </c>
      <c r="I4" s="946" t="inlineStr">
        <is>
          <t>CO2 (tCO2e)</t>
        </is>
      </c>
    </row>
    <row r="5">
      <c r="A5" s="425" t="inlineStr">
        <is>
          <t>ex: T01 Voiture therm.</t>
        </is>
      </c>
      <c r="B5" s="425" t="inlineStr">
        <is>
          <t>nb salariés ce mode</t>
        </is>
      </c>
      <c r="C5" s="425" t="inlineStr">
        <is>
          <t>trajet A/R quotidien</t>
        </is>
      </c>
      <c r="D5" s="425" t="inlineStr">
        <is>
          <t>Paramètres!jours</t>
        </is>
      </c>
      <c r="E5" s="425" t="inlineStr">
        <is>
          <t>VLOOKUP(A;FE)</t>
        </is>
      </c>
      <c r="F5" s="425" t="inlineStr">
        <is>
          <t>B x C x D</t>
        </is>
      </c>
      <c r="G5" s="425" t="inlineStr">
        <is>
          <t>F x E</t>
        </is>
      </c>
      <c r="H5" s="425" t="inlineStr">
        <is>
          <t>G / B</t>
        </is>
      </c>
      <c r="I5" s="425" t="inlineStr">
        <is>
          <t>G / 1000</t>
        </is>
      </c>
    </row>
    <row r="6">
      <c r="A6" s="449" t="inlineStr">
        <is>
          <t>T01</t>
        </is>
      </c>
      <c r="B6" s="426" t="n">
        <v>20</v>
      </c>
      <c r="C6" s="426" t="n">
        <v>30</v>
      </c>
      <c r="D6" s="450">
        <f>IFERROR('01_PARAMÈTRES2'!B15,220)</f>
        <v/>
      </c>
      <c r="E6" s="452">
        <f>IFERROR(VLOOKUP(A6,'02_FACTEURS_ÉMISSION2'!$A:$C,3,0),0)</f>
        <v/>
      </c>
      <c r="F6" s="450">
        <f>B6*C6*D6</f>
        <v/>
      </c>
      <c r="G6" s="302">
        <f>F6*E6</f>
        <v/>
      </c>
      <c r="H6" s="302">
        <f>IFERROR(G6/B6,0)</f>
        <v/>
      </c>
      <c r="I6" s="1041">
        <f>G6/1000</f>
        <v/>
      </c>
    </row>
    <row r="7">
      <c r="A7" s="449" t="inlineStr">
        <is>
          <t>T05</t>
        </is>
      </c>
      <c r="B7" s="426" t="n">
        <v>5</v>
      </c>
      <c r="C7" s="426" t="n">
        <v>40</v>
      </c>
      <c r="D7" s="451">
        <f>IFERROR('01_PARAMÈTRES2'!B15,220)</f>
        <v/>
      </c>
      <c r="E7" s="453">
        <f>IFERROR(VLOOKUP(A7,'02_FACTEURS_ÉMISSION2'!$A:$C,3,0),0)</f>
        <v/>
      </c>
      <c r="F7" s="451">
        <f>B7*C7*D7</f>
        <v/>
      </c>
      <c r="G7" s="299">
        <f>F7*E7</f>
        <v/>
      </c>
      <c r="H7" s="299">
        <f>IFERROR(G7/B7,0)</f>
        <v/>
      </c>
      <c r="I7" s="1030">
        <f>G7/1000</f>
        <v/>
      </c>
    </row>
    <row r="8">
      <c r="A8" s="449" t="inlineStr">
        <is>
          <t>T11</t>
        </is>
      </c>
      <c r="B8" s="426" t="n">
        <v>15</v>
      </c>
      <c r="C8" s="426" t="n">
        <v>20</v>
      </c>
      <c r="D8" s="450">
        <f>IFERROR('01_PARAMÈTRES2'!B15,220)</f>
        <v/>
      </c>
      <c r="E8" s="452">
        <f>IFERROR(VLOOKUP(A8,'02_FACTEURS_ÉMISSION2'!$A:$C,3,0),0)</f>
        <v/>
      </c>
      <c r="F8" s="450">
        <f>B8*C8*D8</f>
        <v/>
      </c>
      <c r="G8" s="302">
        <f>F8*E8</f>
        <v/>
      </c>
      <c r="H8" s="302">
        <f>IFERROR(G8/B8,0)</f>
        <v/>
      </c>
      <c r="I8" s="1041">
        <f>G8/1000</f>
        <v/>
      </c>
    </row>
    <row r="9">
      <c r="A9" s="449" t="inlineStr">
        <is>
          <t>T17</t>
        </is>
      </c>
      <c r="B9" s="426" t="n">
        <v>8</v>
      </c>
      <c r="C9" s="426" t="n">
        <v>5</v>
      </c>
      <c r="D9" s="451">
        <f>IFERROR('01_PARAMÈTRES2'!B15,220)</f>
        <v/>
      </c>
      <c r="E9" s="453">
        <f>IFERROR(VLOOKUP(A9,'02_FACTEURS_ÉMISSION2'!$A:$C,3,0),0)</f>
        <v/>
      </c>
      <c r="F9" s="451">
        <f>B9*C9*D9</f>
        <v/>
      </c>
      <c r="G9" s="299">
        <f>F9*E9</f>
        <v/>
      </c>
      <c r="H9" s="299">
        <f>IFERROR(G9/B9,0)</f>
        <v/>
      </c>
      <c r="I9" s="1030">
        <f>G9/1000</f>
        <v/>
      </c>
    </row>
    <row r="10">
      <c r="A10" s="449" t="inlineStr">
        <is>
          <t>T07</t>
        </is>
      </c>
      <c r="B10" s="426" t="n">
        <v>2</v>
      </c>
      <c r="C10" s="426" t="n">
        <v>80</v>
      </c>
      <c r="D10" s="450">
        <f>IFERROR('01_PARAMÈTRES2'!B15,220)</f>
        <v/>
      </c>
      <c r="E10" s="452">
        <f>IFERROR(VLOOKUP(A10,'02_FACTEURS_ÉMISSION2'!$A:$C,3,0),0)</f>
        <v/>
      </c>
      <c r="F10" s="450">
        <f>B10*C10*D10</f>
        <v/>
      </c>
      <c r="G10" s="302">
        <f>F10*E10</f>
        <v/>
      </c>
      <c r="H10" s="302">
        <f>IFERROR(G10/B10,0)</f>
        <v/>
      </c>
      <c r="I10" s="1041">
        <f>G10/1000</f>
        <v/>
      </c>
    </row>
    <row r="11">
      <c r="A11" s="297" t="inlineStr">
        <is>
          <t>T01</t>
        </is>
      </c>
      <c r="B11" s="426" t="n">
        <v>0</v>
      </c>
      <c r="C11" s="426" t="n">
        <v>0</v>
      </c>
      <c r="D11" s="451">
        <f>IFERROR('01_PARAMÈTRES2'!B15,220)</f>
        <v/>
      </c>
      <c r="E11" s="453">
        <f>IFERROR(VLOOKUP(A11,'02_FACTEURS_ÉMISSION2'!$A:$C,3,0),0)</f>
        <v/>
      </c>
      <c r="F11" s="451">
        <f>B11*C11*D11</f>
        <v/>
      </c>
      <c r="G11" s="299">
        <f>F11*E11</f>
        <v/>
      </c>
      <c r="H11" s="299">
        <f>IFERROR(G11/B11,0)</f>
        <v/>
      </c>
      <c r="I11" s="1030">
        <f>G11/1000</f>
        <v/>
      </c>
    </row>
    <row r="12">
      <c r="A12" s="297" t="inlineStr">
        <is>
          <t>T01</t>
        </is>
      </c>
      <c r="B12" s="426" t="n">
        <v>0</v>
      </c>
      <c r="C12" s="426" t="n">
        <v>0</v>
      </c>
      <c r="D12" s="450">
        <f>IFERROR('01_PARAMÈTRES2'!B15,220)</f>
        <v/>
      </c>
      <c r="E12" s="452">
        <f>IFERROR(VLOOKUP(A12,'02_FACTEURS_ÉMISSION2'!$A:$C,3,0),0)</f>
        <v/>
      </c>
      <c r="F12" s="450">
        <f>B12*C12*D12</f>
        <v/>
      </c>
      <c r="G12" s="302">
        <f>F12*E12</f>
        <v/>
      </c>
      <c r="H12" s="302">
        <f>IFERROR(G12/B12,0)</f>
        <v/>
      </c>
      <c r="I12" s="1041">
        <f>G12/1000</f>
        <v/>
      </c>
    </row>
    <row r="13">
      <c r="A13" s="297" t="inlineStr">
        <is>
          <t>T01</t>
        </is>
      </c>
      <c r="B13" s="426" t="n">
        <v>0</v>
      </c>
      <c r="C13" s="426" t="n">
        <v>0</v>
      </c>
      <c r="D13" s="451">
        <f>IFERROR('01_PARAMÈTRES2'!B15,220)</f>
        <v/>
      </c>
      <c r="E13" s="453">
        <f>IFERROR(VLOOKUP(A13,'02_FACTEURS_ÉMISSION2'!$A:$C,3,0),0)</f>
        <v/>
      </c>
      <c r="F13" s="451">
        <f>B13*C13*D13</f>
        <v/>
      </c>
      <c r="G13" s="299">
        <f>F13*E13</f>
        <v/>
      </c>
      <c r="H13" s="299">
        <f>IFERROR(G13/B13,0)</f>
        <v/>
      </c>
      <c r="I13" s="1030">
        <f>G13/1000</f>
        <v/>
      </c>
    </row>
    <row r="14">
      <c r="A14" s="976" t="inlineStr">
        <is>
          <t>TOTAL DOMICILE-TRAVAIL</t>
        </is>
      </c>
      <c r="B14" s="433">
        <f>SUM(B6:B13)</f>
        <v/>
      </c>
      <c r="C14" s="433" t="n"/>
      <c r="D14" s="433" t="n"/>
      <c r="E14" s="433" t="n"/>
      <c r="F14" s="433">
        <f>SUM(F6:F13)</f>
        <v/>
      </c>
      <c r="G14" s="433">
        <f>SUM(G6:G13)</f>
        <v/>
      </c>
      <c r="H14" s="433">
        <f>IFERROR(G14/B14,0)</f>
        <v/>
      </c>
      <c r="I14" s="433">
        <f>SUM(I6:I13)</f>
        <v/>
      </c>
    </row>
    <row r="16">
      <c r="A16" s="952" t="inlineStr">
        <is>
          <t>B — DÉPLACEMENTS PROFESSIONNELS (Scope 3 Cat. 6)</t>
        </is>
      </c>
    </row>
    <row r="17">
      <c r="A17" s="946" t="inlineStr">
        <is>
          <t>Description trajet</t>
        </is>
      </c>
      <c r="B17" s="946" t="inlineStr">
        <is>
          <t>Mode transport (ID FE)</t>
        </is>
      </c>
      <c r="C17" s="946" t="inlineStr">
        <is>
          <t>Nb trajets/an</t>
        </is>
      </c>
      <c r="D17" s="946" t="inlineStr">
        <is>
          <t>Distance A/R (km)</t>
        </is>
      </c>
      <c r="E17" s="946" t="inlineStr">
        <is>
          <t>Nb passagers</t>
        </is>
      </c>
      <c r="F17" s="946" t="inlineStr">
        <is>
          <t>Facteur (kgCO2e/km)</t>
        </is>
      </c>
      <c r="G17" s="946" t="inlineStr">
        <is>
          <t>Km totaux</t>
        </is>
      </c>
      <c r="H17" s="946" t="inlineStr">
        <is>
          <t>CO2 brut (kgCO2e)</t>
        </is>
      </c>
      <c r="I17" s="946" t="inlineStr">
        <is>
          <t>CO2 ajusté (tCO2e)</t>
        </is>
      </c>
    </row>
    <row r="18">
      <c r="A18" s="425" t="inlineStr">
        <is>
          <t>ex: Paris-Lyon client X</t>
        </is>
      </c>
      <c r="B18" s="425" t="inlineStr">
        <is>
          <t>ex: T13 Avion CC</t>
        </is>
      </c>
      <c r="C18" s="425" t="inlineStr">
        <is>
          <t>nb voyages A/R/an</t>
        </is>
      </c>
      <c r="D18" s="425" t="inlineStr">
        <is>
          <t>km A/R total</t>
        </is>
      </c>
      <c r="E18" s="425" t="inlineStr">
        <is>
          <t>1 si seul; &gt;1 covoit.</t>
        </is>
      </c>
      <c r="F18" s="425" t="inlineStr">
        <is>
          <t>VLOOKUP(B;FE)</t>
        </is>
      </c>
      <c r="G18" s="425" t="inlineStr">
        <is>
          <t>C x D</t>
        </is>
      </c>
      <c r="H18" s="425" t="inlineStr">
        <is>
          <t>G x F</t>
        </is>
      </c>
      <c r="I18" s="425" t="inlineStr">
        <is>
          <t>H / E / 1000</t>
        </is>
      </c>
    </row>
    <row r="19">
      <c r="A19" s="281" t="inlineStr">
        <is>
          <t>Paris — Lyon (TGV)</t>
        </is>
      </c>
      <c r="B19" s="297" t="inlineStr">
        <is>
          <t>T07</t>
        </is>
      </c>
      <c r="C19" s="426" t="n">
        <v>24</v>
      </c>
      <c r="D19" s="426" t="n">
        <v>900</v>
      </c>
      <c r="E19" s="426" t="n">
        <v>1</v>
      </c>
      <c r="F19" s="454">
        <f>IFERROR(VLOOKUP(B19,'02_FACTEURS_ÉMISSION2'!$A:$C,3,0),0)</f>
        <v/>
      </c>
      <c r="G19" s="466">
        <f>C19*D19</f>
        <v/>
      </c>
      <c r="H19" s="455">
        <f>G19*F19</f>
        <v/>
      </c>
      <c r="I19" s="1042">
        <f>IFERROR(H19/E19/1000,0)</f>
        <v/>
      </c>
    </row>
    <row r="20">
      <c r="A20" s="281" t="inlineStr">
        <is>
          <t>Paris — Londres (Avion CC)</t>
        </is>
      </c>
      <c r="B20" s="297" t="inlineStr">
        <is>
          <t>T13</t>
        </is>
      </c>
      <c r="C20" s="426" t="n">
        <v>8</v>
      </c>
      <c r="D20" s="426" t="n">
        <v>700</v>
      </c>
      <c r="E20" s="426" t="n">
        <v>1</v>
      </c>
      <c r="F20" s="453">
        <f>IFERROR(VLOOKUP(B20,'02_FACTEURS_ÉMISSION2'!$A:$C,3,0),0)</f>
        <v/>
      </c>
      <c r="G20" s="451">
        <f>C20*D20</f>
        <v/>
      </c>
      <c r="H20" s="299">
        <f>G20*F20</f>
        <v/>
      </c>
      <c r="I20" s="1030">
        <f>IFERROR(H20/E20/1000,0)</f>
        <v/>
      </c>
    </row>
    <row r="21">
      <c r="A21" s="281" t="inlineStr">
        <is>
          <t>Paris — New York (Avion LC)</t>
        </is>
      </c>
      <c r="B21" s="297" t="inlineStr">
        <is>
          <t>T15</t>
        </is>
      </c>
      <c r="C21" s="426" t="n">
        <v>2</v>
      </c>
      <c r="D21" s="426" t="n">
        <v>11400</v>
      </c>
      <c r="E21" s="426" t="n">
        <v>1</v>
      </c>
      <c r="F21" s="454">
        <f>IFERROR(VLOOKUP(B21,'02_FACTEURS_ÉMISSION2'!$A:$C,3,0),0)</f>
        <v/>
      </c>
      <c r="G21" s="466">
        <f>C21*D21</f>
        <v/>
      </c>
      <c r="H21" s="455">
        <f>G21*F21</f>
        <v/>
      </c>
      <c r="I21" s="1042">
        <f>IFERROR(H21/E21/1000,0)</f>
        <v/>
      </c>
    </row>
    <row r="22">
      <c r="A22" s="281" t="inlineStr">
        <is>
          <t>Client région (Voiture)</t>
        </is>
      </c>
      <c r="B22" s="297" t="inlineStr">
        <is>
          <t>T01</t>
        </is>
      </c>
      <c r="C22" s="426" t="n">
        <v>40</v>
      </c>
      <c r="D22" s="426" t="n">
        <v>300</v>
      </c>
      <c r="E22" s="426" t="n">
        <v>1</v>
      </c>
      <c r="F22" s="453">
        <f>IFERROR(VLOOKUP(B22,'02_FACTEURS_ÉMISSION2'!$A:$C,3,0),0)</f>
        <v/>
      </c>
      <c r="G22" s="451">
        <f>C22*D22</f>
        <v/>
      </c>
      <c r="H22" s="299">
        <f>G22*F22</f>
        <v/>
      </c>
      <c r="I22" s="1030">
        <f>IFERROR(H22/E22/1000,0)</f>
        <v/>
      </c>
    </row>
    <row r="23">
      <c r="A23" s="281" t="inlineStr">
        <is>
          <t>Salon professionnel (Avion MC)</t>
        </is>
      </c>
      <c r="B23" s="297" t="inlineStr">
        <is>
          <t>T14</t>
        </is>
      </c>
      <c r="C23" s="426" t="n">
        <v>4</v>
      </c>
      <c r="D23" s="426" t="n">
        <v>3000</v>
      </c>
      <c r="E23" s="426" t="n">
        <v>1</v>
      </c>
      <c r="F23" s="454">
        <f>IFERROR(VLOOKUP(B23,'02_FACTEURS_ÉMISSION2'!$A:$C,3,0),0)</f>
        <v/>
      </c>
      <c r="G23" s="466">
        <f>C23*D23</f>
        <v/>
      </c>
      <c r="H23" s="455">
        <f>G23*F23</f>
        <v/>
      </c>
      <c r="I23" s="1042">
        <f>IFERROR(H23/E23/1000,0)</f>
        <v/>
      </c>
    </row>
    <row r="24">
      <c r="A24" s="281" t="n"/>
      <c r="B24" s="297" t="inlineStr">
        <is>
          <t>T01</t>
        </is>
      </c>
      <c r="C24" s="426" t="n">
        <v>0</v>
      </c>
      <c r="D24" s="426" t="n">
        <v>0</v>
      </c>
      <c r="E24" s="426" t="n">
        <v>1</v>
      </c>
      <c r="F24" s="453">
        <f>IFERROR(VLOOKUP(B24,'02_FACTEURS_ÉMISSION2'!$A:$C,3,0),0)</f>
        <v/>
      </c>
      <c r="G24" s="451">
        <f>C24*D24</f>
        <v/>
      </c>
      <c r="H24" s="299">
        <f>G24*F24</f>
        <v/>
      </c>
      <c r="I24" s="1030">
        <f>IFERROR(H24/E24/1000,0)</f>
        <v/>
      </c>
    </row>
    <row r="25">
      <c r="A25" s="281" t="n"/>
      <c r="B25" s="297" t="inlineStr">
        <is>
          <t>T01</t>
        </is>
      </c>
      <c r="C25" s="426" t="n">
        <v>0</v>
      </c>
      <c r="D25" s="426" t="n">
        <v>0</v>
      </c>
      <c r="E25" s="426" t="n">
        <v>1</v>
      </c>
      <c r="F25" s="454">
        <f>IFERROR(VLOOKUP(B25,'02_FACTEURS_ÉMISSION2'!$A:$C,3,0),0)</f>
        <v/>
      </c>
      <c r="G25" s="466">
        <f>C25*D25</f>
        <v/>
      </c>
      <c r="H25" s="455">
        <f>G25*F25</f>
        <v/>
      </c>
      <c r="I25" s="1042">
        <f>IFERROR(H25/E25/1000,0)</f>
        <v/>
      </c>
    </row>
    <row r="26">
      <c r="A26" s="281" t="n"/>
      <c r="B26" s="297" t="inlineStr">
        <is>
          <t>T01</t>
        </is>
      </c>
      <c r="C26" s="426" t="n">
        <v>0</v>
      </c>
      <c r="D26" s="426" t="n">
        <v>0</v>
      </c>
      <c r="E26" s="426" t="n">
        <v>1</v>
      </c>
      <c r="F26" s="453">
        <f>IFERROR(VLOOKUP(B26,'02_FACTEURS_ÉMISSION2'!$A:$C,3,0),0)</f>
        <v/>
      </c>
      <c r="G26" s="451">
        <f>C26*D26</f>
        <v/>
      </c>
      <c r="H26" s="299">
        <f>G26*F26</f>
        <v/>
      </c>
      <c r="I26" s="1030">
        <f>IFERROR(H26/E26/1000,0)</f>
        <v/>
      </c>
    </row>
    <row r="27">
      <c r="A27" s="281" t="n"/>
      <c r="B27" s="297" t="inlineStr">
        <is>
          <t>T01</t>
        </is>
      </c>
      <c r="C27" s="426" t="n">
        <v>0</v>
      </c>
      <c r="D27" s="426" t="n">
        <v>0</v>
      </c>
      <c r="E27" s="426" t="n">
        <v>1</v>
      </c>
      <c r="F27" s="454">
        <f>IFERROR(VLOOKUP(B27,'02_FACTEURS_ÉMISSION2'!$A:$C,3,0),0)</f>
        <v/>
      </c>
      <c r="G27" s="466">
        <f>C27*D27</f>
        <v/>
      </c>
      <c r="H27" s="455">
        <f>G27*F27</f>
        <v/>
      </c>
      <c r="I27" s="1042">
        <f>IFERROR(H27/E27/1000,0)</f>
        <v/>
      </c>
    </row>
    <row r="28">
      <c r="A28" s="281" t="n"/>
      <c r="B28" s="297" t="inlineStr">
        <is>
          <t>T01</t>
        </is>
      </c>
      <c r="C28" s="426" t="n">
        <v>0</v>
      </c>
      <c r="D28" s="426" t="n">
        <v>0</v>
      </c>
      <c r="E28" s="426" t="n">
        <v>1</v>
      </c>
      <c r="F28" s="453">
        <f>IFERROR(VLOOKUP(B28,'02_FACTEURS_ÉMISSION2'!$A:$C,3,0),0)</f>
        <v/>
      </c>
      <c r="G28" s="451">
        <f>C28*D28</f>
        <v/>
      </c>
      <c r="H28" s="299">
        <f>G28*F28</f>
        <v/>
      </c>
      <c r="I28" s="1030">
        <f>IFERROR(H28/E28/1000,0)</f>
        <v/>
      </c>
    </row>
    <row r="29">
      <c r="A29" s="972" t="inlineStr">
        <is>
          <t>TOTAL DÉPLACEMENTS PRO</t>
        </is>
      </c>
      <c r="B29" s="436" t="n"/>
      <c r="C29" s="436" t="n"/>
      <c r="D29" s="436" t="n"/>
      <c r="E29" s="436" t="n"/>
      <c r="F29" s="436" t="n"/>
      <c r="G29" s="438">
        <f>SUM(G19:G28)</f>
        <v/>
      </c>
      <c r="H29" s="438">
        <f>SUM(H19:H28)</f>
        <v/>
      </c>
      <c r="I29" s="438">
        <f>SUM(I19:I28)</f>
        <v/>
      </c>
    </row>
    <row r="31">
      <c r="A31" s="952" t="inlineStr">
        <is>
          <t>C — FLOTTE DE VÉHICULES SOCIÉTÉ (Scope 1)</t>
        </is>
      </c>
    </row>
    <row r="32">
      <c r="A32" s="946" t="inlineStr">
        <is>
          <t>ID véhicule / Immat.</t>
        </is>
      </c>
      <c r="B32" s="946" t="inlineStr">
        <is>
          <t>Type carburant</t>
        </is>
      </c>
      <c r="C32" s="946" t="inlineStr">
        <is>
          <t>Consommation réelle</t>
        </is>
      </c>
      <c r="D32" s="946" t="inlineStr">
        <is>
          <t>Unité conso</t>
        </is>
      </c>
      <c r="E32" s="946" t="inlineStr">
        <is>
          <t>Km parcourus/an</t>
        </is>
      </c>
      <c r="F32" s="946" t="inlineStr">
        <is>
          <t>Facteur carburant (kgCO2e/u)</t>
        </is>
      </c>
      <c r="G32" s="946" t="inlineStr">
        <is>
          <t>Litres ou kWh/an</t>
        </is>
      </c>
      <c r="H32" s="946" t="inlineStr">
        <is>
          <t>CO2 (kgCO2e)</t>
        </is>
      </c>
      <c r="I32" s="946" t="inlineStr">
        <is>
          <t>CO2 (tCO2e)</t>
        </is>
      </c>
    </row>
    <row r="33">
      <c r="A33" s="425" t="inlineStr">
        <is>
          <t>Immatriculation / ID</t>
        </is>
      </c>
      <c r="B33" s="425" t="inlineStr">
        <is>
          <t>Diesel/Essence/Elec</t>
        </is>
      </c>
      <c r="C33" s="425" t="inlineStr">
        <is>
          <t>L/100km ou kWh/100km</t>
        </is>
      </c>
      <c r="D33" s="425" t="inlineStr">
        <is>
          <t>L/100 ou kWh/100</t>
        </is>
      </c>
      <c r="E33" s="425" t="inlineStr">
        <is>
          <t>relevé compteur</t>
        </is>
      </c>
      <c r="F33" s="425" t="inlineStr">
        <is>
          <t>2.67 diesel, 2.31 ess, mix elec</t>
        </is>
      </c>
      <c r="G33" s="425" t="inlineStr">
        <is>
          <t>E x C / 100</t>
        </is>
      </c>
      <c r="H33" s="425" t="inlineStr">
        <is>
          <t>G x F</t>
        </is>
      </c>
      <c r="I33" s="425" t="inlineStr">
        <is>
          <t>H / 1000</t>
        </is>
      </c>
    </row>
    <row r="34">
      <c r="A34" s="281" t="inlineStr">
        <is>
          <t>VH-001</t>
        </is>
      </c>
      <c r="B34" s="297" t="inlineStr">
        <is>
          <t>Diesel</t>
        </is>
      </c>
      <c r="C34" s="456" t="n">
        <v>6.5</v>
      </c>
      <c r="D34" s="297" t="inlineStr">
        <is>
          <t>L/100km</t>
        </is>
      </c>
      <c r="E34" s="426" t="n">
        <v>0</v>
      </c>
      <c r="F34" s="607" t="n">
        <v>2.67</v>
      </c>
      <c r="G34" s="609">
        <f>E34*C34/100</f>
        <v/>
      </c>
      <c r="H34" s="303">
        <f>G34*F34</f>
        <v/>
      </c>
      <c r="I34" s="1043">
        <f>H34/1000</f>
        <v/>
      </c>
    </row>
    <row r="35">
      <c r="A35" s="281" t="inlineStr">
        <is>
          <t>VH-002</t>
        </is>
      </c>
      <c r="B35" s="297" t="inlineStr">
        <is>
          <t>Diesel</t>
        </is>
      </c>
      <c r="C35" s="456" t="n">
        <v>6.5</v>
      </c>
      <c r="D35" s="81" t="inlineStr">
        <is>
          <t>L/100km</t>
        </is>
      </c>
      <c r="E35" s="426" t="n">
        <v>0</v>
      </c>
      <c r="F35" s="608" t="n">
        <v>2.67</v>
      </c>
      <c r="G35" s="610">
        <f>E35*C35/100</f>
        <v/>
      </c>
      <c r="H35" s="299">
        <f>G35*F35</f>
        <v/>
      </c>
      <c r="I35" s="1030">
        <f>H35/1000</f>
        <v/>
      </c>
    </row>
    <row r="36">
      <c r="A36" s="281" t="inlineStr">
        <is>
          <t>VH-003</t>
        </is>
      </c>
      <c r="B36" s="297" t="inlineStr">
        <is>
          <t>Essence</t>
        </is>
      </c>
      <c r="C36" s="456" t="n">
        <v>7.5</v>
      </c>
      <c r="D36" s="297" t="inlineStr">
        <is>
          <t>L/100km</t>
        </is>
      </c>
      <c r="E36" s="426" t="n">
        <v>0</v>
      </c>
      <c r="F36" s="607" t="n">
        <v>2.31</v>
      </c>
      <c r="G36" s="609">
        <f>E36*C36/100</f>
        <v/>
      </c>
      <c r="H36" s="303">
        <f>G36*F36</f>
        <v/>
      </c>
      <c r="I36" s="1043">
        <f>H36/1000</f>
        <v/>
      </c>
    </row>
    <row r="37">
      <c r="A37" s="281" t="inlineStr">
        <is>
          <t>VH-004</t>
        </is>
      </c>
      <c r="B37" s="297" t="inlineStr">
        <is>
          <t>Hybride</t>
        </is>
      </c>
      <c r="C37" s="456" t="n">
        <v>4.5</v>
      </c>
      <c r="D37" s="81" t="inlineStr">
        <is>
          <t>L/100km</t>
        </is>
      </c>
      <c r="E37" s="426" t="n">
        <v>0</v>
      </c>
      <c r="F37" s="608" t="n">
        <v>2.31</v>
      </c>
      <c r="G37" s="610">
        <f>E37*C37/100</f>
        <v/>
      </c>
      <c r="H37" s="299">
        <f>G37*F37</f>
        <v/>
      </c>
      <c r="I37" s="1030">
        <f>H37/1000</f>
        <v/>
      </c>
    </row>
    <row r="38">
      <c r="A38" s="281" t="inlineStr">
        <is>
          <t>VH-005</t>
        </is>
      </c>
      <c r="B38" s="297" t="inlineStr">
        <is>
          <t>Électrique</t>
        </is>
      </c>
      <c r="C38" s="456" t="n">
        <v>18</v>
      </c>
      <c r="D38" s="297" t="inlineStr">
        <is>
          <t>kWh/100km</t>
        </is>
      </c>
      <c r="E38" s="426" t="n">
        <v>0</v>
      </c>
      <c r="F38" s="607" t="n">
        <v>0.0569</v>
      </c>
      <c r="G38" s="609">
        <f>E38*C38/100</f>
        <v/>
      </c>
      <c r="H38" s="303">
        <f>G38*F38</f>
        <v/>
      </c>
      <c r="I38" s="1043">
        <f>H38/1000</f>
        <v/>
      </c>
    </row>
    <row r="39">
      <c r="A39" s="281" t="inlineStr">
        <is>
          <t>VH-006</t>
        </is>
      </c>
      <c r="B39" s="297" t="inlineStr">
        <is>
          <t>Diesel</t>
        </is>
      </c>
      <c r="C39" s="456" t="n">
        <v>6.5</v>
      </c>
      <c r="D39" s="81" t="inlineStr">
        <is>
          <t>L/100km</t>
        </is>
      </c>
      <c r="E39" s="426" t="n">
        <v>0</v>
      </c>
      <c r="F39" s="608" t="n">
        <v>2.67</v>
      </c>
      <c r="G39" s="610">
        <f>E39*C39/100</f>
        <v/>
      </c>
      <c r="H39" s="299">
        <f>G39*F39</f>
        <v/>
      </c>
      <c r="I39" s="1030">
        <f>H39/1000</f>
        <v/>
      </c>
    </row>
    <row r="40">
      <c r="A40" s="281" t="inlineStr">
        <is>
          <t>VH-007</t>
        </is>
      </c>
      <c r="B40" s="297" t="inlineStr">
        <is>
          <t>Diesel</t>
        </is>
      </c>
      <c r="C40" s="456" t="n">
        <v>6.5</v>
      </c>
      <c r="D40" s="297" t="inlineStr">
        <is>
          <t>L/100km</t>
        </is>
      </c>
      <c r="E40" s="426" t="n">
        <v>0</v>
      </c>
      <c r="F40" s="607" t="n">
        <v>2.67</v>
      </c>
      <c r="G40" s="609">
        <f>E40*C40/100</f>
        <v/>
      </c>
      <c r="H40" s="303">
        <f>G40*F40</f>
        <v/>
      </c>
      <c r="I40" s="1043">
        <f>H40/1000</f>
        <v/>
      </c>
    </row>
    <row r="41">
      <c r="A41" s="459" t="inlineStr">
        <is>
          <t>TOTAL FLOTTE VÉHICULES</t>
        </is>
      </c>
      <c r="B41" s="458" t="n"/>
      <c r="C41" s="458" t="n"/>
      <c r="D41" s="458" t="n"/>
      <c r="E41" s="458" t="n"/>
      <c r="F41" s="458" t="n"/>
      <c r="G41" s="460">
        <f>SUM(G34:G40)</f>
        <v/>
      </c>
      <c r="H41" s="460">
        <f>SUM(H34:H40)</f>
        <v/>
      </c>
      <c r="I41" s="460">
        <f>SUM(I34:I40)</f>
        <v/>
      </c>
    </row>
    <row r="43">
      <c r="A43" s="953" t="inlineStr">
        <is>
          <t>SYNTHÈSE — TOTAL TRANSPORT</t>
        </is>
      </c>
    </row>
    <row r="44">
      <c r="A44" s="946" t="inlineStr">
        <is>
          <t>Poste</t>
        </is>
      </c>
      <c r="B44" s="946" t="inlineStr">
        <is>
          <t>CO2 (kgCO2e)</t>
        </is>
      </c>
      <c r="C44" s="946" t="inlineStr">
        <is>
          <t>CO2 (tCO2e)</t>
        </is>
      </c>
      <c r="D44" s="946" t="inlineStr">
        <is>
          <t>Scope GES</t>
        </is>
      </c>
      <c r="E44" s="946" t="inlineStr">
        <is>
          <t>% du total transport</t>
        </is>
      </c>
      <c r="F44" s="946" t="n"/>
      <c r="G44" s="946" t="n"/>
      <c r="H44" s="946" t="n"/>
      <c r="I44" s="946" t="n"/>
    </row>
    <row r="45">
      <c r="A45" s="297" t="inlineStr">
        <is>
          <t>Domicile-Travail</t>
        </is>
      </c>
      <c r="B45" s="445">
        <f>G14</f>
        <v/>
      </c>
      <c r="C45" s="303">
        <f>I14</f>
        <v/>
      </c>
      <c r="D45" s="297" t="inlineStr">
        <is>
          <t>Scope 3 Cat.7</t>
        </is>
      </c>
      <c r="E45" s="1034">
        <f>IFERROR(C45/C49,0)</f>
        <v/>
      </c>
    </row>
    <row r="46">
      <c r="A46" s="81" t="inlineStr">
        <is>
          <t>Déplacements pro</t>
        </is>
      </c>
      <c r="B46" s="446">
        <f>H29</f>
        <v/>
      </c>
      <c r="C46" s="299">
        <f>I29</f>
        <v/>
      </c>
      <c r="D46" s="81" t="inlineStr">
        <is>
          <t>Scope 3 Cat.6</t>
        </is>
      </c>
      <c r="E46" s="1035">
        <f>IFERROR(C46/C49,0)</f>
        <v/>
      </c>
    </row>
    <row r="47">
      <c r="A47" s="297" t="inlineStr">
        <is>
          <t>Flotte véhicules</t>
        </is>
      </c>
      <c r="B47" s="445">
        <f>H41</f>
        <v/>
      </c>
      <c r="C47" s="303">
        <f>I41</f>
        <v/>
      </c>
      <c r="D47" s="297" t="inlineStr">
        <is>
          <t>Scope 1</t>
        </is>
      </c>
      <c r="E47" s="1034">
        <f>IFERROR(C47/C49,0)</f>
        <v/>
      </c>
    </row>
    <row r="49" ht="15.75" customHeight="1" s="847">
      <c r="A49" s="970" t="inlineStr">
        <is>
          <t>TOTAL TRANSPORT</t>
        </is>
      </c>
      <c r="B49" s="448">
        <f>SUM(B45:B47)</f>
        <v/>
      </c>
      <c r="C49" s="448">
        <f>SUM(C45:C47)</f>
        <v/>
      </c>
      <c r="D49" s="298" t="n"/>
      <c r="E49" s="298" t="n"/>
      <c r="F49" s="298" t="n"/>
      <c r="G49" s="298" t="n"/>
      <c r="H49" s="298" t="n"/>
      <c r="I49" s="298" t="n"/>
    </row>
  </sheetData>
  <mergeCells count="6">
    <mergeCell ref="A43:I43"/>
    <mergeCell ref="A1:M1"/>
    <mergeCell ref="A31:I31"/>
    <mergeCell ref="A3:I3"/>
    <mergeCell ref="A2:M2"/>
    <mergeCell ref="A16:I16"/>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O33"/>
  <sheetViews>
    <sheetView showGridLines="0" workbookViewId="0">
      <pane ySplit="2" topLeftCell="A3" activePane="bottomLeft" state="frozen"/>
      <selection pane="bottomLeft" activeCell="H7" sqref="H7"/>
    </sheetView>
  </sheetViews>
  <sheetFormatPr baseColWidth="10" defaultRowHeight="15"/>
  <cols>
    <col width="26.7109375" bestFit="1" customWidth="1" style="847" min="1" max="1"/>
  </cols>
  <sheetData>
    <row r="1" ht="18.75" customHeight="1" s="847">
      <c r="A1" s="950" t="inlineStr">
        <is>
          <t>RESTAURATION D'ENTREPRISE — Repas, Café &amp; Boissons</t>
        </is>
      </c>
      <c r="N1" s="283" t="inlineStr">
        <is>
          <t>🏠 Sommaire</t>
        </is>
      </c>
      <c r="O1" s="284" t="inlineStr">
        <is>
          <t>📄 Couverture</t>
        </is>
      </c>
    </row>
    <row r="2">
      <c r="A2" s="954" t="inlineStr">
        <is>
          <t>Scope 3 Cat.1. Formule : Nb_repas_type x Facteur_type + Nb_cafés x 0.058. Sources : Ecoinvent 3.10, Base Carbone ADEME 2024, études LCA café.</t>
        </is>
      </c>
    </row>
    <row r="3">
      <c r="A3" s="952" t="inlineStr">
        <is>
          <t>A — RÉPARTITION DES REPAS (Scope 3 Cat. 1)</t>
        </is>
      </c>
    </row>
    <row r="4">
      <c r="A4" s="946" t="inlineStr">
        <is>
          <t>Type de repas (ID FE)</t>
        </is>
      </c>
      <c r="B4" s="946" t="inlineStr">
        <is>
          <t>% repas ce type</t>
        </is>
      </c>
      <c r="C4" s="946" t="inlineStr">
        <is>
          <t>Facteur (kgCO2e/repas)</t>
        </is>
      </c>
      <c r="D4" s="946" t="inlineStr">
        <is>
          <t>Nb employés</t>
        </is>
      </c>
      <c r="E4" s="946" t="inlineStr">
        <is>
          <t>Jours ouvres/an</t>
        </is>
      </c>
      <c r="F4" s="946" t="inlineStr">
        <is>
          <t>Total repas ce type</t>
        </is>
      </c>
      <c r="G4" s="946" t="inlineStr">
        <is>
          <t>CO2 (kgCO2e)</t>
        </is>
      </c>
      <c r="H4" s="946" t="inlineStr">
        <is>
          <t>CO2 (tCO2e)</t>
        </is>
      </c>
      <c r="I4" s="946" t="inlineStr">
        <is>
          <t>CO2/employé/an (kg)</t>
        </is>
      </c>
      <c r="J4" s="946" t="n"/>
    </row>
    <row r="5">
      <c r="A5" s="425" t="inlineStr">
        <is>
          <t>ex: A01 Végétalien</t>
        </is>
      </c>
      <c r="B5" s="425" t="inlineStr">
        <is>
          <t>enquête ou estim.</t>
        </is>
      </c>
      <c r="C5" s="425" t="inlineStr">
        <is>
          <t>VLOOKUP(A;FE)</t>
        </is>
      </c>
      <c r="D5" s="425" t="inlineStr">
        <is>
          <t>Paramètres!B11</t>
        </is>
      </c>
      <c r="E5" s="425" t="inlineStr">
        <is>
          <t>Paramètres!B30</t>
        </is>
      </c>
      <c r="F5" s="425" t="inlineStr">
        <is>
          <t>D x E x B</t>
        </is>
      </c>
      <c r="G5" s="425" t="inlineStr">
        <is>
          <t>F x C</t>
        </is>
      </c>
      <c r="H5" s="425" t="inlineStr">
        <is>
          <t>G / 1000</t>
        </is>
      </c>
      <c r="I5" s="425" t="inlineStr">
        <is>
          <t>G / D</t>
        </is>
      </c>
      <c r="J5" s="425" t="n"/>
    </row>
    <row r="6">
      <c r="A6" s="341" t="inlineStr">
        <is>
          <t>A01 — Végétalien</t>
        </is>
      </c>
      <c r="B6" s="429" t="n">
        <v>0.05</v>
      </c>
      <c r="C6" s="461">
        <f>IFERROR(VLOOKUP(LEFT(A6,3),'02_FACTEURS_ÉMISSION2'!$A:$C,3,0),0)</f>
        <v/>
      </c>
      <c r="D6" s="462">
        <f>IFERROR('01_PARAMÈTRES2'!B12,50)</f>
        <v/>
      </c>
      <c r="E6" s="462">
        <f>IFERROR('01_PARAMÈTRES2'!B15,220)</f>
        <v/>
      </c>
      <c r="F6" s="300">
        <f>D6*E6*B6</f>
        <v/>
      </c>
      <c r="G6" s="300">
        <f>F6*C6</f>
        <v/>
      </c>
      <c r="H6" s="300">
        <f>G6/1000</f>
        <v/>
      </c>
      <c r="I6" s="300">
        <f>IFERROR(G6/D6,0)</f>
        <v/>
      </c>
      <c r="J6" s="293" t="n"/>
    </row>
    <row r="7">
      <c r="A7" s="341" t="inlineStr">
        <is>
          <t>A02 — Végétarien</t>
        </is>
      </c>
      <c r="B7" s="429" t="n">
        <v>0.15</v>
      </c>
      <c r="C7" s="453">
        <f>IFERROR(VLOOKUP(LEFT(A7,3),'02_FACTEURS_ÉMISSION2'!$A:$C,3,0),0)</f>
        <v/>
      </c>
      <c r="D7" s="451">
        <f>IFERROR('01_PARAMÈTRES2'!B12,50)</f>
        <v/>
      </c>
      <c r="E7" s="451">
        <f>IFERROR('01_PARAMÈTRES2'!B15,220)</f>
        <v/>
      </c>
      <c r="F7" s="299">
        <f>D7*E7*B7</f>
        <v/>
      </c>
      <c r="G7" s="299">
        <f>F7*C7</f>
        <v/>
      </c>
      <c r="H7" s="299">
        <f>G7/1000</f>
        <v/>
      </c>
      <c r="I7" s="299">
        <f>IFERROR(G7/D7,0)</f>
        <v/>
      </c>
      <c r="J7" s="81" t="n"/>
    </row>
    <row r="8">
      <c r="A8" s="341" t="inlineStr">
        <is>
          <t>A05 — Viande blanche</t>
        </is>
      </c>
      <c r="B8" s="429" t="n">
        <v>0.35</v>
      </c>
      <c r="C8" s="461">
        <f>IFERROR(VLOOKUP(LEFT(A8,3),'02_FACTEURS_ÉMISSION2'!$A:$C,3,0),0)</f>
        <v/>
      </c>
      <c r="D8" s="462">
        <f>IFERROR('01_PARAMÈTRES2'!B12,50)</f>
        <v/>
      </c>
      <c r="E8" s="462">
        <f>IFERROR('01_PARAMÈTRES2'!B15,220)</f>
        <v/>
      </c>
      <c r="F8" s="300">
        <f>D8*E8*B8</f>
        <v/>
      </c>
      <c r="G8" s="300">
        <f>F8*C8</f>
        <v/>
      </c>
      <c r="H8" s="300">
        <f>G8/1000</f>
        <v/>
      </c>
      <c r="I8" s="300">
        <f>IFERROR(G8/D8,0)</f>
        <v/>
      </c>
      <c r="J8" s="293" t="n"/>
    </row>
    <row r="9">
      <c r="A9" s="341" t="inlineStr">
        <is>
          <t>A04 — Viande rouge</t>
        </is>
      </c>
      <c r="B9" s="429" t="n">
        <v>0.25</v>
      </c>
      <c r="C9" s="453">
        <f>IFERROR(VLOOKUP(LEFT(A9,3),'02_FACTEURS_ÉMISSION2'!$A:$C,3,0),0)</f>
        <v/>
      </c>
      <c r="D9" s="451">
        <f>IFERROR('01_PARAMÈTRES2'!B12,50)</f>
        <v/>
      </c>
      <c r="E9" s="451">
        <f>IFERROR('01_PARAMÈTRES2'!B15,220)</f>
        <v/>
      </c>
      <c r="F9" s="299">
        <f>D9*E9*B9</f>
        <v/>
      </c>
      <c r="G9" s="299">
        <f>F9*C9</f>
        <v/>
      </c>
      <c r="H9" s="299">
        <f>G9/1000</f>
        <v/>
      </c>
      <c r="I9" s="299">
        <f>IFERROR(G9/D9,0)</f>
        <v/>
      </c>
      <c r="J9" s="81" t="n"/>
    </row>
    <row r="10">
      <c r="A10" s="341" t="inlineStr">
        <is>
          <t>A06 — Poisson</t>
        </is>
      </c>
      <c r="B10" s="429" t="n">
        <v>0.2</v>
      </c>
      <c r="C10" s="461">
        <f>IFERROR(VLOOKUP(LEFT(A10,3),'02_FACTEURS_ÉMISSION2'!$A:$C,3,0),0)</f>
        <v/>
      </c>
      <c r="D10" s="462">
        <f>IFERROR('01_PARAMÈTRES2'!B12,50)</f>
        <v/>
      </c>
      <c r="E10" s="462">
        <f>IFERROR('01_PARAMÈTRES2'!B15,220)</f>
        <v/>
      </c>
      <c r="F10" s="300">
        <f>D10*E10*B10</f>
        <v/>
      </c>
      <c r="G10" s="300">
        <f>F10*C10</f>
        <v/>
      </c>
      <c r="H10" s="300">
        <f>G10/1000</f>
        <v/>
      </c>
      <c r="I10" s="300">
        <f>IFERROR(G10/D10,0)</f>
        <v/>
      </c>
      <c r="J10" s="293" t="n"/>
    </row>
    <row r="11">
      <c r="A11" s="341" t="inlineStr">
        <is>
          <t>A03 — Standard (mixte)</t>
        </is>
      </c>
      <c r="B11" s="429" t="n">
        <v>0</v>
      </c>
      <c r="C11" s="453">
        <f>IFERROR(VLOOKUP(LEFT(A11,3),'02_FACTEURS_ÉMISSION2'!$A:$C,3,0),0)</f>
        <v/>
      </c>
      <c r="D11" s="451">
        <f>IFERROR('01_PARAMÈTRES2'!B12,50)</f>
        <v/>
      </c>
      <c r="E11" s="451">
        <f>IFERROR('01_PARAMÈTRES2'!B15,220)</f>
        <v/>
      </c>
      <c r="F11" s="299">
        <f>D11*E11*B11</f>
        <v/>
      </c>
      <c r="G11" s="299">
        <f>F11*C11</f>
        <v/>
      </c>
      <c r="H11" s="299">
        <f>G11/1000</f>
        <v/>
      </c>
      <c r="I11" s="299">
        <f>IFERROR(G11/D11,0)</f>
        <v/>
      </c>
      <c r="J11" s="81" t="n"/>
    </row>
    <row r="12">
      <c r="A12" s="341" t="inlineStr">
        <is>
          <t>A08 — Restaurant ext.</t>
        </is>
      </c>
      <c r="B12" s="429" t="n">
        <v>0</v>
      </c>
      <c r="C12" s="461">
        <f>IFERROR(VLOOKUP(LEFT(A12,3),'02_FACTEURS_ÉMISSION2'!$A:$C,3,0),0)</f>
        <v/>
      </c>
      <c r="D12" s="462">
        <f>IFERROR('01_PARAMÈTRES2'!B12,50)</f>
        <v/>
      </c>
      <c r="E12" s="462">
        <f>IFERROR('01_PARAMÈTRES2'!B15,220)</f>
        <v/>
      </c>
      <c r="F12" s="300">
        <f>D12*E12*B12</f>
        <v/>
      </c>
      <c r="G12" s="300">
        <f>F12*C12</f>
        <v/>
      </c>
      <c r="H12" s="300">
        <f>G12/1000</f>
        <v/>
      </c>
      <c r="I12" s="300">
        <f>IFERROR(G12/D12,0)</f>
        <v/>
      </c>
      <c r="J12" s="293" t="n"/>
    </row>
    <row r="13">
      <c r="A13" s="463" t="inlineStr">
        <is>
          <t>Contrôle : % total repas</t>
        </is>
      </c>
      <c r="B13" s="464">
        <f>SUM(B6:B12)</f>
        <v/>
      </c>
      <c r="C13" s="465" t="inlineStr">
        <is>
          <t>← doit être = 100%</t>
        </is>
      </c>
      <c r="D13" s="991" t="n"/>
      <c r="E13" s="991" t="n"/>
      <c r="F13" s="991" t="n"/>
      <c r="G13" s="991" t="n"/>
      <c r="H13" s="991" t="n"/>
      <c r="I13" s="991" t="n"/>
      <c r="J13" s="991" t="n"/>
    </row>
    <row r="14">
      <c r="A14" s="976" t="inlineStr">
        <is>
          <t>SOUS-TOTAL REPAS</t>
        </is>
      </c>
      <c r="B14" s="431" t="n"/>
      <c r="C14" s="431" t="n"/>
      <c r="D14" s="431" t="n"/>
      <c r="E14" s="431" t="n"/>
      <c r="F14" s="433">
        <f>SUM(F6:F12)</f>
        <v/>
      </c>
      <c r="G14" s="433">
        <f>SUM(G6:G12)</f>
        <v/>
      </c>
      <c r="H14" s="433">
        <f>SUM(H6:H12)</f>
        <v/>
      </c>
      <c r="I14" s="433">
        <f>IFERROR(G14/'01_PARAMÈTRES2'!B12,0)</f>
        <v/>
      </c>
      <c r="J14" s="431" t="n"/>
    </row>
    <row r="16">
      <c r="A16" s="952" t="inlineStr">
        <is>
          <t>B — CAFÉ &amp; BOISSONS (Scope 3 Cat. 1)</t>
        </is>
      </c>
    </row>
    <row r="17">
      <c r="A17" s="946" t="inlineStr">
        <is>
          <t>Boisson / Type</t>
        </is>
      </c>
      <c r="B17" s="946" t="inlineStr">
        <is>
          <t>Nb consommations/j/pers</t>
        </is>
      </c>
      <c r="C17" s="946" t="inlineStr">
        <is>
          <t>Facteur (kgCO2e/unité)</t>
        </is>
      </c>
      <c r="D17" s="946" t="inlineStr">
        <is>
          <t>Nb employés</t>
        </is>
      </c>
      <c r="E17" s="946" t="inlineStr">
        <is>
          <t>Jours ouvres/an</t>
        </is>
      </c>
      <c r="F17" s="946" t="inlineStr">
        <is>
          <t>Total unités/an</t>
        </is>
      </c>
      <c r="G17" s="946" t="inlineStr">
        <is>
          <t>CO2 (kgCO2e)</t>
        </is>
      </c>
      <c r="H17" s="946" t="inlineStr">
        <is>
          <t>CO2 (tCO2e)</t>
        </is>
      </c>
      <c r="I17" s="946" t="inlineStr">
        <is>
          <t>CO2/employé/an (kg)</t>
        </is>
      </c>
      <c r="J17" s="946" t="n"/>
    </row>
    <row r="18">
      <c r="A18" s="425" t="inlineStr">
        <is>
          <t>type de boisson</t>
        </is>
      </c>
      <c r="B18" s="425" t="inlineStr">
        <is>
          <t>nb/j/pers en moy.</t>
        </is>
      </c>
      <c r="C18" s="425" t="inlineStr">
        <is>
          <t>VLOOKUP ou FE fixe</t>
        </is>
      </c>
      <c r="D18" s="425" t="inlineStr">
        <is>
          <t>Paramètres!B11</t>
        </is>
      </c>
      <c r="E18" s="425" t="inlineStr">
        <is>
          <t>Paramètres!B30</t>
        </is>
      </c>
      <c r="F18" s="425" t="inlineStr">
        <is>
          <t>D x E x B</t>
        </is>
      </c>
      <c r="G18" s="425" t="inlineStr">
        <is>
          <t>F x C</t>
        </is>
      </c>
      <c r="H18" s="425" t="inlineStr">
        <is>
          <t>G / 1000</t>
        </is>
      </c>
      <c r="I18" s="425" t="inlineStr">
        <is>
          <t>G / D</t>
        </is>
      </c>
      <c r="J18" s="425" t="n"/>
    </row>
    <row r="19">
      <c r="A19" s="306" t="inlineStr">
        <is>
          <t>A07 — Café (expresso/filtre)</t>
        </is>
      </c>
      <c r="B19" s="456" t="n">
        <v>3</v>
      </c>
      <c r="C19" s="454" t="n">
        <v>0.058</v>
      </c>
      <c r="D19" s="466">
        <f>IFERROR('01_PARAMÈTRES2'!B12,50)</f>
        <v/>
      </c>
      <c r="E19" s="466">
        <f>IFERROR('01_PARAMÈTRES2'!B15,220)</f>
        <v/>
      </c>
      <c r="F19" s="455">
        <f>D19*E19*B19</f>
        <v/>
      </c>
      <c r="G19" s="455">
        <f>F19*C19</f>
        <v/>
      </c>
      <c r="H19" s="455">
        <f>G19/1000</f>
        <v/>
      </c>
      <c r="I19" s="455">
        <f>IFERROR(G19/D19,0)</f>
        <v/>
      </c>
      <c r="J19" s="306" t="n"/>
    </row>
    <row r="20">
      <c r="A20" s="81" t="inlineStr">
        <is>
          <t>N01 — Thé (sachet)</t>
        </is>
      </c>
      <c r="B20" s="456" t="n">
        <v>1</v>
      </c>
      <c r="C20" s="453" t="n">
        <v>0.027</v>
      </c>
      <c r="D20" s="451">
        <f>IFERROR('01_PARAMÈTRES2'!B12,50)</f>
        <v/>
      </c>
      <c r="E20" s="451">
        <f>IFERROR('01_PARAMÈTRES2'!B15,220)</f>
        <v/>
      </c>
      <c r="F20" s="299">
        <f>D20*E20*B20</f>
        <v/>
      </c>
      <c r="G20" s="299">
        <f>F20*C20</f>
        <v/>
      </c>
      <c r="H20" s="299">
        <f>G20/1000</f>
        <v/>
      </c>
      <c r="I20" s="299">
        <f>IFERROR(G20/D20,0)</f>
        <v/>
      </c>
      <c r="J20" s="81" t="n"/>
    </row>
    <row r="21">
      <c r="A21" s="306" t="inlineStr">
        <is>
          <t>— Eau bouteille plastique</t>
        </is>
      </c>
      <c r="B21" s="456" t="n">
        <v>0.5</v>
      </c>
      <c r="C21" s="454" t="n">
        <v>0.083</v>
      </c>
      <c r="D21" s="466">
        <f>IFERROR('01_PARAMÈTRES2'!B12,50)</f>
        <v/>
      </c>
      <c r="E21" s="466">
        <f>IFERROR('01_PARAMÈTRES2'!B15,220)</f>
        <v/>
      </c>
      <c r="F21" s="455">
        <f>D21*E21*B21</f>
        <v/>
      </c>
      <c r="G21" s="455">
        <f>F21*C21</f>
        <v/>
      </c>
      <c r="H21" s="455">
        <f>G21/1000</f>
        <v/>
      </c>
      <c r="I21" s="455">
        <f>IFERROR(G21/D21,0)</f>
        <v/>
      </c>
      <c r="J21" s="306" t="n"/>
    </row>
    <row r="22">
      <c r="A22" s="81" t="inlineStr">
        <is>
          <t>— Boisson sucrée (canette)</t>
        </is>
      </c>
      <c r="B22" s="456" t="n">
        <v>0.3</v>
      </c>
      <c r="C22" s="453" t="n">
        <v>0.13</v>
      </c>
      <c r="D22" s="451">
        <f>IFERROR('01_PARAMÈTRES2'!B12,50)</f>
        <v/>
      </c>
      <c r="E22" s="451">
        <f>IFERROR('01_PARAMÈTRES2'!B15,220)</f>
        <v/>
      </c>
      <c r="F22" s="299">
        <f>D22*E22*B22</f>
        <v/>
      </c>
      <c r="G22" s="299">
        <f>F22*C22</f>
        <v/>
      </c>
      <c r="H22" s="299">
        <f>G22/1000</f>
        <v/>
      </c>
      <c r="I22" s="299">
        <f>IFERROR(G22/D22,0)</f>
        <v/>
      </c>
      <c r="J22" s="81" t="n"/>
    </row>
    <row r="23">
      <c r="A23" s="306" t="inlineStr">
        <is>
          <t>— Eau du robinet</t>
        </is>
      </c>
      <c r="B23" s="456" t="n">
        <v>2</v>
      </c>
      <c r="C23" s="454" t="n">
        <v>0.00035</v>
      </c>
      <c r="D23" s="466">
        <f>IFERROR('01_PARAMÈTRES2'!B12,50)</f>
        <v/>
      </c>
      <c r="E23" s="466">
        <f>IFERROR('01_PARAMÈTRES2'!B15,220)</f>
        <v/>
      </c>
      <c r="F23" s="455">
        <f>D23*E23*B23</f>
        <v/>
      </c>
      <c r="G23" s="455">
        <f>F23*C23</f>
        <v/>
      </c>
      <c r="H23" s="455">
        <f>G23/1000</f>
        <v/>
      </c>
      <c r="I23" s="455">
        <f>IFERROR(G23/D23,0)</f>
        <v/>
      </c>
      <c r="J23" s="306" t="n"/>
    </row>
    <row r="24">
      <c r="A24" s="972" t="inlineStr">
        <is>
          <t>SOUS-TOTAL BOISSONS</t>
        </is>
      </c>
      <c r="B24" s="436" t="n"/>
      <c r="C24" s="436" t="n"/>
      <c r="D24" s="436" t="n"/>
      <c r="E24" s="436" t="n"/>
      <c r="F24" s="436" t="n"/>
      <c r="G24" s="438">
        <f>SUM(G19:G23)</f>
        <v/>
      </c>
      <c r="H24" s="438">
        <f>SUM(H19:H23)</f>
        <v/>
      </c>
      <c r="I24" s="438">
        <f>IFERROR(G24/'01_PARAMÈTRES2'!B12,0)</f>
        <v/>
      </c>
      <c r="J24" s="436" t="n"/>
    </row>
    <row r="26">
      <c r="A26" s="953" t="inlineStr">
        <is>
          <t>SYNTHÈSE — TOTAL RESTAURATION</t>
        </is>
      </c>
    </row>
    <row r="27">
      <c r="A27" s="946" t="inlineStr">
        <is>
          <t>Poste</t>
        </is>
      </c>
      <c r="B27" s="946" t="inlineStr">
        <is>
          <t>CO2 (kgCO2e)</t>
        </is>
      </c>
      <c r="C27" s="946" t="inlineStr">
        <is>
          <t>CO2 (tCO2e)</t>
        </is>
      </c>
      <c r="D27" s="946" t="inlineStr">
        <is>
          <t>CO2/employé/an (kg)</t>
        </is>
      </c>
      <c r="E27" s="946" t="inlineStr">
        <is>
          <t>% du total</t>
        </is>
      </c>
      <c r="F27" s="946" t="n"/>
      <c r="G27" s="946" t="n"/>
      <c r="H27" s="946" t="n"/>
      <c r="I27" s="946" t="n"/>
      <c r="J27" s="946" t="n"/>
    </row>
    <row r="28">
      <c r="A28" s="297" t="inlineStr">
        <is>
          <t>Repas</t>
        </is>
      </c>
      <c r="B28" s="445">
        <f>G14</f>
        <v/>
      </c>
      <c r="C28" s="303">
        <f>H14</f>
        <v/>
      </c>
      <c r="D28" s="303">
        <f>I14</f>
        <v/>
      </c>
      <c r="E28" s="1034">
        <f>IFERROR(C28/C31,0)</f>
        <v/>
      </c>
    </row>
    <row r="29">
      <c r="A29" s="81" t="inlineStr">
        <is>
          <t>Boissons</t>
        </is>
      </c>
      <c r="B29" s="446">
        <f>G24</f>
        <v/>
      </c>
      <c r="C29" s="299">
        <f>H24</f>
        <v/>
      </c>
      <c r="D29" s="299">
        <f>I24</f>
        <v/>
      </c>
      <c r="E29" s="1035">
        <f>IFERROR(C29/C31,0)</f>
        <v/>
      </c>
    </row>
    <row r="31" ht="15.75" customHeight="1" s="847">
      <c r="A31" s="970" t="inlineStr">
        <is>
          <t>TOTAL RESTAURATION</t>
        </is>
      </c>
      <c r="B31" s="448">
        <f>G14+G24</f>
        <v/>
      </c>
      <c r="C31" s="448">
        <f>H14+H24</f>
        <v/>
      </c>
      <c r="D31" s="448">
        <f>IFERROR(B31/'01_PARAMÈTRES2'!B12,0)</f>
        <v/>
      </c>
      <c r="E31" s="298" t="n"/>
      <c r="F31" s="298" t="n"/>
      <c r="G31" s="298" t="n"/>
      <c r="H31" s="298" t="n"/>
      <c r="I31" s="298" t="n"/>
      <c r="J31" s="298" t="n"/>
    </row>
    <row r="33">
      <c r="A33" s="948" t="inlineStr">
        <is>
          <t>Méthode : % de répartition des types de repas x effectif x jours ouvrés x facteur d'émission. Ajustez la colonne B (%) selon enquête interne.</t>
        </is>
      </c>
    </row>
  </sheetData>
  <mergeCells count="6">
    <mergeCell ref="A1:M1"/>
    <mergeCell ref="A3:J3"/>
    <mergeCell ref="A26:J26"/>
    <mergeCell ref="A16:J16"/>
    <mergeCell ref="A2:M2"/>
    <mergeCell ref="A33:J33"/>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O26"/>
  <sheetViews>
    <sheetView showGridLines="0" workbookViewId="0">
      <pane ySplit="2" topLeftCell="A3" activePane="bottomLeft" state="frozen"/>
      <selection pane="bottomLeft" activeCell="F24" sqref="F24"/>
    </sheetView>
  </sheetViews>
  <sheetFormatPr baseColWidth="10" defaultRowHeight="15"/>
  <cols>
    <col width="39.42578125" customWidth="1" style="847" min="1" max="1"/>
    <col width="16.85546875" customWidth="1" style="847" min="2" max="2"/>
    <col width="18.42578125" customWidth="1" style="847" min="6" max="6"/>
    <col width="20" customWidth="1" style="847" min="7" max="7"/>
    <col width="22" customWidth="1" style="847" min="8" max="8"/>
  </cols>
  <sheetData>
    <row r="1" ht="18.75" customHeight="1" s="847">
      <c r="A1" s="950" t="inlineStr">
        <is>
          <t>NOTES DE FRAIS — Hébergement, Repas, Taxis, Vols (annuel entreprise)</t>
        </is>
      </c>
      <c r="N1" s="283" t="inlineStr">
        <is>
          <t>🏠 Sommaire</t>
        </is>
      </c>
      <c r="O1" s="284" t="inlineStr">
        <is>
          <t>📄 Couverture</t>
        </is>
      </c>
    </row>
    <row r="2">
      <c r="A2" s="954" t="inlineStr">
        <is>
          <t>Scope 3 Cat.6. Formule : Volume x Facteur_unitaire. Intensité = kgCO2e / EUR dépensé. Sources : Base Carbone ADEME 2024, DGAC.</t>
        </is>
      </c>
    </row>
    <row r="3">
      <c r="A3" s="952" t="inlineStr">
        <is>
          <t>POSTES DE DÉPENSES — NOTES DE FRAIS (Scope 3 Cat. 6)</t>
        </is>
      </c>
    </row>
    <row r="4">
      <c r="A4" s="946" t="inlineStr">
        <is>
          <t>Poste de dépense</t>
        </is>
      </c>
      <c r="B4" s="946" t="inlineStr">
        <is>
          <t>Volume annuel</t>
        </is>
      </c>
      <c r="C4" s="946" t="inlineStr">
        <is>
          <t>Unité</t>
        </is>
      </c>
      <c r="D4" s="946" t="inlineStr">
        <is>
          <t>Facteur (kgCO2e/unité)</t>
        </is>
      </c>
      <c r="E4" s="946" t="inlineStr">
        <is>
          <t>Source facteur</t>
        </is>
      </c>
      <c r="F4" s="946" t="inlineStr">
        <is>
          <t>CO2 (kgCO2e)</t>
        </is>
      </c>
      <c r="G4" s="946" t="inlineStr">
        <is>
          <t>Montant estimé (EUR)</t>
        </is>
      </c>
      <c r="H4" s="946" t="inlineStr">
        <is>
          <t>Intensité (kgCO2e/EUR)</t>
        </is>
      </c>
    </row>
    <row r="5">
      <c r="A5" s="425" t="inlineStr">
        <is>
          <t>Description du poste</t>
        </is>
      </c>
      <c r="B5" s="425" t="inlineStr">
        <is>
          <t>nuits/repas/km/AR</t>
        </is>
      </c>
      <c r="C5" s="425" t="inlineStr">
        <is>
          <t>nuits/repas/km</t>
        </is>
      </c>
      <c r="D5" s="425" t="inlineStr">
        <is>
          <t>F01-F03 ou T13-T16</t>
        </is>
      </c>
      <c r="E5" s="425" t="inlineStr">
        <is>
          <t>ADEME/DGAC</t>
        </is>
      </c>
      <c r="F5" s="425" t="inlineStr">
        <is>
          <t>B x D</t>
        </is>
      </c>
      <c r="G5" s="425" t="inlineStr">
        <is>
          <t>si dispo</t>
        </is>
      </c>
      <c r="H5" s="425" t="inlineStr">
        <is>
          <t>F / G</t>
        </is>
      </c>
    </row>
    <row r="6">
      <c r="A6" s="991" t="inlineStr">
        <is>
          <t>Nuits hôtel (business 3-4 étoiles)</t>
        </is>
      </c>
      <c r="B6" s="426" t="n">
        <v>120</v>
      </c>
      <c r="C6" s="991" t="inlineStr">
        <is>
          <t>nuits</t>
        </is>
      </c>
      <c r="D6" s="467" t="n">
        <v>19.6</v>
      </c>
      <c r="E6" s="991" t="inlineStr">
        <is>
          <t>ADEME F01</t>
        </is>
      </c>
      <c r="F6" s="468">
        <f>B6*D6</f>
        <v/>
      </c>
      <c r="G6" s="426" t="n">
        <v>12000</v>
      </c>
      <c r="H6" s="467">
        <f>IFERROR(F6/G6,0)</f>
        <v/>
      </c>
    </row>
    <row r="7">
      <c r="A7" s="81" t="inlineStr">
        <is>
          <t>Nuits hôtel (éco-labellisé)</t>
        </is>
      </c>
      <c r="B7" s="426" t="n">
        <v>30</v>
      </c>
      <c r="C7" s="81" t="inlineStr">
        <is>
          <t>nuits</t>
        </is>
      </c>
      <c r="D7" s="453" t="n">
        <v>6.7</v>
      </c>
      <c r="E7" s="81" t="inlineStr">
        <is>
          <t>ADEME F02</t>
        </is>
      </c>
      <c r="F7" s="299">
        <f>B7*D7</f>
        <v/>
      </c>
      <c r="G7" s="426" t="n">
        <v>2400</v>
      </c>
      <c r="H7" s="453">
        <f>IFERROR(F7/G7,0)</f>
        <v/>
      </c>
    </row>
    <row r="8">
      <c r="A8" s="991" t="inlineStr">
        <is>
          <t>Repas restaurant (notes de frais)</t>
        </is>
      </c>
      <c r="B8" s="426" t="n">
        <v>350</v>
      </c>
      <c r="C8" s="991" t="inlineStr">
        <is>
          <t>repas</t>
        </is>
      </c>
      <c r="D8" s="467" t="n">
        <v>2.1</v>
      </c>
      <c r="E8" s="991" t="inlineStr">
        <is>
          <t>ADEME A08</t>
        </is>
      </c>
      <c r="F8" s="468">
        <f>B8*D8</f>
        <v/>
      </c>
      <c r="G8" s="426" t="n">
        <v>7000</v>
      </c>
      <c r="H8" s="467">
        <f>IFERROR(F8/G8,0)</f>
        <v/>
      </c>
    </row>
    <row r="9">
      <c r="A9" s="81" t="inlineStr">
        <is>
          <t>Taxi / VTC (km parcourus)</t>
        </is>
      </c>
      <c r="B9" s="426" t="n">
        <v>3500</v>
      </c>
      <c r="C9" s="81" t="inlineStr">
        <is>
          <t>km</t>
        </is>
      </c>
      <c r="D9" s="453" t="n">
        <v>0.26</v>
      </c>
      <c r="E9" s="81" t="inlineStr">
        <is>
          <t>ADEME F03</t>
        </is>
      </c>
      <c r="F9" s="299">
        <f>B9*D9</f>
        <v/>
      </c>
      <c r="G9" s="426" t="n">
        <v>5250</v>
      </c>
      <c r="H9" s="453">
        <f>IFERROR(F9/G9,0)</f>
        <v/>
      </c>
    </row>
    <row r="10">
      <c r="A10" s="991" t="inlineStr">
        <is>
          <t>Avion CC (&lt;1000 km) — km totaux</t>
        </is>
      </c>
      <c r="B10" s="426" t="n">
        <v>5000</v>
      </c>
      <c r="C10" s="991" t="inlineStr">
        <is>
          <t>km</t>
        </is>
      </c>
      <c r="D10" s="467" t="n">
        <v>0.258</v>
      </c>
      <c r="E10" s="991" t="inlineStr">
        <is>
          <t>ADEME T13</t>
        </is>
      </c>
      <c r="F10" s="468">
        <f>B10*D10</f>
        <v/>
      </c>
      <c r="G10" s="426" t="n">
        <v>3750</v>
      </c>
      <c r="H10" s="467">
        <f>IFERROR(F10/G10,0)</f>
        <v/>
      </c>
    </row>
    <row r="11">
      <c r="A11" s="81" t="inlineStr">
        <is>
          <t>Avion MC (1-3500 km) — km totaux</t>
        </is>
      </c>
      <c r="B11" s="426" t="n">
        <v>15000</v>
      </c>
      <c r="C11" s="81" t="inlineStr">
        <is>
          <t>km</t>
        </is>
      </c>
      <c r="D11" s="453" t="n">
        <v>0.187</v>
      </c>
      <c r="E11" s="81" t="inlineStr">
        <is>
          <t>ADEME T14</t>
        </is>
      </c>
      <c r="F11" s="299">
        <f>B11*D11</f>
        <v/>
      </c>
      <c r="G11" s="426" t="n">
        <v>8750</v>
      </c>
      <c r="H11" s="453">
        <f>IFERROR(F11/G11,0)</f>
        <v/>
      </c>
    </row>
    <row r="12">
      <c r="A12" s="991" t="inlineStr">
        <is>
          <t>Avion LC (&gt;3500 km) — km totaux</t>
        </is>
      </c>
      <c r="B12" s="426" t="n">
        <v>8000</v>
      </c>
      <c r="C12" s="991" t="inlineStr">
        <is>
          <t>km</t>
        </is>
      </c>
      <c r="D12" s="467" t="n">
        <v>0.152</v>
      </c>
      <c r="E12" s="991" t="inlineStr">
        <is>
          <t>ADEME T15</t>
        </is>
      </c>
      <c r="F12" s="468">
        <f>B12*D12</f>
        <v/>
      </c>
      <c r="G12" s="426" t="n">
        <v>5200</v>
      </c>
      <c r="H12" s="467">
        <f>IFERROR(F12/G12,0)</f>
        <v/>
      </c>
    </row>
    <row r="13">
      <c r="A13" s="81" t="inlineStr">
        <is>
          <t>Avion Affaires — km totaux</t>
        </is>
      </c>
      <c r="B13" s="426" t="n">
        <v>0</v>
      </c>
      <c r="C13" s="81" t="inlineStr">
        <is>
          <t>km</t>
        </is>
      </c>
      <c r="D13" s="453" t="n">
        <v>0.456</v>
      </c>
      <c r="E13" s="81" t="inlineStr">
        <is>
          <t>DGAC T16</t>
        </is>
      </c>
      <c r="F13" s="299">
        <f>B13*D13</f>
        <v/>
      </c>
      <c r="G13" s="426" t="n">
        <v>0</v>
      </c>
      <c r="H13" s="453">
        <f>IFERROR(F13/G13,0)</f>
        <v/>
      </c>
    </row>
    <row r="14">
      <c r="A14" s="991" t="inlineStr">
        <is>
          <t>Location voiture</t>
        </is>
      </c>
      <c r="B14" s="426" t="n">
        <v>0</v>
      </c>
      <c r="C14" s="991" t="inlineStr">
        <is>
          <t>km</t>
        </is>
      </c>
      <c r="D14" s="467" t="n">
        <v>0.218</v>
      </c>
      <c r="E14" s="991" t="inlineStr">
        <is>
          <t>ADEME T01</t>
        </is>
      </c>
      <c r="F14" s="468">
        <f>B14*D14</f>
        <v/>
      </c>
      <c r="G14" s="426" t="n">
        <v>0</v>
      </c>
      <c r="H14" s="467">
        <f>IFERROR(F14/G14,0)</f>
        <v/>
      </c>
    </row>
    <row r="15">
      <c r="A15" s="81" t="inlineStr">
        <is>
          <t>Autres (à préciser)</t>
        </is>
      </c>
      <c r="B15" s="426" t="n">
        <v>0</v>
      </c>
      <c r="C15" s="81" t="inlineStr">
        <is>
          <t>—</t>
        </is>
      </c>
      <c r="D15" s="453" t="n">
        <v>0</v>
      </c>
      <c r="E15" s="81" t="inlineStr">
        <is>
          <t>—</t>
        </is>
      </c>
      <c r="F15" s="299">
        <f>B15*D15</f>
        <v/>
      </c>
      <c r="G15" s="426" t="n">
        <v>0</v>
      </c>
      <c r="H15" s="453">
        <f>IFERROR(F15/G15,0)</f>
        <v/>
      </c>
    </row>
    <row r="16" ht="15.75" customHeight="1" s="847">
      <c r="A16" s="970" t="inlineStr">
        <is>
          <t>TOTAL NOTES DE FRAIS</t>
        </is>
      </c>
      <c r="B16" s="305">
        <f>SUM(B6:B15)</f>
        <v/>
      </c>
      <c r="C16" s="305" t="n"/>
      <c r="D16" s="305" t="n"/>
      <c r="E16" s="305" t="n"/>
      <c r="F16" s="305">
        <f>SUM(F6:F15)</f>
        <v/>
      </c>
      <c r="G16" s="305">
        <f>SUM(G6:G15)</f>
        <v/>
      </c>
      <c r="H16" s="305">
        <f>IFERROR(F16/G16,0)</f>
        <v/>
      </c>
    </row>
    <row r="18">
      <c r="A18" s="955" t="inlineStr">
        <is>
          <t>INDICATEURS CLÉS</t>
        </is>
      </c>
    </row>
    <row r="19">
      <c r="A19" s="469" t="inlineStr">
        <is>
          <t>CO2 total (tCO2e)</t>
        </is>
      </c>
      <c r="B19" s="470">
        <f>F16/1000</f>
        <v/>
      </c>
      <c r="C19" s="247" t="n"/>
      <c r="D19" s="247" t="n"/>
      <c r="E19" s="247" t="n"/>
      <c r="F19" s="247" t="n"/>
      <c r="G19" s="247" t="n"/>
      <c r="H19" s="247" t="n"/>
    </row>
    <row r="20">
      <c r="A20" s="315" t="inlineStr">
        <is>
          <t>CO2 par employé (kgCO2e/ETP)</t>
        </is>
      </c>
      <c r="B20" s="299">
        <f>IFERROR(F16/'01_PARAMÈTRES2'!B12,0)</f>
        <v/>
      </c>
      <c r="C20" s="81" t="n"/>
      <c r="D20" s="81" t="n"/>
      <c r="E20" s="81" t="n"/>
      <c r="F20" s="81" t="n"/>
      <c r="G20" s="81" t="n"/>
      <c r="H20" s="81" t="n"/>
    </row>
    <row r="21">
      <c r="A21" s="469" t="inlineStr">
        <is>
          <t>Budget notes de frais total (EUR)</t>
        </is>
      </c>
      <c r="B21" s="470">
        <f>G16</f>
        <v/>
      </c>
      <c r="C21" s="247" t="n"/>
      <c r="D21" s="247" t="n"/>
      <c r="E21" s="247" t="n"/>
      <c r="F21" s="247" t="n"/>
      <c r="G21" s="247" t="n"/>
      <c r="H21" s="247" t="n"/>
    </row>
    <row r="22">
      <c r="A22" s="315" t="inlineStr">
        <is>
          <t>Intensité carbone moyenne (kgCO2e/EUR)</t>
        </is>
      </c>
      <c r="B22" s="299">
        <f>IFERROR(F16/G16,0)</f>
        <v/>
      </c>
      <c r="C22" s="81" t="n"/>
      <c r="D22" s="81" t="n"/>
      <c r="E22" s="81" t="n"/>
      <c r="F22" s="81" t="n"/>
      <c r="G22" s="81" t="n"/>
      <c r="H22" s="81" t="n"/>
    </row>
    <row r="23">
      <c r="A23" s="469" t="inlineStr">
        <is>
          <t>Ratio hébergement / total CO2 (%)</t>
        </is>
      </c>
      <c r="B23" s="1044">
        <f>IFERROR((F6+F7)/F16,0)</f>
        <v/>
      </c>
      <c r="C23" s="247" t="n"/>
      <c r="D23" s="247" t="n"/>
      <c r="E23" s="247" t="n"/>
      <c r="F23" s="247" t="n"/>
      <c r="G23" s="247" t="n"/>
      <c r="H23" s="247" t="n"/>
    </row>
    <row r="24">
      <c r="A24" s="315" t="inlineStr">
        <is>
          <t>Ratio vols / total CO2 (%)</t>
        </is>
      </c>
      <c r="B24" s="1035">
        <f>IFERROR((F10+F11+F12+F13)/F16,0)</f>
        <v/>
      </c>
      <c r="C24" s="81" t="n"/>
      <c r="D24" s="81" t="n"/>
      <c r="E24" s="81" t="n"/>
      <c r="F24" s="81" t="n"/>
      <c r="G24" s="81" t="n"/>
      <c r="H24" s="81" t="n"/>
    </row>
    <row r="26">
      <c r="A26" s="948" t="inlineStr">
        <is>
          <t>Note : Pour les vols, saisir en colonne B le total de km (nb_trajets x distance_moyenne_AR). Ex : 25 vols x 1200 km = 30 000 km.</t>
        </is>
      </c>
    </row>
  </sheetData>
  <mergeCells count="5">
    <mergeCell ref="A18:H18"/>
    <mergeCell ref="A26:H26"/>
    <mergeCell ref="A3:H3"/>
    <mergeCell ref="A1:M1"/>
    <mergeCell ref="A2:M2"/>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O27"/>
  <sheetViews>
    <sheetView showGridLines="0" workbookViewId="0">
      <pane ySplit="2" topLeftCell="A3" activePane="bottomLeft" state="frozen"/>
      <selection pane="bottomLeft" activeCell="H7" sqref="H7"/>
    </sheetView>
  </sheetViews>
  <sheetFormatPr baseColWidth="10" defaultRowHeight="15"/>
  <cols>
    <col width="41.42578125" bestFit="1" customWidth="1" style="847" min="1" max="1"/>
    <col width="21" customWidth="1" style="847" min="10" max="10"/>
  </cols>
  <sheetData>
    <row r="1" ht="18.75" customHeight="1" s="847">
      <c r="A1" s="950" t="inlineStr">
        <is>
          <t>DÉCHETS DE L'ENTREPRISE — Tous flux et filières de traitement</t>
        </is>
      </c>
      <c r="N1" s="283" t="inlineStr">
        <is>
          <t>🏠 Sommaire</t>
        </is>
      </c>
      <c r="O1" s="284" t="inlineStr">
        <is>
          <t>📄 Couverture</t>
        </is>
      </c>
    </row>
    <row r="2">
      <c r="A2" s="954" t="inlineStr">
        <is>
          <t>Scope 3 Cat.5. Formule : Quantité (t ou kg) x Facteur_traitement. Valeurs négatives = émissions évitées (recyclage/compost). Sources : Base Carbone ADEME 2024, Ecologic, Citeo.</t>
        </is>
      </c>
    </row>
    <row r="3">
      <c r="A3" s="952" t="inlineStr">
        <is>
          <t>FLUX DE DÉCHETS ET FILIÈRES DE TRAITEMENT (Scope 3 Cat. 5)</t>
        </is>
      </c>
    </row>
    <row r="4">
      <c r="A4" s="946" t="inlineStr">
        <is>
          <t>Flux de déchets</t>
        </is>
      </c>
      <c r="B4" s="946" t="inlineStr">
        <is>
          <t>Quantité annuelle</t>
        </is>
      </c>
      <c r="C4" s="946" t="inlineStr">
        <is>
          <t>Unité</t>
        </is>
      </c>
      <c r="D4" s="946" t="inlineStr">
        <is>
          <t>Mode de traitement (ID FE)</t>
        </is>
      </c>
      <c r="E4" s="946" t="inlineStr">
        <is>
          <t>Facteur (kgCO2e/unité)</t>
        </is>
      </c>
      <c r="F4" s="946" t="inlineStr">
        <is>
          <t>Unité facteur</t>
        </is>
      </c>
      <c r="G4" s="946" t="inlineStr">
        <is>
          <t>CO2 (kgCO2e)</t>
        </is>
      </c>
      <c r="H4" s="946" t="inlineStr">
        <is>
          <t>CO2 (tCO2e)</t>
        </is>
      </c>
      <c r="I4" s="946" t="inlineStr">
        <is>
          <t>Valorisé ?</t>
        </is>
      </c>
      <c r="J4" s="946" t="inlineStr">
        <is>
          <t>CO2/employé (kg)</t>
        </is>
      </c>
    </row>
    <row r="5">
      <c r="A5" s="425" t="inlineStr">
        <is>
          <t>type de déchet</t>
        </is>
      </c>
      <c r="B5" s="425" t="inlineStr">
        <is>
          <t>t ou kg/an</t>
        </is>
      </c>
      <c r="C5" s="425" t="inlineStr">
        <is>
          <t>t ou kg</t>
        </is>
      </c>
      <c r="D5" s="425" t="inlineStr">
        <is>
          <t>ex: R01 Enfouissement</t>
        </is>
      </c>
      <c r="E5" s="425" t="inlineStr">
        <is>
          <t>VLOOKUP(D;FE)</t>
        </is>
      </c>
      <c r="F5" s="425" t="inlineStr">
        <is>
          <t>kgCO2e/t ou /kg</t>
        </is>
      </c>
      <c r="G5" s="425" t="inlineStr">
        <is>
          <t>B x E (si kg: /1000)</t>
        </is>
      </c>
      <c r="H5" s="425" t="inlineStr">
        <is>
          <t>G / 1000</t>
        </is>
      </c>
      <c r="I5" s="425" t="inlineStr">
        <is>
          <t>O/N</t>
        </is>
      </c>
      <c r="J5" s="425" t="inlineStr">
        <is>
          <t>G / nb_ETP</t>
        </is>
      </c>
    </row>
    <row r="6">
      <c r="A6" s="366" t="inlineStr">
        <is>
          <t>Ordures ménagères assimilées (DIB)</t>
        </is>
      </c>
      <c r="B6" s="426" t="n">
        <v>10</v>
      </c>
      <c r="C6" s="281" t="inlineStr">
        <is>
          <t>t</t>
        </is>
      </c>
      <c r="D6" s="449" t="inlineStr">
        <is>
          <t>R01 — Enfouissement</t>
        </is>
      </c>
      <c r="E6" s="473">
        <f>IFERROR(VLOOKUP(LEFT(D6,3),'02_FACTEURS_ÉMISSION2'!$A:$C,3,0),440)</f>
        <v/>
      </c>
      <c r="F6" s="366" t="inlineStr">
        <is>
          <t>kgCO2e/t</t>
        </is>
      </c>
      <c r="G6" s="474">
        <f>IF(AND(C6="kg",ISNUMBER(SEARCH("/t",F6))),B6/1000*E6,B6*E6)</f>
        <v/>
      </c>
      <c r="H6" s="474">
        <f>G6/1000</f>
        <v/>
      </c>
      <c r="I6" s="366" t="inlineStr">
        <is>
          <t>Non</t>
        </is>
      </c>
      <c r="J6" s="474">
        <f>IFERROR(G6/'01_PARAMÈTRES2'!B12,0)</f>
        <v/>
      </c>
    </row>
    <row r="7">
      <c r="A7" s="81" t="inlineStr">
        <is>
          <t>OMA — part recyclée</t>
        </is>
      </c>
      <c r="B7" s="426" t="n">
        <v>5</v>
      </c>
      <c r="C7" s="281" t="inlineStr">
        <is>
          <t>t</t>
        </is>
      </c>
      <c r="D7" s="449" t="inlineStr">
        <is>
          <t>R03 — Recyclage (évité)</t>
        </is>
      </c>
      <c r="E7" s="453">
        <f>IFERROR(VLOOKUP(LEFT(D7,3),'02_FACTEURS_ÉMISSION2'!$A:$C,3,0),-300)</f>
        <v/>
      </c>
      <c r="F7" s="81" t="inlineStr">
        <is>
          <t>kgCO2e/t</t>
        </is>
      </c>
      <c r="G7" s="475">
        <f>IF(AND(C7="kg",ISNUMBER(SEARCH("/t",F7))),B7/1000*E7,B7*E7)</f>
        <v/>
      </c>
      <c r="H7" s="299">
        <f>G7/1000</f>
        <v/>
      </c>
      <c r="I7" s="381" t="inlineStr">
        <is>
          <t>Oui</t>
        </is>
      </c>
      <c r="J7" s="299">
        <f>IFERROR(G7/'01_PARAMÈTRES2'!B12,0)</f>
        <v/>
      </c>
    </row>
    <row r="8">
      <c r="A8" s="366" t="inlineStr">
        <is>
          <t>Papier / Carton</t>
        </is>
      </c>
      <c r="B8" s="426" t="n">
        <v>3000</v>
      </c>
      <c r="C8" s="281" t="inlineStr">
        <is>
          <t>kg</t>
        </is>
      </c>
      <c r="D8" s="449" t="inlineStr">
        <is>
          <t>R05 — Recyclage papier</t>
        </is>
      </c>
      <c r="E8" s="473">
        <f>IFERROR(VLOOKUP(LEFT(D8,3),'02_FACTEURS_ÉMISSION2'!$A:$C,3,0),0.919)</f>
        <v/>
      </c>
      <c r="F8" s="366" t="inlineStr">
        <is>
          <t>kgCO2e/kg</t>
        </is>
      </c>
      <c r="G8" s="474">
        <f>IF(AND(C8="kg",ISNUMBER(SEARCH("/t",F8))),B8/1000*E8,B8*E8)</f>
        <v/>
      </c>
      <c r="H8" s="474">
        <f>G8/1000</f>
        <v/>
      </c>
      <c r="I8" s="366" t="inlineStr">
        <is>
          <t>Oui</t>
        </is>
      </c>
      <c r="J8" s="474">
        <f>IFERROR(G8/'01_PARAMÈTRES2'!B12,0)</f>
        <v/>
      </c>
    </row>
    <row r="9">
      <c r="A9" s="81" t="inlineStr">
        <is>
          <t>Plastique</t>
        </is>
      </c>
      <c r="B9" s="426" t="n">
        <v>2000</v>
      </c>
      <c r="C9" s="281" t="inlineStr">
        <is>
          <t>kg</t>
        </is>
      </c>
      <c r="D9" s="449" t="inlineStr">
        <is>
          <t>R06 — Incinération plastique</t>
        </is>
      </c>
      <c r="E9" s="453">
        <f>IFERROR(VLOOKUP(LEFT(D9,3),'02_FACTEURS_ÉMISSION2'!$A:$C,3,0),2)</f>
        <v/>
      </c>
      <c r="F9" s="81" t="inlineStr">
        <is>
          <t>kgCO2e/kg</t>
        </is>
      </c>
      <c r="G9" s="299">
        <f>IF(AND(C9="kg",ISNUMBER(SEARCH("/t",F9))),B9/1000*E9,B9*E9)</f>
        <v/>
      </c>
      <c r="H9" s="299">
        <f>G9/1000</f>
        <v/>
      </c>
      <c r="I9" s="81" t="inlineStr">
        <is>
          <t>Non</t>
        </is>
      </c>
      <c r="J9" s="299">
        <f>IFERROR(G9/'01_PARAMÈTRES2'!B12,0)</f>
        <v/>
      </c>
    </row>
    <row r="10">
      <c r="A10" s="366" t="inlineStr">
        <is>
          <t>DEEE — équipements électroniques</t>
        </is>
      </c>
      <c r="B10" s="426" t="n">
        <v>500</v>
      </c>
      <c r="C10" s="281" t="inlineStr">
        <is>
          <t>kg</t>
        </is>
      </c>
      <c r="D10" s="449" t="inlineStr">
        <is>
          <t>R07 — Filière DEEE agréée</t>
        </is>
      </c>
      <c r="E10" s="473">
        <f>IFERROR(VLOOKUP(LEFT(D10,3),'02_FACTEURS_ÉMISSION2'!$A:$C,3,0),25)</f>
        <v/>
      </c>
      <c r="F10" s="366" t="inlineStr">
        <is>
          <t>kgCO2e/kg</t>
        </is>
      </c>
      <c r="G10" s="474">
        <f>IF(AND(C10="kg",ISNUMBER(SEARCH("/t",F10))),B10/1000*E10,B10*E10)</f>
        <v/>
      </c>
      <c r="H10" s="474">
        <f>G10/1000</f>
        <v/>
      </c>
      <c r="I10" s="366" t="inlineStr">
        <is>
          <t>Oui</t>
        </is>
      </c>
      <c r="J10" s="474">
        <f>IFERROR(G10/'01_PARAMÈTRES2'!B12,0)</f>
        <v/>
      </c>
    </row>
    <row r="11">
      <c r="A11" s="81" t="inlineStr">
        <is>
          <t>Biodéchets / restes alimentaires</t>
        </is>
      </c>
      <c r="B11" s="426" t="n">
        <v>2</v>
      </c>
      <c r="C11" s="281" t="inlineStr">
        <is>
          <t>t</t>
        </is>
      </c>
      <c r="D11" s="449" t="inlineStr">
        <is>
          <t>R04 — Compostage</t>
        </is>
      </c>
      <c r="E11" s="453">
        <f>IFERROR(VLOOKUP(LEFT(D11,3),'02_FACTEURS_ÉMISSION2'!$A:$C,3,0),-50)</f>
        <v/>
      </c>
      <c r="F11" s="81" t="inlineStr">
        <is>
          <t>kgCO2e/t</t>
        </is>
      </c>
      <c r="G11" s="475">
        <f>IF(AND(C11="kg",ISNUMBER(SEARCH("/t",F11))),B11/1000*E11,B11*E11)</f>
        <v/>
      </c>
      <c r="H11" s="299">
        <f>G11/1000</f>
        <v/>
      </c>
      <c r="I11" s="381" t="inlineStr">
        <is>
          <t>Oui</t>
        </is>
      </c>
      <c r="J11" s="299">
        <f>IFERROR(G11/'01_PARAMÈTRES2'!B12,0)</f>
        <v/>
      </c>
    </row>
    <row r="12">
      <c r="A12" s="366" t="inlineStr">
        <is>
          <t>Verre</t>
        </is>
      </c>
      <c r="B12" s="426" t="n">
        <v>0</v>
      </c>
      <c r="C12" s="281" t="inlineStr">
        <is>
          <t>t</t>
        </is>
      </c>
      <c r="D12" s="449" t="inlineStr">
        <is>
          <t>R03 — Recyclage (évité)</t>
        </is>
      </c>
      <c r="E12" s="473">
        <f>IFERROR(VLOOKUP(LEFT(D12,3),'02_FACTEURS_ÉMISSION2'!$A:$C,3,0),-300)</f>
        <v/>
      </c>
      <c r="F12" s="366" t="inlineStr">
        <is>
          <t>kgCO2e/t</t>
        </is>
      </c>
      <c r="G12" s="476">
        <f>IF(AND(C12="kg",ISNUMBER(SEARCH("/t",F12))),B12/1000*E12,B12*E12)</f>
        <v/>
      </c>
      <c r="H12" s="474">
        <f>G12/1000</f>
        <v/>
      </c>
      <c r="I12" s="472" t="inlineStr">
        <is>
          <t>Oui</t>
        </is>
      </c>
      <c r="J12" s="474">
        <f>IFERROR(G12/'01_PARAMÈTRES2'!B12,0)</f>
        <v/>
      </c>
    </row>
    <row r="13">
      <c r="A13" s="81" t="inlineStr">
        <is>
          <t>Cartons emballages</t>
        </is>
      </c>
      <c r="B13" s="426" t="n">
        <v>0</v>
      </c>
      <c r="C13" s="281" t="inlineStr">
        <is>
          <t>kg</t>
        </is>
      </c>
      <c r="D13" s="449" t="inlineStr">
        <is>
          <t>R05 — Recyclage papier</t>
        </is>
      </c>
      <c r="E13" s="453">
        <f>IFERROR(VLOOKUP(LEFT(D13,3),'02_FACTEURS_ÉMISSION2'!$A:$C,3,0),0.919)</f>
        <v/>
      </c>
      <c r="F13" s="81" t="inlineStr">
        <is>
          <t>kgCO2e/kg</t>
        </is>
      </c>
      <c r="G13" s="299">
        <f>IF(AND(C13="kg",ISNUMBER(SEARCH("/t",F13))),B13/1000*E13,B13*E13)</f>
        <v/>
      </c>
      <c r="H13" s="299">
        <f>G13/1000</f>
        <v/>
      </c>
      <c r="I13" s="81" t="inlineStr">
        <is>
          <t>Oui</t>
        </is>
      </c>
      <c r="J13" s="299">
        <f>IFERROR(G13/'01_PARAMÈTRES2'!B12,0)</f>
        <v/>
      </c>
    </row>
    <row r="14">
      <c r="A14" s="366" t="inlineStr">
        <is>
          <t>Déchets dangereux (DIS)</t>
        </is>
      </c>
      <c r="B14" s="426" t="n">
        <v>0</v>
      </c>
      <c r="C14" s="281" t="inlineStr">
        <is>
          <t>kg</t>
        </is>
      </c>
      <c r="D14" s="449" t="inlineStr">
        <is>
          <t>R01 — Enfouissement class. 1</t>
        </is>
      </c>
      <c r="E14" s="473">
        <f>IFERROR(VLOOKUP(LEFT(D14,3),'02_FACTEURS_ÉMISSION2'!$A:$C,3,0),440)</f>
        <v/>
      </c>
      <c r="F14" s="366" t="inlineStr">
        <is>
          <t>kgCO2e/t</t>
        </is>
      </c>
      <c r="G14" s="474">
        <f>IF(AND(C14="kg",ISNUMBER(SEARCH("/t",F14))),B14/1000*E14,B14*E14)</f>
        <v/>
      </c>
      <c r="H14" s="474">
        <f>G14/1000</f>
        <v/>
      </c>
      <c r="I14" s="366" t="inlineStr">
        <is>
          <t>Non</t>
        </is>
      </c>
      <c r="J14" s="474">
        <f>IFERROR(G14/'01_PARAMÈTRES2'!B12,0)</f>
        <v/>
      </c>
    </row>
    <row r="15">
      <c r="A15" s="81" t="inlineStr">
        <is>
          <t>Autres déchets (à préciser)</t>
        </is>
      </c>
      <c r="B15" s="426" t="n">
        <v>0</v>
      </c>
      <c r="C15" s="281" t="inlineStr">
        <is>
          <t>t</t>
        </is>
      </c>
      <c r="D15" s="449" t="inlineStr">
        <is>
          <t>R01 — Enfouissement</t>
        </is>
      </c>
      <c r="E15" s="453">
        <f>IFERROR(VLOOKUP(LEFT(D15,3),'02_FACTEURS_ÉMISSION2'!$A:$C,3,0),440)</f>
        <v/>
      </c>
      <c r="F15" s="81" t="inlineStr">
        <is>
          <t>kgCO2e/t</t>
        </is>
      </c>
      <c r="G15" s="299">
        <f>IF(AND(C15="kg",ISNUMBER(SEARCH("/t",F15))),B15/1000*E15,B15*E15)</f>
        <v/>
      </c>
      <c r="H15" s="299">
        <f>G15/1000</f>
        <v/>
      </c>
      <c r="I15" s="81" t="inlineStr">
        <is>
          <t>Non</t>
        </is>
      </c>
      <c r="J15" s="299">
        <f>IFERROR(G15/'01_PARAMÈTRES2'!B12,0)</f>
        <v/>
      </c>
    </row>
    <row r="16" ht="15.75" customHeight="1" s="847">
      <c r="A16" s="970" t="inlineStr">
        <is>
          <t>TOTAL DÉCHETS (net émissions + évitées)</t>
        </is>
      </c>
      <c r="B16" s="298" t="n"/>
      <c r="C16" s="298" t="n"/>
      <c r="D16" s="298" t="n"/>
      <c r="E16" s="298" t="n"/>
      <c r="F16" s="298" t="n"/>
      <c r="G16" s="305">
        <f>SUM(G6:G15)</f>
        <v/>
      </c>
      <c r="H16" s="305">
        <f>SUM(H6:H15)</f>
        <v/>
      </c>
      <c r="I16" s="305" t="n"/>
      <c r="J16" s="305">
        <f>IFERROR(G16/'01_PARAMÈTRES2'!B12,0)</f>
        <v/>
      </c>
    </row>
    <row r="18">
      <c r="A18" s="955" t="inlineStr">
        <is>
          <t>INDICATEURS DÉCHETS</t>
        </is>
      </c>
    </row>
    <row r="19">
      <c r="A19" s="946" t="inlineStr">
        <is>
          <t>Indicateur</t>
        </is>
      </c>
      <c r="B19" s="946" t="inlineStr">
        <is>
          <t>Valeur</t>
        </is>
      </c>
      <c r="C19" s="946" t="inlineStr">
        <is>
          <t>Unité</t>
        </is>
      </c>
      <c r="D19" s="946" t="inlineStr">
        <is>
          <t>Formule</t>
        </is>
      </c>
      <c r="E19" s="946" t="n"/>
      <c r="F19" s="946" t="n"/>
      <c r="G19" s="946" t="n"/>
      <c r="H19" s="946" t="n"/>
      <c r="I19" s="946" t="n"/>
      <c r="J19" s="946" t="n"/>
    </row>
    <row r="20">
      <c r="A20" s="469" t="inlineStr">
        <is>
          <t>CO2 total (kgCO2e)</t>
        </is>
      </c>
      <c r="B20" s="470">
        <f>G16</f>
        <v/>
      </c>
      <c r="C20" s="247" t="inlineStr">
        <is>
          <t>kgCO2e</t>
        </is>
      </c>
      <c r="D20" s="247" t="n"/>
      <c r="E20" s="247" t="n"/>
      <c r="F20" s="247" t="n"/>
      <c r="G20" s="247" t="n"/>
      <c r="H20" s="247" t="n"/>
      <c r="I20" s="247" t="n"/>
      <c r="J20" s="247" t="n"/>
    </row>
    <row r="21">
      <c r="A21" s="315" t="inlineStr">
        <is>
          <t>CO2 total (tCO2e)</t>
        </is>
      </c>
      <c r="B21" s="299">
        <f>H16</f>
        <v/>
      </c>
      <c r="C21" s="81" t="inlineStr">
        <is>
          <t>tCO2e</t>
        </is>
      </c>
      <c r="D21" s="81" t="n"/>
      <c r="E21" s="81" t="n"/>
      <c r="F21" s="81" t="n"/>
      <c r="G21" s="81" t="n"/>
      <c r="H21" s="81" t="n"/>
      <c r="I21" s="81" t="n"/>
      <c r="J21" s="81" t="n"/>
    </row>
    <row r="22">
      <c r="A22" s="469" t="inlineStr">
        <is>
          <t>Emissions brutes (hors évitées)</t>
        </is>
      </c>
      <c r="B22" s="470">
        <f>SUMIF(G6:G15,"&gt;0")</f>
        <v/>
      </c>
      <c r="C22" s="247" t="inlineStr">
        <is>
          <t>kgCO2e</t>
        </is>
      </c>
      <c r="D22" s="247" t="n"/>
      <c r="E22" s="247" t="n"/>
      <c r="F22" s="247" t="n"/>
      <c r="G22" s="247" t="n"/>
      <c r="H22" s="247" t="n"/>
      <c r="I22" s="247" t="n"/>
      <c r="J22" s="247" t="n"/>
    </row>
    <row r="23">
      <c r="A23" s="315" t="inlineStr">
        <is>
          <t>Emissions évitées (recyclage/compost)</t>
        </is>
      </c>
      <c r="B23" s="299">
        <f>SUMIF(G6:G15,"&lt;0")</f>
        <v/>
      </c>
      <c r="C23" s="81" t="inlineStr">
        <is>
          <t>kgCO2e</t>
        </is>
      </c>
      <c r="D23" s="81" t="n"/>
      <c r="E23" s="81" t="n"/>
      <c r="F23" s="81" t="n"/>
      <c r="G23" s="81" t="n"/>
      <c r="H23" s="81" t="n"/>
      <c r="I23" s="81" t="n"/>
      <c r="J23" s="81" t="n"/>
    </row>
    <row r="24">
      <c r="A24" s="469" t="inlineStr">
        <is>
          <t>CO2 par employé</t>
        </is>
      </c>
      <c r="B24" s="470">
        <f>IFERROR(G16/'01_PARAMÈTRES2'!B12,0)</f>
        <v/>
      </c>
      <c r="C24" s="247" t="inlineStr">
        <is>
          <t>kgCO2e/ETP</t>
        </is>
      </c>
      <c r="D24" s="247" t="n"/>
      <c r="E24" s="247" t="n"/>
      <c r="F24" s="247" t="n"/>
      <c r="G24" s="247" t="n"/>
      <c r="H24" s="247" t="n"/>
      <c r="I24" s="247" t="n"/>
      <c r="J24" s="247" t="n"/>
    </row>
    <row r="25">
      <c r="A25" s="315" t="inlineStr">
        <is>
          <t>Taux valorisation (flux valorisés / total)</t>
        </is>
      </c>
      <c r="B25" s="1035">
        <f>IFERROR(COUNTIF(I6:I15,"Oui")/COUNTA(I6:I15),0)</f>
        <v/>
      </c>
      <c r="C25" s="81" t="inlineStr">
        <is>
          <t>%</t>
        </is>
      </c>
      <c r="D25" s="81" t="n"/>
      <c r="E25" s="81" t="n"/>
      <c r="F25" s="81" t="n"/>
      <c r="G25" s="81" t="n"/>
      <c r="H25" s="81" t="n"/>
      <c r="I25" s="81" t="n"/>
      <c r="J25" s="81" t="n"/>
    </row>
    <row r="27">
      <c r="A27" s="948" t="inlineStr">
        <is>
          <t>Note : les valeurs négatives (recyclage, compostage) représentent des émissions évitées. Le total net intègre ces bénéfices. Ajustez l'unité (t/kg) en colonne C.</t>
        </is>
      </c>
    </row>
  </sheetData>
  <mergeCells count="5">
    <mergeCell ref="A1:M1"/>
    <mergeCell ref="A18:J18"/>
    <mergeCell ref="A27:J27"/>
    <mergeCell ref="A3:J3"/>
    <mergeCell ref="A2:M2"/>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Z26"/>
  <sheetViews>
    <sheetView showGridLines="0" workbookViewId="0">
      <pane ySplit="2" topLeftCell="A3" activePane="bottomLeft" state="frozen"/>
      <selection pane="bottomLeft" activeCell="H7" sqref="H7"/>
    </sheetView>
  </sheetViews>
  <sheetFormatPr baseColWidth="10" defaultRowHeight="15"/>
  <cols>
    <col width="36.28515625" bestFit="1" customWidth="1" style="847" min="1" max="1"/>
  </cols>
  <sheetData>
    <row r="1" ht="18.75" customHeight="1" s="847">
      <c r="A1" s="956" t="inlineStr">
        <is>
          <t>SERVEURS PHYSIQUES ON-PREMISE — Impact carbone par serveur (usage + fabrication)</t>
        </is>
      </c>
    </row>
    <row r="2">
      <c r="A2" s="960" t="inlineStr">
        <is>
          <t>Scope 2 (usage élec) + Scope 3 Cat.11 (fabrication amorti). Formule : P_moy(W) x h/an / 1000 x PUE x FE_élec + CO2_fab/durée_vie. Sources : Boavizta, ADEME, PCF constructeurs.</t>
        </is>
      </c>
    </row>
    <row r="3">
      <c r="A3" s="961" t="inlineStr">
        <is>
          <t>IDENTIFICATION</t>
        </is>
      </c>
      <c r="F3" s="962" t="inlineStr">
        <is>
          <t>CONFIGURATION MATÉRIELLE</t>
        </is>
      </c>
      <c r="K3" s="963" t="inlineStr">
        <is>
          <t>USAGE &amp; PARAMÈTRES</t>
        </is>
      </c>
      <c r="Q3" s="964" t="inlineStr">
        <is>
          <t>CALCULS CO2</t>
        </is>
      </c>
    </row>
    <row r="4" ht="42" customHeight="1" s="847">
      <c r="A4" s="478" t="inlineStr">
        <is>
          <t>ID Serveur</t>
        </is>
      </c>
      <c r="B4" s="478" t="inlineStr">
        <is>
          <t>Constructeur</t>
        </is>
      </c>
      <c r="C4" s="478" t="inlineStr">
        <is>
          <t>Modèle</t>
        </is>
      </c>
      <c r="D4" s="478" t="inlineStr">
        <is>
          <t>Datacenter / Site</t>
        </is>
      </c>
      <c r="E4" s="478" t="inlineStr">
        <is>
          <t>Usage / Rôle</t>
        </is>
      </c>
      <c r="F4" s="478" t="inlineStr">
        <is>
          <t>CPU TDP (W)</t>
        </is>
      </c>
      <c r="G4" s="478" t="inlineStr">
        <is>
          <t>vCPU total</t>
        </is>
      </c>
      <c r="H4" s="478" t="inlineStr">
        <is>
          <t>RAM (Go)</t>
        </is>
      </c>
      <c r="I4" s="478" t="inlineStr">
        <is>
          <t>Stockage (Go)</t>
        </is>
      </c>
      <c r="J4" s="478" t="inlineStr">
        <is>
          <t>Type stockage</t>
        </is>
      </c>
      <c r="K4" s="478" t="inlineStr">
        <is>
          <t>Charge CPU (%)</t>
        </is>
      </c>
      <c r="L4" s="478" t="inlineStr">
        <is>
          <t>Heures/an</t>
        </is>
      </c>
      <c r="M4" s="478" t="inlineStr">
        <is>
          <t>FE élec (kgCO2e/kWh)</t>
        </is>
      </c>
      <c r="N4" s="478" t="inlineStr">
        <is>
          <t>PUE site</t>
        </is>
      </c>
      <c r="O4" s="478" t="inlineStr">
        <is>
          <t>CO2 fab. (kgCO2e)</t>
        </is>
      </c>
      <c r="P4" s="478" t="inlineStr">
        <is>
          <t>Durée vie (ans)</t>
        </is>
      </c>
      <c r="Q4" s="478" t="inlineStr">
        <is>
          <t>P_CPU (W)</t>
        </is>
      </c>
      <c r="R4" s="478" t="inlineStr">
        <is>
          <t>P_RAM (W)</t>
        </is>
      </c>
      <c r="S4" s="478" t="inlineStr">
        <is>
          <t>P_Stock (W)</t>
        </is>
      </c>
      <c r="T4" s="478" t="inlineStr">
        <is>
          <t>P_moy (W)</t>
        </is>
      </c>
      <c r="U4" s="478" t="inlineStr">
        <is>
          <t>kWh/an (avec PUE)</t>
        </is>
      </c>
      <c r="V4" s="478" t="inlineStr">
        <is>
          <t>CO2 usage/an</t>
        </is>
      </c>
      <c r="W4" s="478" t="inlineStr">
        <is>
          <t>CO2 fab amorti/an</t>
        </is>
      </c>
      <c r="X4" s="478" t="inlineStr">
        <is>
          <t>CO2 TOTAL/an</t>
        </is>
      </c>
      <c r="Y4" s="478" t="inlineStr">
        <is>
          <t>Cout elec/an (EUR)</t>
        </is>
      </c>
      <c r="Z4" s="478" t="inlineStr">
        <is>
          <t>CO2/vCPU/an</t>
        </is>
      </c>
    </row>
    <row r="5">
      <c r="A5" s="479" t="inlineStr">
        <is>
          <t>Ref. interne</t>
        </is>
      </c>
      <c r="B5" s="479" t="inlineStr">
        <is>
          <t>Dell/HP/Lenovo...</t>
        </is>
      </c>
      <c r="C5" s="479" t="inlineStr">
        <is>
          <t>ex: PowerEdge R750</t>
        </is>
      </c>
      <c r="D5" s="479" t="inlineStr">
        <is>
          <t>Nom DC ou salle</t>
        </is>
      </c>
      <c r="E5" s="479" t="inlineStr">
        <is>
          <t>BDD, Web, ML...</t>
        </is>
      </c>
      <c r="F5" s="479" t="inlineStr">
        <is>
          <t>Watt (spec CPU)</t>
        </is>
      </c>
      <c r="G5" s="479" t="inlineStr">
        <is>
          <t>nb coeurs physiques</t>
        </is>
      </c>
      <c r="H5" s="479" t="inlineStr">
        <is>
          <t>Go RAM installée</t>
        </is>
      </c>
      <c r="I5" s="479" t="inlineStr">
        <is>
          <t>Go stockage</t>
        </is>
      </c>
      <c r="J5" s="479" t="inlineStr">
        <is>
          <t>SSD/HDD</t>
        </is>
      </c>
      <c r="K5" s="479" t="inlineStr">
        <is>
          <t>35% typ.</t>
        </is>
      </c>
      <c r="L5" s="479" t="inlineStr">
        <is>
          <t>8760 = 24/7</t>
        </is>
      </c>
      <c r="M5" s="479" t="inlineStr">
        <is>
          <t>FE pays DC ou G01-G08</t>
        </is>
      </c>
      <c r="N5" s="479" t="inlineStr">
        <is>
          <t>1.1-1.6 (voir P01-P08)</t>
        </is>
      </c>
      <c r="O5" s="479" t="inlineStr">
        <is>
          <t>Boavizta PCF</t>
        </is>
      </c>
      <c r="P5" s="479" t="inlineStr">
        <is>
          <t>ans (5 typ.)</t>
        </is>
      </c>
      <c r="Q5" s="479" t="inlineStr">
        <is>
          <t>(F/G)xF</t>
        </is>
      </c>
      <c r="R5" s="479" t="inlineStr">
        <is>
          <t>(H/8)x3.75</t>
        </is>
      </c>
      <c r="S5" s="479" t="inlineStr">
        <is>
          <t>(I/1000)x1.2</t>
        </is>
      </c>
      <c r="T5" s="479" t="inlineStr">
        <is>
          <t>Q x(0.3+0.7xK) +R+S</t>
        </is>
      </c>
      <c r="U5" s="479" t="inlineStr">
        <is>
          <t>T x L x J /1000</t>
        </is>
      </c>
      <c r="V5" s="479" t="inlineStr">
        <is>
          <t>U x M</t>
        </is>
      </c>
      <c r="W5" s="479" t="inlineStr">
        <is>
          <t>(O/P)</t>
        </is>
      </c>
      <c r="X5" s="479" t="inlineStr">
        <is>
          <t>V+W</t>
        </is>
      </c>
      <c r="Y5" s="479" t="inlineStr">
        <is>
          <t>U x 0.18</t>
        </is>
      </c>
      <c r="Z5" s="479" t="inlineStr">
        <is>
          <t>X/G</t>
        </is>
      </c>
    </row>
    <row r="6">
      <c r="A6" s="296" t="inlineStr">
        <is>
          <t>SRV-001</t>
        </is>
      </c>
      <c r="B6" s="281" t="inlineStr">
        <is>
          <t>Dell</t>
        </is>
      </c>
      <c r="C6" s="281" t="inlineStr">
        <is>
          <t>PowerEdge R750</t>
        </is>
      </c>
      <c r="D6" s="281" t="inlineStr">
        <is>
          <t>DC Paris</t>
        </is>
      </c>
      <c r="E6" s="281" t="inlineStr">
        <is>
          <t>Production BDD</t>
        </is>
      </c>
      <c r="F6" s="426" t="n">
        <v>270</v>
      </c>
      <c r="G6" s="426" t="n">
        <v>96</v>
      </c>
      <c r="H6" s="426" t="n">
        <v>128</v>
      </c>
      <c r="I6" s="426" t="n">
        <v>2000</v>
      </c>
      <c r="J6" s="296" t="inlineStr">
        <is>
          <t>SSD</t>
        </is>
      </c>
      <c r="K6" s="429" t="n">
        <v>0.6</v>
      </c>
      <c r="L6" s="426" t="n">
        <v>8760</v>
      </c>
      <c r="M6" s="1045" t="n">
        <v>0.0569</v>
      </c>
      <c r="N6" s="439" t="n">
        <v>1.3</v>
      </c>
      <c r="O6" s="426" t="n">
        <v>1500</v>
      </c>
      <c r="P6" s="281" t="n">
        <v>5</v>
      </c>
      <c r="Q6" s="302">
        <f>F6*(0.3+0.7*K6)</f>
        <v/>
      </c>
      <c r="R6" s="302">
        <f>H6/8*3.75</f>
        <v/>
      </c>
      <c r="S6" s="302">
        <f>IF(J6="SSD",I6/1000*2.5,I6/1000*6)</f>
        <v/>
      </c>
      <c r="T6" s="302">
        <f>Q6+R6+S6</f>
        <v/>
      </c>
      <c r="U6" s="302">
        <f>T6*L6/1000*N6</f>
        <v/>
      </c>
      <c r="V6" s="302">
        <f>U6*M6</f>
        <v/>
      </c>
      <c r="W6" s="302">
        <f>O6/P6</f>
        <v/>
      </c>
      <c r="X6" s="302">
        <f>V6+W6</f>
        <v/>
      </c>
      <c r="Y6" s="302">
        <f>U6*0.18</f>
        <v/>
      </c>
      <c r="Z6" s="302">
        <f>IFERROR(X6/G6,0)</f>
        <v/>
      </c>
    </row>
    <row r="7">
      <c r="A7" s="81" t="inlineStr">
        <is>
          <t>SRV-002</t>
        </is>
      </c>
      <c r="B7" s="281" t="inlineStr">
        <is>
          <t>Dell</t>
        </is>
      </c>
      <c r="C7" s="281" t="inlineStr">
        <is>
          <t>PowerEdge R750</t>
        </is>
      </c>
      <c r="D7" s="281" t="inlineStr">
        <is>
          <t>DC Paris</t>
        </is>
      </c>
      <c r="E7" s="281" t="inlineStr">
        <is>
          <t>Serveur Web</t>
        </is>
      </c>
      <c r="F7" s="426" t="n">
        <v>270</v>
      </c>
      <c r="G7" s="426" t="n">
        <v>96</v>
      </c>
      <c r="H7" s="426" t="n">
        <v>64</v>
      </c>
      <c r="I7" s="426" t="n">
        <v>500</v>
      </c>
      <c r="J7" s="81" t="inlineStr">
        <is>
          <t>SSD</t>
        </is>
      </c>
      <c r="K7" s="429" t="n">
        <v>0.35</v>
      </c>
      <c r="L7" s="426" t="n">
        <v>8760</v>
      </c>
      <c r="M7" s="1045" t="n">
        <v>0.0569</v>
      </c>
      <c r="N7" s="439" t="n">
        <v>1.3</v>
      </c>
      <c r="O7" s="426" t="n">
        <v>1500</v>
      </c>
      <c r="P7" s="281" t="n">
        <v>5</v>
      </c>
      <c r="Q7" s="299">
        <f>F7*(0.3+0.7*K7)</f>
        <v/>
      </c>
      <c r="R7" s="299">
        <f>H7/8*3.75</f>
        <v/>
      </c>
      <c r="S7" s="299">
        <f>IF(J7="SSD",I7/1000*2.5,I7/1000*6)</f>
        <v/>
      </c>
      <c r="T7" s="299">
        <f>Q7+R7+S7</f>
        <v/>
      </c>
      <c r="U7" s="299">
        <f>T7*L7/1000*N7</f>
        <v/>
      </c>
      <c r="V7" s="299">
        <f>U7*M7</f>
        <v/>
      </c>
      <c r="W7" s="299">
        <f>O7/P7</f>
        <v/>
      </c>
      <c r="X7" s="299">
        <f>V7+W7</f>
        <v/>
      </c>
      <c r="Y7" s="299">
        <f>U7*0.18</f>
        <v/>
      </c>
      <c r="Z7" s="299">
        <f>IFERROR(X7/G7,0)</f>
        <v/>
      </c>
    </row>
    <row r="8">
      <c r="A8" s="296" t="inlineStr">
        <is>
          <t>SRV-003</t>
        </is>
      </c>
      <c r="B8" s="281" t="inlineStr">
        <is>
          <t>HP</t>
        </is>
      </c>
      <c r="C8" s="281" t="inlineStr">
        <is>
          <t>ProLiant DL380</t>
        </is>
      </c>
      <c r="D8" s="281" t="inlineStr">
        <is>
          <t>DC Paris</t>
        </is>
      </c>
      <c r="E8" s="281" t="inlineStr">
        <is>
          <t>Application midware</t>
        </is>
      </c>
      <c r="F8" s="426" t="n">
        <v>300</v>
      </c>
      <c r="G8" s="426" t="n">
        <v>80</v>
      </c>
      <c r="H8" s="426" t="n">
        <v>64</v>
      </c>
      <c r="I8" s="426" t="n">
        <v>1000</v>
      </c>
      <c r="J8" s="296" t="inlineStr">
        <is>
          <t>SSD</t>
        </is>
      </c>
      <c r="K8" s="429" t="n">
        <v>0.4</v>
      </c>
      <c r="L8" s="426" t="n">
        <v>8760</v>
      </c>
      <c r="M8" s="1045" t="n">
        <v>0.0569</v>
      </c>
      <c r="N8" s="439" t="n">
        <v>1.3</v>
      </c>
      <c r="O8" s="426" t="n">
        <v>1500</v>
      </c>
      <c r="P8" s="281" t="n">
        <v>5</v>
      </c>
      <c r="Q8" s="302">
        <f>F8*(0.3+0.7*K8)</f>
        <v/>
      </c>
      <c r="R8" s="302">
        <f>H8/8*3.75</f>
        <v/>
      </c>
      <c r="S8" s="302">
        <f>IF(J8="SSD",I8/1000*2.5,I8/1000*6)</f>
        <v/>
      </c>
      <c r="T8" s="302">
        <f>Q8+R8+S8</f>
        <v/>
      </c>
      <c r="U8" s="302">
        <f>T8*L8/1000*N8</f>
        <v/>
      </c>
      <c r="V8" s="302">
        <f>U8*M8</f>
        <v/>
      </c>
      <c r="W8" s="302">
        <f>O8/P8</f>
        <v/>
      </c>
      <c r="X8" s="302">
        <f>V8+W8</f>
        <v/>
      </c>
      <c r="Y8" s="302">
        <f>U8*0.18</f>
        <v/>
      </c>
      <c r="Z8" s="302">
        <f>IFERROR(X8/G8,0)</f>
        <v/>
      </c>
    </row>
    <row r="9">
      <c r="A9" s="81" t="inlineStr">
        <is>
          <t>SRV-004</t>
        </is>
      </c>
      <c r="B9" s="281" t="inlineStr">
        <is>
          <t>Lenovo</t>
        </is>
      </c>
      <c r="C9" s="281" t="inlineStr">
        <is>
          <t>ThinkSystem SR650</t>
        </is>
      </c>
      <c r="D9" s="281" t="inlineStr">
        <is>
          <t>DC Paris</t>
        </is>
      </c>
      <c r="E9" s="281" t="inlineStr">
        <is>
          <t>Dev/Test</t>
        </is>
      </c>
      <c r="F9" s="426" t="n">
        <v>250</v>
      </c>
      <c r="G9" s="426" t="n">
        <v>80</v>
      </c>
      <c r="H9" s="426" t="n">
        <v>32</v>
      </c>
      <c r="I9" s="426" t="n">
        <v>500</v>
      </c>
      <c r="J9" s="81" t="inlineStr">
        <is>
          <t>SSD</t>
        </is>
      </c>
      <c r="K9" s="429" t="n">
        <v>0.2</v>
      </c>
      <c r="L9" s="426" t="n">
        <v>2000</v>
      </c>
      <c r="M9" s="1045" t="n">
        <v>0.0569</v>
      </c>
      <c r="N9" s="439" t="n">
        <v>1.3</v>
      </c>
      <c r="O9" s="426" t="n">
        <v>1500</v>
      </c>
      <c r="P9" s="281" t="n">
        <v>5</v>
      </c>
      <c r="Q9" s="299">
        <f>F9*(0.3+0.7*K9)</f>
        <v/>
      </c>
      <c r="R9" s="299">
        <f>H9/8*3.75</f>
        <v/>
      </c>
      <c r="S9" s="299">
        <f>IF(J9="SSD",I9/1000*2.5,I9/1000*6)</f>
        <v/>
      </c>
      <c r="T9" s="299">
        <f>Q9+R9+S9</f>
        <v/>
      </c>
      <c r="U9" s="299">
        <f>T9*L9/1000*N9</f>
        <v/>
      </c>
      <c r="V9" s="299">
        <f>U9*M9</f>
        <v/>
      </c>
      <c r="W9" s="299">
        <f>O9/P9</f>
        <v/>
      </c>
      <c r="X9" s="299">
        <f>V9+W9</f>
        <v/>
      </c>
      <c r="Y9" s="299">
        <f>U9*0.18</f>
        <v/>
      </c>
      <c r="Z9" s="299">
        <f>IFERROR(X9/G9,0)</f>
        <v/>
      </c>
    </row>
    <row r="10">
      <c r="A10" s="296" t="inlineStr">
        <is>
          <t>SRV-005</t>
        </is>
      </c>
      <c r="B10" s="281" t="inlineStr">
        <is>
          <t>Dell</t>
        </is>
      </c>
      <c r="C10" s="281" t="inlineStr">
        <is>
          <t>PowerEdge R640</t>
        </is>
      </c>
      <c r="D10" s="281" t="inlineStr">
        <is>
          <t>DC Paris</t>
        </is>
      </c>
      <c r="E10" s="281" t="inlineStr">
        <is>
          <t>Monitoring/Log</t>
        </is>
      </c>
      <c r="F10" s="426" t="n">
        <v>205</v>
      </c>
      <c r="G10" s="426" t="n">
        <v>48</v>
      </c>
      <c r="H10" s="426" t="n">
        <v>32</v>
      </c>
      <c r="I10" s="426" t="n">
        <v>500</v>
      </c>
      <c r="J10" s="296" t="inlineStr">
        <is>
          <t>HDD</t>
        </is>
      </c>
      <c r="K10" s="429" t="n">
        <v>0.3</v>
      </c>
      <c r="L10" s="426" t="n">
        <v>8760</v>
      </c>
      <c r="M10" s="1045" t="n">
        <v>0.0569</v>
      </c>
      <c r="N10" s="439" t="n">
        <v>1.3</v>
      </c>
      <c r="O10" s="426" t="n">
        <v>1500</v>
      </c>
      <c r="P10" s="281" t="n">
        <v>5</v>
      </c>
      <c r="Q10" s="302">
        <f>F10*(0.3+0.7*K10)</f>
        <v/>
      </c>
      <c r="R10" s="302">
        <f>H10/8*3.75</f>
        <v/>
      </c>
      <c r="S10" s="302">
        <f>IF(J10="SSD",I10/1000*2.5,I10/1000*6)</f>
        <v/>
      </c>
      <c r="T10" s="302">
        <f>Q10+R10+S10</f>
        <v/>
      </c>
      <c r="U10" s="302">
        <f>T10*L10/1000*N10</f>
        <v/>
      </c>
      <c r="V10" s="302">
        <f>U10*M10</f>
        <v/>
      </c>
      <c r="W10" s="302">
        <f>O10/P10</f>
        <v/>
      </c>
      <c r="X10" s="302">
        <f>V10+W10</f>
        <v/>
      </c>
      <c r="Y10" s="302">
        <f>U10*0.18</f>
        <v/>
      </c>
      <c r="Z10" s="302">
        <f>IFERROR(X10/G10,0)</f>
        <v/>
      </c>
    </row>
    <row r="11">
      <c r="A11" s="81" t="inlineStr">
        <is>
          <t>SRV-006</t>
        </is>
      </c>
      <c r="B11" s="281" t="inlineStr">
        <is>
          <t>HP</t>
        </is>
      </c>
      <c r="C11" s="281" t="inlineStr">
        <is>
          <t>ProLiant DL360</t>
        </is>
      </c>
      <c r="D11" s="281" t="inlineStr">
        <is>
          <t>DC Lyon</t>
        </is>
      </c>
      <c r="E11" s="281" t="inlineStr">
        <is>
          <t>Sauvegarde/Backup</t>
        </is>
      </c>
      <c r="F11" s="426" t="n">
        <v>165</v>
      </c>
      <c r="G11" s="426" t="n">
        <v>48</v>
      </c>
      <c r="H11" s="426" t="n">
        <v>128</v>
      </c>
      <c r="I11" s="426" t="n">
        <v>5000</v>
      </c>
      <c r="J11" s="81" t="inlineStr">
        <is>
          <t>HDD</t>
        </is>
      </c>
      <c r="K11" s="429" t="n">
        <v>0.1</v>
      </c>
      <c r="L11" s="426" t="n">
        <v>8760</v>
      </c>
      <c r="M11" s="1045" t="n">
        <v>0.0569</v>
      </c>
      <c r="N11" s="439" t="n">
        <v>1.4</v>
      </c>
      <c r="O11" s="426" t="n">
        <v>1500</v>
      </c>
      <c r="P11" s="281" t="n">
        <v>5</v>
      </c>
      <c r="Q11" s="299">
        <f>F11*(0.3+0.7*K11)</f>
        <v/>
      </c>
      <c r="R11" s="299">
        <f>H11/8*3.75</f>
        <v/>
      </c>
      <c r="S11" s="299">
        <f>IF(J11="SSD",I11/1000*2.5,I11/1000*6)</f>
        <v/>
      </c>
      <c r="T11" s="299">
        <f>Q11+R11+S11</f>
        <v/>
      </c>
      <c r="U11" s="299">
        <f>T11*L11/1000*N11</f>
        <v/>
      </c>
      <c r="V11" s="299">
        <f>U11*M11</f>
        <v/>
      </c>
      <c r="W11" s="299">
        <f>O11/P11</f>
        <v/>
      </c>
      <c r="X11" s="299">
        <f>V11+W11</f>
        <v/>
      </c>
      <c r="Y11" s="299">
        <f>U11*0.18</f>
        <v/>
      </c>
      <c r="Z11" s="299">
        <f>IFERROR(X11/G11,0)</f>
        <v/>
      </c>
    </row>
    <row r="12">
      <c r="A12" s="296" t="inlineStr">
        <is>
          <t>SRV-007</t>
        </is>
      </c>
      <c r="B12" s="281" t="inlineStr">
        <is>
          <t>Dell</t>
        </is>
      </c>
      <c r="C12" s="281" t="inlineStr">
        <is>
          <t>PowerEdge R750</t>
        </is>
      </c>
      <c r="D12" s="281" t="inlineStr">
        <is>
          <t>DC Lyon</t>
        </is>
      </c>
      <c r="E12" s="281" t="inlineStr">
        <is>
          <t>ML/GPU Worker</t>
        </is>
      </c>
      <c r="F12" s="426" t="n">
        <v>350</v>
      </c>
      <c r="G12" s="426" t="n">
        <v>64</v>
      </c>
      <c r="H12" s="426" t="n">
        <v>64</v>
      </c>
      <c r="I12" s="426" t="n">
        <v>1000</v>
      </c>
      <c r="J12" s="296" t="inlineStr">
        <is>
          <t>SSD</t>
        </is>
      </c>
      <c r="K12" s="429" t="n">
        <v>0.7</v>
      </c>
      <c r="L12" s="426" t="n">
        <v>8760</v>
      </c>
      <c r="M12" s="1045" t="n">
        <v>0.0569</v>
      </c>
      <c r="N12" s="439" t="n">
        <v>1.4</v>
      </c>
      <c r="O12" s="426" t="n">
        <v>1500</v>
      </c>
      <c r="P12" s="281" t="n">
        <v>5</v>
      </c>
      <c r="Q12" s="302">
        <f>F12*(0.3+0.7*K12)</f>
        <v/>
      </c>
      <c r="R12" s="302">
        <f>H12/8*3.75</f>
        <v/>
      </c>
      <c r="S12" s="302">
        <f>IF(J12="SSD",I12/1000*2.5,I12/1000*6)</f>
        <v/>
      </c>
      <c r="T12" s="302">
        <f>Q12+R12+S12</f>
        <v/>
      </c>
      <c r="U12" s="302">
        <f>T12*L12/1000*N12</f>
        <v/>
      </c>
      <c r="V12" s="302">
        <f>U12*M12</f>
        <v/>
      </c>
      <c r="W12" s="302">
        <f>O12/P12</f>
        <v/>
      </c>
      <c r="X12" s="302">
        <f>V12+W12</f>
        <v/>
      </c>
      <c r="Y12" s="302">
        <f>U12*0.18</f>
        <v/>
      </c>
      <c r="Z12" s="302">
        <f>IFERROR(X12/G12,0)</f>
        <v/>
      </c>
    </row>
    <row r="13">
      <c r="A13" s="81" t="inlineStr">
        <is>
          <t>SRV-008</t>
        </is>
      </c>
      <c r="B13" s="281" t="inlineStr">
        <is>
          <t>Generic</t>
        </is>
      </c>
      <c r="C13" s="281" t="inlineStr">
        <is>
          <t>NAS Synology</t>
        </is>
      </c>
      <c r="D13" s="281" t="inlineStr">
        <is>
          <t>Salle serveurs</t>
        </is>
      </c>
      <c r="E13" s="281" t="inlineStr">
        <is>
          <t>NAS stockage</t>
        </is>
      </c>
      <c r="F13" s="426" t="n">
        <v>60</v>
      </c>
      <c r="G13" s="426" t="n">
        <v>4</v>
      </c>
      <c r="H13" s="426" t="n">
        <v>16</v>
      </c>
      <c r="I13" s="426" t="n">
        <v>20000</v>
      </c>
      <c r="J13" s="81" t="inlineStr">
        <is>
          <t>HDD</t>
        </is>
      </c>
      <c r="K13" s="429" t="n">
        <v>0.15</v>
      </c>
      <c r="L13" s="426" t="n">
        <v>8760</v>
      </c>
      <c r="M13" s="1045" t="n">
        <v>0.0569</v>
      </c>
      <c r="N13" s="439" t="n">
        <v>1.2</v>
      </c>
      <c r="O13" s="426" t="n">
        <v>200</v>
      </c>
      <c r="P13" s="281" t="n">
        <v>7</v>
      </c>
      <c r="Q13" s="299">
        <f>F13*(0.3+0.7*K13)</f>
        <v/>
      </c>
      <c r="R13" s="299">
        <f>H13/8*3.75</f>
        <v/>
      </c>
      <c r="S13" s="299">
        <f>IF(J13="SSD",I13/1000*2.5,I13/1000*6)</f>
        <v/>
      </c>
      <c r="T13" s="299">
        <f>Q13+R13+S13</f>
        <v/>
      </c>
      <c r="U13" s="299">
        <f>T13*L13/1000*N13</f>
        <v/>
      </c>
      <c r="V13" s="299">
        <f>U13*M13</f>
        <v/>
      </c>
      <c r="W13" s="299">
        <f>O13/P13</f>
        <v/>
      </c>
      <c r="X13" s="299">
        <f>V13+W13</f>
        <v/>
      </c>
      <c r="Y13" s="299">
        <f>U13*0.18</f>
        <v/>
      </c>
      <c r="Z13" s="299">
        <f>IFERROR(X13/G13,0)</f>
        <v/>
      </c>
    </row>
    <row r="14">
      <c r="A14" s="296" t="inlineStr">
        <is>
          <t>SRV-009</t>
        </is>
      </c>
      <c r="B14" s="281" t="inlineStr">
        <is>
          <t>Cisco</t>
        </is>
      </c>
      <c r="C14" s="281" t="inlineStr">
        <is>
          <t>UCS C240</t>
        </is>
      </c>
      <c r="D14" s="281" t="inlineStr">
        <is>
          <t>DC Paris</t>
        </is>
      </c>
      <c r="E14" s="281" t="inlineStr">
        <is>
          <t>Virtualisation hôte</t>
        </is>
      </c>
      <c r="F14" s="426" t="n">
        <v>300</v>
      </c>
      <c r="G14" s="426" t="n">
        <v>80</v>
      </c>
      <c r="H14" s="426" t="n">
        <v>512</v>
      </c>
      <c r="I14" s="426" t="n">
        <v>4000</v>
      </c>
      <c r="J14" s="296" t="inlineStr">
        <is>
          <t>SSD</t>
        </is>
      </c>
      <c r="K14" s="429" t="n">
        <v>0.55</v>
      </c>
      <c r="L14" s="426" t="n">
        <v>8760</v>
      </c>
      <c r="M14" s="1045" t="n">
        <v>0.0569</v>
      </c>
      <c r="N14" s="439" t="n">
        <v>1.3</v>
      </c>
      <c r="O14" s="426" t="n">
        <v>1500</v>
      </c>
      <c r="P14" s="281" t="n">
        <v>5</v>
      </c>
      <c r="Q14" s="302">
        <f>F14*(0.3+0.7*K14)</f>
        <v/>
      </c>
      <c r="R14" s="302">
        <f>H14/8*3.75</f>
        <v/>
      </c>
      <c r="S14" s="302">
        <f>IF(J14="SSD",I14/1000*2.5,I14/1000*6)</f>
        <v/>
      </c>
      <c r="T14" s="302">
        <f>Q14+R14+S14</f>
        <v/>
      </c>
      <c r="U14" s="302">
        <f>T14*L14/1000*N14</f>
        <v/>
      </c>
      <c r="V14" s="302">
        <f>U14*M14</f>
        <v/>
      </c>
      <c r="W14" s="302">
        <f>O14/P14</f>
        <v/>
      </c>
      <c r="X14" s="302">
        <f>V14+W14</f>
        <v/>
      </c>
      <c r="Y14" s="302">
        <f>U14*0.18</f>
        <v/>
      </c>
      <c r="Z14" s="302">
        <f>IFERROR(X14/G14,0)</f>
        <v/>
      </c>
    </row>
    <row r="15">
      <c r="A15" s="81" t="inlineStr">
        <is>
          <t>SRV-010</t>
        </is>
      </c>
      <c r="B15" s="281" t="n"/>
      <c r="C15" s="281" t="n"/>
      <c r="D15" s="281" t="n"/>
      <c r="E15" s="281" t="n"/>
      <c r="F15" s="426" t="n">
        <v>270</v>
      </c>
      <c r="G15" s="426" t="n">
        <v>96</v>
      </c>
      <c r="H15" s="426" t="n">
        <v>64</v>
      </c>
      <c r="I15" s="426" t="n">
        <v>500</v>
      </c>
      <c r="J15" s="81" t="inlineStr">
        <is>
          <t>SSD</t>
        </is>
      </c>
      <c r="K15" s="429" t="n">
        <v>0.35</v>
      </c>
      <c r="L15" s="426" t="n">
        <v>8760</v>
      </c>
      <c r="M15" s="1045" t="n">
        <v>0.0569</v>
      </c>
      <c r="N15" s="439" t="n">
        <v>1.3</v>
      </c>
      <c r="O15" s="426" t="n">
        <v>1500</v>
      </c>
      <c r="P15" s="281" t="n">
        <v>5</v>
      </c>
      <c r="Q15" s="299">
        <f>F15*(0.3+0.7*K15)</f>
        <v/>
      </c>
      <c r="R15" s="299">
        <f>H15/8*3.75</f>
        <v/>
      </c>
      <c r="S15" s="299">
        <f>IF(J15="SSD",I15/1000*2.5,I15/1000*6)</f>
        <v/>
      </c>
      <c r="T15" s="299">
        <f>Q15+R15+S15</f>
        <v/>
      </c>
      <c r="U15" s="299">
        <f>T15*L15/1000*N15</f>
        <v/>
      </c>
      <c r="V15" s="299">
        <f>U15*M15</f>
        <v/>
      </c>
      <c r="W15" s="299">
        <f>O15/P15</f>
        <v/>
      </c>
      <c r="X15" s="299">
        <f>V15+W15</f>
        <v/>
      </c>
      <c r="Y15" s="299">
        <f>U15*0.18</f>
        <v/>
      </c>
      <c r="Z15" s="299">
        <f>IFERROR(X15/G15,0)</f>
        <v/>
      </c>
    </row>
    <row r="16" ht="15.75" customHeight="1" s="847">
      <c r="A16" s="482" t="inlineStr">
        <is>
          <t>TOTAL SERVEURS PHYSIQUES</t>
        </is>
      </c>
      <c r="B16" s="481" t="n"/>
      <c r="C16" s="481" t="n"/>
      <c r="D16" s="481" t="n"/>
      <c r="E16" s="481" t="n"/>
      <c r="F16" s="481" t="n"/>
      <c r="G16" s="481" t="n"/>
      <c r="H16" s="481" t="n"/>
      <c r="I16" s="481" t="n"/>
      <c r="J16" s="481" t="n"/>
      <c r="K16" s="481" t="n"/>
      <c r="L16" s="481" t="n"/>
      <c r="M16" s="481" t="n"/>
      <c r="N16" s="481" t="n"/>
      <c r="O16" s="481" t="n"/>
      <c r="P16" s="481" t="n"/>
      <c r="Q16" s="481" t="n"/>
      <c r="R16" s="481" t="n"/>
      <c r="S16" s="481" t="n"/>
      <c r="T16" s="481" t="n"/>
      <c r="U16" s="422">
        <f>SUM(U6:U15)</f>
        <v/>
      </c>
      <c r="V16" s="422">
        <f>SUM(V6:V15)</f>
        <v/>
      </c>
      <c r="W16" s="422">
        <f>SUM(W6:W15)</f>
        <v/>
      </c>
      <c r="X16" s="422">
        <f>SUM(X6:X15)</f>
        <v/>
      </c>
      <c r="Y16" s="422">
        <f>SUM(Y6:Y15)</f>
        <v/>
      </c>
      <c r="Z16" s="422">
        <f>SUM(Z6:Z15)</f>
        <v/>
      </c>
    </row>
    <row r="18">
      <c r="A18" s="955" t="inlineStr">
        <is>
          <t>INDICATEURS CLÉS</t>
        </is>
      </c>
      <c r="G18" s="955" t="n"/>
      <c r="H18" s="955" t="n"/>
      <c r="I18" s="955" t="n"/>
      <c r="J18" s="955" t="n"/>
      <c r="K18" s="955" t="n"/>
      <c r="L18" s="955" t="n"/>
      <c r="M18" s="955" t="n"/>
      <c r="N18" s="955" t="n"/>
      <c r="O18" s="955" t="n"/>
      <c r="P18" s="955" t="n"/>
      <c r="Q18" s="955" t="n"/>
      <c r="R18" s="955" t="n"/>
      <c r="S18" s="955" t="n"/>
      <c r="T18" s="955" t="n"/>
      <c r="U18" s="955" t="n"/>
      <c r="V18" s="955" t="n"/>
      <c r="W18" s="955" t="n"/>
      <c r="X18" s="955" t="n"/>
      <c r="Y18" s="955" t="n"/>
      <c r="Z18" s="955" t="n"/>
    </row>
    <row r="19">
      <c r="A19" s="320" t="inlineStr">
        <is>
          <t>CO2 total usage (tCO2e/an)</t>
        </is>
      </c>
      <c r="B19" s="302">
        <f>V16/1000</f>
        <v/>
      </c>
      <c r="C19" s="296" t="n"/>
      <c r="D19" s="296" t="n"/>
      <c r="E19" s="296" t="n"/>
      <c r="F19" s="296" t="n"/>
      <c r="G19" s="296" t="n"/>
      <c r="H19" s="296" t="n"/>
      <c r="I19" s="296" t="n"/>
      <c r="J19" s="296" t="n"/>
      <c r="K19" s="296" t="n"/>
      <c r="L19" s="296" t="n"/>
      <c r="M19" s="296" t="n"/>
      <c r="N19" s="296" t="n"/>
      <c r="O19" s="296" t="n"/>
      <c r="P19" s="296" t="n"/>
      <c r="Q19" s="296" t="n"/>
      <c r="R19" s="296" t="n"/>
      <c r="S19" s="296" t="n"/>
      <c r="T19" s="296" t="n"/>
      <c r="U19" s="296" t="n"/>
      <c r="V19" s="296" t="n"/>
      <c r="W19" s="296" t="n"/>
      <c r="X19" s="296" t="n"/>
      <c r="Y19" s="296" t="n"/>
      <c r="Z19" s="296" t="n"/>
    </row>
    <row r="20">
      <c r="A20" s="315" t="inlineStr">
        <is>
          <t>CO2 total fabrication amorti (tCO2e/an)</t>
        </is>
      </c>
      <c r="B20" s="299">
        <f>W16/1000</f>
        <v/>
      </c>
      <c r="C20" s="81" t="n"/>
      <c r="D20" s="81" t="n"/>
      <c r="E20" s="81" t="n"/>
      <c r="F20" s="81" t="n"/>
      <c r="G20" s="81" t="n"/>
      <c r="H20" s="81" t="n"/>
      <c r="I20" s="81" t="n"/>
      <c r="J20" s="81" t="n"/>
      <c r="K20" s="81" t="n"/>
      <c r="L20" s="81" t="n"/>
      <c r="M20" s="81" t="n"/>
      <c r="N20" s="81" t="n"/>
      <c r="O20" s="81" t="n"/>
      <c r="P20" s="81" t="n"/>
      <c r="Q20" s="81" t="n"/>
      <c r="R20" s="81" t="n"/>
      <c r="S20" s="81" t="n"/>
      <c r="T20" s="81" t="n"/>
      <c r="U20" s="81" t="n"/>
      <c r="V20" s="81" t="n"/>
      <c r="W20" s="81" t="n"/>
      <c r="X20" s="81" t="n"/>
      <c r="Y20" s="81" t="n"/>
      <c r="Z20" s="81" t="n"/>
    </row>
    <row r="21">
      <c r="A21" s="320" t="inlineStr">
        <is>
          <t>CO2 TOTAL (tCO2e/an)</t>
        </is>
      </c>
      <c r="B21" s="302">
        <f>X16/1000</f>
        <v/>
      </c>
      <c r="C21" s="296" t="n"/>
      <c r="D21" s="296" t="n"/>
      <c r="E21" s="296" t="n"/>
      <c r="F21" s="296" t="n"/>
      <c r="G21" s="296" t="n"/>
      <c r="H21" s="296" t="n"/>
      <c r="I21" s="296" t="n"/>
      <c r="J21" s="296" t="n"/>
      <c r="K21" s="296" t="n"/>
      <c r="L21" s="296" t="n"/>
      <c r="M21" s="296" t="n"/>
      <c r="N21" s="296" t="n"/>
      <c r="O21" s="296" t="n"/>
      <c r="P21" s="296" t="n"/>
      <c r="Q21" s="296" t="n"/>
      <c r="R21" s="296" t="n"/>
      <c r="S21" s="296" t="n"/>
      <c r="T21" s="296" t="n"/>
      <c r="U21" s="296" t="n"/>
      <c r="V21" s="296" t="n"/>
      <c r="W21" s="296" t="n"/>
      <c r="X21" s="296" t="n"/>
      <c r="Y21" s="296" t="n"/>
      <c r="Z21" s="296" t="n"/>
    </row>
    <row r="22">
      <c r="A22" s="315" t="inlineStr">
        <is>
          <t>Conso elec totale (kWh/an)</t>
        </is>
      </c>
      <c r="B22" s="299">
        <f>U16</f>
        <v/>
      </c>
      <c r="C22" s="81" t="n"/>
      <c r="D22" s="81" t="n"/>
      <c r="E22" s="81" t="n"/>
      <c r="F22" s="81" t="n"/>
      <c r="G22" s="81" t="n"/>
      <c r="H22" s="81" t="n"/>
      <c r="I22" s="81" t="n"/>
      <c r="J22" s="81" t="n"/>
      <c r="K22" s="81" t="n"/>
      <c r="L22" s="81" t="n"/>
      <c r="M22" s="81" t="n"/>
      <c r="N22" s="81" t="n"/>
      <c r="O22" s="81" t="n"/>
      <c r="P22" s="81" t="n"/>
      <c r="Q22" s="81" t="n"/>
      <c r="R22" s="81" t="n"/>
      <c r="S22" s="81" t="n"/>
      <c r="T22" s="81" t="n"/>
      <c r="U22" s="81" t="n"/>
      <c r="V22" s="81" t="n"/>
      <c r="W22" s="81" t="n"/>
      <c r="X22" s="81" t="n"/>
      <c r="Y22" s="81" t="n"/>
      <c r="Z22" s="81" t="n"/>
    </row>
    <row r="23">
      <c r="A23" s="320" t="inlineStr">
        <is>
          <t>Cout elec estimé (EUR/an)</t>
        </is>
      </c>
      <c r="B23" s="302">
        <f>Y16</f>
        <v/>
      </c>
      <c r="C23" s="296" t="n"/>
      <c r="D23" s="296" t="n"/>
      <c r="E23" s="296" t="n"/>
      <c r="F23" s="296" t="n"/>
      <c r="G23" s="296" t="n"/>
      <c r="H23" s="296" t="n"/>
      <c r="I23" s="296" t="n"/>
      <c r="J23" s="296" t="n"/>
      <c r="K23" s="296" t="n"/>
      <c r="L23" s="296" t="n"/>
      <c r="M23" s="296" t="n"/>
      <c r="N23" s="296" t="n"/>
      <c r="O23" s="296" t="n"/>
      <c r="P23" s="296" t="n"/>
      <c r="Q23" s="296" t="n"/>
      <c r="R23" s="296" t="n"/>
      <c r="S23" s="296" t="n"/>
      <c r="T23" s="296" t="n"/>
      <c r="U23" s="296" t="n"/>
      <c r="V23" s="296" t="n"/>
      <c r="W23" s="296" t="n"/>
      <c r="X23" s="296" t="n"/>
      <c r="Y23" s="296" t="n"/>
      <c r="Z23" s="296" t="n"/>
    </row>
    <row r="24">
      <c r="A24" s="315" t="inlineStr">
        <is>
          <t>CO2 par ETP (kgCO2e)</t>
        </is>
      </c>
      <c r="B24" s="299">
        <f>IFERROR(X16/'01_PARAMÈTRES2'!B12,0)</f>
        <v/>
      </c>
      <c r="C24" s="81" t="n"/>
      <c r="D24" s="81" t="n"/>
      <c r="E24" s="81" t="n"/>
      <c r="F24" s="81" t="n"/>
      <c r="G24" s="81" t="n"/>
      <c r="H24" s="81" t="n"/>
      <c r="I24" s="81" t="n"/>
      <c r="J24" s="81" t="n"/>
      <c r="K24" s="81" t="n"/>
      <c r="L24" s="81" t="n"/>
      <c r="M24" s="81" t="n"/>
      <c r="N24" s="81" t="n"/>
      <c r="O24" s="81" t="n"/>
      <c r="P24" s="81" t="n"/>
      <c r="Q24" s="81" t="n"/>
      <c r="R24" s="81" t="n"/>
      <c r="S24" s="81" t="n"/>
      <c r="T24" s="81" t="n"/>
      <c r="U24" s="81" t="n"/>
      <c r="V24" s="81" t="n"/>
      <c r="W24" s="81" t="n"/>
      <c r="X24" s="81" t="n"/>
      <c r="Y24" s="81" t="n"/>
      <c r="Z24" s="81" t="n"/>
    </row>
    <row r="26">
      <c r="A26" s="948" t="inlineStr">
        <is>
          <t>Formule : P_moy(W) = TDP x (0.30 + 0.70 x Charge) + RAM_W + Stock_W | kWh = P x Heures/1000 x PUE | CO2_usage = kWh x FE_elec | CO2_fab_amorti = CO2_fab / Durée_vie | Sources : Boavizta, PCF constructeurs.</t>
        </is>
      </c>
    </row>
  </sheetData>
  <mergeCells count="8">
    <mergeCell ref="F3:J3"/>
    <mergeCell ref="A1:Z1"/>
    <mergeCell ref="A26:Z26"/>
    <mergeCell ref="K3:P3"/>
    <mergeCell ref="A2:Z2"/>
    <mergeCell ref="A18:F18"/>
    <mergeCell ref="Q3:Z3"/>
    <mergeCell ref="A3:E3"/>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Z32"/>
  <sheetViews>
    <sheetView showGridLines="0" workbookViewId="0">
      <pane ySplit="2" topLeftCell="A4" activePane="bottomLeft" state="frozen"/>
      <selection pane="bottomLeft" activeCell="K6" sqref="K6"/>
    </sheetView>
  </sheetViews>
  <sheetFormatPr baseColWidth="10" defaultRowHeight="15"/>
  <cols>
    <col width="36.28515625" bestFit="1" customWidth="1" style="847" min="1" max="1"/>
  </cols>
  <sheetData>
    <row r="1" ht="18.75" customHeight="1" s="847">
      <c r="A1" s="965" t="inlineStr">
        <is>
          <t>INSTANCES CLOUD — Impact carbone par instance (modèle proportionnel vCPU, CCF methodology)</t>
        </is>
      </c>
    </row>
    <row r="2">
      <c r="A2" s="966" t="inlineStr">
        <is>
          <t>Scope 2 location-based + Scope 3 Cat.11. Methode : Cloud Carbon Footprint (CCF). CO2 = [(vCPU/vCPU_hote x TDP x (0.3+0.7xcharge)) + RAM_W + Stock_W] x h/1000 x PUE x FE + vCPU/vCPU_hote x CO2_fab/vie.</t>
        </is>
      </c>
    </row>
    <row r="3">
      <c r="A3" s="967" t="inlineStr">
        <is>
          <t>IDENTIFICATION</t>
        </is>
      </c>
      <c r="F3" s="962" t="inlineStr">
        <is>
          <t>CONFIGURATION INSTANCE</t>
        </is>
      </c>
      <c r="K3" s="963" t="inlineStr">
        <is>
          <t>PARAMÈTRES INFRA</t>
        </is>
      </c>
      <c r="Q3" s="964" t="inlineStr">
        <is>
          <t>CALCULS CO2 (méthode CCF)</t>
        </is>
      </c>
    </row>
    <row r="4" ht="42" customHeight="1" s="847">
      <c r="A4" s="478" t="inlineStr">
        <is>
          <t>ID Instance</t>
        </is>
      </c>
      <c r="B4" s="478" t="inlineStr">
        <is>
          <t>Fournisseur</t>
        </is>
      </c>
      <c r="C4" s="478" t="inlineStr">
        <is>
          <t>Type instance</t>
        </is>
      </c>
      <c r="D4" s="478" t="inlineStr">
        <is>
          <t>Région (ID FE)</t>
        </is>
      </c>
      <c r="E4" s="478" t="inlineStr">
        <is>
          <t>Usage / Rôle</t>
        </is>
      </c>
      <c r="F4" s="478" t="inlineStr">
        <is>
          <t>vCPU</t>
        </is>
      </c>
      <c r="G4" s="478" t="inlineStr">
        <is>
          <t>RAM (Go)</t>
        </is>
      </c>
      <c r="H4" s="478" t="inlineStr">
        <is>
          <t>Stockage (Go)</t>
        </is>
      </c>
      <c r="I4" s="478" t="inlineStr">
        <is>
          <t>Charge CPU (%)</t>
        </is>
      </c>
      <c r="J4" s="478" t="inlineStr">
        <is>
          <t>Heures/an</t>
        </is>
      </c>
      <c r="K4" s="478" t="inlineStr">
        <is>
          <t>FE élec région</t>
        </is>
      </c>
      <c r="L4" s="478" t="inlineStr">
        <is>
          <t>PUE fournisseur</t>
        </is>
      </c>
      <c r="M4" s="478" t="inlineStr">
        <is>
          <t>TDP hôte (W)</t>
        </is>
      </c>
      <c r="N4" s="478" t="inlineStr">
        <is>
          <t>vCPU hôte total</t>
        </is>
      </c>
      <c r="O4" s="478" t="inlineStr">
        <is>
          <t>CO2 fab hôte (kg)</t>
        </is>
      </c>
      <c r="P4" s="478" t="inlineStr">
        <is>
          <t>Durée vie (ans)</t>
        </is>
      </c>
      <c r="Q4" s="478" t="inlineStr">
        <is>
          <t>P_CPU part (W)</t>
        </is>
      </c>
      <c r="R4" s="478" t="inlineStr">
        <is>
          <t>P_RAM part (W)</t>
        </is>
      </c>
      <c r="S4" s="478" t="inlineStr">
        <is>
          <t>P_Stock part (W)</t>
        </is>
      </c>
      <c r="T4" s="478" t="inlineStr">
        <is>
          <t>P_instance (W)</t>
        </is>
      </c>
      <c r="U4" s="478" t="inlineStr">
        <is>
          <t>kWh/an PUE incl.</t>
        </is>
      </c>
      <c r="V4" s="478" t="inlineStr">
        <is>
          <t>CO2 usage/an (kg)</t>
        </is>
      </c>
      <c r="W4" s="478" t="inlineStr">
        <is>
          <t>CO2 fab part/an (kg)</t>
        </is>
      </c>
      <c r="X4" s="478" t="inlineStr">
        <is>
          <t>CO2 TOTAL/an (kg)</t>
        </is>
      </c>
      <c r="Y4" s="478" t="inlineStr">
        <is>
          <t>Cout elec/an (EUR)</t>
        </is>
      </c>
      <c r="Z4" s="478" t="inlineStr">
        <is>
          <t>CO2/vCPU/an (kg)</t>
        </is>
      </c>
    </row>
    <row r="5">
      <c r="A5" s="479" t="inlineStr">
        <is>
          <t>Ref. interne</t>
        </is>
      </c>
      <c r="B5" s="479" t="inlineStr">
        <is>
          <t>AWS/Azure/GCP...</t>
        </is>
      </c>
      <c r="C5" s="479" t="inlineStr">
        <is>
          <t>ex: m5.xlarge</t>
        </is>
      </c>
      <c r="D5" s="479" t="inlineStr">
        <is>
          <t>G01=Paris G02=IE</t>
        </is>
      </c>
      <c r="E5" s="479" t="inlineStr">
        <is>
          <t>API/BDD/ML...</t>
        </is>
      </c>
      <c r="F5" s="479" t="inlineStr">
        <is>
          <t>nb vCPU inst.</t>
        </is>
      </c>
      <c r="G5" s="479" t="inlineStr">
        <is>
          <t>Go RAM inst.</t>
        </is>
      </c>
      <c r="H5" s="479" t="inlineStr">
        <is>
          <t>Go EBS/PD</t>
        </is>
      </c>
      <c r="I5" s="479" t="inlineStr">
        <is>
          <t>35% typ.</t>
        </is>
      </c>
      <c r="J5" s="479" t="inlineStr">
        <is>
          <t>8760=24/7</t>
        </is>
      </c>
      <c r="K5" s="479" t="inlineStr">
        <is>
          <t>VLOOKUP(D;FE!G)</t>
        </is>
      </c>
      <c r="L5" s="479" t="inlineStr">
        <is>
          <t>VLOOKUP(B;FE!P)</t>
        </is>
      </c>
      <c r="M5" s="479" t="inlineStr">
        <is>
          <t>spec fournisseur</t>
        </is>
      </c>
      <c r="N5" s="479" t="inlineStr">
        <is>
          <t>nb vCPU serveur hote</t>
        </is>
      </c>
      <c r="O5" s="479" t="inlineStr">
        <is>
          <t>Boavizta API</t>
        </is>
      </c>
      <c r="P5" s="479" t="inlineStr">
        <is>
          <t>ans</t>
        </is>
      </c>
      <c r="Q5" s="479" t="inlineStr">
        <is>
          <t>(F/N) x M</t>
        </is>
      </c>
      <c r="R5" s="479" t="inlineStr">
        <is>
          <t>(G/8) x 3.75</t>
        </is>
      </c>
      <c r="S5" s="479" t="inlineStr">
        <is>
          <t>(H/1000) x 1.2</t>
        </is>
      </c>
      <c r="T5" s="479" t="inlineStr">
        <is>
          <t>Q x(0.3+0.7xI)+R+S</t>
        </is>
      </c>
      <c r="U5" s="479" t="inlineStr">
        <is>
          <t>T x J/1000 x L</t>
        </is>
      </c>
      <c r="V5" s="479" t="inlineStr">
        <is>
          <t>U x K</t>
        </is>
      </c>
      <c r="W5" s="479" t="inlineStr">
        <is>
          <t>(F/N) x O/P</t>
        </is>
      </c>
      <c r="X5" s="479" t="inlineStr">
        <is>
          <t>V+W</t>
        </is>
      </c>
      <c r="Y5" s="479" t="inlineStr">
        <is>
          <t>U x 0.15</t>
        </is>
      </c>
      <c r="Z5" s="479" t="inlineStr">
        <is>
          <t>X/F</t>
        </is>
      </c>
    </row>
    <row r="6">
      <c r="A6" s="991" t="inlineStr">
        <is>
          <t>PROD-API-01</t>
        </is>
      </c>
      <c r="B6" s="281" t="inlineStr">
        <is>
          <t>AWS</t>
        </is>
      </c>
      <c r="C6" s="281" t="inlineStr">
        <is>
          <t>m5.xlarge</t>
        </is>
      </c>
      <c r="D6" s="449" t="inlineStr">
        <is>
          <t>G01</t>
        </is>
      </c>
      <c r="E6" s="991" t="n"/>
      <c r="F6" s="426" t="n">
        <v>4</v>
      </c>
      <c r="G6" s="426" t="n">
        <v>16</v>
      </c>
      <c r="H6" s="426" t="n">
        <v>100</v>
      </c>
      <c r="I6" s="429" t="n">
        <v>0.35</v>
      </c>
      <c r="J6" s="426" t="n">
        <v>8760</v>
      </c>
      <c r="K6" s="1045">
        <f>IFERROR(VLOOKUP(D6,'02_FACTEURS_ÉMISSION2'!$A:$C,3,0),0.0569)</f>
        <v/>
      </c>
      <c r="L6" s="430" t="n">
        <v>1.135</v>
      </c>
      <c r="M6" s="281" t="n">
        <v>270</v>
      </c>
      <c r="N6" s="281" t="n">
        <v>96</v>
      </c>
      <c r="O6" s="281" t="n">
        <v>1500</v>
      </c>
      <c r="P6" s="281" t="n">
        <v>5</v>
      </c>
      <c r="Q6" s="468">
        <f>IFERROR(F6/N6*M6,0)</f>
        <v/>
      </c>
      <c r="R6" s="468">
        <f>G6/8*3.75</f>
        <v/>
      </c>
      <c r="S6" s="468">
        <f>H6/1000*1.2</f>
        <v/>
      </c>
      <c r="T6" s="468">
        <f>Q6*(0.3+0.7*I6)+R6+S6</f>
        <v/>
      </c>
      <c r="U6" s="468">
        <f>T6*J6/1000*L6</f>
        <v/>
      </c>
      <c r="V6" s="468">
        <f>U6*K6</f>
        <v/>
      </c>
      <c r="W6" s="468">
        <f>IFERROR(F6/N6*O6/P6,0)</f>
        <v/>
      </c>
      <c r="X6" s="468">
        <f>V6+W6</f>
        <v/>
      </c>
      <c r="Y6" s="468">
        <f>U6*0.15</f>
        <v/>
      </c>
      <c r="Z6" s="468">
        <f>IFERROR(X6/F6,0)</f>
        <v/>
      </c>
    </row>
    <row r="7">
      <c r="A7" s="81" t="inlineStr">
        <is>
          <t>PROD-API-02</t>
        </is>
      </c>
      <c r="B7" s="281" t="inlineStr">
        <is>
          <t>AWS</t>
        </is>
      </c>
      <c r="C7" s="281" t="inlineStr">
        <is>
          <t>m5.xlarge</t>
        </is>
      </c>
      <c r="D7" s="449" t="inlineStr">
        <is>
          <t>G01</t>
        </is>
      </c>
      <c r="E7" s="81" t="n"/>
      <c r="F7" s="426" t="n">
        <v>4</v>
      </c>
      <c r="G7" s="426" t="n">
        <v>16</v>
      </c>
      <c r="H7" s="426" t="n">
        <v>100</v>
      </c>
      <c r="I7" s="429" t="n">
        <v>0.4</v>
      </c>
      <c r="J7" s="426" t="n">
        <v>8760</v>
      </c>
      <c r="K7" s="1045">
        <f>IFERROR(VLOOKUP(D7,'02_FACTEURS_ÉMISSION2'!$A:$C,3,0),0.0569)</f>
        <v/>
      </c>
      <c r="L7" s="430" t="n">
        <v>1.135</v>
      </c>
      <c r="M7" s="281" t="n">
        <v>270</v>
      </c>
      <c r="N7" s="281" t="n">
        <v>96</v>
      </c>
      <c r="O7" s="281" t="n">
        <v>1500</v>
      </c>
      <c r="P7" s="281" t="n">
        <v>5</v>
      </c>
      <c r="Q7" s="299">
        <f>IFERROR(F7/N7*M7,0)</f>
        <v/>
      </c>
      <c r="R7" s="299">
        <f>G7/8*3.75</f>
        <v/>
      </c>
      <c r="S7" s="299">
        <f>H7/1000*1.2</f>
        <v/>
      </c>
      <c r="T7" s="299">
        <f>Q7*(0.3+0.7*I7)+R7+S7</f>
        <v/>
      </c>
      <c r="U7" s="299">
        <f>T7*J7/1000*L7</f>
        <v/>
      </c>
      <c r="V7" s="299">
        <f>U7*K7</f>
        <v/>
      </c>
      <c r="W7" s="299">
        <f>IFERROR(F7/N7*O7/P7,0)</f>
        <v/>
      </c>
      <c r="X7" s="299">
        <f>V7+W7</f>
        <v/>
      </c>
      <c r="Y7" s="299">
        <f>U7*0.15</f>
        <v/>
      </c>
      <c r="Z7" s="299">
        <f>IFERROR(X7/F7,0)</f>
        <v/>
      </c>
    </row>
    <row r="8">
      <c r="A8" s="991" t="inlineStr">
        <is>
          <t>PROD-BDD-01</t>
        </is>
      </c>
      <c r="B8" s="281" t="inlineStr">
        <is>
          <t>AWS</t>
        </is>
      </c>
      <c r="C8" s="281" t="inlineStr">
        <is>
          <t>r5.2xlarge</t>
        </is>
      </c>
      <c r="D8" s="449" t="inlineStr">
        <is>
          <t>G01</t>
        </is>
      </c>
      <c r="E8" s="991" t="n"/>
      <c r="F8" s="426" t="n">
        <v>8</v>
      </c>
      <c r="G8" s="426" t="n">
        <v>64</v>
      </c>
      <c r="H8" s="426" t="n">
        <v>500</v>
      </c>
      <c r="I8" s="429" t="n">
        <v>0.6</v>
      </c>
      <c r="J8" s="426" t="n">
        <v>8760</v>
      </c>
      <c r="K8" s="1045">
        <f>IFERROR(VLOOKUP(D8,'02_FACTEURS_ÉMISSION2'!$A:$C,3,0),0.0569)</f>
        <v/>
      </c>
      <c r="L8" s="430" t="n">
        <v>1.135</v>
      </c>
      <c r="M8" s="281" t="n">
        <v>270</v>
      </c>
      <c r="N8" s="281" t="n">
        <v>96</v>
      </c>
      <c r="O8" s="281" t="n">
        <v>1500</v>
      </c>
      <c r="P8" s="281" t="n">
        <v>5</v>
      </c>
      <c r="Q8" s="468">
        <f>IFERROR(F8/N8*M8,0)</f>
        <v/>
      </c>
      <c r="R8" s="468">
        <f>G8/8*3.75</f>
        <v/>
      </c>
      <c r="S8" s="468">
        <f>H8/1000*1.2</f>
        <v/>
      </c>
      <c r="T8" s="468">
        <f>Q8*(0.3+0.7*I8)+R8+S8</f>
        <v/>
      </c>
      <c r="U8" s="468">
        <f>T8*J8/1000*L8</f>
        <v/>
      </c>
      <c r="V8" s="468">
        <f>U8*K8</f>
        <v/>
      </c>
      <c r="W8" s="468">
        <f>IFERROR(F8/N8*O8/P8,0)</f>
        <v/>
      </c>
      <c r="X8" s="468">
        <f>V8+W8</f>
        <v/>
      </c>
      <c r="Y8" s="468">
        <f>U8*0.15</f>
        <v/>
      </c>
      <c r="Z8" s="468">
        <f>IFERROR(X8/F8,0)</f>
        <v/>
      </c>
    </row>
    <row r="9">
      <c r="A9" s="81" t="inlineStr">
        <is>
          <t>PROD-CACHE-01</t>
        </is>
      </c>
      <c r="B9" s="281" t="inlineStr">
        <is>
          <t>AWS</t>
        </is>
      </c>
      <c r="C9" s="281" t="inlineStr">
        <is>
          <t>r5.large</t>
        </is>
      </c>
      <c r="D9" s="449" t="inlineStr">
        <is>
          <t>G01</t>
        </is>
      </c>
      <c r="E9" s="81" t="n"/>
      <c r="F9" s="426" t="n">
        <v>2</v>
      </c>
      <c r="G9" s="426" t="n">
        <v>16</v>
      </c>
      <c r="H9" s="426" t="n">
        <v>50</v>
      </c>
      <c r="I9" s="429" t="n">
        <v>0.3</v>
      </c>
      <c r="J9" s="426" t="n">
        <v>8760</v>
      </c>
      <c r="K9" s="1045">
        <f>IFERROR(VLOOKUP(D9,'02_FACTEURS_ÉMISSION2'!$A:$C,3,0),0.0569)</f>
        <v/>
      </c>
      <c r="L9" s="430" t="n">
        <v>1.135</v>
      </c>
      <c r="M9" s="281" t="n">
        <v>270</v>
      </c>
      <c r="N9" s="281" t="n">
        <v>96</v>
      </c>
      <c r="O9" s="281" t="n">
        <v>1500</v>
      </c>
      <c r="P9" s="281" t="n">
        <v>5</v>
      </c>
      <c r="Q9" s="299">
        <f>IFERROR(F9/N9*M9,0)</f>
        <v/>
      </c>
      <c r="R9" s="299">
        <f>G9/8*3.75</f>
        <v/>
      </c>
      <c r="S9" s="299">
        <f>H9/1000*1.2</f>
        <v/>
      </c>
      <c r="T9" s="299">
        <f>Q9*(0.3+0.7*I9)+R9+S9</f>
        <v/>
      </c>
      <c r="U9" s="299">
        <f>T9*J9/1000*L9</f>
        <v/>
      </c>
      <c r="V9" s="299">
        <f>U9*K9</f>
        <v/>
      </c>
      <c r="W9" s="299">
        <f>IFERROR(F9/N9*O9/P9,0)</f>
        <v/>
      </c>
      <c r="X9" s="299">
        <f>V9+W9</f>
        <v/>
      </c>
      <c r="Y9" s="299">
        <f>U9*0.15</f>
        <v/>
      </c>
      <c r="Z9" s="299">
        <f>IFERROR(X9/F9,0)</f>
        <v/>
      </c>
    </row>
    <row r="10">
      <c r="A10" s="991" t="inlineStr">
        <is>
          <t>PROD-QUEUE-01</t>
        </is>
      </c>
      <c r="B10" s="281" t="inlineStr">
        <is>
          <t>AWS</t>
        </is>
      </c>
      <c r="C10" s="281" t="inlineStr">
        <is>
          <t>t3.medium</t>
        </is>
      </c>
      <c r="D10" s="449" t="inlineStr">
        <is>
          <t>G01</t>
        </is>
      </c>
      <c r="E10" s="991" t="n"/>
      <c r="F10" s="426" t="n">
        <v>2</v>
      </c>
      <c r="G10" s="426" t="n">
        <v>4</v>
      </c>
      <c r="H10" s="426" t="n">
        <v>20</v>
      </c>
      <c r="I10" s="429" t="n">
        <v>0.2</v>
      </c>
      <c r="J10" s="426" t="n">
        <v>8760</v>
      </c>
      <c r="K10" s="1045">
        <f>IFERROR(VLOOKUP(D10,'02_FACTEURS_ÉMISSION2'!$A:$C,3,0),0.0569)</f>
        <v/>
      </c>
      <c r="L10" s="430" t="n">
        <v>1.135</v>
      </c>
      <c r="M10" s="281" t="n">
        <v>270</v>
      </c>
      <c r="N10" s="281" t="n">
        <v>96</v>
      </c>
      <c r="O10" s="281" t="n">
        <v>1500</v>
      </c>
      <c r="P10" s="281" t="n">
        <v>5</v>
      </c>
      <c r="Q10" s="468">
        <f>IFERROR(F10/N10*M10,0)</f>
        <v/>
      </c>
      <c r="R10" s="468">
        <f>G10/8*3.75</f>
        <v/>
      </c>
      <c r="S10" s="468">
        <f>H10/1000*1.2</f>
        <v/>
      </c>
      <c r="T10" s="468">
        <f>Q10*(0.3+0.7*I10)+R10+S10</f>
        <v/>
      </c>
      <c r="U10" s="468">
        <f>T10*J10/1000*L10</f>
        <v/>
      </c>
      <c r="V10" s="468">
        <f>U10*K10</f>
        <v/>
      </c>
      <c r="W10" s="468">
        <f>IFERROR(F10/N10*O10/P10,0)</f>
        <v/>
      </c>
      <c r="X10" s="468">
        <f>V10+W10</f>
        <v/>
      </c>
      <c r="Y10" s="468">
        <f>U10*0.15</f>
        <v/>
      </c>
      <c r="Z10" s="468">
        <f>IFERROR(X10/F10,0)</f>
        <v/>
      </c>
    </row>
    <row r="11">
      <c r="A11" s="81" t="inlineStr">
        <is>
          <t>STG-APP-01</t>
        </is>
      </c>
      <c r="B11" s="281" t="inlineStr">
        <is>
          <t>Azure</t>
        </is>
      </c>
      <c r="C11" s="281" t="inlineStr">
        <is>
          <t>Standard_D4s_v3</t>
        </is>
      </c>
      <c r="D11" s="449" t="inlineStr">
        <is>
          <t>G02</t>
        </is>
      </c>
      <c r="E11" s="81" t="n"/>
      <c r="F11" s="426" t="n">
        <v>4</v>
      </c>
      <c r="G11" s="426" t="n">
        <v>16</v>
      </c>
      <c r="H11" s="426" t="n">
        <v>128</v>
      </c>
      <c r="I11" s="429" t="n">
        <v>0.25</v>
      </c>
      <c r="J11" s="426" t="n">
        <v>4380</v>
      </c>
      <c r="K11" s="1045">
        <f>IFERROR(VLOOKUP(D11,'02_FACTEURS_ÉMISSION2'!$A:$C,3,0),0.296)</f>
        <v/>
      </c>
      <c r="L11" s="430" t="n">
        <v>1.185</v>
      </c>
      <c r="M11" s="281" t="n">
        <v>300</v>
      </c>
      <c r="N11" s="281" t="n">
        <v>80</v>
      </c>
      <c r="O11" s="281" t="n">
        <v>1500</v>
      </c>
      <c r="P11" s="281" t="n">
        <v>5</v>
      </c>
      <c r="Q11" s="299">
        <f>IFERROR(F11/N11*M11,0)</f>
        <v/>
      </c>
      <c r="R11" s="299">
        <f>G11/8*3.75</f>
        <v/>
      </c>
      <c r="S11" s="299">
        <f>H11/1000*1.2</f>
        <v/>
      </c>
      <c r="T11" s="299">
        <f>Q11*(0.3+0.7*I11)+R11+S11</f>
        <v/>
      </c>
      <c r="U11" s="299">
        <f>T11*J11/1000*L11</f>
        <v/>
      </c>
      <c r="V11" s="299">
        <f>U11*K11</f>
        <v/>
      </c>
      <c r="W11" s="299">
        <f>IFERROR(F11/N11*O11/P11,0)</f>
        <v/>
      </c>
      <c r="X11" s="299">
        <f>V11+W11</f>
        <v/>
      </c>
      <c r="Y11" s="299">
        <f>U11*0.15</f>
        <v/>
      </c>
      <c r="Z11" s="299">
        <f>IFERROR(X11/F11,0)</f>
        <v/>
      </c>
    </row>
    <row r="12">
      <c r="A12" s="991" t="inlineStr">
        <is>
          <t>PROD-ML-01</t>
        </is>
      </c>
      <c r="B12" s="281" t="inlineStr">
        <is>
          <t>GCP</t>
        </is>
      </c>
      <c r="C12" s="281" t="inlineStr">
        <is>
          <t>n2-standard-8</t>
        </is>
      </c>
      <c r="D12" s="449" t="inlineStr">
        <is>
          <t>G01</t>
        </is>
      </c>
      <c r="E12" s="991" t="n"/>
      <c r="F12" s="426" t="n">
        <v>8</v>
      </c>
      <c r="G12" s="426" t="n">
        <v>32</v>
      </c>
      <c r="H12" s="426" t="n">
        <v>200</v>
      </c>
      <c r="I12" s="429" t="n">
        <v>0.7</v>
      </c>
      <c r="J12" s="426" t="n">
        <v>8760</v>
      </c>
      <c r="K12" s="1045">
        <f>IFERROR(VLOOKUP(D12,'02_FACTEURS_ÉMISSION2'!$A:$C,3,0),0.0569)</f>
        <v/>
      </c>
      <c r="L12" s="430" t="n">
        <v>1.1</v>
      </c>
      <c r="M12" s="281" t="n">
        <v>270</v>
      </c>
      <c r="N12" s="281" t="n">
        <v>96</v>
      </c>
      <c r="O12" s="281" t="n">
        <v>1500</v>
      </c>
      <c r="P12" s="281" t="n">
        <v>5</v>
      </c>
      <c r="Q12" s="468">
        <f>IFERROR(F12/N12*M12,0)</f>
        <v/>
      </c>
      <c r="R12" s="468">
        <f>G12/8*3.75</f>
        <v/>
      </c>
      <c r="S12" s="468">
        <f>H12/1000*1.2</f>
        <v/>
      </c>
      <c r="T12" s="468">
        <f>Q12*(0.3+0.7*I12)+R12+S12</f>
        <v/>
      </c>
      <c r="U12" s="468">
        <f>T12*J12/1000*L12</f>
        <v/>
      </c>
      <c r="V12" s="468">
        <f>U12*K12</f>
        <v/>
      </c>
      <c r="W12" s="468">
        <f>IFERROR(F12/N12*O12/P12,0)</f>
        <v/>
      </c>
      <c r="X12" s="468">
        <f>V12+W12</f>
        <v/>
      </c>
      <c r="Y12" s="468">
        <f>U12*0.15</f>
        <v/>
      </c>
      <c r="Z12" s="468">
        <f>IFERROR(X12/F12,0)</f>
        <v/>
      </c>
    </row>
    <row r="13">
      <c r="A13" s="81" t="inlineStr">
        <is>
          <t>PROD-ML-02</t>
        </is>
      </c>
      <c r="B13" s="281" t="inlineStr">
        <is>
          <t>GCP</t>
        </is>
      </c>
      <c r="C13" s="281" t="inlineStr">
        <is>
          <t>n2-standard-8</t>
        </is>
      </c>
      <c r="D13" s="449" t="inlineStr">
        <is>
          <t>G04</t>
        </is>
      </c>
      <c r="E13" s="81" t="n"/>
      <c r="F13" s="426" t="n">
        <v>8</v>
      </c>
      <c r="G13" s="426" t="n">
        <v>32</v>
      </c>
      <c r="H13" s="426" t="n">
        <v>200</v>
      </c>
      <c r="I13" s="429" t="n">
        <v>0.7</v>
      </c>
      <c r="J13" s="426" t="n">
        <v>8760</v>
      </c>
      <c r="K13" s="1045">
        <f>IFERROR(VLOOKUP(D13,'02_FACTEURS_ÉMISSION2'!$A:$C,3,0),0.012)</f>
        <v/>
      </c>
      <c r="L13" s="430" t="n">
        <v>1.1</v>
      </c>
      <c r="M13" s="281" t="n">
        <v>270</v>
      </c>
      <c r="N13" s="281" t="n">
        <v>96</v>
      </c>
      <c r="O13" s="281" t="n">
        <v>1500</v>
      </c>
      <c r="P13" s="281" t="n">
        <v>5</v>
      </c>
      <c r="Q13" s="299">
        <f>IFERROR(F13/N13*M13,0)</f>
        <v/>
      </c>
      <c r="R13" s="299">
        <f>G13/8*3.75</f>
        <v/>
      </c>
      <c r="S13" s="299">
        <f>H13/1000*1.2</f>
        <v/>
      </c>
      <c r="T13" s="299">
        <f>Q13*(0.3+0.7*I13)+R13+S13</f>
        <v/>
      </c>
      <c r="U13" s="299">
        <f>T13*J13/1000*L13</f>
        <v/>
      </c>
      <c r="V13" s="299">
        <f>U13*K13</f>
        <v/>
      </c>
      <c r="W13" s="299">
        <f>IFERROR(F13/N13*O13/P13,0)</f>
        <v/>
      </c>
      <c r="X13" s="299">
        <f>V13+W13</f>
        <v/>
      </c>
      <c r="Y13" s="299">
        <f>U13*0.15</f>
        <v/>
      </c>
      <c r="Z13" s="299">
        <f>IFERROR(X13/F13,0)</f>
        <v/>
      </c>
    </row>
    <row r="14">
      <c r="A14" s="991" t="inlineStr">
        <is>
          <t>PROD-FRONT-01</t>
        </is>
      </c>
      <c r="B14" s="281" t="inlineStr">
        <is>
          <t>OVH</t>
        </is>
      </c>
      <c r="C14" s="281" t="inlineStr">
        <is>
          <t>b2-30</t>
        </is>
      </c>
      <c r="D14" s="449" t="inlineStr">
        <is>
          <t>G01</t>
        </is>
      </c>
      <c r="E14" s="991" t="n"/>
      <c r="F14" s="426" t="n">
        <v>8</v>
      </c>
      <c r="G14" s="426" t="n">
        <v>30</v>
      </c>
      <c r="H14" s="426" t="n">
        <v>400</v>
      </c>
      <c r="I14" s="429" t="n">
        <v>0.3</v>
      </c>
      <c r="J14" s="426" t="n">
        <v>8760</v>
      </c>
      <c r="K14" s="1045">
        <f>IFERROR(VLOOKUP(D14,'02_FACTEURS_ÉMISSION2'!$A:$C,3,0),0.0569)</f>
        <v/>
      </c>
      <c r="L14" s="430" t="n">
        <v>1.3</v>
      </c>
      <c r="M14" s="281" t="n">
        <v>250</v>
      </c>
      <c r="N14" s="281" t="n">
        <v>64</v>
      </c>
      <c r="O14" s="281" t="n">
        <v>1500</v>
      </c>
      <c r="P14" s="281" t="n">
        <v>5</v>
      </c>
      <c r="Q14" s="468">
        <f>IFERROR(F14/N14*M14,0)</f>
        <v/>
      </c>
      <c r="R14" s="468">
        <f>G14/8*3.75</f>
        <v/>
      </c>
      <c r="S14" s="468">
        <f>H14/1000*1.2</f>
        <v/>
      </c>
      <c r="T14" s="468">
        <f>Q14*(0.3+0.7*I14)+R14+S14</f>
        <v/>
      </c>
      <c r="U14" s="468">
        <f>T14*J14/1000*L14</f>
        <v/>
      </c>
      <c r="V14" s="468">
        <f>U14*K14</f>
        <v/>
      </c>
      <c r="W14" s="468">
        <f>IFERROR(F14/N14*O14/P14,0)</f>
        <v/>
      </c>
      <c r="X14" s="468">
        <f>V14+W14</f>
        <v/>
      </c>
      <c r="Y14" s="468">
        <f>U14*0.15</f>
        <v/>
      </c>
      <c r="Z14" s="468">
        <f>IFERROR(X14/F14,0)</f>
        <v/>
      </c>
    </row>
    <row r="15">
      <c r="A15" s="81" t="inlineStr">
        <is>
          <t>DR-BDD-01</t>
        </is>
      </c>
      <c r="B15" s="281" t="inlineStr">
        <is>
          <t>AWS</t>
        </is>
      </c>
      <c r="C15" s="281" t="inlineStr">
        <is>
          <t>r5.2xlarge</t>
        </is>
      </c>
      <c r="D15" s="449" t="inlineStr">
        <is>
          <t>G02</t>
        </is>
      </c>
      <c r="E15" s="81" t="n"/>
      <c r="F15" s="426" t="n">
        <v>8</v>
      </c>
      <c r="G15" s="426" t="n">
        <v>64</v>
      </c>
      <c r="H15" s="426" t="n">
        <v>500</v>
      </c>
      <c r="I15" s="429" t="n">
        <v>0.1</v>
      </c>
      <c r="J15" s="426" t="n">
        <v>8760</v>
      </c>
      <c r="K15" s="1045">
        <f>IFERROR(VLOOKUP(D15,'02_FACTEURS_ÉMISSION2'!$A:$C,3,0),0.296)</f>
        <v/>
      </c>
      <c r="L15" s="430" t="n">
        <v>1.135</v>
      </c>
      <c r="M15" s="281" t="n">
        <v>270</v>
      </c>
      <c r="N15" s="281" t="n">
        <v>96</v>
      </c>
      <c r="O15" s="281" t="n">
        <v>1500</v>
      </c>
      <c r="P15" s="281" t="n">
        <v>5</v>
      </c>
      <c r="Q15" s="299">
        <f>IFERROR(F15/N15*M15,0)</f>
        <v/>
      </c>
      <c r="R15" s="299">
        <f>G15/8*3.75</f>
        <v/>
      </c>
      <c r="S15" s="299">
        <f>H15/1000*1.2</f>
        <v/>
      </c>
      <c r="T15" s="299">
        <f>Q15*(0.3+0.7*I15)+R15+S15</f>
        <v/>
      </c>
      <c r="U15" s="299">
        <f>T15*J15/1000*L15</f>
        <v/>
      </c>
      <c r="V15" s="299">
        <f>U15*K15</f>
        <v/>
      </c>
      <c r="W15" s="299">
        <f>IFERROR(F15/N15*O15/P15,0)</f>
        <v/>
      </c>
      <c r="X15" s="299">
        <f>V15+W15</f>
        <v/>
      </c>
      <c r="Y15" s="299">
        <f>U15*0.15</f>
        <v/>
      </c>
      <c r="Z15" s="299">
        <f>IFERROR(X15/F15,0)</f>
        <v/>
      </c>
    </row>
    <row r="16">
      <c r="A16" s="991" t="inlineStr">
        <is>
          <t>MONITORING-01</t>
        </is>
      </c>
      <c r="B16" s="281" t="inlineStr">
        <is>
          <t>AWS</t>
        </is>
      </c>
      <c r="C16" s="281" t="inlineStr">
        <is>
          <t>t3.small</t>
        </is>
      </c>
      <c r="D16" s="449" t="inlineStr">
        <is>
          <t>G01</t>
        </is>
      </c>
      <c r="E16" s="991" t="n"/>
      <c r="F16" s="426" t="n">
        <v>2</v>
      </c>
      <c r="G16" s="426" t="n">
        <v>2</v>
      </c>
      <c r="H16" s="426" t="n">
        <v>20</v>
      </c>
      <c r="I16" s="429" t="n">
        <v>0.25</v>
      </c>
      <c r="J16" s="426" t="n">
        <v>8760</v>
      </c>
      <c r="K16" s="1045">
        <f>IFERROR(VLOOKUP(D16,'02_FACTEURS_ÉMISSION2'!$A:$C,3,0),0.0569)</f>
        <v/>
      </c>
      <c r="L16" s="430" t="n">
        <v>1.135</v>
      </c>
      <c r="M16" s="281" t="n">
        <v>270</v>
      </c>
      <c r="N16" s="281" t="n">
        <v>96</v>
      </c>
      <c r="O16" s="281" t="n">
        <v>1500</v>
      </c>
      <c r="P16" s="281" t="n">
        <v>5</v>
      </c>
      <c r="Q16" s="468">
        <f>IFERROR(F16/N16*M16,0)</f>
        <v/>
      </c>
      <c r="R16" s="468">
        <f>G16/8*3.75</f>
        <v/>
      </c>
      <c r="S16" s="468">
        <f>H16/1000*1.2</f>
        <v/>
      </c>
      <c r="T16" s="468">
        <f>Q16*(0.3+0.7*I16)+R16+S16</f>
        <v/>
      </c>
      <c r="U16" s="468">
        <f>T16*J16/1000*L16</f>
        <v/>
      </c>
      <c r="V16" s="468">
        <f>U16*K16</f>
        <v/>
      </c>
      <c r="W16" s="468">
        <f>IFERROR(F16/N16*O16/P16,0)</f>
        <v/>
      </c>
      <c r="X16" s="468">
        <f>V16+W16</f>
        <v/>
      </c>
      <c r="Y16" s="468">
        <f>U16*0.15</f>
        <v/>
      </c>
      <c r="Z16" s="468">
        <f>IFERROR(X16/F16,0)</f>
        <v/>
      </c>
    </row>
    <row r="17">
      <c r="A17" s="81" t="inlineStr">
        <is>
          <t>PROD-CDN-01</t>
        </is>
      </c>
      <c r="B17" s="281" t="inlineStr">
        <is>
          <t>Scaleway</t>
        </is>
      </c>
      <c r="C17" s="281" t="inlineStr">
        <is>
          <t>GP1-S</t>
        </is>
      </c>
      <c r="D17" s="449" t="inlineStr">
        <is>
          <t>G01</t>
        </is>
      </c>
      <c r="E17" s="81" t="n"/>
      <c r="F17" s="426" t="n">
        <v>4</v>
      </c>
      <c r="G17" s="426" t="n">
        <v>16</v>
      </c>
      <c r="H17" s="426" t="n">
        <v>300</v>
      </c>
      <c r="I17" s="429" t="n">
        <v>0.4</v>
      </c>
      <c r="J17" s="426" t="n">
        <v>8760</v>
      </c>
      <c r="K17" s="1045">
        <f>IFERROR(VLOOKUP(D17,'02_FACTEURS_ÉMISSION2'!$A:$C,3,0),0.0569)</f>
        <v/>
      </c>
      <c r="L17" s="430" t="n">
        <v>1.25</v>
      </c>
      <c r="M17" s="281" t="n">
        <v>250</v>
      </c>
      <c r="N17" s="281" t="n">
        <v>64</v>
      </c>
      <c r="O17" s="281" t="n">
        <v>1500</v>
      </c>
      <c r="P17" s="281" t="n">
        <v>5</v>
      </c>
      <c r="Q17" s="299">
        <f>IFERROR(F17/N17*M17,0)</f>
        <v/>
      </c>
      <c r="R17" s="299">
        <f>G17/8*3.75</f>
        <v/>
      </c>
      <c r="S17" s="299">
        <f>H17/1000*1.2</f>
        <v/>
      </c>
      <c r="T17" s="299">
        <f>Q17*(0.3+0.7*I17)+R17+S17</f>
        <v/>
      </c>
      <c r="U17" s="299">
        <f>T17*J17/1000*L17</f>
        <v/>
      </c>
      <c r="V17" s="299">
        <f>U17*K17</f>
        <v/>
      </c>
      <c r="W17" s="299">
        <f>IFERROR(F17/N17*O17/P17,0)</f>
        <v/>
      </c>
      <c r="X17" s="299">
        <f>V17+W17</f>
        <v/>
      </c>
      <c r="Y17" s="299">
        <f>U17*0.15</f>
        <v/>
      </c>
      <c r="Z17" s="299">
        <f>IFERROR(X17/F17,0)</f>
        <v/>
      </c>
    </row>
    <row r="18">
      <c r="A18" s="991" t="inlineStr">
        <is>
          <t>DEV-01</t>
        </is>
      </c>
      <c r="B18" s="281" t="inlineStr">
        <is>
          <t>AWS</t>
        </is>
      </c>
      <c r="C18" s="281" t="inlineStr">
        <is>
          <t>t3.large</t>
        </is>
      </c>
      <c r="D18" s="449" t="inlineStr">
        <is>
          <t>G01</t>
        </is>
      </c>
      <c r="E18" s="991" t="n"/>
      <c r="F18" s="426" t="n">
        <v>2</v>
      </c>
      <c r="G18" s="426" t="n">
        <v>8</v>
      </c>
      <c r="H18" s="426" t="n">
        <v>50</v>
      </c>
      <c r="I18" s="429" t="n">
        <v>0.15</v>
      </c>
      <c r="J18" s="426" t="n">
        <v>2000</v>
      </c>
      <c r="K18" s="1045">
        <f>IFERROR(VLOOKUP(D18,'02_FACTEURS_ÉMISSION2'!$A:$C,3,0),0.0569)</f>
        <v/>
      </c>
      <c r="L18" s="430" t="n">
        <v>1.135</v>
      </c>
      <c r="M18" s="281" t="n">
        <v>270</v>
      </c>
      <c r="N18" s="281" t="n">
        <v>96</v>
      </c>
      <c r="O18" s="281" t="n">
        <v>1500</v>
      </c>
      <c r="P18" s="281" t="n">
        <v>5</v>
      </c>
      <c r="Q18" s="468">
        <f>IFERROR(F18/N18*M18,0)</f>
        <v/>
      </c>
      <c r="R18" s="468">
        <f>G18/8*3.75</f>
        <v/>
      </c>
      <c r="S18" s="468">
        <f>H18/1000*1.2</f>
        <v/>
      </c>
      <c r="T18" s="468">
        <f>Q18*(0.3+0.7*I18)+R18+S18</f>
        <v/>
      </c>
      <c r="U18" s="468">
        <f>T18*J18/1000*L18</f>
        <v/>
      </c>
      <c r="V18" s="468">
        <f>U18*K18</f>
        <v/>
      </c>
      <c r="W18" s="468">
        <f>IFERROR(F18/N18*O18/P18,0)</f>
        <v/>
      </c>
      <c r="X18" s="468">
        <f>V18+W18</f>
        <v/>
      </c>
      <c r="Y18" s="468">
        <f>U18*0.15</f>
        <v/>
      </c>
      <c r="Z18" s="468">
        <f>IFERROR(X18/F18,0)</f>
        <v/>
      </c>
    </row>
    <row r="19">
      <c r="A19" s="81" t="inlineStr">
        <is>
          <t>DEV-02</t>
        </is>
      </c>
      <c r="B19" s="281" t="inlineStr">
        <is>
          <t>GCP</t>
        </is>
      </c>
      <c r="C19" s="281" t="inlineStr">
        <is>
          <t>e2-standard-4</t>
        </is>
      </c>
      <c r="D19" s="449" t="inlineStr">
        <is>
          <t>G01</t>
        </is>
      </c>
      <c r="E19" s="81" t="n"/>
      <c r="F19" s="426" t="n">
        <v>4</v>
      </c>
      <c r="G19" s="426" t="n">
        <v>16</v>
      </c>
      <c r="H19" s="426" t="n">
        <v>50</v>
      </c>
      <c r="I19" s="429" t="n">
        <v>0.1</v>
      </c>
      <c r="J19" s="426" t="n">
        <v>2000</v>
      </c>
      <c r="K19" s="1045">
        <f>IFERROR(VLOOKUP(D19,'02_FACTEURS_ÉMISSION2'!$A:$C,3,0),0.0569)</f>
        <v/>
      </c>
      <c r="L19" s="430" t="n">
        <v>1.1</v>
      </c>
      <c r="M19" s="281" t="n">
        <v>200</v>
      </c>
      <c r="N19" s="281" t="n">
        <v>80</v>
      </c>
      <c r="O19" s="281" t="n">
        <v>1200</v>
      </c>
      <c r="P19" s="281" t="n">
        <v>5</v>
      </c>
      <c r="Q19" s="299">
        <f>IFERROR(F19/N19*M19,0)</f>
        <v/>
      </c>
      <c r="R19" s="299">
        <f>G19/8*3.75</f>
        <v/>
      </c>
      <c r="S19" s="299">
        <f>H19/1000*1.2</f>
        <v/>
      </c>
      <c r="T19" s="299">
        <f>Q19*(0.3+0.7*I19)+R19+S19</f>
        <v/>
      </c>
      <c r="U19" s="299">
        <f>T19*J19/1000*L19</f>
        <v/>
      </c>
      <c r="V19" s="299">
        <f>U19*K19</f>
        <v/>
      </c>
      <c r="W19" s="299">
        <f>IFERROR(F19/N19*O19/P19,0)</f>
        <v/>
      </c>
      <c r="X19" s="299">
        <f>V19+W19</f>
        <v/>
      </c>
      <c r="Y19" s="299">
        <f>U19*0.15</f>
        <v/>
      </c>
      <c r="Z19" s="299">
        <f>IFERROR(X19/F19,0)</f>
        <v/>
      </c>
    </row>
    <row r="20">
      <c r="A20" s="991" t="inlineStr">
        <is>
          <t>PROD-ANALYT-01</t>
        </is>
      </c>
      <c r="B20" s="281" t="inlineStr">
        <is>
          <t>Azure</t>
        </is>
      </c>
      <c r="C20" s="281" t="inlineStr">
        <is>
          <t>Standard_E8s_v3</t>
        </is>
      </c>
      <c r="D20" s="449" t="inlineStr">
        <is>
          <t>G03</t>
        </is>
      </c>
      <c r="E20" s="991" t="n"/>
      <c r="F20" s="426" t="n">
        <v>8</v>
      </c>
      <c r="G20" s="426" t="n">
        <v>64</v>
      </c>
      <c r="H20" s="426" t="n">
        <v>1000</v>
      </c>
      <c r="I20" s="429" t="n">
        <v>0.5</v>
      </c>
      <c r="J20" s="426" t="n">
        <v>8760</v>
      </c>
      <c r="K20" s="1045">
        <f>IFERROR(VLOOKUP(D20,'02_FACTEURS_ÉMISSION2'!$A:$C,3,0),0.385)</f>
        <v/>
      </c>
      <c r="L20" s="430" t="n">
        <v>1.185</v>
      </c>
      <c r="M20" s="281" t="n">
        <v>300</v>
      </c>
      <c r="N20" s="281" t="n">
        <v>80</v>
      </c>
      <c r="O20" s="281" t="n">
        <v>1500</v>
      </c>
      <c r="P20" s="281" t="n">
        <v>5</v>
      </c>
      <c r="Q20" s="468">
        <f>IFERROR(F20/N20*M20,0)</f>
        <v/>
      </c>
      <c r="R20" s="468">
        <f>G20/8*3.75</f>
        <v/>
      </c>
      <c r="S20" s="468">
        <f>H20/1000*1.2</f>
        <v/>
      </c>
      <c r="T20" s="468">
        <f>Q20*(0.3+0.7*I20)+R20+S20</f>
        <v/>
      </c>
      <c r="U20" s="468">
        <f>T20*J20/1000*L20</f>
        <v/>
      </c>
      <c r="V20" s="468">
        <f>U20*K20</f>
        <v/>
      </c>
      <c r="W20" s="468">
        <f>IFERROR(F20/N20*O20/P20,0)</f>
        <v/>
      </c>
      <c r="X20" s="468">
        <f>V20+W20</f>
        <v/>
      </c>
      <c r="Y20" s="468">
        <f>U20*0.15</f>
        <v/>
      </c>
      <c r="Z20" s="468">
        <f>IFERROR(X20/F20,0)</f>
        <v/>
      </c>
    </row>
    <row r="21" ht="15.75" customHeight="1" s="847">
      <c r="A21" s="984" t="inlineStr">
        <is>
          <t>TOTAL INSTANCES CLOUD</t>
        </is>
      </c>
      <c r="B21" s="483" t="n"/>
      <c r="C21" s="483" t="n"/>
      <c r="D21" s="483" t="n"/>
      <c r="E21" s="483" t="n"/>
      <c r="F21" s="485">
        <f>SUM(F6:F20)</f>
        <v/>
      </c>
      <c r="G21" s="486" t="n"/>
      <c r="H21" s="486" t="n"/>
      <c r="I21" s="486" t="n"/>
      <c r="J21" s="486" t="n"/>
      <c r="K21" s="486" t="n"/>
      <c r="L21" s="486" t="n"/>
      <c r="M21" s="486" t="n"/>
      <c r="N21" s="486" t="n"/>
      <c r="O21" s="486" t="n"/>
      <c r="P21" s="486" t="n"/>
      <c r="Q21" s="486" t="n"/>
      <c r="R21" s="486" t="n"/>
      <c r="S21" s="486" t="n"/>
      <c r="T21" s="486" t="n"/>
      <c r="U21" s="485">
        <f>SUM(U6:U20)</f>
        <v/>
      </c>
      <c r="V21" s="485">
        <f>SUM(V6:V20)</f>
        <v/>
      </c>
      <c r="W21" s="485">
        <f>SUM(W6:W20)</f>
        <v/>
      </c>
      <c r="X21" s="485">
        <f>SUM(X6:X20)</f>
        <v/>
      </c>
      <c r="Y21" s="485">
        <f>SUM(Y6:Y20)</f>
        <v/>
      </c>
      <c r="Z21" s="485">
        <f>SUM(Z6:Z20)</f>
        <v/>
      </c>
    </row>
    <row r="23">
      <c r="A23" s="955" t="inlineStr">
        <is>
          <t>INDICATEURS CLÉS</t>
        </is>
      </c>
    </row>
    <row r="24">
      <c r="A24" s="990" t="inlineStr">
        <is>
          <t>CO2 total usage (tCO2e/an)</t>
        </is>
      </c>
      <c r="B24" s="468">
        <f>V21/1000</f>
        <v/>
      </c>
      <c r="C24" s="991" t="n"/>
      <c r="D24" s="991" t="n"/>
      <c r="E24" s="991" t="n"/>
      <c r="F24" s="991" t="n"/>
      <c r="G24" s="991" t="n"/>
      <c r="H24" s="991" t="n"/>
      <c r="I24" s="991" t="n"/>
      <c r="J24" s="991" t="n"/>
      <c r="K24" s="991" t="n"/>
      <c r="L24" s="991" t="n"/>
      <c r="M24" s="991" t="n"/>
      <c r="N24" s="991" t="n"/>
      <c r="O24" s="991" t="n"/>
      <c r="P24" s="991" t="n"/>
      <c r="Q24" s="991" t="n"/>
      <c r="R24" s="991" t="n"/>
      <c r="S24" s="991" t="n"/>
      <c r="T24" s="991" t="n"/>
      <c r="U24" s="991" t="n"/>
      <c r="V24" s="991" t="n"/>
      <c r="W24" s="991" t="n"/>
      <c r="X24" s="991" t="n"/>
      <c r="Y24" s="991" t="n"/>
      <c r="Z24" s="991" t="n"/>
    </row>
    <row r="25">
      <c r="A25" s="315" t="inlineStr">
        <is>
          <t>CO2 total fabrication amorti (tCO2e/an)</t>
        </is>
      </c>
      <c r="B25" s="299">
        <f>W21/1000</f>
        <v/>
      </c>
      <c r="C25" s="81" t="n"/>
      <c r="D25" s="81" t="n"/>
      <c r="E25" s="81" t="n"/>
      <c r="F25" s="81" t="n"/>
      <c r="G25" s="81" t="n"/>
      <c r="H25" s="81" t="n"/>
      <c r="I25" s="81" t="n"/>
      <c r="J25" s="81" t="n"/>
      <c r="K25" s="81" t="n"/>
      <c r="L25" s="81" t="n"/>
      <c r="M25" s="81" t="n"/>
      <c r="N25" s="81" t="n"/>
      <c r="O25" s="81" t="n"/>
      <c r="P25" s="81" t="n"/>
      <c r="Q25" s="81" t="n"/>
      <c r="R25" s="81" t="n"/>
      <c r="S25" s="81" t="n"/>
      <c r="T25" s="81" t="n"/>
      <c r="U25" s="81" t="n"/>
      <c r="V25" s="81" t="n"/>
      <c r="W25" s="81" t="n"/>
      <c r="X25" s="81" t="n"/>
      <c r="Y25" s="81" t="n"/>
      <c r="Z25" s="81" t="n"/>
    </row>
    <row r="26">
      <c r="A26" s="990" t="inlineStr">
        <is>
          <t>CO2 TOTAL (tCO2e/an)</t>
        </is>
      </c>
      <c r="B26" s="468">
        <f>X21/1000</f>
        <v/>
      </c>
      <c r="C26" s="991" t="n"/>
      <c r="D26" s="991" t="n"/>
      <c r="E26" s="991" t="n"/>
      <c r="F26" s="991" t="n"/>
      <c r="G26" s="991" t="n"/>
      <c r="H26" s="991" t="n"/>
      <c r="I26" s="991" t="n"/>
      <c r="J26" s="991" t="n"/>
      <c r="K26" s="991" t="n"/>
      <c r="L26" s="991" t="n"/>
      <c r="M26" s="991" t="n"/>
      <c r="N26" s="991" t="n"/>
      <c r="O26" s="991" t="n"/>
      <c r="P26" s="991" t="n"/>
      <c r="Q26" s="991" t="n"/>
      <c r="R26" s="991" t="n"/>
      <c r="S26" s="991" t="n"/>
      <c r="T26" s="991" t="n"/>
      <c r="U26" s="991" t="n"/>
      <c r="V26" s="991" t="n"/>
      <c r="W26" s="991" t="n"/>
      <c r="X26" s="991" t="n"/>
      <c r="Y26" s="991" t="n"/>
      <c r="Z26" s="991" t="n"/>
    </row>
    <row r="27">
      <c r="A27" s="315" t="inlineStr">
        <is>
          <t>Conso elec totale (kWh/an)</t>
        </is>
      </c>
      <c r="B27" s="299">
        <f>U21</f>
        <v/>
      </c>
      <c r="C27" s="81" t="n"/>
      <c r="D27" s="81" t="n"/>
      <c r="E27" s="81" t="n"/>
      <c r="F27" s="81" t="n"/>
      <c r="G27" s="81" t="n"/>
      <c r="H27" s="81" t="n"/>
      <c r="I27" s="81" t="n"/>
      <c r="J27" s="81" t="n"/>
      <c r="K27" s="81" t="n"/>
      <c r="L27" s="81" t="n"/>
      <c r="M27" s="81" t="n"/>
      <c r="N27" s="81" t="n"/>
      <c r="O27" s="81" t="n"/>
      <c r="P27" s="81" t="n"/>
      <c r="Q27" s="81" t="n"/>
      <c r="R27" s="81" t="n"/>
      <c r="S27" s="81" t="n"/>
      <c r="T27" s="81" t="n"/>
      <c r="U27" s="81" t="n"/>
      <c r="V27" s="81" t="n"/>
      <c r="W27" s="81" t="n"/>
      <c r="X27" s="81" t="n"/>
      <c r="Y27" s="81" t="n"/>
      <c r="Z27" s="81" t="n"/>
    </row>
    <row r="28">
      <c r="A28" s="990" t="inlineStr">
        <is>
          <t>Cout cloud elec estimé (EUR/an)</t>
        </is>
      </c>
      <c r="B28" s="468">
        <f>Y21</f>
        <v/>
      </c>
      <c r="C28" s="991" t="n"/>
      <c r="D28" s="991" t="n"/>
      <c r="E28" s="991" t="n"/>
      <c r="F28" s="991" t="n"/>
      <c r="G28" s="991" t="n"/>
      <c r="H28" s="991" t="n"/>
      <c r="I28" s="991" t="n"/>
      <c r="J28" s="991" t="n"/>
      <c r="K28" s="991" t="n"/>
      <c r="L28" s="991" t="n"/>
      <c r="M28" s="991" t="n"/>
      <c r="N28" s="991" t="n"/>
      <c r="O28" s="991" t="n"/>
      <c r="P28" s="991" t="n"/>
      <c r="Q28" s="991" t="n"/>
      <c r="R28" s="991" t="n"/>
      <c r="S28" s="991" t="n"/>
      <c r="T28" s="991" t="n"/>
      <c r="U28" s="991" t="n"/>
      <c r="V28" s="991" t="n"/>
      <c r="W28" s="991" t="n"/>
      <c r="X28" s="991" t="n"/>
      <c r="Y28" s="991" t="n"/>
      <c r="Z28" s="991" t="n"/>
    </row>
    <row r="29">
      <c r="A29" s="315" t="inlineStr">
        <is>
          <t>Nb total vCPU</t>
        </is>
      </c>
      <c r="B29" s="299">
        <f>F21</f>
        <v/>
      </c>
      <c r="C29" s="81" t="n"/>
      <c r="D29" s="81" t="n"/>
      <c r="E29" s="81" t="n"/>
      <c r="F29" s="81" t="n"/>
      <c r="G29" s="81" t="n"/>
      <c r="H29" s="81" t="n"/>
      <c r="I29" s="81" t="n"/>
      <c r="J29" s="81" t="n"/>
      <c r="K29" s="81" t="n"/>
      <c r="L29" s="81" t="n"/>
      <c r="M29" s="81" t="n"/>
      <c r="N29" s="81" t="n"/>
      <c r="O29" s="81" t="n"/>
      <c r="P29" s="81" t="n"/>
      <c r="Q29" s="81" t="n"/>
      <c r="R29" s="81" t="n"/>
      <c r="S29" s="81" t="n"/>
      <c r="T29" s="81" t="n"/>
      <c r="U29" s="81" t="n"/>
      <c r="V29" s="81" t="n"/>
      <c r="W29" s="81" t="n"/>
      <c r="X29" s="81" t="n"/>
      <c r="Y29" s="81" t="n"/>
      <c r="Z29" s="81" t="n"/>
    </row>
    <row r="30">
      <c r="A30" s="990" t="inlineStr">
        <is>
          <t>CO2 par vCPU (kgCO2e/an)</t>
        </is>
      </c>
      <c r="B30" s="468">
        <f>IFERROR(X21/F21,0)</f>
        <v/>
      </c>
      <c r="C30" s="991" t="n"/>
      <c r="D30" s="991" t="n"/>
      <c r="E30" s="991" t="n"/>
      <c r="F30" s="991" t="n"/>
      <c r="G30" s="991" t="n"/>
      <c r="H30" s="991" t="n"/>
      <c r="I30" s="991" t="n"/>
      <c r="J30" s="991" t="n"/>
      <c r="K30" s="991" t="n"/>
      <c r="L30" s="991" t="n"/>
      <c r="M30" s="991" t="n"/>
      <c r="N30" s="991" t="n"/>
      <c r="O30" s="991" t="n"/>
      <c r="P30" s="991" t="n"/>
      <c r="Q30" s="991" t="n"/>
      <c r="R30" s="991" t="n"/>
      <c r="S30" s="991" t="n"/>
      <c r="T30" s="991" t="n"/>
      <c r="U30" s="991" t="n"/>
      <c r="V30" s="991" t="n"/>
      <c r="W30" s="991" t="n"/>
      <c r="X30" s="991" t="n"/>
      <c r="Y30" s="991" t="n"/>
      <c r="Z30" s="991" t="n"/>
    </row>
    <row r="32">
      <c r="A32" s="948" t="inlineStr">
        <is>
          <t>Limites : modele proportionnel vCPU/vCPU_hote est une approx. acceptee (CCF). REC/PPA des fournisseurs non inclus (location-based). Pour market-based : utiliser les rapports AWS/Azure/GCP directement.</t>
        </is>
      </c>
    </row>
  </sheetData>
  <mergeCells count="8">
    <mergeCell ref="A23:Z23"/>
    <mergeCell ref="A32:Z32"/>
    <mergeCell ref="F3:J3"/>
    <mergeCell ref="A1:Z1"/>
    <mergeCell ref="K3:P3"/>
    <mergeCell ref="A2:Z2"/>
    <mergeCell ref="Q3:Z3"/>
    <mergeCell ref="A3:E3"/>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S30"/>
  <sheetViews>
    <sheetView showGridLines="0" workbookViewId="0">
      <pane ySplit="2" topLeftCell="A3" activePane="bottomLeft" state="frozen"/>
      <selection pane="bottomLeft" activeCell="G34" sqref="G34"/>
    </sheetView>
  </sheetViews>
  <sheetFormatPr baseColWidth="10" defaultRowHeight="15"/>
  <cols>
    <col width="37.5703125" bestFit="1" customWidth="1" style="847" min="1" max="1"/>
    <col width="18.85546875" bestFit="1" customWidth="1" style="847" min="3" max="3"/>
  </cols>
  <sheetData>
    <row r="1" ht="18.75" customHeight="1" s="847">
      <c r="A1" s="950" t="inlineStr">
        <is>
          <t>INVENTAIRE SYSTÈME D'INFORMATION — Réseau, Stockage, Sécurité, Divers</t>
        </is>
      </c>
    </row>
    <row r="2">
      <c r="A2" s="954" t="inlineStr">
        <is>
          <t>Scope 2 (usage élec) + Scope 3 Cat.11 (fabrication amortie). Formule : P_réelle x h/1000 x PUE x FE + CO2_fab/durée_vie. Sources : Boavizta, Cisco/Juniper/Fortinet, ADEME.</t>
        </is>
      </c>
    </row>
    <row r="3">
      <c r="A3" s="968" t="inlineStr">
        <is>
          <t>IDENTIFICATION &amp; CONFIGURATION</t>
        </is>
      </c>
      <c r="M3" s="964" t="inlineStr">
        <is>
          <t>CALCULS CO2</t>
        </is>
      </c>
    </row>
    <row r="4" ht="36" customHeight="1" s="847">
      <c r="A4" s="488" t="inlineStr">
        <is>
          <t>Catégorie</t>
        </is>
      </c>
      <c r="B4" s="488" t="inlineStr">
        <is>
          <t>ID Équipement</t>
        </is>
      </c>
      <c r="C4" s="488" t="inlineStr">
        <is>
          <t>Marque / Modèle</t>
        </is>
      </c>
      <c r="D4" s="488" t="inlineStr">
        <is>
          <t>Qté</t>
        </is>
      </c>
      <c r="E4" s="488" t="inlineStr">
        <is>
          <t>P unit. (W)</t>
        </is>
      </c>
      <c r="F4" s="488" t="inlineStr">
        <is>
          <t>Charge (%)</t>
        </is>
      </c>
      <c r="G4" s="488" t="inlineStr">
        <is>
          <t>H/an</t>
        </is>
      </c>
      <c r="H4" s="488" t="inlineStr">
        <is>
          <t>PUE</t>
        </is>
      </c>
      <c r="I4" s="488" t="inlineStr">
        <is>
          <t>FE élec (kgCO2e/kWh)</t>
        </is>
      </c>
      <c r="J4" s="488" t="inlineStr">
        <is>
          <t>Date achat</t>
        </is>
      </c>
      <c r="K4" s="488" t="inlineStr">
        <is>
          <t>Durée vie (ans)</t>
        </is>
      </c>
      <c r="L4" s="488" t="inlineStr">
        <is>
          <t>CO2 fab unit. (kg)</t>
        </is>
      </c>
      <c r="M4" s="488" t="inlineStr">
        <is>
          <t>P totale (W)</t>
        </is>
      </c>
      <c r="N4" s="488" t="inlineStr">
        <is>
          <t>Conso (kWh/an)</t>
        </is>
      </c>
      <c r="O4" s="488" t="inlineStr">
        <is>
          <t>CO2 usage (kg/an)</t>
        </is>
      </c>
      <c r="P4" s="488" t="inlineStr">
        <is>
          <t>CO2 fab amorti (kg/an)</t>
        </is>
      </c>
      <c r="Q4" s="488" t="inlineStr">
        <is>
          <t>CO2 TOTAL (kg/an)</t>
        </is>
      </c>
      <c r="R4" s="488" t="inlineStr">
        <is>
          <t>Âge (ans)</t>
        </is>
      </c>
      <c r="S4" s="488" t="inlineStr">
        <is>
          <t>Statut</t>
        </is>
      </c>
    </row>
    <row r="5">
      <c r="A5" s="479" t="inlineStr">
        <is>
          <t>Switch/Routeur...</t>
        </is>
      </c>
      <c r="B5" s="479" t="inlineStr">
        <is>
          <t>Ref. interne</t>
        </is>
      </c>
      <c r="C5" s="479" t="inlineStr">
        <is>
          <t>Cisco/Fortinet...</t>
        </is>
      </c>
      <c r="D5" s="479" t="inlineStr">
        <is>
          <t>nb</t>
        </is>
      </c>
      <c r="E5" s="479" t="inlineStr">
        <is>
          <t>spec fiche</t>
        </is>
      </c>
      <c r="F5" s="479" t="inlineStr">
        <is>
          <t>0-100%</t>
        </is>
      </c>
      <c r="G5" s="479" t="inlineStr">
        <is>
          <t>8760 = 24/7</t>
        </is>
      </c>
      <c r="H5" s="479" t="inlineStr">
        <is>
          <t>P01-P08</t>
        </is>
      </c>
      <c r="I5" s="479" t="inlineStr">
        <is>
          <t>G01-G08 ou fix</t>
        </is>
      </c>
      <c r="J5" s="479" t="inlineStr">
        <is>
          <t>jj/mm/aaaa</t>
        </is>
      </c>
      <c r="K5" s="479" t="inlineStr">
        <is>
          <t>ans</t>
        </is>
      </c>
      <c r="L5" s="479" t="inlineStr">
        <is>
          <t>VLOOKUP(A;FE!H)</t>
        </is>
      </c>
      <c r="M5" s="479" t="inlineStr">
        <is>
          <t>E x F x D</t>
        </is>
      </c>
      <c r="N5" s="479" t="inlineStr">
        <is>
          <t>M x G/1000 x H</t>
        </is>
      </c>
      <c r="O5" s="479" t="inlineStr">
        <is>
          <t>N x I</t>
        </is>
      </c>
      <c r="P5" s="479" t="inlineStr">
        <is>
          <t>L x D / K</t>
        </is>
      </c>
      <c r="Q5" s="479" t="inlineStr">
        <is>
          <t>O + P</t>
        </is>
      </c>
      <c r="R5" s="479" t="inlineStr">
        <is>
          <t>(AUJOURDHUI-J)/365</t>
        </is>
      </c>
      <c r="S5" s="479" t="inlineStr">
        <is>
          <t>&lt;K = vert</t>
        </is>
      </c>
    </row>
    <row r="6">
      <c r="A6" s="297" t="inlineStr">
        <is>
          <t>Switch 48 ports</t>
        </is>
      </c>
      <c r="B6" s="297" t="inlineStr">
        <is>
          <t>SW-001</t>
        </is>
      </c>
      <c r="C6" s="281" t="inlineStr">
        <is>
          <t>Cisco Catalyst 9300</t>
        </is>
      </c>
      <c r="D6" s="426" t="n">
        <v>4</v>
      </c>
      <c r="E6" s="426" t="n">
        <v>130</v>
      </c>
      <c r="F6" s="429" t="n">
        <v>0.7</v>
      </c>
      <c r="G6" s="426" t="n">
        <v>8760</v>
      </c>
      <c r="H6" s="439" t="n">
        <v>1.3</v>
      </c>
      <c r="I6" s="1045" t="n">
        <v>0.0569</v>
      </c>
      <c r="J6" s="489">
        <f>DATE(2022,1,15)</f>
        <v/>
      </c>
      <c r="K6" s="281" t="n">
        <v>7</v>
      </c>
      <c r="L6" s="491" t="n">
        <v>475</v>
      </c>
      <c r="M6" s="303">
        <f>E6*F6*D6</f>
        <v/>
      </c>
      <c r="N6" s="303">
        <f>M6*G6/1000*H6</f>
        <v/>
      </c>
      <c r="O6" s="303">
        <f>N6*I6</f>
        <v/>
      </c>
      <c r="P6" s="303">
        <f>L6*D6/K6</f>
        <v/>
      </c>
      <c r="Q6" s="303">
        <f>O6+P6</f>
        <v/>
      </c>
      <c r="R6" s="492">
        <f>IFERROR((TODAY()-J6)/365.25,0)</f>
        <v/>
      </c>
      <c r="S6" s="494">
        <f>IF(R6&gt;K6,"Renouveler","OK")</f>
        <v/>
      </c>
    </row>
    <row r="7">
      <c r="A7" s="81" t="inlineStr">
        <is>
          <t>Switch 48 ports</t>
        </is>
      </c>
      <c r="B7" s="81" t="inlineStr">
        <is>
          <t>SW-002</t>
        </is>
      </c>
      <c r="C7" s="281" t="inlineStr">
        <is>
          <t>Cisco Catalyst 9300</t>
        </is>
      </c>
      <c r="D7" s="426" t="n">
        <v>2</v>
      </c>
      <c r="E7" s="426" t="n">
        <v>130</v>
      </c>
      <c r="F7" s="429" t="n">
        <v>0.5</v>
      </c>
      <c r="G7" s="426" t="n">
        <v>8760</v>
      </c>
      <c r="H7" s="439" t="n">
        <v>1.3</v>
      </c>
      <c r="I7" s="1045" t="n">
        <v>0.0569</v>
      </c>
      <c r="J7" s="490">
        <f>DATE(2022,1,15)</f>
        <v/>
      </c>
      <c r="K7" s="281" t="n">
        <v>7</v>
      </c>
      <c r="L7" s="491" t="n">
        <v>475</v>
      </c>
      <c r="M7" s="299">
        <f>E7*F7*D7</f>
        <v/>
      </c>
      <c r="N7" s="299">
        <f>M7*G7/1000*H7</f>
        <v/>
      </c>
      <c r="O7" s="299">
        <f>N7*I7</f>
        <v/>
      </c>
      <c r="P7" s="299">
        <f>L7*D7/K7</f>
        <v/>
      </c>
      <c r="Q7" s="299">
        <f>O7+P7</f>
        <v/>
      </c>
      <c r="R7" s="493">
        <f>IFERROR((TODAY()-J7)/365.25,0)</f>
        <v/>
      </c>
      <c r="S7" s="495">
        <f>IF(R7&gt;K7,"Renouveler","OK")</f>
        <v/>
      </c>
    </row>
    <row r="8">
      <c r="A8" s="297" t="inlineStr">
        <is>
          <t>Switch 24 ports (accès)</t>
        </is>
      </c>
      <c r="B8" s="297" t="inlineStr">
        <is>
          <t>SW-003</t>
        </is>
      </c>
      <c r="C8" s="281" t="inlineStr">
        <is>
          <t>Cisco Catalyst 9200</t>
        </is>
      </c>
      <c r="D8" s="426" t="n">
        <v>8</v>
      </c>
      <c r="E8" s="426" t="n">
        <v>65</v>
      </c>
      <c r="F8" s="429" t="n">
        <v>0.4</v>
      </c>
      <c r="G8" s="426" t="n">
        <v>8760</v>
      </c>
      <c r="H8" s="439" t="n">
        <v>1.3</v>
      </c>
      <c r="I8" s="1045" t="n">
        <v>0.0569</v>
      </c>
      <c r="J8" s="489">
        <f>DATE(2023,3,1)</f>
        <v/>
      </c>
      <c r="K8" s="281" t="n">
        <v>7</v>
      </c>
      <c r="L8" s="491" t="n">
        <v>280</v>
      </c>
      <c r="M8" s="303">
        <f>E8*F8*D8</f>
        <v/>
      </c>
      <c r="N8" s="303">
        <f>M8*G8/1000*H8</f>
        <v/>
      </c>
      <c r="O8" s="303">
        <f>N8*I8</f>
        <v/>
      </c>
      <c r="P8" s="303">
        <f>L8*D8/K8</f>
        <v/>
      </c>
      <c r="Q8" s="303">
        <f>O8+P8</f>
        <v/>
      </c>
      <c r="R8" s="492">
        <f>IFERROR((TODAY()-J8)/365.25,0)</f>
        <v/>
      </c>
      <c r="S8" s="494">
        <f>IF(R8&gt;K8,"Renouveler","OK")</f>
        <v/>
      </c>
    </row>
    <row r="9">
      <c r="A9" s="81" t="inlineStr">
        <is>
          <t>Routeur enterprise</t>
        </is>
      </c>
      <c r="B9" s="81" t="inlineStr">
        <is>
          <t>RT-001</t>
        </is>
      </c>
      <c r="C9" s="281" t="inlineStr">
        <is>
          <t>Cisco ASR 1001-X</t>
        </is>
      </c>
      <c r="D9" s="426" t="n">
        <v>1</v>
      </c>
      <c r="E9" s="426" t="n">
        <v>175</v>
      </c>
      <c r="F9" s="429" t="n">
        <v>0.6</v>
      </c>
      <c r="G9" s="426" t="n">
        <v>8760</v>
      </c>
      <c r="H9" s="439" t="n">
        <v>1.3</v>
      </c>
      <c r="I9" s="1045" t="n">
        <v>0.0569</v>
      </c>
      <c r="J9" s="490">
        <f>DATE(2021,6,1)</f>
        <v/>
      </c>
      <c r="K9" s="281" t="n">
        <v>7</v>
      </c>
      <c r="L9" s="491" t="n">
        <v>350</v>
      </c>
      <c r="M9" s="299">
        <f>E9*F9*D9</f>
        <v/>
      </c>
      <c r="N9" s="299">
        <f>M9*G9/1000*H9</f>
        <v/>
      </c>
      <c r="O9" s="299">
        <f>N9*I9</f>
        <v/>
      </c>
      <c r="P9" s="299">
        <f>L9*D9/K9</f>
        <v/>
      </c>
      <c r="Q9" s="299">
        <f>O9+P9</f>
        <v/>
      </c>
      <c r="R9" s="493">
        <f>IFERROR((TODAY()-J9)/365.25,0)</f>
        <v/>
      </c>
      <c r="S9" s="495">
        <f>IF(R9&gt;K9,"Renouveler","OK")</f>
        <v/>
      </c>
    </row>
    <row r="10">
      <c r="A10" s="297" t="inlineStr">
        <is>
          <t>Routeur enterprise</t>
        </is>
      </c>
      <c r="B10" s="297" t="inlineStr">
        <is>
          <t>RT-002</t>
        </is>
      </c>
      <c r="C10" s="281" t="inlineStr">
        <is>
          <t>Cisco ASR 1001-X</t>
        </is>
      </c>
      <c r="D10" s="426" t="n">
        <v>1</v>
      </c>
      <c r="E10" s="426" t="n">
        <v>175</v>
      </c>
      <c r="F10" s="429" t="n">
        <v>0.6</v>
      </c>
      <c r="G10" s="426" t="n">
        <v>8760</v>
      </c>
      <c r="H10" s="439" t="n">
        <v>1.4</v>
      </c>
      <c r="I10" s="1045" t="n">
        <v>0.0569</v>
      </c>
      <c r="J10" s="489">
        <f>DATE(2021,6,1)</f>
        <v/>
      </c>
      <c r="K10" s="281" t="n">
        <v>7</v>
      </c>
      <c r="L10" s="491" t="n">
        <v>350</v>
      </c>
      <c r="M10" s="303">
        <f>E10*F10*D10</f>
        <v/>
      </c>
      <c r="N10" s="303">
        <f>M10*G10/1000*H10</f>
        <v/>
      </c>
      <c r="O10" s="303">
        <f>N10*I10</f>
        <v/>
      </c>
      <c r="P10" s="303">
        <f>L10*D10/K10</f>
        <v/>
      </c>
      <c r="Q10" s="303">
        <f>O10+P10</f>
        <v/>
      </c>
      <c r="R10" s="492">
        <f>IFERROR((TODAY()-J10)/365.25,0)</f>
        <v/>
      </c>
      <c r="S10" s="494">
        <f>IF(R10&gt;K10,"Renouveler","OK")</f>
        <v/>
      </c>
    </row>
    <row r="11">
      <c r="A11" s="81" t="inlineStr">
        <is>
          <t>Firewall mid-range</t>
        </is>
      </c>
      <c r="B11" s="81" t="inlineStr">
        <is>
          <t>FW-001</t>
        </is>
      </c>
      <c r="C11" s="281" t="inlineStr">
        <is>
          <t>Fortinet FG-400E</t>
        </is>
      </c>
      <c r="D11" s="426" t="n">
        <v>2</v>
      </c>
      <c r="E11" s="426" t="n">
        <v>165</v>
      </c>
      <c r="F11" s="429" t="n">
        <v>0.8</v>
      </c>
      <c r="G11" s="426" t="n">
        <v>8760</v>
      </c>
      <c r="H11" s="439" t="n">
        <v>1.3</v>
      </c>
      <c r="I11" s="1045" t="n">
        <v>0.0569</v>
      </c>
      <c r="J11" s="490">
        <f>DATE(2022,9,1)</f>
        <v/>
      </c>
      <c r="K11" s="281" t="n">
        <v>6</v>
      </c>
      <c r="L11" s="491" t="n">
        <v>550</v>
      </c>
      <c r="M11" s="299">
        <f>E11*F11*D11</f>
        <v/>
      </c>
      <c r="N11" s="299">
        <f>M11*G11/1000*H11</f>
        <v/>
      </c>
      <c r="O11" s="299">
        <f>N11*I11</f>
        <v/>
      </c>
      <c r="P11" s="299">
        <f>L11*D11/K11</f>
        <v/>
      </c>
      <c r="Q11" s="299">
        <f>O11+P11</f>
        <v/>
      </c>
      <c r="R11" s="493">
        <f>IFERROR((TODAY()-J11)/365.25,0)</f>
        <v/>
      </c>
      <c r="S11" s="495">
        <f>IF(R11&gt;K11,"Renouveler","OK")</f>
        <v/>
      </c>
    </row>
    <row r="12">
      <c r="A12" s="297" t="inlineStr">
        <is>
          <t>Firewall mid-range</t>
        </is>
      </c>
      <c r="B12" s="297" t="inlineStr">
        <is>
          <t>FW-002</t>
        </is>
      </c>
      <c r="C12" s="281" t="inlineStr">
        <is>
          <t>Palo Alto PA-820</t>
        </is>
      </c>
      <c r="D12" s="426" t="n">
        <v>1</v>
      </c>
      <c r="E12" s="426" t="n">
        <v>155</v>
      </c>
      <c r="F12" s="429" t="n">
        <v>0.75</v>
      </c>
      <c r="G12" s="426" t="n">
        <v>8760</v>
      </c>
      <c r="H12" s="439" t="n">
        <v>1.3</v>
      </c>
      <c r="I12" s="1045" t="n">
        <v>0.0569</v>
      </c>
      <c r="J12" s="489">
        <f>DATE(2023,1,1)</f>
        <v/>
      </c>
      <c r="K12" s="281" t="n">
        <v>6</v>
      </c>
      <c r="L12" s="491" t="n">
        <v>550</v>
      </c>
      <c r="M12" s="303">
        <f>E12*F12*D12</f>
        <v/>
      </c>
      <c r="N12" s="303">
        <f>M12*G12/1000*H12</f>
        <v/>
      </c>
      <c r="O12" s="303">
        <f>N12*I12</f>
        <v/>
      </c>
      <c r="P12" s="303">
        <f>L12*D12/K12</f>
        <v/>
      </c>
      <c r="Q12" s="303">
        <f>O12+P12</f>
        <v/>
      </c>
      <c r="R12" s="492">
        <f>IFERROR((TODAY()-J12)/365.25,0)</f>
        <v/>
      </c>
      <c r="S12" s="494">
        <f>IF(R12&gt;K12,"Renouveler","OK")</f>
        <v/>
      </c>
    </row>
    <row r="13">
      <c r="A13" s="81" t="inlineStr">
        <is>
          <t>Load balancer</t>
        </is>
      </c>
      <c r="B13" s="81" t="inlineStr">
        <is>
          <t>LB-001</t>
        </is>
      </c>
      <c r="C13" s="281" t="inlineStr">
        <is>
          <t>F5 BIG-IP 2000s</t>
        </is>
      </c>
      <c r="D13" s="426" t="n">
        <v>2</v>
      </c>
      <c r="E13" s="426" t="n">
        <v>200</v>
      </c>
      <c r="F13" s="429" t="n">
        <v>0.6</v>
      </c>
      <c r="G13" s="426" t="n">
        <v>8760</v>
      </c>
      <c r="H13" s="439" t="n">
        <v>1.3</v>
      </c>
      <c r="I13" s="1045" t="n">
        <v>0.0569</v>
      </c>
      <c r="J13" s="490">
        <f>DATE(2021,3,1)</f>
        <v/>
      </c>
      <c r="K13" s="281" t="n">
        <v>6</v>
      </c>
      <c r="L13" s="491" t="n">
        <v>600</v>
      </c>
      <c r="M13" s="299">
        <f>E13*F13*D13</f>
        <v/>
      </c>
      <c r="N13" s="299">
        <f>M13*G13/1000*H13</f>
        <v/>
      </c>
      <c r="O13" s="299">
        <f>N13*I13</f>
        <v/>
      </c>
      <c r="P13" s="299">
        <f>L13*D13/K13</f>
        <v/>
      </c>
      <c r="Q13" s="299">
        <f>O13+P13</f>
        <v/>
      </c>
      <c r="R13" s="493">
        <f>IFERROR((TODAY()-J13)/365.25,0)</f>
        <v/>
      </c>
      <c r="S13" s="495">
        <f>IF(R13&gt;K13,"Renouveler","OK")</f>
        <v/>
      </c>
    </row>
    <row r="14">
      <c r="A14" s="297" t="inlineStr">
        <is>
          <t>Baie SAN 10 To SSD</t>
        </is>
      </c>
      <c r="B14" s="297" t="inlineStr">
        <is>
          <t>SAN-001</t>
        </is>
      </c>
      <c r="C14" s="281" t="inlineStr">
        <is>
          <t>NetApp AFF A400</t>
        </is>
      </c>
      <c r="D14" s="426" t="n">
        <v>1</v>
      </c>
      <c r="E14" s="426" t="n">
        <v>850</v>
      </c>
      <c r="F14" s="429" t="n">
        <v>0.7</v>
      </c>
      <c r="G14" s="426" t="n">
        <v>8760</v>
      </c>
      <c r="H14" s="439" t="n">
        <v>1.3</v>
      </c>
      <c r="I14" s="1045" t="n">
        <v>0.0569</v>
      </c>
      <c r="J14" s="489">
        <f>DATE(2022,6,1)</f>
        <v/>
      </c>
      <c r="K14" s="281" t="n">
        <v>7</v>
      </c>
      <c r="L14" s="491" t="n">
        <v>5500</v>
      </c>
      <c r="M14" s="303">
        <f>E14*F14*D14</f>
        <v/>
      </c>
      <c r="N14" s="303">
        <f>M14*G14/1000*H14</f>
        <v/>
      </c>
      <c r="O14" s="303">
        <f>N14*I14</f>
        <v/>
      </c>
      <c r="P14" s="303">
        <f>L14*D14/K14</f>
        <v/>
      </c>
      <c r="Q14" s="303">
        <f>O14+P14</f>
        <v/>
      </c>
      <c r="R14" s="492">
        <f>IFERROR((TODAY()-J14)/365.25,0)</f>
        <v/>
      </c>
      <c r="S14" s="494">
        <f>IF(R14&gt;K14,"Renouveler","OK")</f>
        <v/>
      </c>
    </row>
    <row r="15">
      <c r="A15" s="81" t="inlineStr">
        <is>
          <t>NAS 4 baies</t>
        </is>
      </c>
      <c r="B15" s="81" t="inlineStr">
        <is>
          <t>NAS-001</t>
        </is>
      </c>
      <c r="C15" s="281" t="inlineStr">
        <is>
          <t>Synology RS3621+</t>
        </is>
      </c>
      <c r="D15" s="426" t="n">
        <v>2</v>
      </c>
      <c r="E15" s="426" t="n">
        <v>100</v>
      </c>
      <c r="F15" s="429" t="n">
        <v>0.5</v>
      </c>
      <c r="G15" s="426" t="n">
        <v>8760</v>
      </c>
      <c r="H15" s="439" t="n">
        <v>1.2</v>
      </c>
      <c r="I15" s="1045" t="n">
        <v>0.0569</v>
      </c>
      <c r="J15" s="490">
        <f>DATE(2023,6,1)</f>
        <v/>
      </c>
      <c r="K15" s="281" t="n">
        <v>7</v>
      </c>
      <c r="L15" s="491" t="n">
        <v>550</v>
      </c>
      <c r="M15" s="299">
        <f>E15*F15*D15</f>
        <v/>
      </c>
      <c r="N15" s="299">
        <f>M15*G15/1000*H15</f>
        <v/>
      </c>
      <c r="O15" s="299">
        <f>N15*I15</f>
        <v/>
      </c>
      <c r="P15" s="299">
        <f>L15*D15/K15</f>
        <v/>
      </c>
      <c r="Q15" s="299">
        <f>O15+P15</f>
        <v/>
      </c>
      <c r="R15" s="493">
        <f>IFERROR((TODAY()-J15)/365.25,0)</f>
        <v/>
      </c>
      <c r="S15" s="495">
        <f>IF(R15&gt;K15,"Renouveler","OK")</f>
        <v/>
      </c>
    </row>
    <row r="16">
      <c r="A16" s="297" t="inlineStr">
        <is>
          <t>Onduleur (UPS) 3kVA</t>
        </is>
      </c>
      <c r="B16" s="297" t="inlineStr">
        <is>
          <t>UPS-001</t>
        </is>
      </c>
      <c r="C16" s="281" t="inlineStr">
        <is>
          <t>APC Smart-UPS 3000</t>
        </is>
      </c>
      <c r="D16" s="426" t="n">
        <v>3</v>
      </c>
      <c r="E16" s="426" t="n">
        <v>120</v>
      </c>
      <c r="F16" s="429" t="n">
        <v>0.6</v>
      </c>
      <c r="G16" s="426" t="n">
        <v>8760</v>
      </c>
      <c r="H16" s="439" t="n">
        <v>1</v>
      </c>
      <c r="I16" s="1045" t="n">
        <v>0.0569</v>
      </c>
      <c r="J16" s="489">
        <f>DATE(2020,1,1)</f>
        <v/>
      </c>
      <c r="K16" s="281" t="n">
        <v>8</v>
      </c>
      <c r="L16" s="491" t="n">
        <v>400</v>
      </c>
      <c r="M16" s="303">
        <f>E16*F16*D16</f>
        <v/>
      </c>
      <c r="N16" s="303">
        <f>M16*G16/1000*H16</f>
        <v/>
      </c>
      <c r="O16" s="303">
        <f>N16*I16</f>
        <v/>
      </c>
      <c r="P16" s="303">
        <f>L16*D16/K16</f>
        <v/>
      </c>
      <c r="Q16" s="303">
        <f>O16+P16</f>
        <v/>
      </c>
      <c r="R16" s="492">
        <f>IFERROR((TODAY()-J16)/365.25,0)</f>
        <v/>
      </c>
      <c r="S16" s="494">
        <f>IF(R16&gt;K16,"Renouveler","OK")</f>
        <v/>
      </c>
    </row>
    <row r="17">
      <c r="A17" s="81" t="inlineStr">
        <is>
          <t>Onduleur (UPS) 3kVA</t>
        </is>
      </c>
      <c r="B17" s="81" t="inlineStr">
        <is>
          <t>UPS-002</t>
        </is>
      </c>
      <c r="C17" s="281" t="inlineStr">
        <is>
          <t>APC Smart-UPS 3000</t>
        </is>
      </c>
      <c r="D17" s="426" t="n">
        <v>2</v>
      </c>
      <c r="E17" s="426" t="n">
        <v>120</v>
      </c>
      <c r="F17" s="429" t="n">
        <v>0.6</v>
      </c>
      <c r="G17" s="426" t="n">
        <v>8760</v>
      </c>
      <c r="H17" s="439" t="n">
        <v>1</v>
      </c>
      <c r="I17" s="1045" t="n">
        <v>0.0569</v>
      </c>
      <c r="J17" s="490">
        <f>DATE(2020,1,1)</f>
        <v/>
      </c>
      <c r="K17" s="281" t="n">
        <v>8</v>
      </c>
      <c r="L17" s="491" t="n">
        <v>400</v>
      </c>
      <c r="M17" s="299">
        <f>E17*F17*D17</f>
        <v/>
      </c>
      <c r="N17" s="299">
        <f>M17*G17/1000*H17</f>
        <v/>
      </c>
      <c r="O17" s="299">
        <f>N17*I17</f>
        <v/>
      </c>
      <c r="P17" s="299">
        <f>L17*D17/K17</f>
        <v/>
      </c>
      <c r="Q17" s="299">
        <f>O17+P17</f>
        <v/>
      </c>
      <c r="R17" s="493">
        <f>IFERROR((TODAY()-J17)/365.25,0)</f>
        <v/>
      </c>
      <c r="S17" s="495">
        <f>IF(R17&gt;K17,"Renouveler","OK")</f>
        <v/>
      </c>
    </row>
    <row r="18">
      <c r="A18" s="297" t="inlineStr">
        <is>
          <t>Switch 48 ports</t>
        </is>
      </c>
      <c r="B18" s="297" t="inlineStr">
        <is>
          <t>SW-004</t>
        </is>
      </c>
      <c r="C18" s="281" t="inlineStr">
        <is>
          <t>HP Aruba 2930F</t>
        </is>
      </c>
      <c r="D18" s="426" t="n">
        <v>2</v>
      </c>
      <c r="E18" s="426" t="n">
        <v>90</v>
      </c>
      <c r="F18" s="429" t="n">
        <v>0.45</v>
      </c>
      <c r="G18" s="426" t="n">
        <v>8760</v>
      </c>
      <c r="H18" s="439" t="n">
        <v>1.4</v>
      </c>
      <c r="I18" s="1045" t="n">
        <v>0.0569</v>
      </c>
      <c r="J18" s="489">
        <f>DATE(2023,9,1)</f>
        <v/>
      </c>
      <c r="K18" s="281" t="n">
        <v>7</v>
      </c>
      <c r="L18" s="491" t="n">
        <v>475</v>
      </c>
      <c r="M18" s="303">
        <f>E18*F18*D18</f>
        <v/>
      </c>
      <c r="N18" s="303">
        <f>M18*G18/1000*H18</f>
        <v/>
      </c>
      <c r="O18" s="303">
        <f>N18*I18</f>
        <v/>
      </c>
      <c r="P18" s="303">
        <f>L18*D18/K18</f>
        <v/>
      </c>
      <c r="Q18" s="303">
        <f>O18+P18</f>
        <v/>
      </c>
      <c r="R18" s="492">
        <f>IFERROR((TODAY()-J18)/365.25,0)</f>
        <v/>
      </c>
      <c r="S18" s="494">
        <f>IF(R18&gt;K18,"Renouveler","OK")</f>
        <v/>
      </c>
    </row>
    <row r="19">
      <c r="A19" s="81" t="inlineStr">
        <is>
          <t>Routeur enterprise</t>
        </is>
      </c>
      <c r="B19" s="81" t="inlineStr">
        <is>
          <t>RT-003</t>
        </is>
      </c>
      <c r="C19" s="281" t="inlineStr">
        <is>
          <t>Juniper MX204</t>
        </is>
      </c>
      <c r="D19" s="426" t="n">
        <v>1</v>
      </c>
      <c r="E19" s="426" t="n">
        <v>220</v>
      </c>
      <c r="F19" s="429" t="n">
        <v>0.65</v>
      </c>
      <c r="G19" s="426" t="n">
        <v>8760</v>
      </c>
      <c r="H19" s="439" t="n">
        <v>1.3</v>
      </c>
      <c r="I19" s="1045" t="n">
        <v>0.0569</v>
      </c>
      <c r="J19" s="490">
        <f>DATE(2022,3,1)</f>
        <v/>
      </c>
      <c r="K19" s="281" t="n">
        <v>7</v>
      </c>
      <c r="L19" s="491" t="n">
        <v>350</v>
      </c>
      <c r="M19" s="299">
        <f>E19*F19*D19</f>
        <v/>
      </c>
      <c r="N19" s="299">
        <f>M19*G19/1000*H19</f>
        <v/>
      </c>
      <c r="O19" s="299">
        <f>N19*I19</f>
        <v/>
      </c>
      <c r="P19" s="299">
        <f>L19*D19/K19</f>
        <v/>
      </c>
      <c r="Q19" s="299">
        <f>O19+P19</f>
        <v/>
      </c>
      <c r="R19" s="493">
        <f>IFERROR((TODAY()-J19)/365.25,0)</f>
        <v/>
      </c>
      <c r="S19" s="495">
        <f>IF(R19&gt;K19,"Renouveler","OK")</f>
        <v/>
      </c>
    </row>
    <row r="20">
      <c r="A20" s="297" t="inlineStr">
        <is>
          <t>Autre</t>
        </is>
      </c>
      <c r="B20" s="297" t="inlineStr">
        <is>
          <t>MISC-01</t>
        </is>
      </c>
      <c r="C20" s="281" t="inlineStr">
        <is>
          <t>Équipements divers</t>
        </is>
      </c>
      <c r="D20" s="426" t="n">
        <v>1</v>
      </c>
      <c r="E20" s="426" t="n">
        <v>50</v>
      </c>
      <c r="F20" s="429" t="n">
        <v>0.5</v>
      </c>
      <c r="G20" s="426" t="n">
        <v>8760</v>
      </c>
      <c r="H20" s="439" t="n">
        <v>1.3</v>
      </c>
      <c r="I20" s="1045" t="n">
        <v>0.0569</v>
      </c>
      <c r="J20" s="489">
        <f>DATE(2023,1,1)</f>
        <v/>
      </c>
      <c r="K20" s="281" t="n">
        <v>5</v>
      </c>
      <c r="L20" s="491" t="n">
        <v>200</v>
      </c>
      <c r="M20" s="303">
        <f>E20*F20*D20</f>
        <v/>
      </c>
      <c r="N20" s="303">
        <f>M20*G20/1000*H20</f>
        <v/>
      </c>
      <c r="O20" s="303">
        <f>N20*I20</f>
        <v/>
      </c>
      <c r="P20" s="303">
        <f>L20*D20/K20</f>
        <v/>
      </c>
      <c r="Q20" s="303">
        <f>O20+P20</f>
        <v/>
      </c>
      <c r="R20" s="492">
        <f>IFERROR((TODAY()-J20)/365.25,0)</f>
        <v/>
      </c>
      <c r="S20" s="494">
        <f>IF(R20&gt;K20,"Renouveler","OK")</f>
        <v/>
      </c>
    </row>
    <row r="21" ht="15.75" customHeight="1" s="847">
      <c r="A21" s="970" t="inlineStr">
        <is>
          <t>TOTAL INVENTAIRE SI</t>
        </is>
      </c>
      <c r="B21" s="298" t="n"/>
      <c r="C21" s="298" t="n"/>
      <c r="D21" s="305">
        <f>SUM(D6:D20)</f>
        <v/>
      </c>
      <c r="E21" s="304" t="n"/>
      <c r="F21" s="304" t="n"/>
      <c r="G21" s="304" t="n"/>
      <c r="H21" s="304" t="n"/>
      <c r="I21" s="304" t="n"/>
      <c r="J21" s="304" t="n"/>
      <c r="K21" s="304" t="n"/>
      <c r="L21" s="304" t="n"/>
      <c r="M21" s="304" t="n"/>
      <c r="N21" s="305">
        <f>SUM(N6:N20)</f>
        <v/>
      </c>
      <c r="O21" s="305">
        <f>SUM(O6:O20)</f>
        <v/>
      </c>
      <c r="P21" s="305">
        <f>SUM(P6:P20)</f>
        <v/>
      </c>
      <c r="Q21" s="305">
        <f>SUM(Q6:Q20)</f>
        <v/>
      </c>
      <c r="R21" s="298" t="n"/>
      <c r="S21" s="298" t="n"/>
    </row>
    <row r="23">
      <c r="A23" s="955" t="inlineStr">
        <is>
          <t>INDICATEURS</t>
        </is>
      </c>
    </row>
    <row r="24">
      <c r="A24" s="310" t="inlineStr">
        <is>
          <t>CO2 total usage (tCO2e/an)</t>
        </is>
      </c>
      <c r="B24" s="303">
        <f>O21/1000</f>
        <v/>
      </c>
      <c r="C24" s="297" t="n"/>
      <c r="D24" s="297" t="n"/>
      <c r="E24" s="297" t="n"/>
      <c r="F24" s="297" t="n"/>
      <c r="G24" s="297" t="n"/>
      <c r="H24" s="297" t="n"/>
      <c r="I24" s="297" t="n"/>
      <c r="J24" s="297" t="n"/>
      <c r="K24" s="297" t="n"/>
      <c r="L24" s="297" t="n"/>
      <c r="M24" s="297" t="n"/>
      <c r="N24" s="297" t="n"/>
      <c r="O24" s="297" t="n"/>
      <c r="P24" s="297" t="n"/>
      <c r="Q24" s="297" t="n"/>
      <c r="R24" s="297" t="n"/>
      <c r="S24" s="297" t="n"/>
    </row>
    <row r="25">
      <c r="A25" s="315" t="inlineStr">
        <is>
          <t>CO2 total fabrication amortie (tCO2e/an)</t>
        </is>
      </c>
      <c r="B25" s="299">
        <f>P21/1000</f>
        <v/>
      </c>
      <c r="C25" s="81" t="n"/>
      <c r="D25" s="81" t="n"/>
      <c r="E25" s="81" t="n"/>
      <c r="F25" s="81" t="n"/>
      <c r="G25" s="81" t="n"/>
      <c r="H25" s="81" t="n"/>
      <c r="I25" s="81" t="n"/>
      <c r="J25" s="81" t="n"/>
      <c r="K25" s="81" t="n"/>
      <c r="L25" s="81" t="n"/>
      <c r="M25" s="81" t="n"/>
      <c r="N25" s="81" t="n"/>
      <c r="O25" s="81" t="n"/>
      <c r="P25" s="81" t="n"/>
      <c r="Q25" s="81" t="n"/>
      <c r="R25" s="81" t="n"/>
      <c r="S25" s="81" t="n"/>
    </row>
    <row r="26">
      <c r="A26" s="310" t="inlineStr">
        <is>
          <t>CO2 TOTAL (tCO2e/an)</t>
        </is>
      </c>
      <c r="B26" s="303">
        <f>Q21/1000</f>
        <v/>
      </c>
      <c r="C26" s="297" t="n"/>
      <c r="D26" s="297" t="n"/>
      <c r="E26" s="297" t="n"/>
      <c r="F26" s="297" t="n"/>
      <c r="G26" s="297" t="n"/>
      <c r="H26" s="297" t="n"/>
      <c r="I26" s="297" t="n"/>
      <c r="J26" s="297" t="n"/>
      <c r="K26" s="297" t="n"/>
      <c r="L26" s="297" t="n"/>
      <c r="M26" s="297" t="n"/>
      <c r="N26" s="297" t="n"/>
      <c r="O26" s="297" t="n"/>
      <c r="P26" s="297" t="n"/>
      <c r="Q26" s="297" t="n"/>
      <c r="R26" s="297" t="n"/>
      <c r="S26" s="297" t="n"/>
    </row>
    <row r="27">
      <c r="A27" s="315" t="inlineStr">
        <is>
          <t>Conso elec totale (kWh/an)</t>
        </is>
      </c>
      <c r="B27" s="299">
        <f>N21</f>
        <v/>
      </c>
      <c r="C27" s="81" t="n"/>
      <c r="D27" s="81" t="n"/>
      <c r="E27" s="81" t="n"/>
      <c r="F27" s="81" t="n"/>
      <c r="G27" s="81" t="n"/>
      <c r="H27" s="81" t="n"/>
      <c r="I27" s="81" t="n"/>
      <c r="J27" s="81" t="n"/>
      <c r="K27" s="81" t="n"/>
      <c r="L27" s="81" t="n"/>
      <c r="M27" s="81" t="n"/>
      <c r="N27" s="81" t="n"/>
      <c r="O27" s="81" t="n"/>
      <c r="P27" s="81" t="n"/>
      <c r="Q27" s="81" t="n"/>
      <c r="R27" s="81" t="n"/>
      <c r="S27" s="81" t="n"/>
    </row>
    <row r="28">
      <c r="A28" s="310" t="inlineStr">
        <is>
          <t>Nb équipements à renouveler</t>
        </is>
      </c>
      <c r="B28" s="303">
        <f>COUNTIF(S6:S20,"Renouveler")</f>
        <v/>
      </c>
      <c r="C28" s="297" t="n"/>
      <c r="D28" s="297" t="n"/>
      <c r="E28" s="297" t="n"/>
      <c r="F28" s="297" t="n"/>
      <c r="G28" s="297" t="n"/>
      <c r="H28" s="297" t="n"/>
      <c r="I28" s="297" t="n"/>
      <c r="J28" s="297" t="n"/>
      <c r="K28" s="297" t="n"/>
      <c r="L28" s="297" t="n"/>
      <c r="M28" s="297" t="n"/>
      <c r="N28" s="297" t="n"/>
      <c r="O28" s="297" t="n"/>
      <c r="P28" s="297" t="n"/>
      <c r="Q28" s="297" t="n"/>
      <c r="R28" s="297" t="n"/>
      <c r="S28" s="297" t="n"/>
    </row>
    <row r="30">
      <c r="A30" s="948" t="inlineStr">
        <is>
          <t>Formule : P_totale(W) = P_unit x Charge x Qty | kWh = P x h/1000 x PUE | CO2_fab_amorti = CO2_fab_unit x Qty / Durée_vie | Statut : rouge si age &gt; durée de vie prevue.</t>
        </is>
      </c>
    </row>
  </sheetData>
  <mergeCells count="6">
    <mergeCell ref="M3:S3"/>
    <mergeCell ref="A23:S23"/>
    <mergeCell ref="A1:S1"/>
    <mergeCell ref="A3:L3"/>
    <mergeCell ref="A30:S30"/>
    <mergeCell ref="A2:S2"/>
  </mergeCell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T33"/>
  <sheetViews>
    <sheetView workbookViewId="0">
      <pane ySplit="2" topLeftCell="A3" activePane="bottomLeft" state="frozen"/>
      <selection pane="bottomLeft" activeCell="H7" sqref="H7"/>
    </sheetView>
  </sheetViews>
  <sheetFormatPr baseColWidth="10" defaultRowHeight="15"/>
  <cols>
    <col width="37.5703125" bestFit="1" customWidth="1" style="847" min="1" max="1"/>
    <col width="24.140625" bestFit="1" customWidth="1" style="847" min="2" max="2"/>
  </cols>
  <sheetData>
    <row r="1" ht="18.75" customHeight="1" s="847">
      <c r="A1" s="950" t="inlineStr">
        <is>
          <t>ÉQUIPEMENTS BUREAUTIQUES — Parc utilisateurs (usage + fabrication amortie)</t>
        </is>
      </c>
    </row>
    <row r="2">
      <c r="A2" s="954" t="inlineStr">
        <is>
          <t>Scope 3 Cat.11. Fabrication = 70-80% de l'impact total (vs usage). Allonger durée de vie ou acheter reconditionné = levier majeur. Sources : Dell PCF, Apple Env., Boavizta, ADEME 2022.</t>
        </is>
      </c>
    </row>
    <row r="3">
      <c r="A3" s="968" t="inlineStr">
        <is>
          <t>IDENTIFICATION &amp; CONFIGURATION</t>
        </is>
      </c>
      <c r="M3" s="964" t="inlineStr">
        <is>
          <t>CALCULS CO2</t>
        </is>
      </c>
    </row>
    <row r="4" ht="42" customHeight="1" s="847">
      <c r="A4" s="488" t="inlineStr">
        <is>
          <t>Catégorie</t>
        </is>
      </c>
      <c r="B4" s="488" t="inlineStr">
        <is>
          <t>Marque / Modèle</t>
        </is>
      </c>
      <c r="C4" s="488" t="inlineStr">
        <is>
          <t>Qté</t>
        </is>
      </c>
      <c r="D4" s="488" t="inlineStr">
        <is>
          <t>Reconditionné</t>
        </is>
      </c>
      <c r="E4" s="488" t="inlineStr">
        <is>
          <t>Date achat</t>
        </is>
      </c>
      <c r="F4" s="488" t="inlineStr">
        <is>
          <t>Durée vie (ans)</t>
        </is>
      </c>
      <c r="G4" s="488" t="inlineStr">
        <is>
          <t>P usage (W)</t>
        </is>
      </c>
      <c r="H4" s="488" t="inlineStr">
        <is>
          <t>H/jour</t>
        </is>
      </c>
      <c r="I4" s="488" t="inlineStr">
        <is>
          <t>J/an</t>
        </is>
      </c>
      <c r="J4" s="488" t="inlineStr">
        <is>
          <t>FE élec</t>
        </is>
      </c>
      <c r="K4" s="488" t="inlineStr">
        <is>
          <t>CO2 fab unit (kg)</t>
        </is>
      </c>
      <c r="L4" s="488" t="inlineStr">
        <is>
          <t>Coeff. recon.</t>
        </is>
      </c>
      <c r="M4" s="488" t="inlineStr">
        <is>
          <t>Conso unit (kWh/an)</t>
        </is>
      </c>
      <c r="N4" s="488" t="inlineStr">
        <is>
          <t>CO2 usage unit (kg/an)</t>
        </is>
      </c>
      <c r="O4" s="488" t="inlineStr">
        <is>
          <t>CO2 fab unit amorti (kg/an)</t>
        </is>
      </c>
      <c r="P4" s="488" t="inlineStr">
        <is>
          <t>CO2 total unit (kg/an)</t>
        </is>
      </c>
      <c r="Q4" s="488" t="inlineStr">
        <is>
          <t>CO2 total parc (kg/an)</t>
        </is>
      </c>
      <c r="R4" s="488" t="inlineStr">
        <is>
          <t>Part fab (%)</t>
        </is>
      </c>
      <c r="S4" s="488" t="inlineStr">
        <is>
          <t>Âge (ans)</t>
        </is>
      </c>
      <c r="T4" s="488" t="inlineStr">
        <is>
          <t>Statut</t>
        </is>
      </c>
    </row>
    <row r="5">
      <c r="A5" s="479" t="inlineStr">
        <is>
          <t>Laptop/Écran...</t>
        </is>
      </c>
      <c r="B5" s="479" t="inlineStr">
        <is>
          <t>Marque Modèle</t>
        </is>
      </c>
      <c r="C5" s="479" t="inlineStr">
        <is>
          <t>nb</t>
        </is>
      </c>
      <c r="D5" s="479" t="inlineStr">
        <is>
          <t>Oui/Non</t>
        </is>
      </c>
      <c r="E5" s="479" t="inlineStr">
        <is>
          <t>jj/mm/aaaa</t>
        </is>
      </c>
      <c r="F5" s="479" t="inlineStr">
        <is>
          <t>ans</t>
        </is>
      </c>
      <c r="G5" s="479" t="inlineStr">
        <is>
          <t>W mesure/spec</t>
        </is>
      </c>
      <c r="H5" s="479" t="inlineStr">
        <is>
          <t>h/j (8=journée)</t>
        </is>
      </c>
      <c r="I5" s="479" t="inlineStr">
        <is>
          <t>Paramètres!B30</t>
        </is>
      </c>
      <c r="J5" s="479" t="inlineStr">
        <is>
          <t>FE pays</t>
        </is>
      </c>
      <c r="K5" s="479" t="inlineStr">
        <is>
          <t>VLOOKUP(A;FE!H)</t>
        </is>
      </c>
      <c r="L5" s="479" t="inlineStr">
        <is>
          <t>SI(Recon,0.25,1)</t>
        </is>
      </c>
      <c r="M5" s="479" t="inlineStr">
        <is>
          <t>G x H x I/1000</t>
        </is>
      </c>
      <c r="N5" s="479" t="inlineStr">
        <is>
          <t>M x J</t>
        </is>
      </c>
      <c r="O5" s="479" t="inlineStr">
        <is>
          <t>K x L / F</t>
        </is>
      </c>
      <c r="P5" s="479" t="inlineStr">
        <is>
          <t>N + O</t>
        </is>
      </c>
      <c r="Q5" s="479" t="inlineStr">
        <is>
          <t>P x C</t>
        </is>
      </c>
      <c r="R5" s="479" t="inlineStr">
        <is>
          <t>O/P</t>
        </is>
      </c>
      <c r="S5" s="479" t="inlineStr">
        <is>
          <t>(AUJOURDHUI-E)/365</t>
        </is>
      </c>
      <c r="T5" s="479" t="inlineStr">
        <is>
          <t>age&gt;F = Renouveler</t>
        </is>
      </c>
    </row>
    <row r="6">
      <c r="A6" s="296" t="inlineStr">
        <is>
          <t>Laptop 14" standard</t>
        </is>
      </c>
      <c r="B6" s="281" t="inlineStr">
        <is>
          <t>Dell Latitude 5540</t>
        </is>
      </c>
      <c r="C6" s="426" t="n">
        <v>45</v>
      </c>
      <c r="D6" s="281" t="inlineStr">
        <is>
          <t>Non</t>
        </is>
      </c>
      <c r="E6" s="496">
        <f>DATE(2023,9,1)</f>
        <v/>
      </c>
      <c r="F6" s="426" t="n">
        <v>4</v>
      </c>
      <c r="G6" s="426" t="n">
        <v>30</v>
      </c>
      <c r="H6" s="426" t="n">
        <v>8</v>
      </c>
      <c r="I6" s="449">
        <f>IFERROR('01_PARAMÈTRES2'!B15,220)</f>
        <v/>
      </c>
      <c r="J6" s="1045" t="n">
        <v>0.0569</v>
      </c>
      <c r="K6" s="499">
        <f>IFERROR(VLOOKUP("H08",'02_FACTEURS_ÉMISSION2'!$A:$C,3,0),350)</f>
        <v/>
      </c>
      <c r="L6" s="499">
        <f>IF(D6="Oui",0.25,1)</f>
        <v/>
      </c>
      <c r="M6" s="302">
        <f>G6*H6*I6/1000</f>
        <v/>
      </c>
      <c r="N6" s="302">
        <f>M6*J6</f>
        <v/>
      </c>
      <c r="O6" s="302">
        <f>K6*L6/F6</f>
        <v/>
      </c>
      <c r="P6" s="302">
        <f>N6+O6</f>
        <v/>
      </c>
      <c r="Q6" s="302">
        <f>P6*C6</f>
        <v/>
      </c>
      <c r="R6" s="500">
        <f>IFERROR(O6/P6,0)</f>
        <v/>
      </c>
      <c r="S6" s="502">
        <f>IFERROR((TODAY()-E6)/365.25,0)</f>
        <v/>
      </c>
      <c r="T6" s="497">
        <f>IF(S6&gt;F6,"Renouveler","OK")</f>
        <v/>
      </c>
    </row>
    <row r="7">
      <c r="A7" s="81" t="inlineStr">
        <is>
          <t>Laptop 14" performant</t>
        </is>
      </c>
      <c r="B7" s="281" t="inlineStr">
        <is>
          <t>Dell Latitude 5540 i7</t>
        </is>
      </c>
      <c r="C7" s="426" t="n">
        <v>5</v>
      </c>
      <c r="D7" s="281" t="inlineStr">
        <is>
          <t>Non</t>
        </is>
      </c>
      <c r="E7" s="490">
        <f>DATE(2023,9,1)</f>
        <v/>
      </c>
      <c r="F7" s="426" t="n">
        <v>4</v>
      </c>
      <c r="G7" s="426" t="n">
        <v>45</v>
      </c>
      <c r="H7" s="426" t="n">
        <v>8</v>
      </c>
      <c r="I7" s="449">
        <f>IFERROR('01_PARAMÈTRES2'!B15,220)</f>
        <v/>
      </c>
      <c r="J7" s="1045" t="n">
        <v>0.0569</v>
      </c>
      <c r="K7" s="499">
        <f>IFERROR(VLOOKUP("H09",'02_FACTEURS_ÉMISSION2'!$A:$C,3,0),475)</f>
        <v/>
      </c>
      <c r="L7" s="499">
        <f>IF(D7="Oui",0.25,1)</f>
        <v/>
      </c>
      <c r="M7" s="299">
        <f>G7*H7*I7/1000</f>
        <v/>
      </c>
      <c r="N7" s="299">
        <f>M7*J7</f>
        <v/>
      </c>
      <c r="O7" s="299">
        <f>K7*L7/F7</f>
        <v/>
      </c>
      <c r="P7" s="299">
        <f>N7+O7</f>
        <v/>
      </c>
      <c r="Q7" s="299">
        <f>P7*C7</f>
        <v/>
      </c>
      <c r="R7" s="501">
        <f>IFERROR(O7/P7,0)</f>
        <v/>
      </c>
      <c r="S7" s="493">
        <f>IFERROR((TODAY()-E7)/365.25,0)</f>
        <v/>
      </c>
      <c r="T7" s="495">
        <f>IF(S7&gt;F7,"Renouveler","OK")</f>
        <v/>
      </c>
    </row>
    <row r="8">
      <c r="A8" s="296" t="inlineStr">
        <is>
          <t>Laptop 14" standard</t>
        </is>
      </c>
      <c r="B8" s="281" t="inlineStr">
        <is>
          <t>Lenovo ThinkPad L14</t>
        </is>
      </c>
      <c r="C8" s="426" t="n">
        <v>10</v>
      </c>
      <c r="D8" s="498" t="inlineStr">
        <is>
          <t>Oui</t>
        </is>
      </c>
      <c r="E8" s="496">
        <f>DATE(2022,6,1)</f>
        <v/>
      </c>
      <c r="F8" s="426" t="n">
        <v>6</v>
      </c>
      <c r="G8" s="426" t="n">
        <v>30</v>
      </c>
      <c r="H8" s="426" t="n">
        <v>8</v>
      </c>
      <c r="I8" s="449">
        <f>IFERROR('01_PARAMÈTRES2'!B15,220)</f>
        <v/>
      </c>
      <c r="J8" s="1045" t="n">
        <v>0.0569</v>
      </c>
      <c r="K8" s="499">
        <f>IFERROR(VLOOKUP("H08",'02_FACTEURS_ÉMISSION2'!$A:$C,3,0),350)</f>
        <v/>
      </c>
      <c r="L8" s="499">
        <f>IF(D8="Oui",0.25,1)</f>
        <v/>
      </c>
      <c r="M8" s="302">
        <f>G8*H8*I8/1000</f>
        <v/>
      </c>
      <c r="N8" s="302">
        <f>M8*J8</f>
        <v/>
      </c>
      <c r="O8" s="302">
        <f>K8*L8/F8</f>
        <v/>
      </c>
      <c r="P8" s="302">
        <f>N8+O8</f>
        <v/>
      </c>
      <c r="Q8" s="302">
        <f>P8*C8</f>
        <v/>
      </c>
      <c r="R8" s="500">
        <f>IFERROR(O8/P8,0)</f>
        <v/>
      </c>
      <c r="S8" s="502">
        <f>IFERROR((TODAY()-E8)/365.25,0)</f>
        <v/>
      </c>
      <c r="T8" s="497">
        <f>IF(S8&gt;F8,"Renouveler","OK")</f>
        <v/>
      </c>
    </row>
    <row r="9">
      <c r="A9" s="81" t="inlineStr">
        <is>
          <t>Desktop (tour)</t>
        </is>
      </c>
      <c r="B9" s="281" t="inlineStr">
        <is>
          <t>HP EliteDesk 800 G9</t>
        </is>
      </c>
      <c r="C9" s="426" t="n">
        <v>8</v>
      </c>
      <c r="D9" s="281" t="inlineStr">
        <is>
          <t>Non</t>
        </is>
      </c>
      <c r="E9" s="490">
        <f>DATE(2022,3,1)</f>
        <v/>
      </c>
      <c r="F9" s="426" t="n">
        <v>5</v>
      </c>
      <c r="G9" s="426" t="n">
        <v>80</v>
      </c>
      <c r="H9" s="426" t="n">
        <v>8</v>
      </c>
      <c r="I9" s="449">
        <f>IFERROR('01_PARAMÈTRES2'!B15,220)</f>
        <v/>
      </c>
      <c r="J9" s="1045" t="n">
        <v>0.0569</v>
      </c>
      <c r="K9" s="499">
        <f>IFERROR(VLOOKUP("H10",'02_FACTEURS_ÉMISSION2'!$A:$C,3,0),500)</f>
        <v/>
      </c>
      <c r="L9" s="499">
        <f>IF(D9="Oui",0.25,1)</f>
        <v/>
      </c>
      <c r="M9" s="299">
        <f>G9*H9*I9/1000</f>
        <v/>
      </c>
      <c r="N9" s="299">
        <f>M9*J9</f>
        <v/>
      </c>
      <c r="O9" s="299">
        <f>K9*L9/F9</f>
        <v/>
      </c>
      <c r="P9" s="299">
        <f>N9+O9</f>
        <v/>
      </c>
      <c r="Q9" s="299">
        <f>P9*C9</f>
        <v/>
      </c>
      <c r="R9" s="501">
        <f>IFERROR(O9/P9,0)</f>
        <v/>
      </c>
      <c r="S9" s="493">
        <f>IFERROR((TODAY()-E9)/365.25,0)</f>
        <v/>
      </c>
      <c r="T9" s="495">
        <f>IF(S9&gt;F9,"Renouveler","OK")</f>
        <v/>
      </c>
    </row>
    <row r="10">
      <c r="A10" s="296" t="inlineStr">
        <is>
          <t>Mini PC</t>
        </is>
      </c>
      <c r="B10" s="281" t="inlineStr">
        <is>
          <t>Dell OptiPlex 7010 Micro</t>
        </is>
      </c>
      <c r="C10" s="426" t="n">
        <v>5</v>
      </c>
      <c r="D10" s="281" t="inlineStr">
        <is>
          <t>Non</t>
        </is>
      </c>
      <c r="E10" s="496">
        <f>DATE(2023,1,1)</f>
        <v/>
      </c>
      <c r="F10" s="426" t="n">
        <v>5</v>
      </c>
      <c r="G10" s="426" t="n">
        <v>25</v>
      </c>
      <c r="H10" s="426" t="n">
        <v>8</v>
      </c>
      <c r="I10" s="449">
        <f>IFERROR('01_PARAMÈTRES2'!B15,220)</f>
        <v/>
      </c>
      <c r="J10" s="1045" t="n">
        <v>0.0569</v>
      </c>
      <c r="K10" s="499">
        <f>IFERROR(VLOOKUP("H11",'02_FACTEURS_ÉMISSION2'!$A:$C,3,0),250)</f>
        <v/>
      </c>
      <c r="L10" s="499">
        <f>IF(D10="Oui",0.25,1)</f>
        <v/>
      </c>
      <c r="M10" s="302">
        <f>G10*H10*I10/1000</f>
        <v/>
      </c>
      <c r="N10" s="302">
        <f>M10*J10</f>
        <v/>
      </c>
      <c r="O10" s="302">
        <f>K10*L10/F10</f>
        <v/>
      </c>
      <c r="P10" s="302">
        <f>N10+O10</f>
        <v/>
      </c>
      <c r="Q10" s="302">
        <f>P10*C10</f>
        <v/>
      </c>
      <c r="R10" s="500">
        <f>IFERROR(O10/P10,0)</f>
        <v/>
      </c>
      <c r="S10" s="502">
        <f>IFERROR((TODAY()-E10)/365.25,0)</f>
        <v/>
      </c>
      <c r="T10" s="497">
        <f>IF(S10&gt;F10,"Renouveler","OK")</f>
        <v/>
      </c>
    </row>
    <row r="11">
      <c r="A11" s="81" t="inlineStr">
        <is>
          <t>Écran 24"</t>
        </is>
      </c>
      <c r="B11" s="281" t="inlineStr">
        <is>
          <t>Dell P2422H</t>
        </is>
      </c>
      <c r="C11" s="426" t="n">
        <v>55</v>
      </c>
      <c r="D11" s="281" t="inlineStr">
        <is>
          <t>Non</t>
        </is>
      </c>
      <c r="E11" s="490">
        <f>DATE(2022,9,1)</f>
        <v/>
      </c>
      <c r="F11" s="426" t="n">
        <v>6</v>
      </c>
      <c r="G11" s="426" t="n">
        <v>25</v>
      </c>
      <c r="H11" s="426" t="n">
        <v>8</v>
      </c>
      <c r="I11" s="449">
        <f>IFERROR('01_PARAMÈTRES2'!B15,220)</f>
        <v/>
      </c>
      <c r="J11" s="1045" t="n">
        <v>0.0569</v>
      </c>
      <c r="K11" s="499">
        <f>IFERROR(VLOOKUP("H12",'02_FACTEURS_ÉMISSION2'!$A:$C,3,0),425)</f>
        <v/>
      </c>
      <c r="L11" s="499">
        <f>IF(D11="Oui",0.25,1)</f>
        <v/>
      </c>
      <c r="M11" s="299">
        <f>G11*H11*I11/1000</f>
        <v/>
      </c>
      <c r="N11" s="299">
        <f>M11*J11</f>
        <v/>
      </c>
      <c r="O11" s="299">
        <f>K11*L11/F11</f>
        <v/>
      </c>
      <c r="P11" s="299">
        <f>N11+O11</f>
        <v/>
      </c>
      <c r="Q11" s="299">
        <f>P11*C11</f>
        <v/>
      </c>
      <c r="R11" s="501">
        <f>IFERROR(O11/P11,0)</f>
        <v/>
      </c>
      <c r="S11" s="493">
        <f>IFERROR((TODAY()-E11)/365.25,0)</f>
        <v/>
      </c>
      <c r="T11" s="495">
        <f>IF(S11&gt;F11,"Renouveler","OK")</f>
        <v/>
      </c>
    </row>
    <row r="12">
      <c r="A12" s="296" t="inlineStr">
        <is>
          <t>Écran 27"</t>
        </is>
      </c>
      <c r="B12" s="281" t="inlineStr">
        <is>
          <t>Dell P2723D</t>
        </is>
      </c>
      <c r="C12" s="426" t="n">
        <v>10</v>
      </c>
      <c r="D12" s="281" t="inlineStr">
        <is>
          <t>Non</t>
        </is>
      </c>
      <c r="E12" s="496">
        <f>DATE(2023,3,1)</f>
        <v/>
      </c>
      <c r="F12" s="426" t="n">
        <v>6</v>
      </c>
      <c r="G12" s="426" t="n">
        <v>35</v>
      </c>
      <c r="H12" s="426" t="n">
        <v>8</v>
      </c>
      <c r="I12" s="449">
        <f>IFERROR('01_PARAMÈTRES2'!B15,220)</f>
        <v/>
      </c>
      <c r="J12" s="1045" t="n">
        <v>0.0569</v>
      </c>
      <c r="K12" s="499">
        <f>IFERROR(VLOOKUP("H13",'02_FACTEURS_ÉMISSION2'!$A:$C,3,0),500)</f>
        <v/>
      </c>
      <c r="L12" s="499">
        <f>IF(D12="Oui",0.25,1)</f>
        <v/>
      </c>
      <c r="M12" s="302">
        <f>G12*H12*I12/1000</f>
        <v/>
      </c>
      <c r="N12" s="302">
        <f>M12*J12</f>
        <v/>
      </c>
      <c r="O12" s="302">
        <f>K12*L12/F12</f>
        <v/>
      </c>
      <c r="P12" s="302">
        <f>N12+O12</f>
        <v/>
      </c>
      <c r="Q12" s="302">
        <f>P12*C12</f>
        <v/>
      </c>
      <c r="R12" s="500">
        <f>IFERROR(O12/P12,0)</f>
        <v/>
      </c>
      <c r="S12" s="502">
        <f>IFERROR((TODAY()-E12)/365.25,0)</f>
        <v/>
      </c>
      <c r="T12" s="497">
        <f>IF(S12&gt;F12,"Renouveler","OK")</f>
        <v/>
      </c>
    </row>
    <row r="13">
      <c r="A13" s="81" t="inlineStr">
        <is>
          <t>Écran 32" 4K</t>
        </is>
      </c>
      <c r="B13" s="281" t="inlineStr">
        <is>
          <t>LG 32UN880</t>
        </is>
      </c>
      <c r="C13" s="426" t="n">
        <v>3</v>
      </c>
      <c r="D13" s="281" t="inlineStr">
        <is>
          <t>Non</t>
        </is>
      </c>
      <c r="E13" s="490">
        <f>DATE(2023,6,1)</f>
        <v/>
      </c>
      <c r="F13" s="426" t="n">
        <v>6</v>
      </c>
      <c r="G13" s="426" t="n">
        <v>45</v>
      </c>
      <c r="H13" s="426" t="n">
        <v>8</v>
      </c>
      <c r="I13" s="449">
        <f>IFERROR('01_PARAMÈTRES2'!B15,220)</f>
        <v/>
      </c>
      <c r="J13" s="1045" t="n">
        <v>0.0569</v>
      </c>
      <c r="K13" s="499">
        <f>IFERROR(VLOOKUP("H14",'02_FACTEURS_ÉMISSION2'!$A:$C,3,0),625)</f>
        <v/>
      </c>
      <c r="L13" s="499">
        <f>IF(D13="Oui",0.25,1)</f>
        <v/>
      </c>
      <c r="M13" s="299">
        <f>G13*H13*I13/1000</f>
        <v/>
      </c>
      <c r="N13" s="299">
        <f>M13*J13</f>
        <v/>
      </c>
      <c r="O13" s="299">
        <f>K13*L13/F13</f>
        <v/>
      </c>
      <c r="P13" s="299">
        <f>N13+O13</f>
        <v/>
      </c>
      <c r="Q13" s="299">
        <f>P13*C13</f>
        <v/>
      </c>
      <c r="R13" s="501">
        <f>IFERROR(O13/P13,0)</f>
        <v/>
      </c>
      <c r="S13" s="493">
        <f>IFERROR((TODAY()-E13)/365.25,0)</f>
        <v/>
      </c>
      <c r="T13" s="495">
        <f>IF(S13&gt;F13,"Renouveler","OK")</f>
        <v/>
      </c>
    </row>
    <row r="14">
      <c r="A14" s="296" t="inlineStr">
        <is>
          <t>Smartphone</t>
        </is>
      </c>
      <c r="B14" s="281" t="inlineStr">
        <is>
          <t>Samsung Galaxy A54</t>
        </is>
      </c>
      <c r="C14" s="426" t="n">
        <v>50</v>
      </c>
      <c r="D14" s="281" t="inlineStr">
        <is>
          <t>Non</t>
        </is>
      </c>
      <c r="E14" s="496">
        <f>DATE(2023,1,1)</f>
        <v/>
      </c>
      <c r="F14" s="426" t="n">
        <v>3</v>
      </c>
      <c r="G14" s="426" t="n">
        <v>5</v>
      </c>
      <c r="H14" s="426" t="n">
        <v>8</v>
      </c>
      <c r="I14" s="449">
        <f>IFERROR('01_PARAMÈTRES2'!B15,220)</f>
        <v/>
      </c>
      <c r="J14" s="1045" t="n">
        <v>0.0569</v>
      </c>
      <c r="K14" s="499">
        <f>IFERROR(VLOOKUP("H15",'02_FACTEURS_ÉMISSION2'!$A:$C,3,0),65)</f>
        <v/>
      </c>
      <c r="L14" s="499">
        <f>IF(D14="Oui",0.25,1)</f>
        <v/>
      </c>
      <c r="M14" s="302">
        <f>G14*H14*I14/1000</f>
        <v/>
      </c>
      <c r="N14" s="302">
        <f>M14*J14</f>
        <v/>
      </c>
      <c r="O14" s="302">
        <f>K14*L14/F14</f>
        <v/>
      </c>
      <c r="P14" s="302">
        <f>N14+O14</f>
        <v/>
      </c>
      <c r="Q14" s="302">
        <f>P14*C14</f>
        <v/>
      </c>
      <c r="R14" s="500">
        <f>IFERROR(O14/P14,0)</f>
        <v/>
      </c>
      <c r="S14" s="502">
        <f>IFERROR((TODAY()-E14)/365.25,0)</f>
        <v/>
      </c>
      <c r="T14" s="497">
        <f>IF(S14&gt;F14,"Renouveler","OK")</f>
        <v/>
      </c>
    </row>
    <row r="15">
      <c r="A15" s="81" t="inlineStr">
        <is>
          <t>Tablette</t>
        </is>
      </c>
      <c r="B15" s="281" t="inlineStr">
        <is>
          <t>Apple iPad (10th gen)</t>
        </is>
      </c>
      <c r="C15" s="426" t="n">
        <v>10</v>
      </c>
      <c r="D15" s="281" t="inlineStr">
        <is>
          <t>Non</t>
        </is>
      </c>
      <c r="E15" s="490">
        <f>DATE(2022,9,1)</f>
        <v/>
      </c>
      <c r="F15" s="426" t="n">
        <v>4</v>
      </c>
      <c r="G15" s="426" t="n">
        <v>10</v>
      </c>
      <c r="H15" s="426" t="n">
        <v>8</v>
      </c>
      <c r="I15" s="449">
        <f>IFERROR('01_PARAMÈTRES2'!B15,220)</f>
        <v/>
      </c>
      <c r="J15" s="1045" t="n">
        <v>0.0569</v>
      </c>
      <c r="K15" s="499">
        <f>IFERROR(VLOOKUP("H16",'02_FACTEURS_ÉMISSION2'!$A:$C,3,0),90)</f>
        <v/>
      </c>
      <c r="L15" s="499">
        <f>IF(D15="Oui",0.25,1)</f>
        <v/>
      </c>
      <c r="M15" s="299">
        <f>G15*H15*I15/1000</f>
        <v/>
      </c>
      <c r="N15" s="299">
        <f>M15*J15</f>
        <v/>
      </c>
      <c r="O15" s="299">
        <f>K15*L15/F15</f>
        <v/>
      </c>
      <c r="P15" s="299">
        <f>N15+O15</f>
        <v/>
      </c>
      <c r="Q15" s="299">
        <f>P15*C15</f>
        <v/>
      </c>
      <c r="R15" s="501">
        <f>IFERROR(O15/P15,0)</f>
        <v/>
      </c>
      <c r="S15" s="493">
        <f>IFERROR((TODAY()-E15)/365.25,0)</f>
        <v/>
      </c>
      <c r="T15" s="495">
        <f>IF(S15&gt;F15,"Renouveler","OK")</f>
        <v/>
      </c>
    </row>
    <row r="16">
      <c r="A16" s="296" t="inlineStr">
        <is>
          <t>Imprimante laser</t>
        </is>
      </c>
      <c r="B16" s="281" t="inlineStr">
        <is>
          <t>HP LaserJet Pro M404dn</t>
        </is>
      </c>
      <c r="C16" s="426" t="n">
        <v>5</v>
      </c>
      <c r="D16" s="281" t="inlineStr">
        <is>
          <t>Non</t>
        </is>
      </c>
      <c r="E16" s="496">
        <f>DATE(2021,6,1)</f>
        <v/>
      </c>
      <c r="F16" s="426" t="n">
        <v>5</v>
      </c>
      <c r="G16" s="426" t="n">
        <v>50</v>
      </c>
      <c r="H16" s="426" t="n">
        <v>4</v>
      </c>
      <c r="I16" s="449">
        <f>IFERROR('01_PARAMÈTRES2'!B15,220)</f>
        <v/>
      </c>
      <c r="J16" s="1045" t="n">
        <v>0.0569</v>
      </c>
      <c r="K16" s="499">
        <f>IFERROR(VLOOKUP("H17",'02_FACTEURS_ÉMISSION2'!$A:$C,3,0),115)</f>
        <v/>
      </c>
      <c r="L16" s="499">
        <f>IF(D16="Oui",0.25,1)</f>
        <v/>
      </c>
      <c r="M16" s="302">
        <f>G16*H16*I16/1000</f>
        <v/>
      </c>
      <c r="N16" s="302">
        <f>M16*J16</f>
        <v/>
      </c>
      <c r="O16" s="302">
        <f>K16*L16/F16</f>
        <v/>
      </c>
      <c r="P16" s="302">
        <f>N16+O16</f>
        <v/>
      </c>
      <c r="Q16" s="302">
        <f>P16*C16</f>
        <v/>
      </c>
      <c r="R16" s="500">
        <f>IFERROR(O16/P16,0)</f>
        <v/>
      </c>
      <c r="S16" s="502">
        <f>IFERROR((TODAY()-E16)/365.25,0)</f>
        <v/>
      </c>
      <c r="T16" s="497">
        <f>IF(S16&gt;F16,"Renouveler","OK")</f>
        <v/>
      </c>
    </row>
    <row r="17">
      <c r="A17" s="81" t="inlineStr">
        <is>
          <t>Imprimante multifonction</t>
        </is>
      </c>
      <c r="B17" s="281" t="inlineStr">
        <is>
          <t>Canon imageRunner 1643i</t>
        </is>
      </c>
      <c r="C17" s="426" t="n">
        <v>3</v>
      </c>
      <c r="D17" s="281" t="inlineStr">
        <is>
          <t>Non</t>
        </is>
      </c>
      <c r="E17" s="490">
        <f>DATE(2022,1,1)</f>
        <v/>
      </c>
      <c r="F17" s="426" t="n">
        <v>5</v>
      </c>
      <c r="G17" s="426" t="n">
        <v>100</v>
      </c>
      <c r="H17" s="426" t="n">
        <v>6</v>
      </c>
      <c r="I17" s="449">
        <f>IFERROR('01_PARAMÈTRES2'!B15,220)</f>
        <v/>
      </c>
      <c r="J17" s="1045" t="n">
        <v>0.0569</v>
      </c>
      <c r="K17" s="499">
        <f>IFERROR(VLOOKUP("H18",'02_FACTEURS_ÉMISSION2'!$A:$C,3,0),225)</f>
        <v/>
      </c>
      <c r="L17" s="499">
        <f>IF(D17="Oui",0.25,1)</f>
        <v/>
      </c>
      <c r="M17" s="299">
        <f>G17*H17*I17/1000</f>
        <v/>
      </c>
      <c r="N17" s="299">
        <f>M17*J17</f>
        <v/>
      </c>
      <c r="O17" s="299">
        <f>K17*L17/F17</f>
        <v/>
      </c>
      <c r="P17" s="299">
        <f>N17+O17</f>
        <v/>
      </c>
      <c r="Q17" s="299">
        <f>P17*C17</f>
        <v/>
      </c>
      <c r="R17" s="501">
        <f>IFERROR(O17/P17,0)</f>
        <v/>
      </c>
      <c r="S17" s="493">
        <f>IFERROR((TODAY()-E17)/365.25,0)</f>
        <v/>
      </c>
      <c r="T17" s="495">
        <f>IF(S17&gt;F17,"Renouveler","OK")</f>
        <v/>
      </c>
    </row>
    <row r="18">
      <c r="A18" s="296" t="inlineStr">
        <is>
          <t>Téléphone IP</t>
        </is>
      </c>
      <c r="B18" s="281" t="inlineStr">
        <is>
          <t>Cisco 8841</t>
        </is>
      </c>
      <c r="C18" s="426" t="n">
        <v>50</v>
      </c>
      <c r="D18" s="281" t="inlineStr">
        <is>
          <t>Non</t>
        </is>
      </c>
      <c r="E18" s="496">
        <f>DATE(2021,1,1)</f>
        <v/>
      </c>
      <c r="F18" s="426" t="n">
        <v>7</v>
      </c>
      <c r="G18" s="426" t="n">
        <v>6</v>
      </c>
      <c r="H18" s="426" t="n">
        <v>8</v>
      </c>
      <c r="I18" s="449">
        <f>IFERROR('01_PARAMÈTRES2'!B15,220)</f>
        <v/>
      </c>
      <c r="J18" s="1045" t="n">
        <v>0.0569</v>
      </c>
      <c r="K18" s="499">
        <f>IFERROR(VLOOKUP("H19",'02_FACTEURS_ÉMISSION2'!$A:$C,3,0),30)</f>
        <v/>
      </c>
      <c r="L18" s="499">
        <f>IF(D18="Oui",0.25,1)</f>
        <v/>
      </c>
      <c r="M18" s="302">
        <f>G18*H18*I18/1000</f>
        <v/>
      </c>
      <c r="N18" s="302">
        <f>M18*J18</f>
        <v/>
      </c>
      <c r="O18" s="302">
        <f>K18*L18/F18</f>
        <v/>
      </c>
      <c r="P18" s="302">
        <f>N18+O18</f>
        <v/>
      </c>
      <c r="Q18" s="302">
        <f>P18*C18</f>
        <v/>
      </c>
      <c r="R18" s="500">
        <f>IFERROR(O18/P18,0)</f>
        <v/>
      </c>
      <c r="S18" s="502">
        <f>IFERROR((TODAY()-E18)/365.25,0)</f>
        <v/>
      </c>
      <c r="T18" s="497">
        <f>IF(S18&gt;F18,"Renouveler","OK")</f>
        <v/>
      </c>
    </row>
    <row r="19">
      <c r="A19" s="81" t="inlineStr">
        <is>
          <t>Docking station</t>
        </is>
      </c>
      <c r="B19" s="281" t="inlineStr">
        <is>
          <t>Dell WD22TB4</t>
        </is>
      </c>
      <c r="C19" s="426" t="n">
        <v>45</v>
      </c>
      <c r="D19" s="281" t="inlineStr">
        <is>
          <t>Non</t>
        </is>
      </c>
      <c r="E19" s="490">
        <f>DATE(2023,9,1)</f>
        <v/>
      </c>
      <c r="F19" s="426" t="n">
        <v>5</v>
      </c>
      <c r="G19" s="426" t="n">
        <v>30</v>
      </c>
      <c r="H19" s="426" t="n">
        <v>8</v>
      </c>
      <c r="I19" s="449">
        <f>IFERROR('01_PARAMÈTRES2'!B15,220)</f>
        <v/>
      </c>
      <c r="J19" s="1045" t="n">
        <v>0.0569</v>
      </c>
      <c r="K19" s="499">
        <f>IFERROR(VLOOKUP("H20",'02_FACTEURS_ÉMISSION2'!$A:$C,3,0),45)</f>
        <v/>
      </c>
      <c r="L19" s="499">
        <f>IF(D19="Oui",0.25,1)</f>
        <v/>
      </c>
      <c r="M19" s="299">
        <f>G19*H19*I19/1000</f>
        <v/>
      </c>
      <c r="N19" s="299">
        <f>M19*J19</f>
        <v/>
      </c>
      <c r="O19" s="299">
        <f>K19*L19/F19</f>
        <v/>
      </c>
      <c r="P19" s="299">
        <f>N19+O19</f>
        <v/>
      </c>
      <c r="Q19" s="299">
        <f>P19*C19</f>
        <v/>
      </c>
      <c r="R19" s="501">
        <f>IFERROR(O19/P19,0)</f>
        <v/>
      </c>
      <c r="S19" s="493">
        <f>IFERROR((TODAY()-E19)/365.25,0)</f>
        <v/>
      </c>
      <c r="T19" s="495">
        <f>IF(S19&gt;F19,"Renouveler","OK")</f>
        <v/>
      </c>
    </row>
    <row r="20">
      <c r="A20" s="296" t="inlineStr">
        <is>
          <t>Casque audio/vidéo</t>
        </is>
      </c>
      <c r="B20" s="281" t="inlineStr">
        <is>
          <t>Jabra Evolve2 65</t>
        </is>
      </c>
      <c r="C20" s="426" t="n">
        <v>50</v>
      </c>
      <c r="D20" s="281" t="inlineStr">
        <is>
          <t>Non</t>
        </is>
      </c>
      <c r="E20" s="496">
        <f>DATE(2022,6,1)</f>
        <v/>
      </c>
      <c r="F20" s="426" t="n">
        <v>4</v>
      </c>
      <c r="G20" s="426" t="n">
        <v>2</v>
      </c>
      <c r="H20" s="426" t="n">
        <v>8</v>
      </c>
      <c r="I20" s="449">
        <f>IFERROR('01_PARAMÈTRES2'!B15,220)</f>
        <v/>
      </c>
      <c r="J20" s="1045" t="n">
        <v>0.0569</v>
      </c>
      <c r="K20" s="499">
        <f>IFERROR(VLOOKUP("H21",'02_FACTEURS_ÉMISSION2'!$A:$C,3,0),20)</f>
        <v/>
      </c>
      <c r="L20" s="499">
        <f>IF(D20="Oui",0.25,1)</f>
        <v/>
      </c>
      <c r="M20" s="302">
        <f>G20*H20*I20/1000</f>
        <v/>
      </c>
      <c r="N20" s="302">
        <f>M20*J20</f>
        <v/>
      </c>
      <c r="O20" s="302">
        <f>K20*L20/F20</f>
        <v/>
      </c>
      <c r="P20" s="302">
        <f>N20+O20</f>
        <v/>
      </c>
      <c r="Q20" s="302">
        <f>P20*C20</f>
        <v/>
      </c>
      <c r="R20" s="500">
        <f>IFERROR(O20/P20,0)</f>
        <v/>
      </c>
      <c r="S20" s="502">
        <f>IFERROR((TODAY()-E20)/365.25,0)</f>
        <v/>
      </c>
      <c r="T20" s="497">
        <f>IF(S20&gt;F20,"Renouveler","OK")</f>
        <v/>
      </c>
    </row>
    <row r="21" ht="15.75" customHeight="1" s="847">
      <c r="A21" s="970" t="inlineStr">
        <is>
          <t>TOTAL ÉQUIPEMENTS BUREAU</t>
        </is>
      </c>
      <c r="B21" s="298" t="n"/>
      <c r="C21" s="305">
        <f>SUM(C6:C20)</f>
        <v/>
      </c>
      <c r="D21" s="304" t="n"/>
      <c r="E21" s="304" t="n"/>
      <c r="F21" s="304" t="n"/>
      <c r="G21" s="304" t="n"/>
      <c r="H21" s="304" t="n"/>
      <c r="I21" s="304" t="n"/>
      <c r="J21" s="304" t="n"/>
      <c r="K21" s="304" t="n"/>
      <c r="L21" s="304" t="n"/>
      <c r="M21" s="305">
        <f>SUM(M6:M20)</f>
        <v/>
      </c>
      <c r="N21" s="305">
        <f>SUM(N6:N20)</f>
        <v/>
      </c>
      <c r="O21" s="305">
        <f>SUM(O6:O20)</f>
        <v/>
      </c>
      <c r="P21" s="305">
        <f>SUM(P6:P20)</f>
        <v/>
      </c>
      <c r="Q21" s="305">
        <f>SUM(Q6:Q20)</f>
        <v/>
      </c>
      <c r="R21" s="304">
        <f>IFERROR(O21/P21,0)</f>
        <v/>
      </c>
      <c r="S21" s="304" t="n"/>
      <c r="T21" s="304" t="n"/>
    </row>
    <row r="23">
      <c r="A23" s="955" t="inlineStr">
        <is>
          <t>INDICATEURS CLÉS</t>
        </is>
      </c>
    </row>
    <row r="24">
      <c r="A24" s="320" t="inlineStr">
        <is>
          <t>CO2 total usage (tCO2e/an)</t>
        </is>
      </c>
      <c r="B24" s="302">
        <f>N21/1000</f>
        <v/>
      </c>
      <c r="C24" s="296" t="n"/>
      <c r="D24" s="296" t="n"/>
      <c r="E24" s="296" t="n"/>
      <c r="F24" s="296" t="n"/>
      <c r="G24" s="296" t="n"/>
      <c r="H24" s="296" t="n"/>
      <c r="I24" s="296" t="n"/>
      <c r="J24" s="296" t="n"/>
      <c r="K24" s="296" t="n"/>
      <c r="L24" s="296" t="n"/>
      <c r="M24" s="296" t="n"/>
      <c r="N24" s="296" t="n"/>
      <c r="O24" s="296" t="n"/>
      <c r="P24" s="296" t="n"/>
      <c r="Q24" s="296" t="n"/>
      <c r="R24" s="296" t="n"/>
      <c r="S24" s="296" t="n"/>
      <c r="T24" s="296" t="n"/>
    </row>
    <row r="25">
      <c r="A25" s="315" t="inlineStr">
        <is>
          <t>CO2 total fabrication amortie (tCO2e/an)</t>
        </is>
      </c>
      <c r="B25" s="299">
        <f>O21/1000</f>
        <v/>
      </c>
      <c r="C25" s="81" t="n"/>
      <c r="D25" s="81" t="n"/>
      <c r="E25" s="81" t="n"/>
      <c r="F25" s="81" t="n"/>
      <c r="G25" s="81" t="n"/>
      <c r="H25" s="81" t="n"/>
      <c r="I25" s="81" t="n"/>
      <c r="J25" s="81" t="n"/>
      <c r="K25" s="81" t="n"/>
      <c r="L25" s="81" t="n"/>
      <c r="M25" s="81" t="n"/>
      <c r="N25" s="81" t="n"/>
      <c r="O25" s="81" t="n"/>
      <c r="P25" s="81" t="n"/>
      <c r="Q25" s="81" t="n"/>
      <c r="R25" s="81" t="n"/>
      <c r="S25" s="81" t="n"/>
      <c r="T25" s="81" t="n"/>
    </row>
    <row r="26">
      <c r="A26" s="320" t="inlineStr">
        <is>
          <t>CO2 TOTAL (tCO2e/an)</t>
        </is>
      </c>
      <c r="B26" s="302">
        <f>Q21/1000</f>
        <v/>
      </c>
      <c r="C26" s="296" t="n"/>
      <c r="D26" s="296" t="n"/>
      <c r="E26" s="296" t="n"/>
      <c r="F26" s="296" t="n"/>
      <c r="G26" s="296" t="n"/>
      <c r="H26" s="296" t="n"/>
      <c r="I26" s="296" t="n"/>
      <c r="J26" s="296" t="n"/>
      <c r="K26" s="296" t="n"/>
      <c r="L26" s="296" t="n"/>
      <c r="M26" s="296" t="n"/>
      <c r="N26" s="296" t="n"/>
      <c r="O26" s="296" t="n"/>
      <c r="P26" s="296" t="n"/>
      <c r="Q26" s="296" t="n"/>
      <c r="R26" s="296" t="n"/>
      <c r="S26" s="296" t="n"/>
      <c r="T26" s="296" t="n"/>
    </row>
    <row r="27">
      <c r="A27" s="315" t="inlineStr">
        <is>
          <t>Nb équipements total</t>
        </is>
      </c>
      <c r="B27" s="299">
        <f>C21</f>
        <v/>
      </c>
      <c r="C27" s="81" t="n"/>
      <c r="D27" s="81" t="n"/>
      <c r="E27" s="81" t="n"/>
      <c r="F27" s="81" t="n"/>
      <c r="G27" s="81" t="n"/>
      <c r="H27" s="81" t="n"/>
      <c r="I27" s="81" t="n"/>
      <c r="J27" s="81" t="n"/>
      <c r="K27" s="81" t="n"/>
      <c r="L27" s="81" t="n"/>
      <c r="M27" s="81" t="n"/>
      <c r="N27" s="81" t="n"/>
      <c r="O27" s="81" t="n"/>
      <c r="P27" s="81" t="n"/>
      <c r="Q27" s="81" t="n"/>
      <c r="R27" s="81" t="n"/>
      <c r="S27" s="81" t="n"/>
      <c r="T27" s="81" t="n"/>
    </row>
    <row r="28">
      <c r="A28" s="320" t="inlineStr">
        <is>
          <t>CO2 par ETP (kgCO2e/an)</t>
        </is>
      </c>
      <c r="B28" s="302">
        <f>IFERROR(Q21/'01_PARAMÈTRES2'!B12,0)</f>
        <v/>
      </c>
      <c r="C28" s="296" t="n"/>
      <c r="D28" s="296" t="n"/>
      <c r="E28" s="296" t="n"/>
      <c r="F28" s="296" t="n"/>
      <c r="G28" s="296" t="n"/>
      <c r="H28" s="296" t="n"/>
      <c r="I28" s="296" t="n"/>
      <c r="J28" s="296" t="n"/>
      <c r="K28" s="296" t="n"/>
      <c r="L28" s="296" t="n"/>
      <c r="M28" s="296" t="n"/>
      <c r="N28" s="296" t="n"/>
      <c r="O28" s="296" t="n"/>
      <c r="P28" s="296" t="n"/>
      <c r="Q28" s="296" t="n"/>
      <c r="R28" s="296" t="n"/>
      <c r="S28" s="296" t="n"/>
      <c r="T28" s="296" t="n"/>
    </row>
    <row r="29">
      <c r="A29" s="315" t="inlineStr">
        <is>
          <t>Nb équipements à renouveler</t>
        </is>
      </c>
      <c r="B29" s="299">
        <f>COUNTIF(T6:T20,"Renouveler")</f>
        <v/>
      </c>
      <c r="C29" s="81" t="n"/>
      <c r="D29" s="81" t="n"/>
      <c r="E29" s="81" t="n"/>
      <c r="F29" s="81" t="n"/>
      <c r="G29" s="81" t="n"/>
      <c r="H29" s="81" t="n"/>
      <c r="I29" s="81" t="n"/>
      <c r="J29" s="81" t="n"/>
      <c r="K29" s="81" t="n"/>
      <c r="L29" s="81" t="n"/>
      <c r="M29" s="81" t="n"/>
      <c r="N29" s="81" t="n"/>
      <c r="O29" s="81" t="n"/>
      <c r="P29" s="81" t="n"/>
      <c r="Q29" s="81" t="n"/>
      <c r="R29" s="81" t="n"/>
      <c r="S29" s="81" t="n"/>
      <c r="T29" s="81" t="n"/>
    </row>
    <row r="30">
      <c r="A30" s="320" t="inlineStr">
        <is>
          <t>% parc reconditionné</t>
        </is>
      </c>
      <c r="B30" s="500">
        <f>IFERROR(COUNTIF(D6:D20,"Oui")/COUNTA(D6:D20),0)</f>
        <v/>
      </c>
      <c r="C30" s="296" t="n"/>
      <c r="D30" s="296" t="n"/>
      <c r="E30" s="296" t="n"/>
      <c r="F30" s="296" t="n"/>
      <c r="G30" s="296" t="n"/>
      <c r="H30" s="296" t="n"/>
      <c r="I30" s="296" t="n"/>
      <c r="J30" s="296" t="n"/>
      <c r="K30" s="296" t="n"/>
      <c r="L30" s="296" t="n"/>
      <c r="M30" s="296" t="n"/>
      <c r="N30" s="296" t="n"/>
      <c r="O30" s="296" t="n"/>
      <c r="P30" s="296" t="n"/>
      <c r="Q30" s="296" t="n"/>
      <c r="R30" s="296" t="n"/>
      <c r="S30" s="296" t="n"/>
      <c r="T30" s="296" t="n"/>
    </row>
    <row r="32">
      <c r="A32" s="969" t="inlineStr">
        <is>
          <t>Levier principal : allonger la durée de vie de 4 à 6 ans divise l'impact fabrication par 1.5. Acheter reconditionné = 75% de réduction du CO2 fabrication (coeff. 0.25). La fabrication représente 70-80% de l'impact total pour les équipements bureautiques — priorité à l'éco-conception des achats.</t>
        </is>
      </c>
    </row>
    <row r="33"/>
  </sheetData>
  <mergeCells count="6">
    <mergeCell ref="A1:T1"/>
    <mergeCell ref="A23:T23"/>
    <mergeCell ref="A32:T33"/>
    <mergeCell ref="A2:T2"/>
    <mergeCell ref="A3:L3"/>
    <mergeCell ref="M3:T3"/>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N73"/>
  <sheetViews>
    <sheetView showGridLines="0" workbookViewId="0">
      <pane ySplit="2" topLeftCell="A3" activePane="bottomLeft" state="frozen"/>
      <selection pane="bottomLeft" activeCell="D65" sqref="D65"/>
    </sheetView>
  </sheetViews>
  <sheetFormatPr baseColWidth="10" defaultRowHeight="15"/>
  <cols>
    <col width="36.28515625" bestFit="1" customWidth="1" style="847" min="1" max="1"/>
    <col width="17.5703125" bestFit="1" customWidth="1" style="847" min="2" max="2"/>
    <col width="14.85546875" bestFit="1" customWidth="1" style="847" min="3" max="3"/>
    <col width="17.5703125" bestFit="1" customWidth="1" style="847" min="4" max="4"/>
  </cols>
  <sheetData>
    <row r="1" ht="18.75" customHeight="1" s="847">
      <c r="A1" s="950" t="inlineStr">
        <is>
          <t>USAGES NUMÉRIQUES — Emails · Visio · IA · Stockage SaaS · Réseau · Impressions · Logiciels</t>
        </is>
      </c>
      <c r="N1" s="283" t="inlineStr">
        <is>
          <t>🏠 Sommaire</t>
        </is>
      </c>
    </row>
    <row r="2">
      <c r="A2" s="954" t="inlineStr">
        <is>
          <t>Scope 3 Cat.9/amont SI + Scope 2 indirect. Sources : ADEME, NegaOctet, IEA, The Shift Project. Jaune = saisie, Vert = auto.</t>
        </is>
      </c>
    </row>
    <row r="4">
      <c r="A4" s="976" t="inlineStr">
        <is>
          <t>A — EMAILS (Scope 3 Cat. 9 — 0.004 kgCO2e email simple / 0.035 kgCO2e email PJ)</t>
        </is>
      </c>
    </row>
    <row r="5" ht="18" customHeight="1" s="847">
      <c r="A5" s="487" t="inlineStr">
        <is>
          <t>Paramètre</t>
        </is>
      </c>
      <c r="B5" s="487" t="inlineStr">
        <is>
          <t>Valeur</t>
        </is>
      </c>
      <c r="C5" s="487" t="inlineStr">
        <is>
          <t>Unité</t>
        </is>
      </c>
      <c r="D5" s="487" t="inlineStr">
        <is>
          <t>Formule / Source</t>
        </is>
      </c>
    </row>
    <row r="6">
      <c r="A6" s="503" t="inlineStr">
        <is>
          <t>Emails / jour / personne</t>
        </is>
      </c>
      <c r="B6" s="503" t="n">
        <v>80</v>
      </c>
      <c r="C6" s="503" t="inlineStr">
        <is>
          <t>emails/j/pers</t>
        </is>
      </c>
      <c r="D6" s="503" t="n"/>
      <c r="E6" s="503" t="n"/>
      <c r="F6" s="503" t="n"/>
      <c r="G6" s="503" t="n"/>
    </row>
    <row r="7">
      <c r="A7" s="81" t="inlineStr">
        <is>
          <t>% avec pièce jointe</t>
        </is>
      </c>
      <c r="B7" s="501" t="n">
        <v>0.3</v>
      </c>
      <c r="C7" s="81" t="inlineStr">
        <is>
          <t>%</t>
        </is>
      </c>
      <c r="D7" s="81" t="n"/>
      <c r="E7" s="81" t="n"/>
      <c r="F7" s="81" t="n"/>
      <c r="G7" s="81" t="n"/>
    </row>
    <row r="8">
      <c r="A8" s="503" t="inlineStr">
        <is>
          <t>Nb employés</t>
        </is>
      </c>
      <c r="B8" s="505">
        <f>'01_PARAMÈTRES2'!B12</f>
        <v/>
      </c>
      <c r="C8" s="503" t="inlineStr">
        <is>
          <t>ETP</t>
        </is>
      </c>
      <c r="D8" s="503" t="n"/>
      <c r="E8" s="503" t="n"/>
      <c r="F8" s="503" t="n"/>
      <c r="G8" s="503" t="n"/>
    </row>
    <row r="9">
      <c r="A9" s="81" t="inlineStr">
        <is>
          <t>Jours ouvrés / an</t>
        </is>
      </c>
      <c r="B9" s="506">
        <f>'01_PARAMÈTRES2'!B15</f>
        <v/>
      </c>
      <c r="C9" s="81" t="inlineStr">
        <is>
          <t>j/an</t>
        </is>
      </c>
      <c r="D9" s="81" t="n"/>
      <c r="E9" s="81" t="n"/>
      <c r="F9" s="81" t="n"/>
      <c r="G9" s="81" t="n"/>
    </row>
    <row r="10">
      <c r="A10" s="503" t="n"/>
      <c r="B10" s="503" t="n"/>
      <c r="C10" s="503" t="n"/>
      <c r="D10" s="503" t="n"/>
      <c r="E10" s="503" t="n"/>
      <c r="F10" s="503" t="n"/>
      <c r="G10" s="503" t="n"/>
    </row>
    <row r="11">
      <c r="A11" s="81" t="inlineStr">
        <is>
          <t>Emails simples / an</t>
        </is>
      </c>
      <c r="B11" s="299">
        <f>B6*(1-B7)*B8*B9</f>
        <v/>
      </c>
      <c r="C11" s="81" t="inlineStr">
        <is>
          <t>emails</t>
        </is>
      </c>
      <c r="D11" s="81" t="n"/>
      <c r="E11" s="81" t="n"/>
      <c r="F11" s="81" t="n"/>
      <c r="G11" s="81" t="n"/>
    </row>
    <row r="12">
      <c r="A12" s="503" t="inlineStr">
        <is>
          <t>Emails avec PJ / an</t>
        </is>
      </c>
      <c r="B12" s="507">
        <f>B6*B7*B8*B9</f>
        <v/>
      </c>
      <c r="C12" s="503" t="inlineStr">
        <is>
          <t>emails</t>
        </is>
      </c>
      <c r="D12" s="503" t="n"/>
      <c r="E12" s="503" t="n"/>
      <c r="F12" s="503" t="n"/>
      <c r="G12" s="503" t="n"/>
    </row>
    <row r="13">
      <c r="A13" s="81" t="inlineStr">
        <is>
          <t>CO2 emails simples (kgCO2e)</t>
        </is>
      </c>
      <c r="B13" s="299">
        <f>B11*0.004</f>
        <v/>
      </c>
      <c r="C13" s="81" t="inlineStr">
        <is>
          <t>kgCO2e</t>
        </is>
      </c>
      <c r="D13" s="81" t="n"/>
      <c r="E13" s="81" t="n"/>
      <c r="F13" s="81" t="n"/>
      <c r="G13" s="81" t="n"/>
    </row>
    <row r="14">
      <c r="A14" s="503" t="inlineStr">
        <is>
          <t>CO2 emails avec PJ (kgCO2e)</t>
        </is>
      </c>
      <c r="B14" s="507">
        <f>B12*0.035</f>
        <v/>
      </c>
      <c r="C14" s="503" t="inlineStr">
        <is>
          <t>kgCO2e</t>
        </is>
      </c>
      <c r="D14" s="503" t="n"/>
      <c r="E14" s="503" t="n"/>
      <c r="F14" s="503" t="n"/>
      <c r="G14" s="503" t="n"/>
    </row>
    <row r="15">
      <c r="A15" s="976" t="inlineStr">
        <is>
          <t>▶ TOTAL CO2 EMAILS</t>
        </is>
      </c>
      <c r="B15" s="433">
        <f>B13+B14</f>
        <v/>
      </c>
      <c r="C15" s="431" t="inlineStr">
        <is>
          <t>kgCO2e/an</t>
        </is>
      </c>
      <c r="D15" s="431" t="n"/>
      <c r="E15" s="431" t="n"/>
      <c r="F15" s="431" t="n"/>
      <c r="G15" s="431" t="n"/>
    </row>
    <row r="17">
      <c r="A17" s="977" t="inlineStr">
        <is>
          <t>B — VISIOCONFÉRENCE (0.150 kgCO2e/h — IEA 2024, The Shift Project)</t>
        </is>
      </c>
    </row>
    <row r="18">
      <c r="A18" s="487" t="inlineStr">
        <is>
          <t>Paramètre</t>
        </is>
      </c>
      <c r="B18" s="487" t="inlineStr">
        <is>
          <t>Valeur</t>
        </is>
      </c>
      <c r="C18" s="487" t="inlineStr">
        <is>
          <t>Unité</t>
        </is>
      </c>
      <c r="D18" s="487" t="inlineStr">
        <is>
          <t>Formule / Source</t>
        </is>
      </c>
    </row>
    <row r="19">
      <c r="A19" s="81" t="inlineStr">
        <is>
          <t>Heures visio / jour / personne</t>
        </is>
      </c>
      <c r="B19" s="281" t="n">
        <v>3</v>
      </c>
      <c r="C19" s="81" t="inlineStr">
        <is>
          <t>h/j/pers</t>
        </is>
      </c>
      <c r="D19" s="81" t="n"/>
      <c r="E19" s="81" t="n"/>
      <c r="F19" s="81" t="n"/>
      <c r="G19" s="81" t="n"/>
    </row>
    <row r="20">
      <c r="A20" s="361" t="inlineStr">
        <is>
          <t>Facteur (kgCO2e/heure)</t>
        </is>
      </c>
      <c r="B20" s="449">
        <f>IFERROR(VLOOKUP("N03",'02_FACTEURS_ÉMISSION2'!$A:$C,3,0),0.15)</f>
        <v/>
      </c>
      <c r="C20" s="361" t="inlineStr">
        <is>
          <t>kgCO2e/h</t>
        </is>
      </c>
      <c r="D20" s="361" t="n"/>
      <c r="E20" s="361" t="n"/>
      <c r="F20" s="361" t="n"/>
      <c r="G20" s="361" t="n"/>
    </row>
    <row r="21">
      <c r="A21" s="81" t="inlineStr">
        <is>
          <t>Nb employés</t>
        </is>
      </c>
      <c r="B21" s="449">
        <f>'01_PARAMÈTRES2'!B12</f>
        <v/>
      </c>
      <c r="C21" s="81" t="inlineStr">
        <is>
          <t>ETP</t>
        </is>
      </c>
      <c r="D21" s="81" t="n"/>
      <c r="E21" s="81" t="n"/>
      <c r="F21" s="81" t="n"/>
      <c r="G21" s="81" t="n"/>
    </row>
    <row r="22">
      <c r="A22" s="361" t="inlineStr">
        <is>
          <t>Jours ouvrés / an</t>
        </is>
      </c>
      <c r="B22" s="449">
        <f>'01_PARAMÈTRES2'!B15</f>
        <v/>
      </c>
      <c r="C22" s="361" t="inlineStr">
        <is>
          <t>j/an</t>
        </is>
      </c>
      <c r="D22" s="361" t="n"/>
      <c r="E22" s="361" t="n"/>
      <c r="F22" s="361" t="n"/>
      <c r="G22" s="361" t="n"/>
    </row>
    <row r="23">
      <c r="A23" s="977" t="inlineStr">
        <is>
          <t>▶ TOTAL CO2 VISIO</t>
        </is>
      </c>
      <c r="B23" s="444">
        <f>B19*B20*B21*B22</f>
        <v/>
      </c>
      <c r="C23" s="442" t="inlineStr">
        <is>
          <t>kgCO2e/an</t>
        </is>
      </c>
      <c r="D23" s="442" t="n"/>
      <c r="E23" s="442" t="n"/>
      <c r="F23" s="442" t="n"/>
      <c r="G23" s="442" t="n"/>
    </row>
    <row r="25">
      <c r="A25" s="978" t="inlineStr">
        <is>
          <t>C — INTELLIGENCE ARTIFICIELLE / LLM (IEA 2024, Luccioni et al. FAccT 2023)</t>
        </is>
      </c>
    </row>
    <row r="26">
      <c r="A26" s="487" t="inlineStr">
        <is>
          <t>Modèle IA</t>
        </is>
      </c>
      <c r="B26" s="487" t="inlineStr">
        <is>
          <t>FE/requête (kg)</t>
        </is>
      </c>
      <c r="C26" s="487" t="inlineStr">
        <is>
          <t>Requêtes/j/user</t>
        </is>
      </c>
      <c r="D26" s="487" t="inlineStr">
        <is>
          <t>Nb users IA</t>
        </is>
      </c>
      <c r="E26" s="487" t="inlineStr">
        <is>
          <t>h GPU FT/an</t>
        </is>
      </c>
      <c r="F26" s="487" t="inlineStr">
        <is>
          <t>FE GPU (kg/h)</t>
        </is>
      </c>
      <c r="G26" s="487" t="inlineStr">
        <is>
          <t>CO2 TOTAL (kg/an)</t>
        </is>
      </c>
    </row>
    <row r="27">
      <c r="A27" s="81" t="inlineStr">
        <is>
          <t>GPT-4 / Claude 3.5 (grand LLM)</t>
        </is>
      </c>
      <c r="B27" s="430" t="n">
        <v>0.01</v>
      </c>
      <c r="C27" s="281" t="n">
        <v>50</v>
      </c>
      <c r="D27" s="281" t="n">
        <v>40</v>
      </c>
      <c r="E27" s="281" t="n">
        <v>0</v>
      </c>
      <c r="F27" s="449" t="n">
        <v>3.5</v>
      </c>
      <c r="G27" s="299">
        <f>C27*D27*IFERROR('01_PARAMÈTRES2'!B15,220)*B27+E27*F27</f>
        <v/>
      </c>
    </row>
    <row r="28">
      <c r="A28" s="313" t="inlineStr">
        <is>
          <t>Mistral / Llama (petit LLM)</t>
        </is>
      </c>
      <c r="B28" s="430" t="n">
        <v>0.002</v>
      </c>
      <c r="C28" s="281" t="n">
        <v>20</v>
      </c>
      <c r="D28" s="281" t="n">
        <v>10</v>
      </c>
      <c r="E28" s="281" t="n">
        <v>0</v>
      </c>
      <c r="F28" s="449" t="n">
        <v>3.5</v>
      </c>
      <c r="G28" s="508">
        <f>C28*D28*IFERROR('01_PARAMÈTRES2'!B15,220)*B28+E28*F28</f>
        <v/>
      </c>
    </row>
    <row r="29">
      <c r="A29" s="81" t="inlineStr">
        <is>
          <t>Gemini Flash / Claude Haiku</t>
        </is>
      </c>
      <c r="B29" s="430" t="n">
        <v>0.001</v>
      </c>
      <c r="C29" s="281" t="n">
        <v>30</v>
      </c>
      <c r="D29" s="281" t="n">
        <v>5</v>
      </c>
      <c r="E29" s="281" t="n">
        <v>0</v>
      </c>
      <c r="F29" s="449" t="n">
        <v>3.5</v>
      </c>
      <c r="G29" s="299">
        <f>C29*D29*IFERROR('01_PARAMÈTRES2'!B15,220)*B29+E29*F29</f>
        <v/>
      </c>
    </row>
    <row r="30">
      <c r="A30" s="978" t="inlineStr">
        <is>
          <t>▶ TOTAL CO2 IA (kgCO2e/an)</t>
        </is>
      </c>
      <c r="B30" s="314" t="n"/>
      <c r="C30" s="314" t="n"/>
      <c r="D30" s="314" t="n"/>
      <c r="E30" s="314" t="n"/>
      <c r="F30" s="314" t="n"/>
      <c r="G30" s="509">
        <f>SUM(G27:G29)</f>
        <v/>
      </c>
    </row>
    <row r="31">
      <c r="A31" s="971" t="inlineStr">
        <is>
          <t>⚠️ Facteurs IA = estimations (non standardisés ADEME). Sources : IEA 2024, Luccioni et al. FAccT 2023, Green Algorithms Cambridge.</t>
        </is>
      </c>
    </row>
    <row r="33">
      <c r="A33" s="972" t="inlineStr">
        <is>
          <t>D — STOCKAGE CLOUD SaaS (Google Drive, OneDrive, S3, Dropbox…)</t>
        </is>
      </c>
    </row>
    <row r="34">
      <c r="A34" s="487" t="inlineStr">
        <is>
          <t>Service</t>
        </is>
      </c>
      <c r="B34" s="487" t="inlineStr">
        <is>
          <t>Volume (Go)</t>
        </is>
      </c>
      <c r="C34" s="487" t="inlineStr">
        <is>
          <t>FE (kgCO2e/Go/an)</t>
        </is>
      </c>
      <c r="D34" s="487" t="inlineStr">
        <is>
          <t>CO2 (kgCO2e/an)</t>
        </is>
      </c>
      <c r="E34" s="487" t="n"/>
      <c r="F34" s="487" t="n"/>
      <c r="G34" s="487" t="n"/>
    </row>
    <row r="35">
      <c r="A35" s="81" t="inlineStr">
        <is>
          <t>Google Drive / Workspace</t>
        </is>
      </c>
      <c r="B35" s="426" t="n">
        <v>2000</v>
      </c>
      <c r="C35" s="511" t="n">
        <v>0.02</v>
      </c>
      <c r="D35" s="299">
        <f>B35*C35</f>
        <v/>
      </c>
      <c r="E35" s="81" t="n"/>
      <c r="F35" s="81" t="n"/>
      <c r="G35" s="81" t="n"/>
    </row>
    <row r="36">
      <c r="A36" s="512" t="inlineStr">
        <is>
          <t>OneDrive / SharePoint</t>
        </is>
      </c>
      <c r="B36" s="426" t="n">
        <v>5000</v>
      </c>
      <c r="C36" s="511" t="n">
        <v>0.02</v>
      </c>
      <c r="D36" s="513">
        <f>B36*C36</f>
        <v/>
      </c>
      <c r="E36" s="512" t="n"/>
      <c r="F36" s="512" t="n"/>
      <c r="G36" s="512" t="n"/>
    </row>
    <row r="37">
      <c r="A37" s="81" t="inlineStr">
        <is>
          <t>AWS S3 (backups)</t>
        </is>
      </c>
      <c r="B37" s="426" t="n">
        <v>3000</v>
      </c>
      <c r="C37" s="511" t="n">
        <v>0.018</v>
      </c>
      <c r="D37" s="299">
        <f>B37*C37</f>
        <v/>
      </c>
      <c r="E37" s="81" t="n"/>
      <c r="F37" s="81" t="n"/>
      <c r="G37" s="81" t="n"/>
    </row>
    <row r="38">
      <c r="A38" s="512" t="inlineStr">
        <is>
          <t>Dropbox / autre SaaS</t>
        </is>
      </c>
      <c r="B38" s="426" t="n">
        <v>500</v>
      </c>
      <c r="C38" s="511" t="n">
        <v>0.02</v>
      </c>
      <c r="D38" s="513">
        <f>B38*C38</f>
        <v/>
      </c>
      <c r="E38" s="512" t="n"/>
      <c r="F38" s="512" t="n"/>
      <c r="G38" s="512" t="n"/>
    </row>
    <row r="39">
      <c r="A39" s="972" t="inlineStr">
        <is>
          <t>▶ TOTAL CO2 STOCKAGE (kgCO2e/an)</t>
        </is>
      </c>
      <c r="B39" s="436" t="n"/>
      <c r="C39" s="436" t="n"/>
      <c r="D39" s="438">
        <f>SUM(D35:D38)</f>
        <v/>
      </c>
      <c r="E39" s="436" t="n"/>
      <c r="F39" s="436" t="n"/>
      <c r="G39" s="436" t="n"/>
    </row>
    <row r="41">
      <c r="A41" s="953" t="inlineStr">
        <is>
          <t>E — RÉSEAU TÉLÉCOM (ADEME/ARCEP 2023)</t>
        </is>
      </c>
    </row>
    <row r="42">
      <c r="A42" s="487" t="inlineStr">
        <is>
          <t>Type connexion (ID FE)</t>
        </is>
      </c>
      <c r="B42" s="487" t="inlineStr">
        <is>
          <t>Vol. mensuel (Go)</t>
        </is>
      </c>
      <c r="C42" s="487" t="inlineStr">
        <is>
          <t>FE (kgCO2e/Go)</t>
        </is>
      </c>
      <c r="D42" s="487" t="inlineStr">
        <is>
          <t>Vol. annuel (Go)</t>
        </is>
      </c>
      <c r="E42" s="487" t="inlineStr">
        <is>
          <t>CO2 (kgCO2e/an)</t>
        </is>
      </c>
      <c r="F42" s="487" t="n"/>
      <c r="G42" s="487" t="n"/>
    </row>
    <row r="43">
      <c r="A43" s="506" t="inlineStr">
        <is>
          <t>D01 — Fibre optique</t>
        </is>
      </c>
      <c r="B43" s="426" t="n">
        <v>500</v>
      </c>
      <c r="C43" s="1045">
        <f>IFERROR(VLOOKUP(LEFT(A43,3),'02_FACTEURS_ÉMISSION2'!$A:$C,3,0),0.003)</f>
        <v/>
      </c>
      <c r="D43" s="451">
        <f>B43*12</f>
        <v/>
      </c>
      <c r="E43" s="299">
        <f>D43*C43</f>
        <v/>
      </c>
      <c r="F43" s="81" t="n"/>
      <c r="G43" s="81" t="n"/>
    </row>
    <row r="44">
      <c r="A44" s="449" t="inlineStr">
        <is>
          <t>D02 — ADSL/VDSL</t>
        </is>
      </c>
      <c r="B44" s="426" t="n">
        <v>200</v>
      </c>
      <c r="C44" s="1045">
        <f>IFERROR(VLOOKUP(LEFT(A44,3),'02_FACTEURS_ÉMISSION2'!$A:$C,3,0),0.008)</f>
        <v/>
      </c>
      <c r="D44" s="514">
        <f>B44*12</f>
        <v/>
      </c>
      <c r="E44" s="303">
        <f>D44*C44</f>
        <v/>
      </c>
      <c r="F44" s="297" t="n"/>
      <c r="G44" s="297" t="n"/>
    </row>
    <row r="45">
      <c r="A45" s="506" t="inlineStr">
        <is>
          <t>D03 — 4G mobile</t>
        </is>
      </c>
      <c r="B45" s="426" t="n">
        <v>100</v>
      </c>
      <c r="C45" s="1045">
        <f>IFERROR(VLOOKUP(LEFT(A45,3),'02_FACTEURS_ÉMISSION2'!$A:$C,3,0),0.014)</f>
        <v/>
      </c>
      <c r="D45" s="451">
        <f>B45*12</f>
        <v/>
      </c>
      <c r="E45" s="299">
        <f>D45*C45</f>
        <v/>
      </c>
      <c r="F45" s="81" t="n"/>
      <c r="G45" s="81" t="n"/>
    </row>
    <row r="46">
      <c r="A46" s="449" t="inlineStr">
        <is>
          <t>D04 — 5G mobile</t>
        </is>
      </c>
      <c r="B46" s="426" t="n">
        <v>50</v>
      </c>
      <c r="C46" s="1045">
        <f>IFERROR(VLOOKUP(LEFT(A46,3),'02_FACTEURS_ÉMISSION2'!$A:$C,3,0),0.012)</f>
        <v/>
      </c>
      <c r="D46" s="514">
        <f>B46*12</f>
        <v/>
      </c>
      <c r="E46" s="303">
        <f>D46*C46</f>
        <v/>
      </c>
      <c r="F46" s="297" t="n"/>
      <c r="G46" s="297" t="n"/>
    </row>
    <row r="47">
      <c r="A47" s="953" t="inlineStr">
        <is>
          <t>▶ TOTAL CO2 RÉSEAU (kgCO2e/an)</t>
        </is>
      </c>
      <c r="B47" s="298" t="n"/>
      <c r="C47" s="298" t="n"/>
      <c r="D47" s="298" t="n"/>
      <c r="E47" s="305">
        <f>SUM(E43:E46)</f>
        <v/>
      </c>
      <c r="F47" s="298" t="n"/>
      <c r="G47" s="298" t="n"/>
    </row>
    <row r="49">
      <c r="A49" s="973" t="inlineStr">
        <is>
          <t>F — IMPRESSIONS (toner + énergie, hors papier)</t>
        </is>
      </c>
    </row>
    <row r="50">
      <c r="A50" s="487" t="inlineStr">
        <is>
          <t>Pages imprimées / an</t>
        </is>
      </c>
      <c r="B50" s="487" t="inlineStr">
        <is>
          <t>Facteur (kgCO2e/page)</t>
        </is>
      </c>
      <c r="C50" s="487" t="inlineStr">
        <is>
          <t>CO2 (kgCO2e/an)</t>
        </is>
      </c>
      <c r="D50" s="487" t="inlineStr">
        <is>
          <t>Note</t>
        </is>
      </c>
      <c r="E50" s="487" t="n"/>
      <c r="F50" s="487" t="n"/>
      <c r="G50" s="487" t="n"/>
    </row>
    <row r="51">
      <c r="A51" s="366" t="inlineStr">
        <is>
          <t>Pages imprimées / an (total entreprise)</t>
        </is>
      </c>
      <c r="B51" s="426" t="n">
        <v>50000</v>
      </c>
      <c r="C51" s="1045">
        <f>IFERROR(VLOOKUP("N07",'02_FACTEURS_ÉMISSION2'!$A:$C,3,0),0.005)</f>
        <v/>
      </c>
      <c r="D51" s="474">
        <f>B51*C51</f>
        <v/>
      </c>
      <c r="E51" s="515" t="inlineStr">
        <is>
          <t>Le papier (CO2 fab) est dans 07_DÉCHETS2</t>
        </is>
      </c>
      <c r="F51" s="366" t="n"/>
      <c r="G51" s="366" t="n"/>
    </row>
    <row r="53">
      <c r="A53" s="974" t="inlineStr">
        <is>
          <t>G — LOGICIELS SaaS (Microsoft 365, Salesforce, Slack, Zoom, GitHub…)</t>
        </is>
      </c>
    </row>
    <row r="54">
      <c r="A54" s="487" t="inlineStr">
        <is>
          <t>Nom service</t>
        </is>
      </c>
      <c r="B54" s="487" t="inlineStr">
        <is>
          <t>Nb users</t>
        </is>
      </c>
      <c r="C54" s="487" t="inlineStr">
        <is>
          <t>H/jour</t>
        </is>
      </c>
      <c r="D54" s="487" t="inlineStr">
        <is>
          <t>FE infra (kgCO2e/kWh)</t>
        </is>
      </c>
      <c r="E54" s="487" t="inlineStr">
        <is>
          <t>W/user</t>
        </is>
      </c>
      <c r="F54" s="487" t="inlineStr">
        <is>
          <t>kWh/an</t>
        </is>
      </c>
      <c r="G54" s="487" t="inlineStr">
        <is>
          <t>CO2/an (kgCO2e)</t>
        </is>
      </c>
    </row>
    <row r="55">
      <c r="A55" s="81" t="inlineStr">
        <is>
          <t>Microsoft 365 / Teams</t>
        </is>
      </c>
      <c r="B55" s="426" t="n">
        <v>50</v>
      </c>
      <c r="C55" s="281" t="n">
        <v>6</v>
      </c>
      <c r="D55" s="511" t="n">
        <v>0.23</v>
      </c>
      <c r="E55" s="281" t="n">
        <v>5</v>
      </c>
      <c r="F55" s="299">
        <f>B55*C55*IFERROR('01_PARAMÈTRES2'!B15,220)*E55/1000</f>
        <v/>
      </c>
      <c r="G55" s="299">
        <f>F55*D55*1.3</f>
        <v/>
      </c>
    </row>
    <row r="56">
      <c r="A56" s="361" t="inlineStr">
        <is>
          <t>Salesforce CRM</t>
        </is>
      </c>
      <c r="B56" s="426" t="n">
        <v>20</v>
      </c>
      <c r="C56" s="281" t="n">
        <v>3</v>
      </c>
      <c r="D56" s="511" t="n">
        <v>0.39</v>
      </c>
      <c r="E56" s="281" t="n">
        <v>5</v>
      </c>
      <c r="F56" s="440">
        <f>B56*C56*IFERROR('01_PARAMÈTRES2'!B15,220)*E56/1000</f>
        <v/>
      </c>
      <c r="G56" s="440">
        <f>F56*D56*1.3</f>
        <v/>
      </c>
    </row>
    <row r="57">
      <c r="A57" s="81" t="inlineStr">
        <is>
          <t>Slack</t>
        </is>
      </c>
      <c r="B57" s="426" t="n">
        <v>50</v>
      </c>
      <c r="C57" s="281" t="n">
        <v>4</v>
      </c>
      <c r="D57" s="511" t="n">
        <v>0.39</v>
      </c>
      <c r="E57" s="281" t="n">
        <v>3</v>
      </c>
      <c r="F57" s="299">
        <f>B57*C57*IFERROR('01_PARAMÈTRES2'!B15,220)*E57/1000</f>
        <v/>
      </c>
      <c r="G57" s="299">
        <f>F57*D57*1.3</f>
        <v/>
      </c>
    </row>
    <row r="58">
      <c r="A58" s="361" t="inlineStr">
        <is>
          <t>GitHub / GitLab</t>
        </is>
      </c>
      <c r="B58" s="426" t="n">
        <v>15</v>
      </c>
      <c r="C58" s="281" t="n">
        <v>4</v>
      </c>
      <c r="D58" s="511" t="n">
        <v>0.39</v>
      </c>
      <c r="E58" s="281" t="n">
        <v>4</v>
      </c>
      <c r="F58" s="440">
        <f>B58*C58*IFERROR('01_PARAMÈTRES2'!B15,220)*E58/1000</f>
        <v/>
      </c>
      <c r="G58" s="440">
        <f>F58*D58*1.3</f>
        <v/>
      </c>
    </row>
    <row r="59">
      <c r="A59" s="81" t="inlineStr">
        <is>
          <t>Figma / Adobe CC</t>
        </is>
      </c>
      <c r="B59" s="426" t="n">
        <v>10</v>
      </c>
      <c r="C59" s="281" t="n">
        <v>3</v>
      </c>
      <c r="D59" s="511" t="n">
        <v>0.39</v>
      </c>
      <c r="E59" s="281" t="n">
        <v>5</v>
      </c>
      <c r="F59" s="299">
        <f>B59*C59*IFERROR('01_PARAMÈTRES2'!B15,220)*E59/1000</f>
        <v/>
      </c>
      <c r="G59" s="299">
        <f>F59*D59*1.3</f>
        <v/>
      </c>
    </row>
    <row r="60">
      <c r="A60" s="974" t="inlineStr">
        <is>
          <t>▶ TOTAL CO2 SaaS (kgCO2e/an)</t>
        </is>
      </c>
      <c r="B60" s="517" t="n"/>
      <c r="C60" s="517" t="n"/>
      <c r="D60" s="517" t="n"/>
      <c r="E60" s="517" t="n"/>
      <c r="F60" s="517" t="n"/>
      <c r="G60" s="518">
        <f>SUM(G55:G59)</f>
        <v/>
      </c>
    </row>
    <row r="61">
      <c r="A61" s="975" t="inlineStr">
        <is>
          <t>⚠️ Estimations SaaS approximatives. Utiliser Microsoft Sustainability Calculator / Salesforce Net Zero Cloud / Google Carbon Footprint si disponible.</t>
        </is>
      </c>
    </row>
    <row r="63" ht="15.75" customHeight="1" s="847">
      <c r="A63" s="970" t="inlineStr">
        <is>
          <t>SYNTHÈSE — TOTAL USAGES NUMÉRIQUES</t>
        </is>
      </c>
    </row>
    <row r="64">
      <c r="A64" s="955" t="inlineStr">
        <is>
          <t>Poste</t>
        </is>
      </c>
      <c r="B64" s="955" t="inlineStr">
        <is>
          <t>CO2 (kgCO2e/an)</t>
        </is>
      </c>
      <c r="C64" s="955" t="inlineStr">
        <is>
          <t>tCO2e</t>
        </is>
      </c>
      <c r="D64" s="955" t="inlineStr">
        <is>
          <t>% du total</t>
        </is>
      </c>
      <c r="E64" s="955" t="n"/>
      <c r="F64" s="955" t="n"/>
      <c r="G64" s="955" t="n"/>
    </row>
    <row r="65">
      <c r="A65" s="519" t="inlineStr">
        <is>
          <t>A — Emails</t>
        </is>
      </c>
      <c r="B65" s="507">
        <f>B15</f>
        <v/>
      </c>
      <c r="C65" s="520">
        <f>B65/1000</f>
        <v/>
      </c>
      <c r="D65" s="1046">
        <f>IFERROR(B65/B72,0)</f>
        <v/>
      </c>
      <c r="E65" s="503" t="n"/>
      <c r="F65" s="503" t="n"/>
      <c r="G65" s="503" t="n"/>
    </row>
    <row r="66">
      <c r="A66" s="363" t="inlineStr">
        <is>
          <t>B — Visioconférence</t>
        </is>
      </c>
      <c r="B66" s="440">
        <f>B23</f>
        <v/>
      </c>
      <c r="C66" s="522">
        <f>B66/1000</f>
        <v/>
      </c>
      <c r="D66" s="1047">
        <f>IFERROR(B66/B72,0)</f>
        <v/>
      </c>
      <c r="E66" s="361" t="n"/>
      <c r="F66" s="361" t="n"/>
      <c r="G66" s="361" t="n"/>
    </row>
    <row r="67">
      <c r="A67" s="316" t="inlineStr">
        <is>
          <t>C — Intelligence artificielle</t>
        </is>
      </c>
      <c r="B67" s="508">
        <f>G30</f>
        <v/>
      </c>
      <c r="C67" s="524">
        <f>B67/1000</f>
        <v/>
      </c>
      <c r="D67" s="1037">
        <f>IFERROR(B67/B72,0)</f>
        <v/>
      </c>
      <c r="E67" s="313" t="n"/>
      <c r="F67" s="313" t="n"/>
      <c r="G67" s="313" t="n"/>
    </row>
    <row r="68">
      <c r="A68" s="526" t="inlineStr">
        <is>
          <t>D — Stockage SaaS</t>
        </is>
      </c>
      <c r="B68" s="513">
        <f>D39</f>
        <v/>
      </c>
      <c r="C68" s="527">
        <f>B68/1000</f>
        <v/>
      </c>
      <c r="D68" s="1048">
        <f>IFERROR(B68/B72,0)</f>
        <v/>
      </c>
      <c r="E68" s="512" t="n"/>
      <c r="F68" s="512" t="n"/>
      <c r="G68" s="512" t="n"/>
    </row>
    <row r="69">
      <c r="A69" s="310" t="inlineStr">
        <is>
          <t>E — Réseau télécom</t>
        </is>
      </c>
      <c r="B69" s="303">
        <f>E47</f>
        <v/>
      </c>
      <c r="C69" s="457">
        <f>B69/1000</f>
        <v/>
      </c>
      <c r="D69" s="1034">
        <f>IFERROR(B69/B72,0)</f>
        <v/>
      </c>
      <c r="E69" s="297" t="n"/>
      <c r="F69" s="297" t="n"/>
      <c r="G69" s="297" t="n"/>
    </row>
    <row r="70">
      <c r="A70" s="368" t="inlineStr">
        <is>
          <t>F — Impressions</t>
        </is>
      </c>
      <c r="B70" s="474">
        <f>D51</f>
        <v/>
      </c>
      <c r="C70" s="473">
        <f>B70/1000</f>
        <v/>
      </c>
      <c r="D70" s="1049">
        <f>IFERROR(B70/B72,0)</f>
        <v/>
      </c>
      <c r="E70" s="366" t="n"/>
      <c r="F70" s="366" t="n"/>
      <c r="G70" s="366" t="n"/>
    </row>
    <row r="71">
      <c r="A71" s="363" t="inlineStr">
        <is>
          <t>G — Logiciels SaaS</t>
        </is>
      </c>
      <c r="B71" s="440">
        <f>G60</f>
        <v/>
      </c>
      <c r="C71" s="522">
        <f>B71/1000</f>
        <v/>
      </c>
      <c r="D71" s="1047">
        <f>IFERROR(B71/B72,0)</f>
        <v/>
      </c>
      <c r="E71" s="361" t="n"/>
      <c r="F71" s="361" t="n"/>
      <c r="G71" s="361" t="n"/>
    </row>
    <row r="72" ht="15.75" customHeight="1" s="847">
      <c r="A72" s="970" t="inlineStr">
        <is>
          <t>TOTAL USAGES NUMÉRIQUES</t>
        </is>
      </c>
      <c r="B72" s="448">
        <f>SUM(B65:B71)</f>
        <v/>
      </c>
      <c r="C72" s="530">
        <f>B72/1000</f>
        <v/>
      </c>
      <c r="D72" s="298" t="n"/>
      <c r="E72" s="298" t="n"/>
      <c r="F72" s="298" t="n"/>
      <c r="G72" s="298" t="n"/>
    </row>
    <row r="73">
      <c r="A73" s="310" t="inlineStr">
        <is>
          <t>CO2 par ETP (kgCO2e/an)</t>
        </is>
      </c>
      <c r="B73" s="303">
        <f>IFERROR(B72/'01_PARAMÈTRES2'!B12,0)</f>
        <v/>
      </c>
      <c r="C73" s="297" t="inlineStr">
        <is>
          <t>kgCO2e/ETP/an</t>
        </is>
      </c>
      <c r="D73" s="297" t="n"/>
      <c r="E73" s="297" t="n"/>
      <c r="F73" s="297" t="n"/>
      <c r="G73" s="297" t="n"/>
    </row>
  </sheetData>
  <mergeCells count="12">
    <mergeCell ref="A61:G61"/>
    <mergeCell ref="A1:M1"/>
    <mergeCell ref="A17:G17"/>
    <mergeCell ref="A31:G31"/>
    <mergeCell ref="A53:G53"/>
    <mergeCell ref="A63:G63"/>
    <mergeCell ref="A4:G4"/>
    <mergeCell ref="A2:G2"/>
    <mergeCell ref="A25:G25"/>
    <mergeCell ref="A41:G41"/>
    <mergeCell ref="A33:G33"/>
    <mergeCell ref="A49:G49"/>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T35"/>
  <sheetViews>
    <sheetView showGridLines="0" workbookViewId="0">
      <pane ySplit="2" topLeftCell="A8" activePane="bottomLeft" state="frozen"/>
      <selection pane="bottomLeft" activeCell="N6" sqref="N6"/>
    </sheetView>
  </sheetViews>
  <sheetFormatPr baseColWidth="10" defaultRowHeight="15"/>
  <cols>
    <col width="23.85546875" bestFit="1" customWidth="1" style="847" min="1" max="1"/>
    <col width="23.7109375" bestFit="1" customWidth="1" style="847" min="2" max="2"/>
    <col width="16.42578125" bestFit="1" customWidth="1" style="847" min="4" max="4"/>
  </cols>
  <sheetData>
    <row r="1" ht="17.25" customHeight="1" s="847">
      <c r="A1" s="980" t="inlineStr">
        <is>
          <t>MODÉLISATION DES SERVICES NUMÉRIQUES — Impact multicouche (Infrastructure + Réseau + Terminal) — Méthode REN / NegaOctet</t>
        </is>
      </c>
    </row>
    <row r="2">
      <c r="A2" s="960" t="inlineStr">
        <is>
          <t>Conforme méthode NegaOctet/ADEME. CO2_service = CO2_infra x Part + Transfert_Go x FE_réseau + Sessions x Durée x P_terminal x FE_élec_user. Sources : NegaOctet, Greenspector, ADEME/ARCEP 2023.</t>
        </is>
      </c>
    </row>
    <row r="3">
      <c r="A3" s="961" t="inlineStr">
        <is>
          <t>IDENTIFICATION &amp; PARAMÈTRES SERVICE</t>
        </is>
      </c>
      <c r="N3" s="964" t="inlineStr">
        <is>
          <t>CALCULS CO2 (méthode REN)</t>
        </is>
      </c>
    </row>
    <row r="4" ht="50.1" customHeight="1" s="847">
      <c r="A4" s="478" t="inlineStr">
        <is>
          <t>Nom du service</t>
        </is>
      </c>
      <c r="B4" s="478" t="inlineStr">
        <is>
          <t>Composant</t>
        </is>
      </c>
      <c r="C4" s="478" t="inlineStr">
        <is>
          <t>Type héberg.</t>
        </is>
      </c>
      <c r="D4" s="478" t="inlineStr">
        <is>
          <t>Réf. infra (ID)</t>
        </is>
      </c>
      <c r="E4" s="478" t="inlineStr">
        <is>
          <t>Part ress. (%)</t>
        </is>
      </c>
      <c r="F4" s="478" t="inlineStr">
        <is>
          <t>Requêtes/jour</t>
        </is>
      </c>
      <c r="G4" s="478" t="inlineStr">
        <is>
          <t>Taille rép. (Ko)</t>
        </is>
      </c>
      <c r="H4" s="478" t="inlineStr">
        <is>
          <t>Type réseau user</t>
        </is>
      </c>
      <c r="I4" s="478" t="inlineStr">
        <is>
          <t>FE réseau (kg/Go)</t>
        </is>
      </c>
      <c r="J4" s="478" t="inlineStr">
        <is>
          <t>Nb users (MAU)</t>
        </is>
      </c>
      <c r="K4" s="478" t="inlineStr">
        <is>
          <t>Durée session (min)</t>
        </is>
      </c>
      <c r="L4" s="478" t="inlineStr">
        <is>
          <t>Appareil dominant</t>
        </is>
      </c>
      <c r="M4" s="478" t="inlineStr">
        <is>
          <t>P terminal (W)</t>
        </is>
      </c>
      <c r="N4" s="478" t="inlineStr">
        <is>
          <t>CO2 infra/an (kg)</t>
        </is>
      </c>
      <c r="O4" s="478" t="inlineStr">
        <is>
          <t>Transfert réseau (Go/an)</t>
        </is>
      </c>
      <c r="P4" s="478" t="inlineStr">
        <is>
          <t>CO2 réseau/an (kg)</t>
        </is>
      </c>
      <c r="Q4" s="478" t="inlineStr">
        <is>
          <t>CO2 terminal/an (kg)</t>
        </is>
      </c>
      <c r="R4" s="478" t="inlineStr">
        <is>
          <t>CO2 TOTAL/an (kg)</t>
        </is>
      </c>
      <c r="S4" s="478" t="inlineStr">
        <is>
          <t>CO2/requête (g)</t>
        </is>
      </c>
      <c r="T4" s="478" t="inlineStr">
        <is>
          <t>CO2/user/an (kg)</t>
        </is>
      </c>
    </row>
    <row r="5" ht="35.1" customHeight="1" s="847">
      <c r="A5" s="479" t="inlineStr">
        <is>
          <t>ex: API CarbonCo</t>
        </is>
      </c>
      <c r="B5" s="479" t="inlineStr">
        <is>
          <t>Frontend/API/BDD</t>
        </is>
      </c>
      <c r="C5" s="479" t="inlineStr">
        <is>
          <t>Cloud/On-prem</t>
        </is>
      </c>
      <c r="D5" s="479" t="inlineStr">
        <is>
          <t>ID onglet 08/09</t>
        </is>
      </c>
      <c r="E5" s="479" t="inlineStr">
        <is>
          <t>0-100%</t>
        </is>
      </c>
      <c r="F5" s="479" t="inlineStr">
        <is>
          <t>logs / analytics</t>
        </is>
      </c>
      <c r="G5" s="479" t="inlineStr">
        <is>
          <t>DevTools Network</t>
        </is>
      </c>
      <c r="H5" s="479" t="inlineStr">
        <is>
          <t>Fibre/4G/5G</t>
        </is>
      </c>
      <c r="I5" s="479" t="inlineStr">
        <is>
          <t>VLOOKUP D01-D04</t>
        </is>
      </c>
      <c r="J5" s="479" t="inlineStr">
        <is>
          <t>MAU analytics</t>
        </is>
      </c>
      <c r="K5" s="479" t="inlineStr">
        <is>
          <t>min</t>
        </is>
      </c>
      <c r="L5" s="479" t="inlineStr">
        <is>
          <t>Mobile/Laptop/Desktop</t>
        </is>
      </c>
      <c r="M5" s="479" t="inlineStr">
        <is>
          <t>Auto: M=3 L=30 D=80</t>
        </is>
      </c>
      <c r="N5" s="479" t="inlineStr">
        <is>
          <t>VLOOKUP(D;08/09;CO2) x E</t>
        </is>
      </c>
      <c r="O5" s="479" t="inlineStr">
        <is>
          <t>F x G/1e6 x 365</t>
        </is>
      </c>
      <c r="P5" s="479" t="inlineStr">
        <is>
          <t>O x I</t>
        </is>
      </c>
      <c r="Q5" s="479" t="inlineStr">
        <is>
          <t>Sessions x K/60/1000 x FE_user</t>
        </is>
      </c>
      <c r="R5" s="479" t="inlineStr">
        <is>
          <t>N+P+R</t>
        </is>
      </c>
      <c r="S5" s="479" t="inlineStr">
        <is>
          <t>S x 1000/(F x 365)</t>
        </is>
      </c>
      <c r="T5" s="479" t="inlineStr">
        <is>
          <t>S/J</t>
        </is>
      </c>
    </row>
    <row r="6">
      <c r="A6" s="320" t="inlineStr">
        <is>
          <t>API CarbonCo</t>
        </is>
      </c>
      <c r="B6" s="296" t="inlineStr">
        <is>
          <t>API Backend</t>
        </is>
      </c>
      <c r="C6" s="296" t="inlineStr">
        <is>
          <t>Cloud</t>
        </is>
      </c>
      <c r="D6" s="449" t="inlineStr">
        <is>
          <t>PROD-API-01</t>
        </is>
      </c>
      <c r="E6" s="429" t="n">
        <v>0.7</v>
      </c>
      <c r="F6" s="426" t="n">
        <v>50000</v>
      </c>
      <c r="G6" s="426" t="n">
        <v>2</v>
      </c>
      <c r="H6" s="281" t="inlineStr">
        <is>
          <t>Fibre</t>
        </is>
      </c>
      <c r="I6" s="1045">
        <f>IFERROR(VLOOKUP(IF(H6="Fibre","D01",IF(H6="4G","D03",IF(H6="5G","D04","D02"))),'02_FACTEURS_ÉMISSION2'!$A:$C,3,0),0.003)</f>
        <v/>
      </c>
      <c r="J6" s="426" t="n">
        <v>5000</v>
      </c>
      <c r="K6" s="456" t="n">
        <v>0.1</v>
      </c>
      <c r="L6" s="281" t="inlineStr">
        <is>
          <t>Mobile</t>
        </is>
      </c>
      <c r="M6" s="449">
        <f>IF(L6="Mobile",3,IF(L6="Laptop",30,80))</f>
        <v/>
      </c>
      <c r="N6" s="1041">
        <f>IFERROR(INDEX('09_INSTANCES_CLOUD'!X:X,MATCH(D6,'09_INSTANCES_CLOUD'!A:A,0)),IFERROR(INDEX('08_SERVEURS_PHYSIQUES'!X:X,MATCH(D6,'08_SERVEURS_PHYSIQUES'!A:A,0)),0))*E6</f>
        <v/>
      </c>
      <c r="O6" s="1041">
        <f>F6*G6/1000000*365</f>
        <v/>
      </c>
      <c r="P6" s="1041">
        <f>O6*I6</f>
        <v/>
      </c>
      <c r="Q6" s="1041">
        <f>J6*12*K6/60*M6/1000*0.0569</f>
        <v/>
      </c>
      <c r="R6" s="1041">
        <f>N6+P6+Q6</f>
        <v/>
      </c>
      <c r="S6" s="1041">
        <f>IFERROR(R6*1000/(F6*365),0)</f>
        <v/>
      </c>
      <c r="T6" s="1041">
        <f>IFERROR(R6/J6,0)</f>
        <v/>
      </c>
    </row>
    <row r="7">
      <c r="A7" s="315" t="inlineStr">
        <is>
          <t>API CarbonCo</t>
        </is>
      </c>
      <c r="B7" s="81" t="inlineStr">
        <is>
          <t>BDD PostgreSQL</t>
        </is>
      </c>
      <c r="C7" s="81" t="inlineStr">
        <is>
          <t>Cloud</t>
        </is>
      </c>
      <c r="D7" s="449" t="inlineStr">
        <is>
          <t>PROD-BDD-01</t>
        </is>
      </c>
      <c r="E7" s="429" t="n">
        <v>0.5</v>
      </c>
      <c r="F7" s="426" t="n">
        <v>50000</v>
      </c>
      <c r="G7" s="426" t="n">
        <v>0.5</v>
      </c>
      <c r="H7" s="281" t="inlineStr">
        <is>
          <t>Fibre</t>
        </is>
      </c>
      <c r="I7" s="1045">
        <f>IFERROR(VLOOKUP(IF(H7="Fibre","D01",IF(H7="4G","D03",IF(H7="5G","D04","D02"))),'02_FACTEURS_ÉMISSION2'!$A:$C,3,0),0.003)</f>
        <v/>
      </c>
      <c r="J7" s="426" t="n">
        <v>5000</v>
      </c>
      <c r="K7" s="456" t="n">
        <v>0.1</v>
      </c>
      <c r="L7" s="281" t="inlineStr">
        <is>
          <t>Mobile</t>
        </is>
      </c>
      <c r="M7" s="449">
        <f>IF(L7="Mobile",3,IF(L7="Laptop",30,80))</f>
        <v/>
      </c>
      <c r="N7" s="1030">
        <f>IFERROR(INDEX('09_INSTANCES_CLOUD'!X:X,MATCH(D7,'09_INSTANCES_CLOUD'!A:A,0)),IFERROR(INDEX('08_SERVEURS_PHYSIQUES'!X:X,MATCH(D7,'08_SERVEURS_PHYSIQUES'!A:A,0)),0))*E7</f>
        <v/>
      </c>
      <c r="O7" s="1030">
        <f>F7*G7/1000000*365</f>
        <v/>
      </c>
      <c r="P7" s="1030">
        <f>O7*I7</f>
        <v/>
      </c>
      <c r="Q7" s="1030">
        <f>J7*12*K7/60*M7/1000*0.0569</f>
        <v/>
      </c>
      <c r="R7" s="1030">
        <f>N7+P7+Q7</f>
        <v/>
      </c>
      <c r="S7" s="1030">
        <f>IFERROR(R7*1000/(F7*365),0)</f>
        <v/>
      </c>
      <c r="T7" s="1030">
        <f>IFERROR(R7/J7,0)</f>
        <v/>
      </c>
    </row>
    <row r="8">
      <c r="A8" s="320" t="inlineStr">
        <is>
          <t>App mobile</t>
        </is>
      </c>
      <c r="B8" s="296" t="inlineStr">
        <is>
          <t>API REST</t>
        </is>
      </c>
      <c r="C8" s="296" t="inlineStr">
        <is>
          <t>Cloud</t>
        </is>
      </c>
      <c r="D8" s="449" t="inlineStr">
        <is>
          <t>PROD-API-02</t>
        </is>
      </c>
      <c r="E8" s="429" t="n">
        <v>0.3</v>
      </c>
      <c r="F8" s="426" t="n">
        <v>30000</v>
      </c>
      <c r="G8" s="426" t="n">
        <v>5</v>
      </c>
      <c r="H8" s="281" t="inlineStr">
        <is>
          <t>4G</t>
        </is>
      </c>
      <c r="I8" s="1045">
        <f>IFERROR(VLOOKUP(IF(H8="Fibre","D01",IF(H8="4G","D03",IF(H8="5G","D04","D02"))),'02_FACTEURS_ÉMISSION2'!$A:$C,3,0),0.014)</f>
        <v/>
      </c>
      <c r="J8" s="426" t="n">
        <v>15000</v>
      </c>
      <c r="K8" s="456" t="n">
        <v>3</v>
      </c>
      <c r="L8" s="281" t="inlineStr">
        <is>
          <t>Mobile</t>
        </is>
      </c>
      <c r="M8" s="449">
        <f>IF(L8="Mobile",3,IF(L8="Laptop",30,80))</f>
        <v/>
      </c>
      <c r="N8" s="1041">
        <f>IFERROR(INDEX('09_INSTANCES_CLOUD'!X:X,MATCH(D8,'09_INSTANCES_CLOUD'!A:A,0)),IFERROR(INDEX('08_SERVEURS_PHYSIQUES'!X:X,MATCH(D8,'08_SERVEURS_PHYSIQUES'!A:A,0)),0))*E8</f>
        <v/>
      </c>
      <c r="O8" s="1041">
        <f>F8*G8/1000000*365</f>
        <v/>
      </c>
      <c r="P8" s="1041">
        <f>O8*I8</f>
        <v/>
      </c>
      <c r="Q8" s="1041">
        <f>J8*12*K8/60*M8/1000*0.0569</f>
        <v/>
      </c>
      <c r="R8" s="1041">
        <f>N8+P8+Q8</f>
        <v/>
      </c>
      <c r="S8" s="1041">
        <f>IFERROR(R8*1000/(F8*365),0)</f>
        <v/>
      </c>
      <c r="T8" s="1041">
        <f>IFERROR(R8/J8,0)</f>
        <v/>
      </c>
    </row>
    <row r="9">
      <c r="A9" s="315" t="inlineStr">
        <is>
          <t>App mobile</t>
        </is>
      </c>
      <c r="B9" s="81" t="inlineStr">
        <is>
          <t>CDN Frontend</t>
        </is>
      </c>
      <c r="C9" s="81" t="inlineStr">
        <is>
          <t>Cloud</t>
        </is>
      </c>
      <c r="D9" s="449" t="inlineStr">
        <is>
          <t>PROD-FRONT-01</t>
        </is>
      </c>
      <c r="E9" s="429" t="n">
        <v>0.2</v>
      </c>
      <c r="F9" s="426" t="n">
        <v>30000</v>
      </c>
      <c r="G9" s="426" t="n">
        <v>80</v>
      </c>
      <c r="H9" s="281" t="inlineStr">
        <is>
          <t>4G</t>
        </is>
      </c>
      <c r="I9" s="1045">
        <f>IFERROR(VLOOKUP(IF(H9="Fibre","D01",IF(H9="4G","D03",IF(H9="5G","D04","D02"))),'02_FACTEURS_ÉMISSION2'!$A:$C,3,0),0.014)</f>
        <v/>
      </c>
      <c r="J9" s="426" t="n">
        <v>15000</v>
      </c>
      <c r="K9" s="456" t="n">
        <v>3</v>
      </c>
      <c r="L9" s="281" t="inlineStr">
        <is>
          <t>Mobile</t>
        </is>
      </c>
      <c r="M9" s="449">
        <f>IF(L9="Mobile",3,IF(L9="Laptop",30,80))</f>
        <v/>
      </c>
      <c r="N9" s="1030">
        <f>IFERROR(INDEX('09_INSTANCES_CLOUD'!X:X,MATCH(D9,'09_INSTANCES_CLOUD'!A:A,0)),IFERROR(INDEX('08_SERVEURS_PHYSIQUES'!X:X,MATCH(D9,'08_SERVEURS_PHYSIQUES'!A:A,0)),0))*E9</f>
        <v/>
      </c>
      <c r="O9" s="1030">
        <f>F9*G9/1000000*365</f>
        <v/>
      </c>
      <c r="P9" s="1030">
        <f>O9*I9</f>
        <v/>
      </c>
      <c r="Q9" s="1030">
        <f>J9*12*K9/60*M9/1000*0.0569</f>
        <v/>
      </c>
      <c r="R9" s="1030">
        <f>N9+P9+Q9</f>
        <v/>
      </c>
      <c r="S9" s="1030">
        <f>IFERROR(R9*1000/(F9*365),0)</f>
        <v/>
      </c>
      <c r="T9" s="1030">
        <f>IFERROR(R9/J9,0)</f>
        <v/>
      </c>
    </row>
    <row r="10">
      <c r="A10" s="320" t="inlineStr">
        <is>
          <t>Site web public</t>
        </is>
      </c>
      <c r="B10" s="296" t="inlineStr">
        <is>
          <t>Frontend React</t>
        </is>
      </c>
      <c r="C10" s="296" t="inlineStr">
        <is>
          <t>Cloud</t>
        </is>
      </c>
      <c r="D10" s="449" t="inlineStr">
        <is>
          <t>PROD-FRONT-01</t>
        </is>
      </c>
      <c r="E10" s="429" t="n">
        <v>0.3</v>
      </c>
      <c r="F10" s="426" t="n">
        <v>10000</v>
      </c>
      <c r="G10" s="426" t="n">
        <v>500</v>
      </c>
      <c r="H10" s="281" t="inlineStr">
        <is>
          <t>Fibre</t>
        </is>
      </c>
      <c r="I10" s="1045">
        <f>IFERROR(VLOOKUP(IF(H10="Fibre","D01",IF(H10="4G","D03",IF(H10="5G","D04","D02"))),'02_FACTEURS_ÉMISSION2'!$A:$C,3,0),0.003)</f>
        <v/>
      </c>
      <c r="J10" s="426" t="n">
        <v>8000</v>
      </c>
      <c r="K10" s="456" t="n">
        <v>4</v>
      </c>
      <c r="L10" s="281" t="inlineStr">
        <is>
          <t>Laptop</t>
        </is>
      </c>
      <c r="M10" s="449">
        <f>IF(L10="Mobile",3,IF(L10="Laptop",30,80))</f>
        <v/>
      </c>
      <c r="N10" s="1041">
        <f>IFERROR(INDEX('09_INSTANCES_CLOUD'!X:X,MATCH(D10,'09_INSTANCES_CLOUD'!A:A,0)),IFERROR(INDEX('08_SERVEURS_PHYSIQUES'!X:X,MATCH(D10,'08_SERVEURS_PHYSIQUES'!A:A,0)),0))*E10</f>
        <v/>
      </c>
      <c r="O10" s="1041">
        <f>F10*G10/1000000*365</f>
        <v/>
      </c>
      <c r="P10" s="1041">
        <f>O10*I10</f>
        <v/>
      </c>
      <c r="Q10" s="1041">
        <f>J10*12*K10/60*M10/1000*0.0569</f>
        <v/>
      </c>
      <c r="R10" s="1041">
        <f>N10+P10+Q10</f>
        <v/>
      </c>
      <c r="S10" s="1041">
        <f>IFERROR(R10*1000/(F10*365),0)</f>
        <v/>
      </c>
      <c r="T10" s="1041">
        <f>IFERROR(R10/J10,0)</f>
        <v/>
      </c>
    </row>
    <row r="11">
      <c r="A11" s="315" t="inlineStr">
        <is>
          <t>Site web public</t>
        </is>
      </c>
      <c r="B11" s="81" t="inlineStr">
        <is>
          <t>API GraphQL</t>
        </is>
      </c>
      <c r="C11" s="81" t="inlineStr">
        <is>
          <t>Cloud</t>
        </is>
      </c>
      <c r="D11" s="449" t="inlineStr">
        <is>
          <t>PROD-API-01</t>
        </is>
      </c>
      <c r="E11" s="429" t="n">
        <v>0.1</v>
      </c>
      <c r="F11" s="426" t="n">
        <v>10000</v>
      </c>
      <c r="G11" s="426" t="n">
        <v>10</v>
      </c>
      <c r="H11" s="281" t="inlineStr">
        <is>
          <t>Fibre</t>
        </is>
      </c>
      <c r="I11" s="1045">
        <f>IFERROR(VLOOKUP(IF(H11="Fibre","D01",IF(H11="4G","D03",IF(H11="5G","D04","D02"))),'02_FACTEURS_ÉMISSION2'!$A:$C,3,0),0.003)</f>
        <v/>
      </c>
      <c r="J11" s="426" t="n">
        <v>8000</v>
      </c>
      <c r="K11" s="456" t="n">
        <v>4</v>
      </c>
      <c r="L11" s="281" t="inlineStr">
        <is>
          <t>Laptop</t>
        </is>
      </c>
      <c r="M11" s="449">
        <f>IF(L11="Mobile",3,IF(L11="Laptop",30,80))</f>
        <v/>
      </c>
      <c r="N11" s="1030">
        <f>IFERROR(INDEX('09_INSTANCES_CLOUD'!X:X,MATCH(D11,'09_INSTANCES_CLOUD'!A:A,0)),IFERROR(INDEX('08_SERVEURS_PHYSIQUES'!X:X,MATCH(D11,'08_SERVEURS_PHYSIQUES'!A:A,0)),0))*E11</f>
        <v/>
      </c>
      <c r="O11" s="1030">
        <f>F11*G11/1000000*365</f>
        <v/>
      </c>
      <c r="P11" s="1030">
        <f>O11*I11</f>
        <v/>
      </c>
      <c r="Q11" s="1030">
        <f>J11*12*K11/60*M11/1000*0.0569</f>
        <v/>
      </c>
      <c r="R11" s="1030">
        <f>N11+P11+Q11</f>
        <v/>
      </c>
      <c r="S11" s="1030">
        <f>IFERROR(R11*1000/(F11*365),0)</f>
        <v/>
      </c>
      <c r="T11" s="1030">
        <f>IFERROR(R11/J11,0)</f>
        <v/>
      </c>
    </row>
    <row r="12">
      <c r="A12" s="320" t="inlineStr">
        <is>
          <t>Dashboard BI</t>
        </is>
      </c>
      <c r="B12" s="296" t="inlineStr">
        <is>
          <t>App React + API</t>
        </is>
      </c>
      <c r="C12" s="296" t="inlineStr">
        <is>
          <t>Cloud</t>
        </is>
      </c>
      <c r="D12" s="449" t="inlineStr">
        <is>
          <t>PROD-ANALYT-01</t>
        </is>
      </c>
      <c r="E12" s="429" t="n">
        <v>1</v>
      </c>
      <c r="F12" s="426" t="n">
        <v>500</v>
      </c>
      <c r="G12" s="426" t="n">
        <v>2000</v>
      </c>
      <c r="H12" s="281" t="inlineStr">
        <is>
          <t>Fibre</t>
        </is>
      </c>
      <c r="I12" s="1045">
        <f>IFERROR(VLOOKUP(IF(H12="Fibre","D01",IF(H12="4G","D03",IF(H12="5G","D04","D02"))),'02_FACTEURS_ÉMISSION2'!$A:$C,3,0),0.003)</f>
        <v/>
      </c>
      <c r="J12" s="426" t="n">
        <v>200</v>
      </c>
      <c r="K12" s="456" t="n">
        <v>30</v>
      </c>
      <c r="L12" s="281" t="inlineStr">
        <is>
          <t>Desktop</t>
        </is>
      </c>
      <c r="M12" s="449">
        <f>IF(L12="Mobile",3,IF(L12="Laptop",30,80))</f>
        <v/>
      </c>
      <c r="N12" s="1041">
        <f>IFERROR(INDEX('09_INSTANCES_CLOUD'!X:X,MATCH(D12,'09_INSTANCES_CLOUD'!A:A,0)),IFERROR(INDEX('08_SERVEURS_PHYSIQUES'!X:X,MATCH(D12,'08_SERVEURS_PHYSIQUES'!A:A,0)),0))*E12</f>
        <v/>
      </c>
      <c r="O12" s="1041">
        <f>F12*G12/1000000*365</f>
        <v/>
      </c>
      <c r="P12" s="1041">
        <f>O12*I12</f>
        <v/>
      </c>
      <c r="Q12" s="1041">
        <f>J12*12*K12/60*M12/1000*0.0569</f>
        <v/>
      </c>
      <c r="R12" s="1041">
        <f>N12+P12+Q12</f>
        <v/>
      </c>
      <c r="S12" s="1041">
        <f>IFERROR(R12*1000/(F12*365),0)</f>
        <v/>
      </c>
      <c r="T12" s="1041">
        <f>IFERROR(R12/J12,0)</f>
        <v/>
      </c>
    </row>
    <row r="13">
      <c r="A13" s="315" t="inlineStr">
        <is>
          <t>Streaming vidéo</t>
        </is>
      </c>
      <c r="B13" s="81" t="inlineStr">
        <is>
          <t>Encodage + CDN</t>
        </is>
      </c>
      <c r="C13" s="81" t="inlineStr">
        <is>
          <t>Cloud</t>
        </is>
      </c>
      <c r="D13" s="449" t="inlineStr">
        <is>
          <t>PROD-ML-01</t>
        </is>
      </c>
      <c r="E13" s="429" t="n">
        <v>0.4</v>
      </c>
      <c r="F13" s="426" t="n">
        <v>2000</v>
      </c>
      <c r="G13" s="426" t="n">
        <v>50000</v>
      </c>
      <c r="H13" s="281" t="inlineStr">
        <is>
          <t>4G</t>
        </is>
      </c>
      <c r="I13" s="1045">
        <f>IFERROR(VLOOKUP(IF(H13="Fibre","D01",IF(H13="4G","D03",IF(H13="5G","D04","D02"))),'02_FACTEURS_ÉMISSION2'!$A:$C,3,0),0.014)</f>
        <v/>
      </c>
      <c r="J13" s="426" t="n">
        <v>3000</v>
      </c>
      <c r="K13" s="456" t="n">
        <v>60</v>
      </c>
      <c r="L13" s="281" t="inlineStr">
        <is>
          <t>Mobile</t>
        </is>
      </c>
      <c r="M13" s="449">
        <f>IF(L13="Mobile",3,IF(L13="Laptop",30,80))</f>
        <v/>
      </c>
      <c r="N13" s="1030">
        <f>IFERROR(INDEX('09_INSTANCES_CLOUD'!X:X,MATCH(D13,'09_INSTANCES_CLOUD'!A:A,0)),IFERROR(INDEX('08_SERVEURS_PHYSIQUES'!X:X,MATCH(D13,'08_SERVEURS_PHYSIQUES'!A:A,0)),0))*E13</f>
        <v/>
      </c>
      <c r="O13" s="1030">
        <f>F13*G13/1000000*365</f>
        <v/>
      </c>
      <c r="P13" s="1030">
        <f>O13*I13</f>
        <v/>
      </c>
      <c r="Q13" s="1030">
        <f>J13*12*K13/60*M13/1000*0.0569</f>
        <v/>
      </c>
      <c r="R13" s="1030">
        <f>N13+P13+Q13</f>
        <v/>
      </c>
      <c r="S13" s="1030">
        <f>IFERROR(R13*1000/(F13*365),0)</f>
        <v/>
      </c>
      <c r="T13" s="1030">
        <f>IFERROR(R13/J13,0)</f>
        <v/>
      </c>
    </row>
    <row r="14">
      <c r="A14" s="320" t="inlineStr">
        <is>
          <t>Worker ML (batch)</t>
        </is>
      </c>
      <c r="B14" s="296" t="inlineStr">
        <is>
          <t>Traitement données</t>
        </is>
      </c>
      <c r="C14" s="296" t="inlineStr">
        <is>
          <t>Cloud</t>
        </is>
      </c>
      <c r="D14" s="449" t="inlineStr">
        <is>
          <t>PROD-ML-02</t>
        </is>
      </c>
      <c r="E14" s="429" t="n">
        <v>1</v>
      </c>
      <c r="F14" s="426" t="n">
        <v>0</v>
      </c>
      <c r="G14" s="426" t="n">
        <v>0</v>
      </c>
      <c r="H14" s="281" t="inlineStr">
        <is>
          <t>Fibre</t>
        </is>
      </c>
      <c r="I14" s="1045">
        <f>IFERROR(VLOOKUP(IF(H14="Fibre","D01",IF(H14="4G","D03",IF(H14="5G","D04","D02"))),'02_FACTEURS_ÉMISSION2'!$A:$C,3,0),0.003)</f>
        <v/>
      </c>
      <c r="J14" s="426" t="n">
        <v>0</v>
      </c>
      <c r="K14" s="456" t="n">
        <v>0</v>
      </c>
      <c r="L14" s="281" t="inlineStr">
        <is>
          <t>Desktop</t>
        </is>
      </c>
      <c r="M14" s="449">
        <f>IF(L14="Mobile",3,IF(L14="Laptop",30,80))</f>
        <v/>
      </c>
      <c r="N14" s="1041">
        <f>IFERROR(INDEX('09_INSTANCES_CLOUD'!X:X,MATCH(D14,'09_INSTANCES_CLOUD'!A:A,0)),IFERROR(INDEX('08_SERVEURS_PHYSIQUES'!X:X,MATCH(D14,'08_SERVEURS_PHYSIQUES'!A:A,0)),0))*E14</f>
        <v/>
      </c>
      <c r="O14" s="1041">
        <f>F14*G14/1000000*365</f>
        <v/>
      </c>
      <c r="P14" s="1041">
        <f>O14*I14</f>
        <v/>
      </c>
      <c r="Q14" s="1041">
        <f>J14*12*K14/60*M14/1000*0.012</f>
        <v/>
      </c>
      <c r="R14" s="1041">
        <f>N14+P14+Q14</f>
        <v/>
      </c>
      <c r="S14" s="1041">
        <f>IFERROR(R14*1000/(F14*365),0)</f>
        <v/>
      </c>
      <c r="T14" s="1041">
        <f>IFERROR(R14/J14,0)</f>
        <v/>
      </c>
    </row>
    <row r="15">
      <c r="A15" s="315" t="inlineStr">
        <is>
          <t>Monitoring intern</t>
        </is>
      </c>
      <c r="B15" s="81" t="inlineStr">
        <is>
          <t>Grafana + Prom.</t>
        </is>
      </c>
      <c r="C15" s="81" t="inlineStr">
        <is>
          <t>Cloud</t>
        </is>
      </c>
      <c r="D15" s="449" t="inlineStr">
        <is>
          <t>MONITORING-01</t>
        </is>
      </c>
      <c r="E15" s="429" t="n">
        <v>1</v>
      </c>
      <c r="F15" s="426" t="n">
        <v>100</v>
      </c>
      <c r="G15" s="426" t="n">
        <v>50</v>
      </c>
      <c r="H15" s="281" t="inlineStr">
        <is>
          <t>Fibre</t>
        </is>
      </c>
      <c r="I15" s="1045">
        <f>IFERROR(VLOOKUP(IF(H15="Fibre","D01",IF(H15="4G","D03",IF(H15="5G","D04","D02"))),'02_FACTEURS_ÉMISSION2'!$A:$C,3,0),0.003)</f>
        <v/>
      </c>
      <c r="J15" s="426" t="n">
        <v>20</v>
      </c>
      <c r="K15" s="456" t="n">
        <v>5</v>
      </c>
      <c r="L15" s="281" t="inlineStr">
        <is>
          <t>Laptop</t>
        </is>
      </c>
      <c r="M15" s="449">
        <f>IF(L15="Mobile",3,IF(L15="Laptop",30,80))</f>
        <v/>
      </c>
      <c r="N15" s="1030">
        <f>IFERROR(INDEX('09_INSTANCES_CLOUD'!X:X,MATCH(D15,'09_INSTANCES_CLOUD'!A:A,0)),IFERROR(INDEX('08_SERVEURS_PHYSIQUES'!X:X,MATCH(D15,'08_SERVEURS_PHYSIQUES'!A:A,0)),0))*E15</f>
        <v/>
      </c>
      <c r="O15" s="1030">
        <f>F15*G15/1000000*365</f>
        <v/>
      </c>
      <c r="P15" s="1030">
        <f>O15*I15</f>
        <v/>
      </c>
      <c r="Q15" s="1030">
        <f>J15*12*K15/60*M15/1000*0.0569</f>
        <v/>
      </c>
      <c r="R15" s="1030">
        <f>N15+P15+Q15</f>
        <v/>
      </c>
      <c r="S15" s="1030">
        <f>IFERROR(R15*1000/(F15*365),0)</f>
        <v/>
      </c>
      <c r="T15" s="1030">
        <f>IFERROR(R15/J15,0)</f>
        <v/>
      </c>
    </row>
    <row r="16">
      <c r="A16" s="320" t="inlineStr">
        <is>
          <t>ERP interne</t>
        </is>
      </c>
      <c r="B16" s="296" t="inlineStr">
        <is>
          <t>Frontend + API</t>
        </is>
      </c>
      <c r="C16" s="296" t="inlineStr">
        <is>
          <t>On-premise</t>
        </is>
      </c>
      <c r="D16" s="449" t="inlineStr">
        <is>
          <t>SRV-001</t>
        </is>
      </c>
      <c r="E16" s="429" t="n">
        <v>0.6</v>
      </c>
      <c r="F16" s="426" t="n">
        <v>5000</v>
      </c>
      <c r="G16" s="426" t="n">
        <v>200</v>
      </c>
      <c r="H16" s="281" t="inlineStr">
        <is>
          <t>Fibre</t>
        </is>
      </c>
      <c r="I16" s="1045">
        <f>IFERROR(VLOOKUP(IF(H16="Fibre","D01",IF(H16="4G","D03",IF(H16="5G","D04","D02"))),'02_FACTEURS_ÉMISSION2'!$A:$C,3,0),0.003)</f>
        <v/>
      </c>
      <c r="J16" s="426" t="n">
        <v>2000</v>
      </c>
      <c r="K16" s="456" t="n">
        <v>15</v>
      </c>
      <c r="L16" s="281" t="inlineStr">
        <is>
          <t>Desktop</t>
        </is>
      </c>
      <c r="M16" s="449">
        <f>IF(L16="Mobile",3,IF(L16="Laptop",30,80))</f>
        <v/>
      </c>
      <c r="N16" s="1041">
        <f>IFERROR(INDEX('09_INSTANCES_CLOUD'!X:X,MATCH(D16,'09_INSTANCES_CLOUD'!A:A,0)),IFERROR(INDEX('08_SERVEURS_PHYSIQUES'!X:X,MATCH(D16,'08_SERVEURS_PHYSIQUES'!A:A,0)),0))*E16</f>
        <v/>
      </c>
      <c r="O16" s="1041">
        <f>F16*G16/1000000*365</f>
        <v/>
      </c>
      <c r="P16" s="1041">
        <f>O16*I16</f>
        <v/>
      </c>
      <c r="Q16" s="1041">
        <f>J16*12*K16/60*M16/1000*0.0569</f>
        <v/>
      </c>
      <c r="R16" s="1041">
        <f>N16+P16+Q16</f>
        <v/>
      </c>
      <c r="S16" s="1041">
        <f>IFERROR(R16*1000/(F16*365),0)</f>
        <v/>
      </c>
      <c r="T16" s="1041">
        <f>IFERROR(R16/J16,0)</f>
        <v/>
      </c>
    </row>
    <row r="17">
      <c r="A17" s="315" t="inlineStr">
        <is>
          <t>ERP interne</t>
        </is>
      </c>
      <c r="B17" s="81" t="inlineStr">
        <is>
          <t>BDD Oracle</t>
        </is>
      </c>
      <c r="C17" s="81" t="inlineStr">
        <is>
          <t>On-premise</t>
        </is>
      </c>
      <c r="D17" s="449" t="inlineStr">
        <is>
          <t>SRV-003</t>
        </is>
      </c>
      <c r="E17" s="429" t="n">
        <v>0.8</v>
      </c>
      <c r="F17" s="426" t="n">
        <v>5000</v>
      </c>
      <c r="G17" s="426" t="n">
        <v>1</v>
      </c>
      <c r="H17" s="281" t="inlineStr">
        <is>
          <t>Fibre</t>
        </is>
      </c>
      <c r="I17" s="1045">
        <f>IFERROR(VLOOKUP(IF(H17="Fibre","D01",IF(H17="4G","D03",IF(H17="5G","D04","D02"))),'02_FACTEURS_ÉMISSION2'!$A:$C,3,0),0.003)</f>
        <v/>
      </c>
      <c r="J17" s="426" t="n">
        <v>2000</v>
      </c>
      <c r="K17" s="456" t="n">
        <v>15</v>
      </c>
      <c r="L17" s="281" t="inlineStr">
        <is>
          <t>Desktop</t>
        </is>
      </c>
      <c r="M17" s="449">
        <f>IF(L17="Mobile",3,IF(L17="Laptop",30,80))</f>
        <v/>
      </c>
      <c r="N17" s="1030">
        <f>IFERROR(INDEX('09_INSTANCES_CLOUD'!X:X,MATCH(D17,'09_INSTANCES_CLOUD'!A:A,0)),IFERROR(INDEX('08_SERVEURS_PHYSIQUES'!X:X,MATCH(D17,'08_SERVEURS_PHYSIQUES'!A:A,0)),0))*E17</f>
        <v/>
      </c>
      <c r="O17" s="1030">
        <f>F17*G17/1000000*365</f>
        <v/>
      </c>
      <c r="P17" s="1030">
        <f>O17*I17</f>
        <v/>
      </c>
      <c r="Q17" s="1030">
        <f>J17*12*K17/60*M17/1000*0.0569</f>
        <v/>
      </c>
      <c r="R17" s="1030">
        <f>N17+P17+Q17</f>
        <v/>
      </c>
      <c r="S17" s="1030">
        <f>IFERROR(R17*1000/(F17*365),0)</f>
        <v/>
      </c>
      <c r="T17" s="1030">
        <f>IFERROR(R17/J17,0)</f>
        <v/>
      </c>
    </row>
    <row r="18">
      <c r="A18" s="320" t="inlineStr">
        <is>
          <t>Service Email</t>
        </is>
      </c>
      <c r="B18" s="296" t="inlineStr">
        <is>
          <t>SMTP + stockage</t>
        </is>
      </c>
      <c r="C18" s="296" t="inlineStr">
        <is>
          <t>On-premise</t>
        </is>
      </c>
      <c r="D18" s="449" t="inlineStr">
        <is>
          <t>SRV-005</t>
        </is>
      </c>
      <c r="E18" s="429" t="n">
        <v>0.5</v>
      </c>
      <c r="F18" s="426" t="n">
        <v>80000</v>
      </c>
      <c r="G18" s="426" t="n">
        <v>10</v>
      </c>
      <c r="H18" s="281" t="inlineStr">
        <is>
          <t>Fibre</t>
        </is>
      </c>
      <c r="I18" s="1045">
        <f>IFERROR(VLOOKUP(IF(H18="Fibre","D01",IF(H18="4G","D03",IF(H18="5G","D04","D02"))),'02_FACTEURS_ÉMISSION2'!$A:$C,3,0),0.003)</f>
        <v/>
      </c>
      <c r="J18" s="426" t="n">
        <v>5000</v>
      </c>
      <c r="K18" s="456" t="n">
        <v>0</v>
      </c>
      <c r="L18" s="281" t="inlineStr">
        <is>
          <t>Laptop</t>
        </is>
      </c>
      <c r="M18" s="449">
        <f>IF(L18="Mobile",3,IF(L18="Laptop",30,80))</f>
        <v/>
      </c>
      <c r="N18" s="1041">
        <f>IFERROR(INDEX('09_INSTANCES_CLOUD'!X:X,MATCH(D18,'09_INSTANCES_CLOUD'!A:A,0)),IFERROR(INDEX('08_SERVEURS_PHYSIQUES'!X:X,MATCH(D18,'08_SERVEURS_PHYSIQUES'!A:A,0)),0))*E18</f>
        <v/>
      </c>
      <c r="O18" s="1041">
        <f>F18*G18/1000000*365</f>
        <v/>
      </c>
      <c r="P18" s="1041">
        <f>O18*I18</f>
        <v/>
      </c>
      <c r="Q18" s="1041">
        <f>J18*12*K18/60*M18/1000*0.0569</f>
        <v/>
      </c>
      <c r="R18" s="1041">
        <f>N18+P18+Q18</f>
        <v/>
      </c>
      <c r="S18" s="1041">
        <f>IFERROR(R18*1000/(F18*365),0)</f>
        <v/>
      </c>
      <c r="T18" s="1041">
        <f>IFERROR(R18/J18,0)</f>
        <v/>
      </c>
    </row>
    <row r="19">
      <c r="A19" s="315" t="inlineStr">
        <is>
          <t>CI/CD Pipeline</t>
        </is>
      </c>
      <c r="B19" s="81" t="inlineStr">
        <is>
          <t>Build + Deploy</t>
        </is>
      </c>
      <c r="C19" s="81" t="inlineStr">
        <is>
          <t>Cloud</t>
        </is>
      </c>
      <c r="D19" s="449" t="inlineStr">
        <is>
          <t>DEV-01</t>
        </is>
      </c>
      <c r="E19" s="429" t="n">
        <v>0.8</v>
      </c>
      <c r="F19" s="426" t="n">
        <v>200</v>
      </c>
      <c r="G19" s="426" t="n">
        <v>500</v>
      </c>
      <c r="H19" s="281" t="inlineStr">
        <is>
          <t>Fibre</t>
        </is>
      </c>
      <c r="I19" s="1045">
        <f>IFERROR(VLOOKUP(IF(H19="Fibre","D01",IF(H19="4G","D03",IF(H19="5G","D04","D02"))),'02_FACTEURS_ÉMISSION2'!$A:$C,3,0),0.003)</f>
        <v/>
      </c>
      <c r="J19" s="426" t="n">
        <v>30</v>
      </c>
      <c r="K19" s="456" t="n">
        <v>5</v>
      </c>
      <c r="L19" s="281" t="inlineStr">
        <is>
          <t>Laptop</t>
        </is>
      </c>
      <c r="M19" s="449">
        <f>IF(L19="Mobile",3,IF(L19="Laptop",30,80))</f>
        <v/>
      </c>
      <c r="N19" s="1030">
        <f>IFERROR(INDEX('09_INSTANCES_CLOUD'!X:X,MATCH(D19,'09_INSTANCES_CLOUD'!A:A,0)),IFERROR(INDEX('08_SERVEURS_PHYSIQUES'!X:X,MATCH(D19,'08_SERVEURS_PHYSIQUES'!A:A,0)),0))*E19</f>
        <v/>
      </c>
      <c r="O19" s="1030">
        <f>F19*G19/1000000*365</f>
        <v/>
      </c>
      <c r="P19" s="1030">
        <f>O19*I19</f>
        <v/>
      </c>
      <c r="Q19" s="1030">
        <f>J19*12*K19/60*M19/1000*0.0569</f>
        <v/>
      </c>
      <c r="R19" s="1030">
        <f>N19+P19+Q19</f>
        <v/>
      </c>
      <c r="S19" s="1030">
        <f>IFERROR(R19*1000/(F19*365),0)</f>
        <v/>
      </c>
      <c r="T19" s="1030">
        <f>IFERROR(R19/J19,0)</f>
        <v/>
      </c>
    </row>
    <row r="20">
      <c r="A20" s="320" t="inlineStr">
        <is>
          <t>Dev Environment</t>
        </is>
      </c>
      <c r="B20" s="296" t="inlineStr">
        <is>
          <t>IDE cloud + SSH</t>
        </is>
      </c>
      <c r="C20" s="296" t="inlineStr">
        <is>
          <t>Cloud</t>
        </is>
      </c>
      <c r="D20" s="449" t="inlineStr">
        <is>
          <t>DEV-02</t>
        </is>
      </c>
      <c r="E20" s="429" t="n">
        <v>0.6</v>
      </c>
      <c r="F20" s="426" t="n">
        <v>50</v>
      </c>
      <c r="G20" s="426" t="n">
        <v>100</v>
      </c>
      <c r="H20" s="281" t="inlineStr">
        <is>
          <t>Fibre</t>
        </is>
      </c>
      <c r="I20" s="1045">
        <f>IFERROR(VLOOKUP(IF(H20="Fibre","D01",IF(H20="4G","D03",IF(H20="5G","D04","D02"))),'02_FACTEURS_ÉMISSION2'!$A:$C,3,0),0.003)</f>
        <v/>
      </c>
      <c r="J20" s="426" t="n">
        <v>15</v>
      </c>
      <c r="K20" s="456" t="n">
        <v>60</v>
      </c>
      <c r="L20" s="281" t="inlineStr">
        <is>
          <t>Laptop</t>
        </is>
      </c>
      <c r="M20" s="449">
        <f>IF(L20="Mobile",3,IF(L20="Laptop",30,80))</f>
        <v/>
      </c>
      <c r="N20" s="1041">
        <f>IFERROR(INDEX('09_INSTANCES_CLOUD'!X:X,MATCH(D20,'09_INSTANCES_CLOUD'!A:A,0)),IFERROR(INDEX('08_SERVEURS_PHYSIQUES'!X:X,MATCH(D20,'08_SERVEURS_PHYSIQUES'!A:A,0)),0))*E20</f>
        <v/>
      </c>
      <c r="O20" s="1041">
        <f>F20*G20/1000000*365</f>
        <v/>
      </c>
      <c r="P20" s="1041">
        <f>O20*I20</f>
        <v/>
      </c>
      <c r="Q20" s="1041">
        <f>J20*12*K20/60*M20/1000*0.0569</f>
        <v/>
      </c>
      <c r="R20" s="1041">
        <f>N20+P20+Q20</f>
        <v/>
      </c>
      <c r="S20" s="1041">
        <f>IFERROR(R20*1000/(F20*365),0)</f>
        <v/>
      </c>
      <c r="T20" s="1041">
        <f>IFERROR(R20/J20,0)</f>
        <v/>
      </c>
    </row>
    <row r="21" ht="15.75" customHeight="1" s="847">
      <c r="A21" s="482" t="inlineStr">
        <is>
          <t>TOTAL SERVICES</t>
        </is>
      </c>
      <c r="B21" s="481" t="n"/>
      <c r="C21" s="481" t="n"/>
      <c r="D21" s="481" t="n"/>
      <c r="E21" s="481" t="n"/>
      <c r="F21" s="481" t="n"/>
      <c r="G21" s="481" t="n"/>
      <c r="H21" s="481" t="n"/>
      <c r="I21" s="481" t="n"/>
      <c r="J21" s="481" t="n"/>
      <c r="K21" s="481" t="n"/>
      <c r="L21" s="481" t="n"/>
      <c r="M21" s="481" t="n"/>
      <c r="N21" s="422">
        <f>SUM(N6:N20)</f>
        <v/>
      </c>
      <c r="O21" s="422">
        <f>SUM(O6:O20)</f>
        <v/>
      </c>
      <c r="P21" s="422">
        <f>SUM(P6:P20)</f>
        <v/>
      </c>
      <c r="Q21" s="422">
        <f>SUM(Q6:Q20)</f>
        <v/>
      </c>
      <c r="R21" s="422">
        <f>SUM(R6:R20)</f>
        <v/>
      </c>
      <c r="S21" s="481" t="n"/>
      <c r="T21" s="481" t="n"/>
    </row>
    <row r="23">
      <c r="A23" s="955" t="inlineStr">
        <is>
          <t>VALEURS DE RÉFÉRENCE (NegaOctet, Greenspector, Website Carbon)</t>
        </is>
      </c>
    </row>
    <row r="24">
      <c r="A24" s="320" t="inlineStr">
        <is>
          <t>Page web simple (200 Ko)</t>
        </is>
      </c>
      <c r="B24" s="531" t="inlineStr">
        <is>
          <t>0.2 – 0.5 g CO2e / visite</t>
        </is>
      </c>
      <c r="C24" s="532" t="inlineStr">
        <is>
          <t>Adapter G (taille) selon DevTools Network</t>
        </is>
      </c>
      <c r="D24" s="296" t="n"/>
      <c r="E24" s="296" t="n"/>
      <c r="F24" s="296" t="n"/>
      <c r="G24" s="296" t="n"/>
      <c r="H24" s="296" t="n"/>
      <c r="I24" s="296" t="n"/>
      <c r="J24" s="296" t="n"/>
      <c r="K24" s="296" t="n"/>
      <c r="L24" s="296" t="n"/>
      <c r="M24" s="296" t="n"/>
      <c r="N24" s="296" t="n"/>
      <c r="O24" s="296" t="n"/>
      <c r="P24" s="296" t="n"/>
      <c r="Q24" s="296" t="n"/>
      <c r="R24" s="296" t="n"/>
      <c r="S24" s="296" t="n"/>
      <c r="T24" s="296" t="n"/>
    </row>
    <row r="25">
      <c r="A25" s="315" t="inlineStr">
        <is>
          <t>Page web riche (2 Mo)</t>
        </is>
      </c>
      <c r="B25" s="533" t="inlineStr">
        <is>
          <t>1 – 3 g CO2e / visite</t>
        </is>
      </c>
      <c r="C25" s="504" t="inlineStr">
        <is>
          <t>Inclut images, scripts, vidéos</t>
        </is>
      </c>
      <c r="D25" s="81" t="n"/>
      <c r="E25" s="81" t="n"/>
      <c r="F25" s="81" t="n"/>
      <c r="G25" s="81" t="n"/>
      <c r="H25" s="81" t="n"/>
      <c r="I25" s="81" t="n"/>
      <c r="J25" s="81" t="n"/>
      <c r="K25" s="81" t="n"/>
      <c r="L25" s="81" t="n"/>
      <c r="M25" s="81" t="n"/>
      <c r="N25" s="81" t="n"/>
      <c r="O25" s="81" t="n"/>
      <c r="P25" s="81" t="n"/>
      <c r="Q25" s="81" t="n"/>
      <c r="R25" s="81" t="n"/>
      <c r="S25" s="81" t="n"/>
      <c r="T25" s="81" t="n"/>
    </row>
    <row r="26">
      <c r="A26" s="320" t="inlineStr">
        <is>
          <t>Requête API REST simple</t>
        </is>
      </c>
      <c r="B26" s="531" t="inlineStr">
        <is>
          <t>0.1 – 0.5 g CO2e / requête</t>
        </is>
      </c>
      <c r="C26" s="532" t="inlineStr">
        <is>
          <t>Sans IA, sans base de données lourde</t>
        </is>
      </c>
      <c r="D26" s="296" t="n"/>
      <c r="E26" s="296" t="n"/>
      <c r="F26" s="296" t="n"/>
      <c r="G26" s="296" t="n"/>
      <c r="H26" s="296" t="n"/>
      <c r="I26" s="296" t="n"/>
      <c r="J26" s="296" t="n"/>
      <c r="K26" s="296" t="n"/>
      <c r="L26" s="296" t="n"/>
      <c r="M26" s="296" t="n"/>
      <c r="N26" s="296" t="n"/>
      <c r="O26" s="296" t="n"/>
      <c r="P26" s="296" t="n"/>
      <c r="Q26" s="296" t="n"/>
      <c r="R26" s="296" t="n"/>
      <c r="S26" s="296" t="n"/>
      <c r="T26" s="296" t="n"/>
    </row>
    <row r="27">
      <c r="A27" s="315" t="inlineStr">
        <is>
          <t>Requête avec IA (GPT-4)</t>
        </is>
      </c>
      <c r="B27" s="533" t="inlineStr">
        <is>
          <t>5 – 15 g CO2e / requête</t>
        </is>
      </c>
      <c r="C27" s="504" t="inlineStr">
        <is>
          <t>Variable selon modèle et longueur</t>
        </is>
      </c>
      <c r="D27" s="81" t="n"/>
      <c r="E27" s="81" t="n"/>
      <c r="F27" s="81" t="n"/>
      <c r="G27" s="81" t="n"/>
      <c r="H27" s="81" t="n"/>
      <c r="I27" s="81" t="n"/>
      <c r="J27" s="81" t="n"/>
      <c r="K27" s="81" t="n"/>
      <c r="L27" s="81" t="n"/>
      <c r="M27" s="81" t="n"/>
      <c r="N27" s="81" t="n"/>
      <c r="O27" s="81" t="n"/>
      <c r="P27" s="81" t="n"/>
      <c r="Q27" s="81" t="n"/>
      <c r="R27" s="81" t="n"/>
      <c r="S27" s="81" t="n"/>
      <c r="T27" s="81" t="n"/>
    </row>
    <row r="28">
      <c r="A28" s="320" t="inlineStr">
        <is>
          <t>Streaming vidéo SD 1h</t>
        </is>
      </c>
      <c r="B28" s="531" t="inlineStr">
        <is>
          <t>36 g CO2e</t>
        </is>
      </c>
      <c r="C28" s="532" t="inlineStr">
        <is>
          <t>Codec H264, réseau 4G</t>
        </is>
      </c>
      <c r="D28" s="296" t="n"/>
      <c r="E28" s="296" t="n"/>
      <c r="F28" s="296" t="n"/>
      <c r="G28" s="296" t="n"/>
      <c r="H28" s="296" t="n"/>
      <c r="I28" s="296" t="n"/>
      <c r="J28" s="296" t="n"/>
      <c r="K28" s="296" t="n"/>
      <c r="L28" s="296" t="n"/>
      <c r="M28" s="296" t="n"/>
      <c r="N28" s="296" t="n"/>
      <c r="O28" s="296" t="n"/>
      <c r="P28" s="296" t="n"/>
      <c r="Q28" s="296" t="n"/>
      <c r="R28" s="296" t="n"/>
      <c r="S28" s="296" t="n"/>
      <c r="T28" s="296" t="n"/>
    </row>
    <row r="29">
      <c r="A29" s="315" t="inlineStr">
        <is>
          <t>Streaming vidéo HD 1h</t>
        </is>
      </c>
      <c r="B29" s="533" t="inlineStr">
        <is>
          <t>80 g CO2e</t>
        </is>
      </c>
      <c r="C29" s="504" t="inlineStr">
        <is>
          <t>Réseau fibre, grande résolution</t>
        </is>
      </c>
      <c r="D29" s="81" t="n"/>
      <c r="E29" s="81" t="n"/>
      <c r="F29" s="81" t="n"/>
      <c r="G29" s="81" t="n"/>
      <c r="H29" s="81" t="n"/>
      <c r="I29" s="81" t="n"/>
      <c r="J29" s="81" t="n"/>
      <c r="K29" s="81" t="n"/>
      <c r="L29" s="81" t="n"/>
      <c r="M29" s="81" t="n"/>
      <c r="N29" s="81" t="n"/>
      <c r="O29" s="81" t="n"/>
      <c r="P29" s="81" t="n"/>
      <c r="Q29" s="81" t="n"/>
      <c r="R29" s="81" t="n"/>
      <c r="S29" s="81" t="n"/>
      <c r="T29" s="81" t="n"/>
    </row>
    <row r="30">
      <c r="A30" s="320" t="inlineStr">
        <is>
          <t>Visioconférence 1h</t>
        </is>
      </c>
      <c r="B30" s="531" t="inlineStr">
        <is>
          <t>100 – 200 g CO2e</t>
        </is>
      </c>
      <c r="C30" s="532" t="inlineStr">
        <is>
          <t>2 participants, caméra activée</t>
        </is>
      </c>
      <c r="D30" s="296" t="n"/>
      <c r="E30" s="296" t="n"/>
      <c r="F30" s="296" t="n"/>
      <c r="G30" s="296" t="n"/>
      <c r="H30" s="296" t="n"/>
      <c r="I30" s="296" t="n"/>
      <c r="J30" s="296" t="n"/>
      <c r="K30" s="296" t="n"/>
      <c r="L30" s="296" t="n"/>
      <c r="M30" s="296" t="n"/>
      <c r="N30" s="296" t="n"/>
      <c r="O30" s="296" t="n"/>
      <c r="P30" s="296" t="n"/>
      <c r="Q30" s="296" t="n"/>
      <c r="R30" s="296" t="n"/>
      <c r="S30" s="296" t="n"/>
      <c r="T30" s="296" t="n"/>
    </row>
    <row r="31">
      <c r="A31" s="315" t="inlineStr">
        <is>
          <t>Email simple</t>
        </is>
      </c>
      <c r="B31" s="533" t="inlineStr">
        <is>
          <t>4 g CO2e</t>
        </is>
      </c>
      <c r="C31" s="504" t="inlineStr">
        <is>
          <t>Sans PJ</t>
        </is>
      </c>
      <c r="D31" s="81" t="n"/>
      <c r="E31" s="81" t="n"/>
      <c r="F31" s="81" t="n"/>
      <c r="G31" s="81" t="n"/>
      <c r="H31" s="81" t="n"/>
      <c r="I31" s="81" t="n"/>
      <c r="J31" s="81" t="n"/>
      <c r="K31" s="81" t="n"/>
      <c r="L31" s="81" t="n"/>
      <c r="M31" s="81" t="n"/>
      <c r="N31" s="81" t="n"/>
      <c r="O31" s="81" t="n"/>
      <c r="P31" s="81" t="n"/>
      <c r="Q31" s="81" t="n"/>
      <c r="R31" s="81" t="n"/>
      <c r="S31" s="81" t="n"/>
      <c r="T31" s="81" t="n"/>
    </row>
    <row r="32">
      <c r="A32" s="320" t="inlineStr">
        <is>
          <t>Email avec PJ ≥1 Mo</t>
        </is>
      </c>
      <c r="B32" s="531" t="inlineStr">
        <is>
          <t>35 g CO2e</t>
        </is>
      </c>
      <c r="C32" s="532" t="inlineStr">
        <is>
          <t>Avec pièce jointe volumineuse</t>
        </is>
      </c>
      <c r="D32" s="296" t="n"/>
      <c r="E32" s="296" t="n"/>
      <c r="F32" s="296" t="n"/>
      <c r="G32" s="296" t="n"/>
      <c r="H32" s="296" t="n"/>
      <c r="I32" s="296" t="n"/>
      <c r="J32" s="296" t="n"/>
      <c r="K32" s="296" t="n"/>
      <c r="L32" s="296" t="n"/>
      <c r="M32" s="296" t="n"/>
      <c r="N32" s="296" t="n"/>
      <c r="O32" s="296" t="n"/>
      <c r="P32" s="296" t="n"/>
      <c r="Q32" s="296" t="n"/>
      <c r="R32" s="296" t="n"/>
      <c r="S32" s="296" t="n"/>
      <c r="T32" s="296" t="n"/>
    </row>
    <row r="34">
      <c r="A34" s="979" t="inlineStr">
        <is>
          <t>Méthode REN : Réseau (transfert Go x FE réseau) + Équipement terminal (sessions x durée x P_terminal x FE_user) + Nuage/datacenter (CO2_infra alloué via %). Pas de double comptage avec onglets 08/09 grâce au % d'allocation. Sources : NegaOctet (negaoctet.org), The Shift Project Lean ICT, Greenspector, ADEME/ARCEP 2023, websitecarbon.com.</t>
        </is>
      </c>
    </row>
    <row r="35"/>
  </sheetData>
  <mergeCells count="6">
    <mergeCell ref="A1:T1"/>
    <mergeCell ref="A23:T23"/>
    <mergeCell ref="A34:T35"/>
    <mergeCell ref="A3:M3"/>
    <mergeCell ref="N3:T3"/>
    <mergeCell ref="A2:T2"/>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N132"/>
  <sheetViews>
    <sheetView showGridLines="0" workbookViewId="0">
      <selection activeCell="F2" sqref="F2"/>
    </sheetView>
  </sheetViews>
  <sheetFormatPr baseColWidth="10" defaultRowHeight="15"/>
  <cols>
    <col width="38.42578125" bestFit="1" customWidth="1" style="847" min="1" max="1"/>
    <col width="30.7109375" bestFit="1" customWidth="1" style="847" min="2" max="2"/>
    <col width="37.42578125" bestFit="1" customWidth="1" style="847" min="4" max="4"/>
    <col width="12.5703125" customWidth="1" style="847" min="7" max="7"/>
    <col width="25.5703125" bestFit="1" customWidth="1" style="847" min="10" max="10"/>
  </cols>
  <sheetData>
    <row r="1" ht="36" customHeight="1" s="847">
      <c r="A1" s="987" t="inlineStr">
        <is>
          <t>SYNTHÈSE GLOBALE — BILAN CARBONE</t>
        </is>
      </c>
    </row>
    <row r="2">
      <c r="A2" s="990" t="inlineStr">
        <is>
          <t>Entreprise :</t>
        </is>
      </c>
      <c r="E2" s="990" t="inlineStr">
        <is>
          <t>Année :</t>
        </is>
      </c>
      <c r="F2" s="991">
        <f>'01_PARAMÈTRES2'!B9</f>
        <v/>
      </c>
      <c r="G2" s="990" t="inlineStr">
        <is>
          <t>Nb ETP :</t>
        </is>
      </c>
      <c r="H2" s="991">
        <f>'01_PARAMÈTRES2'!B12</f>
        <v/>
      </c>
      <c r="I2" s="991" t="n"/>
      <c r="J2" s="991" t="n"/>
    </row>
    <row r="3">
      <c r="A3" s="948" t="inlineStr">
        <is>
          <t>Note : L'onglet 13_MODÉLISATION_SERVICES n'est PAS additionné ici — il redistribue des émissions déjà comptées dans les onglets 08/09 (vue analytique, pas additive).</t>
        </is>
      </c>
    </row>
    <row r="4" ht="15.75" customHeight="1" s="847" thickBot="1"/>
    <row r="5" ht="15.75" customHeight="1" s="847">
      <c r="A5" s="992" t="inlineStr">
        <is>
          <t>A — AGRÉGATION PAR POSTE D'ÉMISSION</t>
        </is>
      </c>
      <c r="B5" s="1050" t="n"/>
      <c r="C5" s="1050" t="n"/>
      <c r="D5" s="1050" t="n"/>
      <c r="E5" s="1050" t="n"/>
      <c r="F5" s="1050" t="n"/>
      <c r="G5" s="1050" t="n"/>
      <c r="H5" s="1050" t="n"/>
      <c r="I5" s="1050" t="n"/>
      <c r="J5" s="1050" t="n"/>
      <c r="K5" s="663" t="n"/>
      <c r="L5" s="663" t="n"/>
      <c r="M5" s="663" t="n"/>
      <c r="N5" s="678" t="n"/>
    </row>
    <row r="6" ht="27.95" customHeight="1" s="847">
      <c r="A6" s="670" t="inlineStr">
        <is>
          <t>#</t>
        </is>
      </c>
      <c r="B6" s="627" t="inlineStr">
        <is>
          <t>Poste d'émission</t>
        </is>
      </c>
      <c r="C6" s="627" t="inlineStr">
        <is>
          <t>CO₂ usage (kg)</t>
        </is>
      </c>
      <c r="D6" s="627" t="inlineStr">
        <is>
          <t>CO₂ fab. (kg)</t>
        </is>
      </c>
      <c r="E6" s="627" t="inlineStr">
        <is>
          <t>CO₂ TOTAL (kg)</t>
        </is>
      </c>
      <c r="F6" s="627" t="inlineStr">
        <is>
          <t>tCO₂e</t>
        </is>
      </c>
      <c r="G6" s="627" t="inlineStr">
        <is>
          <t>Part (%)</t>
        </is>
      </c>
      <c r="H6" s="627" t="inlineStr">
        <is>
          <t>kWh/an</t>
        </is>
      </c>
      <c r="I6" s="627" t="inlineStr">
        <is>
          <t>Scope</t>
        </is>
      </c>
      <c r="J6" s="627" t="inlineStr">
        <is>
          <t>Commentaire</t>
        </is>
      </c>
      <c r="K6" s="628" t="inlineStr">
        <is>
          <t>Incert. (%)</t>
        </is>
      </c>
      <c r="L6" s="629" t="inlineStr">
        <is>
          <t>N-1 (kgCO2e)</t>
        </is>
      </c>
      <c r="M6" s="629" t="inlineStr">
        <is>
          <t>Variation (%)</t>
        </is>
      </c>
      <c r="N6" s="679" t="inlineStr">
        <is>
          <t>Var. abs. (kg)</t>
        </is>
      </c>
    </row>
    <row r="7">
      <c r="A7" s="671" t="n">
        <v>1</v>
      </c>
      <c r="B7" s="630" t="inlineStr">
        <is>
          <t>Électricité bâtiments</t>
        </is>
      </c>
      <c r="C7" s="631">
        <f>IFERROR('03_ÉNERGIE_BÂTIMENTS'!I10,0)</f>
        <v/>
      </c>
      <c r="D7" s="631" t="n"/>
      <c r="E7" s="631">
        <f>C7+IF(ISNUMBER(D7),D7,0)</f>
        <v/>
      </c>
      <c r="F7" s="631">
        <f>E7/1000</f>
        <v/>
      </c>
      <c r="G7" s="1051">
        <f>IFERROR(E7/E22,0)</f>
        <v/>
      </c>
      <c r="H7" s="631">
        <f>IFERROR('03_ÉNERGIE_BÂTIMENTS'!H10,0)</f>
        <v/>
      </c>
      <c r="I7" s="633" t="inlineStr">
        <is>
          <t>Scope 2</t>
        </is>
      </c>
      <c r="J7" s="634" t="inlineStr">
        <is>
          <t>Consommation élec locaux</t>
        </is>
      </c>
      <c r="K7" s="635" t="n">
        <v>0.1</v>
      </c>
      <c r="L7" s="636" t="n">
        <v>0</v>
      </c>
      <c r="M7" s="1052">
        <f>IFERROR((E7-L7)/L7,0)</f>
        <v/>
      </c>
      <c r="N7" s="680">
        <f>E7-L7</f>
        <v/>
      </c>
    </row>
    <row r="8">
      <c r="A8" s="671" t="n">
        <v>2</v>
      </c>
      <c r="B8" s="630" t="inlineStr">
        <is>
          <t>Chauffage bâtiments</t>
        </is>
      </c>
      <c r="C8" s="631">
        <f>IFERROR(SUM('03_ÉNERGIE_BÂTIMENTS'!I14:I23),0)</f>
        <v/>
      </c>
      <c r="D8" s="631" t="n"/>
      <c r="E8" s="631">
        <f>C8+IF(ISNUMBER(D8),D8,0)</f>
        <v/>
      </c>
      <c r="F8" s="631">
        <f>E8/1000</f>
        <v/>
      </c>
      <c r="G8" s="1051">
        <f>IFERROR(E8/E22,0)</f>
        <v/>
      </c>
      <c r="H8" s="631" t="n"/>
      <c r="I8" s="633" t="inlineStr">
        <is>
          <t>Scope 1/3</t>
        </is>
      </c>
      <c r="J8" s="634" t="inlineStr">
        <is>
          <t>Gaz/fioul/bois/district</t>
        </is>
      </c>
      <c r="K8" s="635" t="n">
        <v>0.07000000000000001</v>
      </c>
      <c r="L8" s="636" t="n">
        <v>0</v>
      </c>
      <c r="M8" s="1052">
        <f>IFERROR((E8-L8)/L8,0)</f>
        <v/>
      </c>
      <c r="N8" s="680">
        <f>E8-L8</f>
        <v/>
      </c>
    </row>
    <row r="9">
      <c r="A9" s="671" t="n">
        <v>3</v>
      </c>
      <c r="B9" s="630" t="inlineStr">
        <is>
          <t>Climatisation</t>
        </is>
      </c>
      <c r="C9" s="631">
        <f>IFERROR('03_ÉNERGIE_BÂTIMENTS'!I29,0)</f>
        <v/>
      </c>
      <c r="D9" s="631" t="n"/>
      <c r="E9" s="631">
        <f>C9+IF(ISNUMBER(D9),D9,0)</f>
        <v/>
      </c>
      <c r="F9" s="631">
        <f>E9/1000</f>
        <v/>
      </c>
      <c r="G9" s="1051">
        <f>IFERROR(E9/E22,0)</f>
        <v/>
      </c>
      <c r="H9" s="631" t="n"/>
      <c r="I9" s="633" t="inlineStr">
        <is>
          <t>Scope 2</t>
        </is>
      </c>
      <c r="J9" s="634" t="inlineStr">
        <is>
          <t>Élec clim (COP = 3)</t>
        </is>
      </c>
      <c r="K9" s="635" t="n">
        <v>0.15</v>
      </c>
      <c r="L9" s="636" t="n">
        <v>0</v>
      </c>
      <c r="M9" s="1052">
        <f>IFERROR((E9-L9)/L9,0)</f>
        <v/>
      </c>
      <c r="N9" s="680">
        <f>E9-L9</f>
        <v/>
      </c>
    </row>
    <row r="10">
      <c r="A10" s="671" t="n">
        <v>4</v>
      </c>
      <c r="B10" s="630" t="inlineStr">
        <is>
          <t>Eau</t>
        </is>
      </c>
      <c r="C10" s="631">
        <f>IFERROR(SUM('03_ÉNERGIE_BÂTIMENTS'!I33:I36),0)</f>
        <v/>
      </c>
      <c r="D10" s="631" t="n"/>
      <c r="E10" s="631">
        <f>C10+IF(ISNUMBER(D10),D10,0)</f>
        <v/>
      </c>
      <c r="F10" s="631">
        <f>E10/1000</f>
        <v/>
      </c>
      <c r="G10" s="1051">
        <f>IFERROR(E10/E22,0)</f>
        <v/>
      </c>
      <c r="H10" s="631" t="n"/>
      <c r="I10" s="633" t="inlineStr">
        <is>
          <t>Scope 3 Cat.1</t>
        </is>
      </c>
      <c r="J10" s="634" t="inlineStr">
        <is>
          <t>Eau froide + ECS + eaux usées</t>
        </is>
      </c>
      <c r="K10" s="635" t="n">
        <v>0.3</v>
      </c>
      <c r="L10" s="636" t="n">
        <v>0</v>
      </c>
      <c r="M10" s="1052">
        <f>IFERROR((E10-L10)/L10,0)</f>
        <v/>
      </c>
      <c r="N10" s="680">
        <f>E10-L10</f>
        <v/>
      </c>
    </row>
    <row r="11">
      <c r="A11" s="672" t="n">
        <v>5</v>
      </c>
      <c r="B11" s="638" t="inlineStr">
        <is>
          <t>Transport domicile-travail</t>
        </is>
      </c>
      <c r="C11" s="639">
        <f>IFERROR('04_TRANSPORT2'!J14,0)</f>
        <v/>
      </c>
      <c r="D11" s="639" t="n"/>
      <c r="E11" s="639">
        <f>C11+IF(ISNUMBER(D11),D11,0)</f>
        <v/>
      </c>
      <c r="F11" s="639">
        <f>E11/1000</f>
        <v/>
      </c>
      <c r="G11" s="1053">
        <f>IFERROR(E11/E22,0)</f>
        <v/>
      </c>
      <c r="H11" s="639" t="n"/>
      <c r="I11" s="641" t="inlineStr">
        <is>
          <t>Scope 3 Cat.7</t>
        </is>
      </c>
      <c r="J11" s="642" t="inlineStr">
        <is>
          <t>Navettes employés</t>
        </is>
      </c>
      <c r="K11" s="635" t="n">
        <v>0.25</v>
      </c>
      <c r="L11" s="636" t="n">
        <v>0</v>
      </c>
      <c r="M11" s="1052">
        <f>IFERROR((E11-L11)/L11,0)</f>
        <v/>
      </c>
      <c r="N11" s="680">
        <f>E11-L11</f>
        <v/>
      </c>
    </row>
    <row r="12">
      <c r="A12" s="672" t="n">
        <v>6</v>
      </c>
      <c r="B12" s="638" t="inlineStr">
        <is>
          <t>Déplacements professionnels</t>
        </is>
      </c>
      <c r="C12" s="639">
        <f>IFERROR('04_TRANSPORT2'!J29,0)</f>
        <v/>
      </c>
      <c r="D12" s="639" t="n"/>
      <c r="E12" s="639">
        <f>C12+IF(ISNUMBER(D12),D12,0)</f>
        <v/>
      </c>
      <c r="F12" s="639">
        <f>E12/1000</f>
        <v/>
      </c>
      <c r="G12" s="1053">
        <f>IFERROR(E12/E22,0)</f>
        <v/>
      </c>
      <c r="H12" s="639" t="n"/>
      <c r="I12" s="641" t="inlineStr">
        <is>
          <t>Scope 3 Cat.6</t>
        </is>
      </c>
      <c r="J12" s="642" t="inlineStr">
        <is>
          <t>Train + avion + voiture pro</t>
        </is>
      </c>
      <c r="K12" s="635" t="n">
        <v>0.15</v>
      </c>
      <c r="L12" s="636" t="n">
        <v>0</v>
      </c>
      <c r="M12" s="1052">
        <f>IFERROR((E12-L12)/L12,0)</f>
        <v/>
      </c>
      <c r="N12" s="680">
        <f>E12-L12</f>
        <v/>
      </c>
    </row>
    <row r="13">
      <c r="A13" s="672" t="n">
        <v>7</v>
      </c>
      <c r="B13" s="638" t="inlineStr">
        <is>
          <t>Flotte véhicules</t>
        </is>
      </c>
      <c r="C13" s="639">
        <f>IFERROR('04_TRANSPORT2'!J41,0)</f>
        <v/>
      </c>
      <c r="D13" s="639" t="n"/>
      <c r="E13" s="639">
        <f>C13+IF(ISNUMBER(D13),D13,0)</f>
        <v/>
      </c>
      <c r="F13" s="639">
        <f>E13/1000</f>
        <v/>
      </c>
      <c r="G13" s="1053">
        <f>IFERROR(E13/E22,0)</f>
        <v/>
      </c>
      <c r="H13" s="639" t="n"/>
      <c r="I13" s="641" t="inlineStr">
        <is>
          <t>Scope 1/3</t>
        </is>
      </c>
      <c r="J13" s="642" t="inlineStr">
        <is>
          <t>Véhicules d'entreprise</t>
        </is>
      </c>
      <c r="K13" s="635" t="n">
        <v>0.12</v>
      </c>
      <c r="L13" s="636" t="n">
        <v>0</v>
      </c>
      <c r="M13" s="1052">
        <f>IFERROR((E13-L13)/L13,0)</f>
        <v/>
      </c>
      <c r="N13" s="680">
        <f>E13-L13</f>
        <v/>
      </c>
    </row>
    <row r="14">
      <c r="A14" s="673" t="n">
        <v>8</v>
      </c>
      <c r="B14" s="643" t="inlineStr">
        <is>
          <t>Restauration</t>
        </is>
      </c>
      <c r="C14" s="644">
        <f>IFERROR('05_RESTAURATION'!B31,0)</f>
        <v/>
      </c>
      <c r="D14" s="644" t="n"/>
      <c r="E14" s="644">
        <f>C14+IF(ISNUMBER(D14),D14,0)</f>
        <v/>
      </c>
      <c r="F14" s="644">
        <f>E14/1000</f>
        <v/>
      </c>
      <c r="G14" s="1054">
        <f>IFERROR(E14/E22,0)</f>
        <v/>
      </c>
      <c r="H14" s="644" t="n"/>
      <c r="I14" s="646" t="inlineStr">
        <is>
          <t>Scope 3 Cat.1</t>
        </is>
      </c>
      <c r="J14" s="647" t="inlineStr">
        <is>
          <t>Repas + café + boissons</t>
        </is>
      </c>
      <c r="K14" s="635" t="n">
        <v>0.3</v>
      </c>
      <c r="L14" s="636" t="n">
        <v>0</v>
      </c>
      <c r="M14" s="1052">
        <f>IFERROR((E14-L14)/L14,0)</f>
        <v/>
      </c>
      <c r="N14" s="680">
        <f>E14-L14</f>
        <v/>
      </c>
    </row>
    <row r="15">
      <c r="A15" s="673" t="n">
        <v>9</v>
      </c>
      <c r="B15" s="643" t="inlineStr">
        <is>
          <t>Notes de frais</t>
        </is>
      </c>
      <c r="C15" s="644">
        <f>IFERROR('06_NOTES_DE_FRAIS'!G16,0)</f>
        <v/>
      </c>
      <c r="D15" s="644" t="n"/>
      <c r="E15" s="644">
        <f>C15+IF(ISNUMBER(D15),D15,0)</f>
        <v/>
      </c>
      <c r="F15" s="644">
        <f>E15/1000</f>
        <v/>
      </c>
      <c r="G15" s="1054">
        <f>IFERROR(E15/E22,0)</f>
        <v/>
      </c>
      <c r="H15" s="644" t="n"/>
      <c r="I15" s="646" t="inlineStr">
        <is>
          <t>Scope 3 Cat.6</t>
        </is>
      </c>
      <c r="J15" s="647" t="inlineStr">
        <is>
          <t>Hôtels + repas + taxis pro</t>
        </is>
      </c>
      <c r="K15" s="635" t="n">
        <v>0.6</v>
      </c>
      <c r="L15" s="636" t="n">
        <v>0</v>
      </c>
      <c r="M15" s="1052">
        <f>IFERROR((E15-L15)/L15,0)</f>
        <v/>
      </c>
      <c r="N15" s="680">
        <f>E15-L15</f>
        <v/>
      </c>
    </row>
    <row r="16">
      <c r="A16" s="674" t="n">
        <v>10</v>
      </c>
      <c r="B16" s="648" t="inlineStr">
        <is>
          <t>Déchets</t>
        </is>
      </c>
      <c r="C16" s="649">
        <f>IFERROR('07_DÉCHETS2'!J16,0)</f>
        <v/>
      </c>
      <c r="D16" s="649" t="n"/>
      <c r="E16" s="649">
        <f>C16+IF(ISNUMBER(D16),D16,0)</f>
        <v/>
      </c>
      <c r="F16" s="649">
        <f>E16/1000</f>
        <v/>
      </c>
      <c r="G16" s="1055">
        <f>IFERROR(E16/E22,0)</f>
        <v/>
      </c>
      <c r="H16" s="649" t="n"/>
      <c r="I16" s="651" t="inlineStr">
        <is>
          <t>Scope 3 Cat.5</t>
        </is>
      </c>
      <c r="J16" s="652" t="inlineStr">
        <is>
          <t>Déchets bureaux + IT</t>
        </is>
      </c>
      <c r="K16" s="635" t="n">
        <v>0.3</v>
      </c>
      <c r="L16" s="636" t="n">
        <v>0</v>
      </c>
      <c r="M16" s="1052">
        <f>IFERROR((E16-L16)/L16,0)</f>
        <v/>
      </c>
      <c r="N16" s="680">
        <f>E16-L16</f>
        <v/>
      </c>
    </row>
    <row r="17">
      <c r="A17" s="675" t="n">
        <v>11</v>
      </c>
      <c r="B17" s="653" t="inlineStr">
        <is>
          <t>Serveurs physiques</t>
        </is>
      </c>
      <c r="C17" s="654">
        <f>IFERROR(SUM('08_SERVEURS_PHYSIQUES'!O6:O15),0)</f>
        <v/>
      </c>
      <c r="D17" s="654">
        <f>IFERROR(SUM('08_SERVEURS_PHYSIQUES'!P6:P15),0)</f>
        <v/>
      </c>
      <c r="E17" s="654">
        <f>C17+IF(ISNUMBER(D17),D17,0)</f>
        <v/>
      </c>
      <c r="F17" s="654">
        <f>E17/1000</f>
        <v/>
      </c>
      <c r="G17" s="1056">
        <f>IFERROR(E17/E22,0)</f>
        <v/>
      </c>
      <c r="H17" s="654">
        <f>IFERROR(SUM('08_SERVEURS_PHYSIQUES'!N6:N15),0)</f>
        <v/>
      </c>
      <c r="I17" s="656" t="inlineStr">
        <is>
          <t>Scope 2/3</t>
        </is>
      </c>
      <c r="J17" s="657" t="inlineStr">
        <is>
          <t>On-premise : usage + fab amortie</t>
        </is>
      </c>
      <c r="K17" s="635" t="n">
        <v>0.15</v>
      </c>
      <c r="L17" s="636" t="n">
        <v>0</v>
      </c>
      <c r="M17" s="1052">
        <f>IFERROR((E17-L17)/L17,0)</f>
        <v/>
      </c>
      <c r="N17" s="680">
        <f>E17-L17</f>
        <v/>
      </c>
    </row>
    <row r="18">
      <c r="A18" s="675" t="n">
        <v>12</v>
      </c>
      <c r="B18" s="653" t="inlineStr">
        <is>
          <t>Instances cloud</t>
        </is>
      </c>
      <c r="C18" s="654">
        <f>IFERROR(SUM('09_INSTANCES_CLOUD'!V6:V20),0)</f>
        <v/>
      </c>
      <c r="D18" s="654">
        <f>IFERROR(SUM('09_INSTANCES_CLOUD'!W6:W20),0)</f>
        <v/>
      </c>
      <c r="E18" s="654">
        <f>C18+IF(ISNUMBER(D18),D18,0)</f>
        <v/>
      </c>
      <c r="F18" s="654">
        <f>E18/1000</f>
        <v/>
      </c>
      <c r="G18" s="1056">
        <f>IFERROR(E18/E22,0)</f>
        <v/>
      </c>
      <c r="H18" s="654">
        <f>IFERROR(SUM('09_INSTANCES_CLOUD'!U6:U20),0)</f>
        <v/>
      </c>
      <c r="I18" s="656" t="inlineStr">
        <is>
          <t>Scope 3 Cat.11</t>
        </is>
      </c>
      <c r="J18" s="657" t="inlineStr">
        <is>
          <t>Cloud : usage + fab amortie</t>
        </is>
      </c>
      <c r="K18" s="635" t="n">
        <v>0.3</v>
      </c>
      <c r="L18" s="636" t="n">
        <v>0</v>
      </c>
      <c r="M18" s="1052">
        <f>IFERROR((E18-L18)/L18,0)</f>
        <v/>
      </c>
      <c r="N18" s="680">
        <f>E18-L18</f>
        <v/>
      </c>
    </row>
    <row r="19">
      <c r="A19" s="675" t="n">
        <v>13</v>
      </c>
      <c r="B19" s="653" t="inlineStr">
        <is>
          <t>Équipements SI (réseau)</t>
        </is>
      </c>
      <c r="C19" s="654">
        <f>IFERROR(SUM('10_INVENTAIRE_SI'!O6:O20),0)</f>
        <v/>
      </c>
      <c r="D19" s="654">
        <f>IFERROR(SUM('10_INVENTAIRE_SI'!P6:P20),0)</f>
        <v/>
      </c>
      <c r="E19" s="654">
        <f>C19+IF(ISNUMBER(D19),D19,0)</f>
        <v/>
      </c>
      <c r="F19" s="654">
        <f>E19/1000</f>
        <v/>
      </c>
      <c r="G19" s="1056">
        <f>IFERROR(E19/E22,0)</f>
        <v/>
      </c>
      <c r="H19" s="654">
        <f>IFERROR(SUM('10_INVENTAIRE_SI'!N6:N20),0)</f>
        <v/>
      </c>
      <c r="I19" s="656" t="inlineStr">
        <is>
          <t>Scope 2/3</t>
        </is>
      </c>
      <c r="J19" s="657" t="inlineStr">
        <is>
          <t>Switchs, routeurs, firewalls…</t>
        </is>
      </c>
      <c r="K19" s="635" t="n">
        <v>0.15</v>
      </c>
      <c r="L19" s="636" t="n">
        <v>0</v>
      </c>
      <c r="M19" s="1052">
        <f>IFERROR((E19-L19)/L19,0)</f>
        <v/>
      </c>
      <c r="N19" s="680">
        <f>E19-L19</f>
        <v/>
      </c>
    </row>
    <row r="20">
      <c r="A20" s="675" t="n">
        <v>14</v>
      </c>
      <c r="B20" s="653" t="inlineStr">
        <is>
          <t>Équipements bureautiques</t>
        </is>
      </c>
      <c r="C20" s="654">
        <f>IFERROR(SUM('11_ÉQUIPEMENTS_BUREAU'!N6:N20),0)</f>
        <v/>
      </c>
      <c r="D20" s="654">
        <f>IFERROR(SUM('11_ÉQUIPEMENTS_BUREAU'!O6:O20),0)</f>
        <v/>
      </c>
      <c r="E20" s="654">
        <f>C20+IF(ISNUMBER(D20),D20,0)</f>
        <v/>
      </c>
      <c r="F20" s="654">
        <f>E20/1000</f>
        <v/>
      </c>
      <c r="G20" s="1056">
        <f>IFERROR(E20/E22,0)</f>
        <v/>
      </c>
      <c r="H20" s="654" t="n"/>
      <c r="I20" s="656" t="inlineStr">
        <is>
          <t>Scope 3 Cat.11</t>
        </is>
      </c>
      <c r="J20" s="657" t="inlineStr">
        <is>
          <t>Laptops, écrans, smartphones…</t>
        </is>
      </c>
      <c r="K20" s="635" t="n">
        <v>0.3</v>
      </c>
      <c r="L20" s="636" t="n">
        <v>0</v>
      </c>
      <c r="M20" s="1052">
        <f>IFERROR((E20-L20)/L20,0)</f>
        <v/>
      </c>
      <c r="N20" s="680">
        <f>E20-L20</f>
        <v/>
      </c>
    </row>
    <row r="21">
      <c r="A21" s="676" t="n">
        <v>15</v>
      </c>
      <c r="B21" s="658" t="inlineStr">
        <is>
          <t>Usages numériques</t>
        </is>
      </c>
      <c r="C21" s="659">
        <f>IFERROR('12_USAGES_NUMÉRIQUES'!B72,0)</f>
        <v/>
      </c>
      <c r="D21" s="659" t="n"/>
      <c r="E21" s="659">
        <f>C21+IF(ISNUMBER(D21),D21,0)</f>
        <v/>
      </c>
      <c r="F21" s="659">
        <f>E21/1000</f>
        <v/>
      </c>
      <c r="G21" s="1057">
        <f>IFERROR(E21/E22,0)</f>
        <v/>
      </c>
      <c r="H21" s="659" t="n"/>
      <c r="I21" s="661" t="inlineStr">
        <is>
          <t>Scope 3 Cat.9</t>
        </is>
      </c>
      <c r="J21" s="662" t="inlineStr">
        <is>
          <t>Emails, visio, IA, SaaS, réseau</t>
        </is>
      </c>
      <c r="K21" s="635" t="n">
        <v>0.5</v>
      </c>
      <c r="L21" s="636" t="n">
        <v>0</v>
      </c>
      <c r="M21" s="1052">
        <f>IFERROR((E21-L21)/L21,0)</f>
        <v/>
      </c>
      <c r="N21" s="680">
        <f>E21-L21</f>
        <v/>
      </c>
    </row>
    <row r="22" ht="16.5" customHeight="1" s="847" thickBot="1">
      <c r="A22" s="677" t="n"/>
      <c r="B22" s="664" t="inlineStr">
        <is>
          <t>TOTAL BILAN CARBONE</t>
        </is>
      </c>
      <c r="C22" s="665">
        <f>SUM(C7:C21)</f>
        <v/>
      </c>
      <c r="D22" s="665">
        <f t="array" ref="D22">SUMPRODUCT((D7:D21&gt;0)*D7:D21)</f>
        <v/>
      </c>
      <c r="E22" s="665">
        <f>SUM(E7:E21)</f>
        <v/>
      </c>
      <c r="F22" s="665">
        <f>E22/1000</f>
        <v/>
      </c>
      <c r="G22" s="665" t="n">
        <v>1</v>
      </c>
      <c r="H22" s="665">
        <f t="array" ref="H22">SUMPRODUCT((H7:H21&gt;0)*H7:H21)</f>
        <v/>
      </c>
      <c r="I22" s="666" t="n"/>
      <c r="J22" s="666" t="n"/>
      <c r="K22" s="667" t="n"/>
      <c r="L22" s="668">
        <f>SUM(L7:L21)</f>
        <v/>
      </c>
      <c r="M22" s="1058">
        <f>IFERROR((E22-L22)/L22,0)</f>
        <v/>
      </c>
      <c r="N22" s="681">
        <f>E22-L22</f>
        <v/>
      </c>
    </row>
    <row r="24" ht="15.75" customHeight="1" s="847">
      <c r="A24" s="984" t="inlineStr">
        <is>
          <t>B — REGROUPEMENT THÉMATIQUE</t>
        </is>
      </c>
    </row>
    <row r="25">
      <c r="A25" s="477" t="inlineStr">
        <is>
          <t>Thème</t>
        </is>
      </c>
      <c r="B25" s="477" t="inlineStr">
        <is>
          <t>tCO2e/an</t>
        </is>
      </c>
      <c r="C25" s="477" t="inlineStr">
        <is>
          <t>Part (%)</t>
        </is>
      </c>
      <c r="D25" s="477" t="inlineStr">
        <is>
          <t>Postes inclus</t>
        </is>
      </c>
    </row>
    <row r="26">
      <c r="A26" s="682" t="inlineStr">
        <is>
          <t>Energie batiments</t>
        </is>
      </c>
      <c r="B26" s="1059">
        <f>(E7+E8+E9+E10)/1000</f>
        <v/>
      </c>
      <c r="C26" s="1060">
        <f>IFERROR(B26/B34,0)</f>
        <v/>
      </c>
      <c r="D26" s="685" t="inlineStr">
        <is>
          <t>Elec + Chauffage + Clim + Eau</t>
        </is>
      </c>
      <c r="E26" s="686" t="n"/>
      <c r="F26" s="686" t="n"/>
      <c r="G26" s="686" t="n"/>
      <c r="H26" s="686" t="n"/>
      <c r="I26" s="686" t="n"/>
      <c r="J26" s="686" t="n"/>
    </row>
    <row r="27">
      <c r="A27" s="611" t="inlineStr">
        <is>
          <t>Transport</t>
        </is>
      </c>
      <c r="B27" s="1061">
        <f>(E11+E12+E13)/1000</f>
        <v/>
      </c>
      <c r="C27" s="1062">
        <f>IFERROR(B27/B34,0)</f>
        <v/>
      </c>
      <c r="D27" s="613" t="inlineStr">
        <is>
          <t>Dom-travail + Deplacements pro + Flotte</t>
        </is>
      </c>
      <c r="E27" s="688" t="n"/>
      <c r="F27" s="688" t="n"/>
      <c r="G27" s="688" t="n"/>
      <c r="H27" s="688" t="n"/>
      <c r="I27" s="688" t="n"/>
      <c r="J27" s="688" t="n"/>
    </row>
    <row r="28">
      <c r="A28" s="614" t="inlineStr">
        <is>
          <t>Alimentation</t>
        </is>
      </c>
      <c r="B28" s="1063">
        <f>E14/1000</f>
        <v/>
      </c>
      <c r="C28" s="1064">
        <f>IFERROR(B28/B34,0)</f>
        <v/>
      </c>
      <c r="D28" s="616" t="inlineStr">
        <is>
          <t>Restauration (repas + boissons)</t>
        </is>
      </c>
      <c r="E28" s="688" t="n"/>
      <c r="F28" s="688" t="n"/>
      <c r="G28" s="688" t="n"/>
      <c r="H28" s="688" t="n"/>
      <c r="I28" s="688" t="n"/>
      <c r="J28" s="688" t="n"/>
    </row>
    <row r="29">
      <c r="A29" s="614" t="inlineStr">
        <is>
          <t>Notes de frais</t>
        </is>
      </c>
      <c r="B29" s="1063">
        <f>E15/1000</f>
        <v/>
      </c>
      <c r="C29" s="1064">
        <f>IFERROR(B29/B34,0)</f>
        <v/>
      </c>
      <c r="D29" s="616" t="inlineStr">
        <is>
          <t>Hotels, repas, taxis deplacements pro</t>
        </is>
      </c>
      <c r="E29" s="688" t="n"/>
      <c r="F29" s="688" t="n"/>
      <c r="G29" s="688" t="n"/>
      <c r="H29" s="688" t="n"/>
      <c r="I29" s="688" t="n"/>
      <c r="J29" s="688" t="n"/>
    </row>
    <row r="30">
      <c r="A30" s="617" t="inlineStr">
        <is>
          <t>Dechets</t>
        </is>
      </c>
      <c r="B30" s="1065">
        <f>E16/1000</f>
        <v/>
      </c>
      <c r="C30" s="1066">
        <f>IFERROR(B30/B34,0)</f>
        <v/>
      </c>
      <c r="D30" s="619" t="inlineStr">
        <is>
          <t>Dechets bureaux + IT</t>
        </is>
      </c>
      <c r="E30" s="688" t="n"/>
      <c r="F30" s="688" t="n"/>
      <c r="G30" s="688" t="n"/>
      <c r="H30" s="688" t="n"/>
      <c r="I30" s="688" t="n"/>
      <c r="J30" s="688" t="n"/>
    </row>
    <row r="31">
      <c r="A31" s="620" t="inlineStr">
        <is>
          <t>Infrastructure IT</t>
        </is>
      </c>
      <c r="B31" s="1067">
        <f>(E17+E18+E19)/1000</f>
        <v/>
      </c>
      <c r="C31" s="1068">
        <f>IFERROR(B31/B34,0)</f>
        <v/>
      </c>
      <c r="D31" s="622" t="inlineStr">
        <is>
          <t>Serveurs + Cloud + Reseau SI</t>
        </is>
      </c>
      <c r="E31" s="688" t="n"/>
      <c r="F31" s="688" t="n"/>
      <c r="G31" s="688" t="n"/>
      <c r="H31" s="688" t="n"/>
      <c r="I31" s="688" t="n"/>
      <c r="J31" s="688" t="n"/>
    </row>
    <row r="32">
      <c r="A32" s="620" t="inlineStr">
        <is>
          <t>Equipements bureau</t>
        </is>
      </c>
      <c r="B32" s="1067">
        <f>E20/1000</f>
        <v/>
      </c>
      <c r="C32" s="1068">
        <f>IFERROR(B32/B34,0)</f>
        <v/>
      </c>
      <c r="D32" s="622" t="inlineStr">
        <is>
          <t>Laptops, ecrans, smartphones</t>
        </is>
      </c>
      <c r="E32" s="688" t="n"/>
      <c r="F32" s="688" t="n"/>
      <c r="G32" s="688" t="n"/>
      <c r="H32" s="688" t="n"/>
      <c r="I32" s="688" t="n"/>
      <c r="J32" s="688" t="n"/>
    </row>
    <row r="33">
      <c r="A33" s="623" t="inlineStr">
        <is>
          <t>Usages numeriques</t>
        </is>
      </c>
      <c r="B33" s="1069">
        <f>E21/1000</f>
        <v/>
      </c>
      <c r="C33" s="1070">
        <f>IFERROR(B33/B34,0)</f>
        <v/>
      </c>
      <c r="D33" s="625" t="inlineStr">
        <is>
          <t>Emails + Visio + IA + SaaS + Reseau</t>
        </is>
      </c>
      <c r="E33" s="688" t="n"/>
      <c r="F33" s="688" t="n"/>
      <c r="G33" s="688" t="n"/>
      <c r="H33" s="688" t="n"/>
      <c r="I33" s="688" t="n"/>
      <c r="J33" s="688" t="n"/>
    </row>
    <row r="34">
      <c r="A34" s="693" t="inlineStr">
        <is>
          <t>TOTAL</t>
        </is>
      </c>
      <c r="B34" s="1071">
        <f>SUM(B26:B33)</f>
        <v/>
      </c>
      <c r="C34" s="695" t="n">
        <v>1</v>
      </c>
      <c r="D34" s="626" t="n"/>
      <c r="E34" s="696" t="n"/>
      <c r="F34" s="696" t="n"/>
      <c r="G34" s="696" t="n"/>
      <c r="H34" s="696" t="n"/>
      <c r="I34" s="696" t="n"/>
      <c r="J34" s="696" t="n"/>
    </row>
    <row r="36" ht="15.75" customHeight="1" s="847">
      <c r="A36" s="984" t="inlineStr">
        <is>
          <t>C — INDICATEURS CLES (KPIs)</t>
        </is>
      </c>
    </row>
    <row r="37">
      <c r="A37" s="322" t="inlineStr">
        <is>
          <t>Indicateur</t>
        </is>
      </c>
      <c r="B37" s="322" t="inlineStr">
        <is>
          <t>Valeur</t>
        </is>
      </c>
      <c r="C37" s="322" t="inlineStr">
        <is>
          <t>Unite</t>
        </is>
      </c>
      <c r="D37" s="322" t="inlineStr">
        <is>
          <t>Formule / Source</t>
        </is>
      </c>
    </row>
    <row r="38">
      <c r="A38" s="469" t="inlineStr">
        <is>
          <t>CO2 total (tCO2e/an)</t>
        </is>
      </c>
      <c r="B38" s="1072">
        <f>F22</f>
        <v/>
      </c>
      <c r="C38" s="247" t="inlineStr">
        <is>
          <t>tCO2e</t>
        </is>
      </c>
      <c r="D38" s="540" t="inlineStr">
        <is>
          <t>Somme tous postes Section A</t>
        </is>
      </c>
    </row>
    <row r="39">
      <c r="A39" s="315" t="inlineStr">
        <is>
          <t>CO2 par employe (tCO2e/ETP/an)</t>
        </is>
      </c>
      <c r="B39" s="1030">
        <f>IFERROR(F22/'01_PARAMÈTRES2'!B12,0)</f>
        <v/>
      </c>
      <c r="C39" s="81" t="inlineStr">
        <is>
          <t>tCO2e/ETP</t>
        </is>
      </c>
      <c r="D39" s="504" t="inlineStr">
        <is>
          <t>Total / nb_employes (Parametres B11)</t>
        </is>
      </c>
    </row>
    <row r="40">
      <c r="A40" s="469" t="inlineStr">
        <is>
          <t>CO2 par M EUR de CA (tCO2e/M EUR)</t>
        </is>
      </c>
      <c r="B40" s="470">
        <f>IFERROR(F22/('01_PARAMÈTRES2'!B20/1000000),0)</f>
        <v/>
      </c>
      <c r="C40" s="247" t="inlineStr">
        <is>
          <t>tCO2e/M EUR</t>
        </is>
      </c>
      <c r="D40" s="540" t="inlineStr">
        <is>
          <t>Total / CA (Parametres B7)</t>
        </is>
      </c>
    </row>
    <row r="41">
      <c r="A41" s="315" t="inlineStr">
        <is>
          <t>Consommation elec totale (kWh/an)</t>
        </is>
      </c>
      <c r="B41" s="299">
        <f>H22</f>
        <v/>
      </c>
      <c r="C41" s="81" t="inlineStr">
        <is>
          <t>kWh/an</t>
        </is>
      </c>
      <c r="D41" s="504" t="inlineStr">
        <is>
          <t>Somme col kWh onglets 03/08/09/10/11</t>
        </is>
      </c>
    </row>
    <row r="42">
      <c r="A42" s="469" t="inlineStr">
        <is>
          <t>Cout elec estime (EUR/an)</t>
        </is>
      </c>
      <c r="B42" s="470">
        <f>IFERROR(H22*'01_PARAMÈTRES2'!B25,0)</f>
        <v/>
      </c>
      <c r="C42" s="247" t="inlineStr">
        <is>
          <t>EUR/an</t>
        </is>
      </c>
      <c r="D42" s="540" t="inlineStr">
        <is>
          <t>kWh_total x prix_kWh (Parametres B26)</t>
        </is>
      </c>
    </row>
    <row r="43">
      <c r="A43" s="315" t="inlineStr">
        <is>
          <t>kWh par employe / an</t>
        </is>
      </c>
      <c r="B43" s="299">
        <f>IFERROR(H22/'01_PARAMÈTRES2'!B12,0)</f>
        <v/>
      </c>
      <c r="C43" s="81" t="inlineStr">
        <is>
          <t>kWh/ETP</t>
        </is>
      </c>
      <c r="D43" s="504" t="inlineStr">
        <is>
          <t>kWh_total / nb_employes</t>
        </is>
      </c>
    </row>
    <row r="44">
      <c r="A44" s="469" t="inlineStr">
        <is>
          <t>Part fabrication / total (%)</t>
        </is>
      </c>
      <c r="B44" s="1044">
        <f>IFERROR(D22/E22,0)</f>
        <v/>
      </c>
      <c r="C44" s="247" t="inlineStr">
        <is>
          <t>%</t>
        </is>
      </c>
      <c r="D44" s="540" t="inlineStr">
        <is>
          <t>CO2_fab / CO2_total</t>
        </is>
      </c>
    </row>
    <row r="45">
      <c r="A45" s="315" t="inlineStr">
        <is>
          <t>Part IT / total (%)</t>
        </is>
      </c>
      <c r="B45" s="1035">
        <f>IFERROR((E17+E18+E19+E20+E21)/E22,0)</f>
        <v/>
      </c>
      <c r="C45" s="81" t="inlineStr">
        <is>
          <t>%</t>
        </is>
      </c>
      <c r="D45" s="504" t="inlineStr">
        <is>
          <t>Infra+Cloud+SI+Bureau+Usages / Total</t>
        </is>
      </c>
    </row>
    <row r="46">
      <c r="A46" s="469" t="inlineStr">
        <is>
          <t>Part transport / total (%)</t>
        </is>
      </c>
      <c r="B46" s="1044">
        <f>IFERROR((E11+E12+E13)/E22,0)</f>
        <v/>
      </c>
      <c r="C46" s="247" t="inlineStr">
        <is>
          <t>%</t>
        </is>
      </c>
      <c r="D46" s="540" t="inlineStr">
        <is>
          <t>DT + Pro + Flotte / Total</t>
        </is>
      </c>
    </row>
    <row r="47">
      <c r="A47" s="315" t="inlineStr">
        <is>
          <t>Part energie batiments / total (%)</t>
        </is>
      </c>
      <c r="B47" s="1035">
        <f>IFERROR((E7+E8+E9+E10)/E22,0)</f>
        <v/>
      </c>
      <c r="C47" s="81" t="inlineStr">
        <is>
          <t>%</t>
        </is>
      </c>
      <c r="D47" s="504" t="inlineStr">
        <is>
          <t>Elec+Chauffage+Clim+Eau / Total</t>
        </is>
      </c>
    </row>
    <row r="48">
      <c r="A48" s="469" t="inlineStr">
        <is>
          <t>Taux equipements reconditiones (%)</t>
        </is>
      </c>
      <c r="B48" s="1044">
        <f>IFERROR(COUNTIF('11_ÉQUIPEMENTS_BUREAU'!D6:D20,"Oui")/COUNTA('11_ÉQUIPEMENTS_BUREAU'!D6:D20),0)</f>
        <v/>
      </c>
      <c r="C48" s="247" t="inlineStr">
        <is>
          <t>%</t>
        </is>
      </c>
      <c r="D48" s="540" t="inlineStr">
        <is>
          <t>Depuis 11_EQUIP_BUREAU col D</t>
        </is>
      </c>
    </row>
    <row r="49">
      <c r="A49" s="315" t="inlineStr">
        <is>
          <t>Nb equipements IT a renouveler</t>
        </is>
      </c>
      <c r="B49" s="451">
        <f>IFERROR(COUNTIF('10_INVENTAIRE_SI'!S6:S20,"Renouveler")+COUNTIF('11_ÉQUIPEMENTS_BUREAU'!T6:T20,"Renouveler"),0)</f>
        <v/>
      </c>
      <c r="C49" s="81" t="inlineStr">
        <is>
          <t>equipements</t>
        </is>
      </c>
      <c r="D49" s="504" t="inlineStr">
        <is>
          <t>Statut=Renouveler (onglets 10+11)</t>
        </is>
      </c>
    </row>
    <row r="50">
      <c r="A50" s="534" t="inlineStr">
        <is>
          <t>Objectif tCO2e (annee suivante)</t>
        </is>
      </c>
      <c r="B50" s="1073">
        <f>IFERROR(F22*(1+IFERROR('01_PARAMÈTRES2'!B31,-0.1)),0)</f>
        <v/>
      </c>
      <c r="C50" s="534" t="inlineStr">
        <is>
          <t>tCO2e</t>
        </is>
      </c>
      <c r="D50" s="542" t="inlineStr">
        <is>
          <t>Total x (1 + objectif reduction Parametres B14)</t>
        </is>
      </c>
    </row>
    <row r="51">
      <c r="A51" s="534" t="inlineStr">
        <is>
          <t>Reduction necessaire (tCO2e)</t>
        </is>
      </c>
      <c r="B51" s="1073">
        <f>IFERROR(F22-B50,0)</f>
        <v/>
      </c>
      <c r="C51" s="534" t="inlineStr">
        <is>
          <t>tCO2e</t>
        </is>
      </c>
      <c r="D51" s="542" t="inlineStr">
        <is>
          <t>Total - Objectif</t>
        </is>
      </c>
    </row>
    <row r="53" ht="15.75" customHeight="1" s="847">
      <c r="A53" s="984" t="inlineStr">
        <is>
          <t>D — EQUIVALENCES PARLANTES</t>
        </is>
      </c>
    </row>
    <row r="54">
      <c r="A54" s="322" t="inlineStr">
        <is>
          <t>Equivalence</t>
        </is>
      </c>
      <c r="B54" s="322" t="inlineStr">
        <is>
          <t>Valeur</t>
        </is>
      </c>
      <c r="C54" s="322" t="inlineStr">
        <is>
          <t>Unite</t>
        </is>
      </c>
      <c r="D54" s="322" t="inlineStr">
        <is>
          <t>Base de calcul</t>
        </is>
      </c>
    </row>
    <row r="55">
      <c r="A55" s="469" t="inlineStr">
        <is>
          <t>Km en voiture thermique</t>
        </is>
      </c>
      <c r="B55" s="543">
        <f>IFERROR(E22/0.218,0)</f>
        <v/>
      </c>
      <c r="C55" s="247" t="inlineStr">
        <is>
          <t>km</t>
        </is>
      </c>
      <c r="D55" s="540" t="inlineStr">
        <is>
          <t>CO2_kg / 0.218 kgCO2e/km (ADEME voiture moy.)</t>
        </is>
      </c>
    </row>
    <row r="56">
      <c r="A56" s="315" t="inlineStr">
        <is>
          <t>A/R Paris-New York avion eco</t>
        </is>
      </c>
      <c r="B56" s="451">
        <f>IFERROR(E22/(0.152*5837*2),0)</f>
        <v/>
      </c>
      <c r="C56" s="81" t="inlineStr">
        <is>
          <t>A/R</t>
        </is>
      </c>
      <c r="D56" s="504" t="inlineStr">
        <is>
          <t>CO2 / (0.152 kg/passager/km x 5837 km x 2)</t>
        </is>
      </c>
    </row>
    <row r="57">
      <c r="A57" s="469" t="inlineStr">
        <is>
          <t>Arbres planter 50 ans</t>
        </is>
      </c>
      <c r="B57" s="543">
        <f>IFERROR(E22/25,0)</f>
        <v/>
      </c>
      <c r="C57" s="247" t="inlineStr">
        <is>
          <t>arbres</t>
        </is>
      </c>
      <c r="D57" s="540" t="inlineStr">
        <is>
          <t>CO2_kg / 25 kg absorbes/arbre/an (50 ans)</t>
        </is>
      </c>
    </row>
    <row r="58">
      <c r="A58" s="315" t="inlineStr">
        <is>
          <t>Foyers francais (empreinte moy)</t>
        </is>
      </c>
      <c r="B58" s="451">
        <f>IFERROR(F22/8.9,0)</f>
        <v/>
      </c>
      <c r="C58" s="81" t="inlineStr">
        <is>
          <t>foyers</t>
        </is>
      </c>
      <c r="D58" s="504" t="inlineStr">
        <is>
          <t>tCO2 / 8.9 tCO2e/foyer/an (ADEME 2024)</t>
        </is>
      </c>
    </row>
    <row r="59">
      <c r="A59" s="469" t="inlineStr">
        <is>
          <t>kWh electricite consommes</t>
        </is>
      </c>
      <c r="B59" s="543">
        <f>IFERROR(H22,0)</f>
        <v/>
      </c>
      <c r="C59" s="247" t="inlineStr">
        <is>
          <t>kWh</t>
        </is>
      </c>
      <c r="D59" s="540" t="inlineStr">
        <is>
          <t>Somme consommations electriques mesurees</t>
        </is>
      </c>
    </row>
    <row r="60">
      <c r="A60" s="315" t="inlineStr">
        <is>
          <t>Barils de petrole equivalents</t>
        </is>
      </c>
      <c r="B60" s="451">
        <f>IFERROR(H22/1628,0)</f>
        <v/>
      </c>
      <c r="C60" s="81" t="inlineStr">
        <is>
          <t>barils</t>
        </is>
      </c>
      <c r="D60" s="504" t="inlineStr">
        <is>
          <t>kWh / 1628 kWh/baril petrole</t>
        </is>
      </c>
    </row>
    <row r="62" ht="15.75" customHeight="1" s="847">
      <c r="A62" s="985" t="inlineStr">
        <is>
          <t>E — CONTROLE QUALITE — ANTI-DOUBLE COMPTAGE</t>
        </is>
      </c>
    </row>
    <row r="63">
      <c r="A63" s="310" t="inlineStr">
        <is>
          <t>Onglet 13 (Modelisation services)</t>
        </is>
      </c>
      <c r="B63" s="544" t="inlineStr">
        <is>
          <t>NON additionne</t>
        </is>
      </c>
      <c r="C63" s="537" t="inlineStr">
        <is>
          <t>Vue analytique — les CO2 infra viennent deja de 08/09</t>
        </is>
      </c>
      <c r="D63" s="297" t="n"/>
    </row>
    <row r="64">
      <c r="A64" s="534" t="inlineStr">
        <is>
          <t>Stockage cloud SaaS (onglet 12, section D)</t>
        </is>
      </c>
      <c r="B64" s="545" t="inlineStr">
        <is>
          <t>A verifier</t>
        </is>
      </c>
      <c r="C64" s="536" t="inlineStr">
        <is>
          <t>Si meme stockage dans onglet 09, ne pas doubler</t>
        </is>
      </c>
      <c r="D64" s="281" t="n"/>
    </row>
    <row r="65">
      <c r="A65" s="534" t="inlineStr">
        <is>
          <t>Vols notes de frais (onglet 06)</t>
        </is>
      </c>
      <c r="B65" s="545" t="inlineStr">
        <is>
          <t>A verifier</t>
        </is>
      </c>
      <c r="C65" s="536" t="inlineStr">
        <is>
          <t>Ne pas aussi compter dans deplacement pro (onglet 04 section B) pour memes trajets</t>
        </is>
      </c>
      <c r="D65" s="281" t="n"/>
    </row>
    <row r="66">
      <c r="A66" s="310" t="inlineStr">
        <is>
          <t>Fabrication equipements</t>
        </is>
      </c>
      <c r="B66" s="544" t="inlineStr">
        <is>
          <t>Comptee une fois</t>
        </is>
      </c>
      <c r="C66" s="537" t="inlineStr">
        <is>
          <t>Amortie sur duree de vie dans onglets 08/09/10/11</t>
        </is>
      </c>
      <c r="D66" s="297" t="n"/>
    </row>
    <row r="67">
      <c r="A67" s="310" t="inlineStr">
        <is>
          <t>Electricite cloud (onglet 09)</t>
        </is>
      </c>
      <c r="B67" s="544" t="inlineStr">
        <is>
          <t>Scope 3 uniquement</t>
        </is>
      </c>
      <c r="C67" s="537" t="inlineStr">
        <is>
          <t>Hors perimetre operationnel — pas dans Scope 2</t>
        </is>
      </c>
      <c r="D67" s="297" t="n"/>
    </row>
    <row r="69" ht="15.75" customHeight="1" s="847">
      <c r="A69" s="986" t="inlineStr">
        <is>
          <t>F — DONNEES SOURCE GRAPHIQUES (Pie chart themes / Bar chart postes)</t>
        </is>
      </c>
    </row>
    <row r="70">
      <c r="A70" s="546" t="inlineStr">
        <is>
          <t>Theme</t>
        </is>
      </c>
      <c r="B70" s="546" t="inlineStr">
        <is>
          <t>tCO2e</t>
        </is>
      </c>
      <c r="D70" s="546" t="inlineStr">
        <is>
          <t>Poste</t>
        </is>
      </c>
      <c r="E70" s="546" t="inlineStr">
        <is>
          <t>tCO2e</t>
        </is>
      </c>
      <c r="F70" s="546" t="inlineStr">
        <is>
          <t>Scope</t>
        </is>
      </c>
    </row>
    <row r="71">
      <c r="A71" s="424" t="inlineStr">
        <is>
          <t>Energie batiments</t>
        </is>
      </c>
      <c r="B71" s="1074">
        <f>B26</f>
        <v/>
      </c>
      <c r="D71" s="424" t="inlineStr">
        <is>
          <t>Electricite</t>
        </is>
      </c>
      <c r="E71" s="1074">
        <f>F7</f>
        <v/>
      </c>
      <c r="F71" s="424" t="inlineStr">
        <is>
          <t>Scope 2</t>
        </is>
      </c>
    </row>
    <row r="72">
      <c r="A72" s="81" t="inlineStr">
        <is>
          <t>Transport</t>
        </is>
      </c>
      <c r="B72" s="1030">
        <f>B27</f>
        <v/>
      </c>
      <c r="D72" s="81" t="inlineStr">
        <is>
          <t>Chauffage</t>
        </is>
      </c>
      <c r="E72" s="1030">
        <f>F8</f>
        <v/>
      </c>
      <c r="F72" s="81" t="inlineStr">
        <is>
          <t>Scope 1/3</t>
        </is>
      </c>
    </row>
    <row r="73">
      <c r="A73" s="424" t="inlineStr">
        <is>
          <t>Alimentation</t>
        </is>
      </c>
      <c r="B73" s="1074">
        <f>B28</f>
        <v/>
      </c>
      <c r="D73" s="424" t="inlineStr">
        <is>
          <t>Climatisation</t>
        </is>
      </c>
      <c r="E73" s="1074">
        <f>F9</f>
        <v/>
      </c>
      <c r="F73" s="424" t="inlineStr">
        <is>
          <t>Scope 2</t>
        </is>
      </c>
    </row>
    <row r="74">
      <c r="A74" s="81" t="inlineStr">
        <is>
          <t>Notes de frais</t>
        </is>
      </c>
      <c r="B74" s="1030">
        <f>B29</f>
        <v/>
      </c>
      <c r="D74" s="81" t="inlineStr">
        <is>
          <t>Eau</t>
        </is>
      </c>
      <c r="E74" s="1030">
        <f>F10</f>
        <v/>
      </c>
      <c r="F74" s="81" t="inlineStr">
        <is>
          <t>Scope 3</t>
        </is>
      </c>
    </row>
    <row r="75">
      <c r="A75" s="424" t="inlineStr">
        <is>
          <t>Dechets</t>
        </is>
      </c>
      <c r="B75" s="1074">
        <f>B30</f>
        <v/>
      </c>
      <c r="D75" s="424" t="inlineStr">
        <is>
          <t>Dom-travail</t>
        </is>
      </c>
      <c r="E75" s="1074">
        <f>F11</f>
        <v/>
      </c>
      <c r="F75" s="424" t="inlineStr">
        <is>
          <t>Scope 3</t>
        </is>
      </c>
    </row>
    <row r="76">
      <c r="A76" s="81" t="inlineStr">
        <is>
          <t>Infrastructure IT</t>
        </is>
      </c>
      <c r="B76" s="1030">
        <f>B31</f>
        <v/>
      </c>
      <c r="D76" s="81" t="inlineStr">
        <is>
          <t>Deplacements pro</t>
        </is>
      </c>
      <c r="E76" s="1030">
        <f>F12</f>
        <v/>
      </c>
      <c r="F76" s="81" t="inlineStr">
        <is>
          <t>Scope 3</t>
        </is>
      </c>
    </row>
    <row r="77">
      <c r="A77" s="424" t="inlineStr">
        <is>
          <t>Equipements bureau</t>
        </is>
      </c>
      <c r="B77" s="1074">
        <f>B32</f>
        <v/>
      </c>
      <c r="D77" s="424" t="inlineStr">
        <is>
          <t>Flotte</t>
        </is>
      </c>
      <c r="E77" s="1074">
        <f>F13</f>
        <v/>
      </c>
      <c r="F77" s="424" t="inlineStr">
        <is>
          <t>Scope 1/3</t>
        </is>
      </c>
    </row>
    <row r="78">
      <c r="A78" s="81" t="inlineStr">
        <is>
          <t>Usages numeriques</t>
        </is>
      </c>
      <c r="B78" s="1030">
        <f>B33</f>
        <v/>
      </c>
      <c r="D78" s="81" t="inlineStr">
        <is>
          <t>Restauration</t>
        </is>
      </c>
      <c r="E78" s="1030">
        <f>F14</f>
        <v/>
      </c>
      <c r="F78" s="81" t="inlineStr">
        <is>
          <t>Scope 3</t>
        </is>
      </c>
    </row>
    <row r="79">
      <c r="D79" s="424" t="inlineStr">
        <is>
          <t>Notes frais</t>
        </is>
      </c>
      <c r="E79" s="1074">
        <f>F15</f>
        <v/>
      </c>
      <c r="F79" s="424" t="inlineStr">
        <is>
          <t>Scope 3</t>
        </is>
      </c>
    </row>
    <row r="80">
      <c r="D80" s="81" t="inlineStr">
        <is>
          <t>Dechets</t>
        </is>
      </c>
      <c r="E80" s="1030">
        <f>F16</f>
        <v/>
      </c>
      <c r="F80" s="81" t="inlineStr">
        <is>
          <t>Scope 3</t>
        </is>
      </c>
    </row>
    <row r="81">
      <c r="D81" s="424" t="inlineStr">
        <is>
          <t>Serveurs</t>
        </is>
      </c>
      <c r="E81" s="1074">
        <f>F17</f>
        <v/>
      </c>
      <c r="F81" s="424" t="inlineStr">
        <is>
          <t>Scope 2/3</t>
        </is>
      </c>
    </row>
    <row r="82">
      <c r="D82" s="81" t="inlineStr">
        <is>
          <t>Cloud</t>
        </is>
      </c>
      <c r="E82" s="1030">
        <f>F18</f>
        <v/>
      </c>
      <c r="F82" s="81" t="inlineStr">
        <is>
          <t>Scope 3</t>
        </is>
      </c>
    </row>
    <row r="83">
      <c r="D83" s="424" t="inlineStr">
        <is>
          <t>SI reseau</t>
        </is>
      </c>
      <c r="E83" s="1074">
        <f>F19</f>
        <v/>
      </c>
      <c r="F83" s="424" t="inlineStr">
        <is>
          <t>Scope 2/3</t>
        </is>
      </c>
    </row>
    <row r="84">
      <c r="D84" s="81" t="inlineStr">
        <is>
          <t>Bureau</t>
        </is>
      </c>
      <c r="E84" s="1030">
        <f>F20</f>
        <v/>
      </c>
      <c r="F84" s="81" t="inlineStr">
        <is>
          <t>Scope 3</t>
        </is>
      </c>
    </row>
    <row r="85">
      <c r="D85" s="424" t="inlineStr">
        <is>
          <t>Usages num.</t>
        </is>
      </c>
      <c r="E85" s="1074">
        <f>F21</f>
        <v/>
      </c>
      <c r="F85" s="424" t="inlineStr">
        <is>
          <t>Scope 3</t>
        </is>
      </c>
    </row>
    <row r="88" ht="15.75" customHeight="1" s="847">
      <c r="A88" s="482" t="inlineStr">
        <is>
          <t>VENTILATION PAR SCOPE (GHG Protocol / ISO 14064-1 / ESRS E1-6)</t>
        </is>
      </c>
      <c r="B88" s="481" t="n"/>
      <c r="C88" s="481" t="n"/>
      <c r="D88" s="481" t="n"/>
      <c r="E88" s="481" t="n"/>
      <c r="F88" s="481" t="n"/>
      <c r="G88" s="481" t="n"/>
      <c r="H88" s="481" t="n"/>
      <c r="I88" s="481" t="n"/>
      <c r="J88" s="481" t="n"/>
      <c r="K88" s="481" t="n"/>
      <c r="L88" s="481" t="n"/>
      <c r="M88" s="481" t="n"/>
      <c r="N88" s="481" t="n"/>
    </row>
    <row r="89">
      <c r="A89" s="697" t="n"/>
      <c r="B89" s="698" t="n"/>
      <c r="C89" s="698" t="n"/>
      <c r="D89" s="698" t="n"/>
      <c r="E89" s="699" t="n"/>
    </row>
    <row r="90">
      <c r="A90" s="700" t="inlineStr">
        <is>
          <t>SCOPE 1 -- EMISSIONS DIRECTES</t>
        </is>
      </c>
      <c r="B90" s="701" t="n"/>
      <c r="C90" s="702" t="n"/>
      <c r="D90" s="1075" t="n"/>
      <c r="E90" s="704" t="n"/>
    </row>
    <row r="91">
      <c r="A91" s="705" t="inlineStr">
        <is>
          <t>Sous-poste Scope 1</t>
        </is>
      </c>
      <c r="B91" s="706" t="inlineStr">
        <is>
          <t>Source onglet</t>
        </is>
      </c>
      <c r="C91" s="707" t="inlineStr">
        <is>
          <t>kgCO2e</t>
        </is>
      </c>
      <c r="D91" s="1076" t="inlineStr">
        <is>
          <t>tCO2e</t>
        </is>
      </c>
      <c r="E91" s="709" t="inlineStr">
        <is>
          <t>% Scope 1</t>
        </is>
      </c>
    </row>
    <row r="92">
      <c r="A92" s="710" t="inlineStr">
        <is>
          <t>1A - Combustion fixe (chauffage gaz/fioul)</t>
        </is>
      </c>
      <c r="B92" s="711" t="inlineStr">
        <is>
          <t>03_ENERGIE rows 14-23 (part combust.)</t>
        </is>
      </c>
      <c r="C92" s="712">
        <f>IFERROR(SUM('03_ÉNERGIE_BÂTIMENTS'!I14:I23)*0.9,0)</f>
        <v/>
      </c>
      <c r="D92" s="1077">
        <f>C92/1000</f>
        <v/>
      </c>
      <c r="E92" s="1078">
        <f>IFERROR(C92/C96,0)</f>
        <v/>
      </c>
    </row>
    <row r="93">
      <c r="A93" s="715" t="inlineStr">
        <is>
          <t>1B - Combustion mobile (flotte)</t>
        </is>
      </c>
      <c r="B93" s="716" t="inlineStr">
        <is>
          <t>04_TRANSPORT2 row 41</t>
        </is>
      </c>
      <c r="C93" s="717">
        <f>IFERROR('04_TRANSPORT2'!J41,0)</f>
        <v/>
      </c>
      <c r="D93" s="1079">
        <f>C93/1000</f>
        <v/>
      </c>
      <c r="E93" s="1080">
        <f>IFERROR(C93/C96,0)</f>
        <v/>
      </c>
    </row>
    <row r="94">
      <c r="A94" s="710" t="inlineStr">
        <is>
          <t>1C - Emissions de process</t>
        </is>
      </c>
      <c r="B94" s="711" t="inlineStr">
        <is>
          <t>(saisie manuelle)</t>
        </is>
      </c>
      <c r="C94" s="712" t="n">
        <v>0</v>
      </c>
      <c r="D94" s="1077">
        <f>C94/1000</f>
        <v/>
      </c>
      <c r="E94" s="1078">
        <f>IFERROR(C94/C96,0)</f>
        <v/>
      </c>
    </row>
    <row r="95">
      <c r="A95" s="715" t="inlineStr">
        <is>
          <t>1D - Emissions fugitives (frigorigenes)</t>
        </is>
      </c>
      <c r="B95" s="716" t="inlineStr">
        <is>
          <t>03_ENERGIE row 64</t>
        </is>
      </c>
      <c r="C95" s="717">
        <f>IFERROR('03_ÉNERGIE_BÂTIMENTS'!H64,0)</f>
        <v/>
      </c>
      <c r="D95" s="1079">
        <f>C95/1000</f>
        <v/>
      </c>
      <c r="E95" s="1080">
        <f>IFERROR(C95/C96,0)</f>
        <v/>
      </c>
    </row>
    <row r="96">
      <c r="A96" s="700" t="inlineStr">
        <is>
          <t>TOTAL SCOPE 1</t>
        </is>
      </c>
      <c r="B96" s="701" t="n"/>
      <c r="C96" s="720">
        <f>SUM(C92:C95)</f>
        <v/>
      </c>
      <c r="D96" s="1081">
        <f>C96/1000</f>
        <v/>
      </c>
      <c r="E96" s="704" t="n"/>
    </row>
    <row r="97">
      <c r="A97" s="722" t="n"/>
      <c r="B97" s="723" t="n"/>
      <c r="C97" s="723" t="n"/>
      <c r="D97" s="723" t="n"/>
      <c r="E97" s="724" t="n"/>
    </row>
    <row r="98">
      <c r="A98" s="725" t="inlineStr">
        <is>
          <t>SCOPE 2 -- EMISSIONS INDIRECTES ENERGIE</t>
        </is>
      </c>
      <c r="B98" s="726" t="n"/>
      <c r="C98" s="727" t="n"/>
      <c r="D98" s="1082" t="n"/>
      <c r="E98" s="729" t="n"/>
    </row>
    <row r="99">
      <c r="A99" s="730" t="inlineStr">
        <is>
          <t>Sous-poste Scope 2</t>
        </is>
      </c>
      <c r="B99" s="731" t="inlineStr">
        <is>
          <t>Source onglet</t>
        </is>
      </c>
      <c r="C99" s="732" t="inlineStr">
        <is>
          <t>kgCO2e LB</t>
        </is>
      </c>
      <c r="D99" s="1083" t="inlineStr">
        <is>
          <t>kgCO2e MB</t>
        </is>
      </c>
      <c r="E99" s="734" t="inlineStr">
        <is>
          <t>% Scope 2 LB</t>
        </is>
      </c>
    </row>
    <row r="100">
      <c r="A100" s="735" t="inlineStr">
        <is>
          <t>2A - Electricite achetee</t>
        </is>
      </c>
      <c r="B100" s="736" t="inlineStr">
        <is>
          <t>03_ENERGIE section A+E</t>
        </is>
      </c>
      <c r="C100" s="737">
        <f>IFERROR('03_ÉNERGIE_BÂTIMENTS'!I10,0)</f>
        <v/>
      </c>
      <c r="D100" s="1084">
        <f>IFERROR('03_ÉNERGIE_BÂTIMENTS'!H54,0)</f>
        <v/>
      </c>
      <c r="E100" s="1085">
        <f>IFERROR(C100/C102,0)</f>
        <v/>
      </c>
    </row>
    <row r="101">
      <c r="A101" s="715" t="inlineStr">
        <is>
          <t>2B - Chaleur/vapeur/froid achetes</t>
        </is>
      </c>
      <c r="B101" s="716" t="inlineStr">
        <is>
          <t>03_ENERGIE (reseau chaleur)</t>
        </is>
      </c>
      <c r="C101" s="717">
        <f>IFERROR(0,0)</f>
        <v/>
      </c>
      <c r="D101" s="1079">
        <f>IFERROR(0,0)</f>
        <v/>
      </c>
      <c r="E101" s="1080">
        <f>IFERROR(C101/C102,0)</f>
        <v/>
      </c>
    </row>
    <row r="102">
      <c r="A102" s="725" t="inlineStr">
        <is>
          <t>TOTAL SCOPE 2 (Location-based)</t>
        </is>
      </c>
      <c r="B102" s="726" t="n"/>
      <c r="C102" s="740">
        <f>SUM(C100:C101)</f>
        <v/>
      </c>
      <c r="D102" s="1086">
        <f>SUM(D100:D101)</f>
        <v/>
      </c>
      <c r="E102" s="729" t="n"/>
    </row>
    <row r="103">
      <c r="A103" s="742" t="inlineStr">
        <is>
          <t>TOTAL SCOPE 2 (Market-based)</t>
        </is>
      </c>
      <c r="B103" s="743" t="n"/>
      <c r="C103" s="744" t="n"/>
      <c r="D103" s="1087">
        <f>D102</f>
        <v/>
      </c>
      <c r="E103" s="746" t="n"/>
    </row>
    <row r="104">
      <c r="A104" s="722" t="n"/>
      <c r="B104" s="723" t="n"/>
      <c r="C104" s="723" t="n"/>
      <c r="D104" s="723" t="n"/>
      <c r="E104" s="724" t="n"/>
    </row>
    <row r="105">
      <c r="A105" s="747" t="inlineStr">
        <is>
          <t>SCOPE 3 -- CHAINE DE VALEUR (15 categories GHG Protocol)</t>
        </is>
      </c>
      <c r="B105" s="748" t="n"/>
      <c r="C105" s="748" t="n"/>
      <c r="D105" s="748" t="n"/>
      <c r="E105" s="749" t="n"/>
    </row>
    <row r="106">
      <c r="A106" s="750" t="inlineStr">
        <is>
          <t>Cat.</t>
        </is>
      </c>
      <c r="B106" s="751" t="inlineStr">
        <is>
          <t>Description</t>
        </is>
      </c>
      <c r="C106" s="751" t="inlineStr">
        <is>
          <t>kgCO2e</t>
        </is>
      </c>
      <c r="D106" s="751" t="inlineStr">
        <is>
          <t>Source onglet</t>
        </is>
      </c>
      <c r="E106" s="752" t="inlineStr">
        <is>
          <t>Significatif?</t>
        </is>
      </c>
    </row>
    <row r="107">
      <c r="A107" s="753" t="inlineStr">
        <is>
          <t>Cat.1</t>
        </is>
      </c>
      <c r="B107" s="754" t="inlineStr">
        <is>
          <t>Achats de biens et services</t>
        </is>
      </c>
      <c r="C107" s="631">
        <f>IFERROR('05_RESTAURATION'!B31,0)+IFERROR('03_ÉNERGIE_BÂTIMENTS'!I36,0)</f>
        <v/>
      </c>
      <c r="D107" s="1088" t="inlineStr">
        <is>
          <t>05_REST + 03_eau</t>
        </is>
      </c>
      <c r="E107" s="756" t="inlineStr">
        <is>
          <t>Significatif</t>
        </is>
      </c>
    </row>
    <row r="108">
      <c r="A108" s="757" t="inlineStr">
        <is>
          <t>Cat.2</t>
        </is>
      </c>
      <c r="B108" s="758" t="inlineStr">
        <is>
          <t>Biens d'equipement</t>
        </is>
      </c>
      <c r="C108" s="717">
        <f>IFERROR(SUM('11_ÉQUIPEMENTS_BUREAU'!O6:O20),0)+IFERROR(SUM('08_SERVEURS_PHYSIQUES'!P6:P15),0)+IFERROR(SUM('10_INVENTAIRE_SI'!P6:P20),0)</f>
        <v/>
      </c>
      <c r="D108" s="1089" t="inlineStr">
        <is>
          <t>11+08+10 (fab amortie)</t>
        </is>
      </c>
      <c r="E108" s="760" t="inlineStr">
        <is>
          <t>Significatif</t>
        </is>
      </c>
    </row>
    <row r="109">
      <c r="A109" s="753" t="inlineStr">
        <is>
          <t>Cat.3</t>
        </is>
      </c>
      <c r="B109" s="754" t="inlineStr">
        <is>
          <t>Combustibles et energie (amont)</t>
        </is>
      </c>
      <c r="C109" s="631">
        <f>IFERROR(SUM('03_ÉNERGIE_BÂTIMENTS'!I14:I23)*0.1,0)</f>
        <v/>
      </c>
      <c r="D109" s="1088" t="inlineStr">
        <is>
          <t>03 (part amont ~10%)</t>
        </is>
      </c>
      <c r="E109" s="756" t="inlineStr">
        <is>
          <t>Significatif</t>
        </is>
      </c>
    </row>
    <row r="110">
      <c r="A110" s="761" t="inlineStr">
        <is>
          <t>Cat.4</t>
        </is>
      </c>
      <c r="B110" s="762" t="inlineStr">
        <is>
          <t>Transport et distrib. amont</t>
        </is>
      </c>
      <c r="C110" s="763" t="n">
        <v>0</v>
      </c>
      <c r="D110" s="1090" t="inlineStr">
        <is>
          <t>Non couvert (saisie manuelle)</t>
        </is>
      </c>
      <c r="E110" s="765" t="inlineStr">
        <is>
          <t>Non significatif</t>
        </is>
      </c>
    </row>
    <row r="111">
      <c r="A111" s="753" t="inlineStr">
        <is>
          <t>Cat.5</t>
        </is>
      </c>
      <c r="B111" s="754" t="inlineStr">
        <is>
          <t>Dechets generes</t>
        </is>
      </c>
      <c r="C111" s="631">
        <f>IFERROR('07_DÉCHETS2'!J16,0)</f>
        <v/>
      </c>
      <c r="D111" s="1088" t="inlineStr">
        <is>
          <t>07_DECHETS2</t>
        </is>
      </c>
      <c r="E111" s="756" t="inlineStr">
        <is>
          <t>Significatif</t>
        </is>
      </c>
    </row>
    <row r="112">
      <c r="A112" s="757" t="inlineStr">
        <is>
          <t>Cat.6</t>
        </is>
      </c>
      <c r="B112" s="758" t="inlineStr">
        <is>
          <t>Deplacements professionnels</t>
        </is>
      </c>
      <c r="C112" s="717">
        <f>IFERROR('04_TRANSPORT2'!J29,0)+IFERROR('06_NOTES_DE_FRAIS'!G16,0)</f>
        <v/>
      </c>
      <c r="D112" s="1089" t="inlineStr">
        <is>
          <t>04_TRANSP(B) + 06_NDF</t>
        </is>
      </c>
      <c r="E112" s="760" t="inlineStr">
        <is>
          <t>Significatif</t>
        </is>
      </c>
    </row>
    <row r="113">
      <c r="A113" s="753" t="inlineStr">
        <is>
          <t>Cat.7</t>
        </is>
      </c>
      <c r="B113" s="754" t="inlineStr">
        <is>
          <t>Domicile-travail</t>
        </is>
      </c>
      <c r="C113" s="631">
        <f>IFERROR('04_TRANSPORT2'!J14,0)</f>
        <v/>
      </c>
      <c r="D113" s="1088" t="inlineStr">
        <is>
          <t>04_TRANSPORT2(A)</t>
        </is>
      </c>
      <c r="E113" s="756" t="inlineStr">
        <is>
          <t>Significatif</t>
        </is>
      </c>
    </row>
    <row r="114">
      <c r="A114" s="761" t="inlineStr">
        <is>
          <t>Cat.8</t>
        </is>
      </c>
      <c r="B114" s="762" t="inlineStr">
        <is>
          <t>Actifs loues amont</t>
        </is>
      </c>
      <c r="C114" s="763" t="n">
        <v>0</v>
      </c>
      <c r="D114" s="1090" t="inlineStr">
        <is>
          <t>Non couvert (saisie manuelle)</t>
        </is>
      </c>
      <c r="E114" s="765" t="inlineStr">
        <is>
          <t>Non significatif</t>
        </is>
      </c>
    </row>
    <row r="115">
      <c r="A115" s="761" t="inlineStr">
        <is>
          <t>Cat.9</t>
        </is>
      </c>
      <c r="B115" s="762" t="inlineStr">
        <is>
          <t>Transport et distrib. aval</t>
        </is>
      </c>
      <c r="C115" s="763" t="n">
        <v>0</v>
      </c>
      <c r="D115" s="1090" t="inlineStr">
        <is>
          <t>Non couvert (saisie manuelle)</t>
        </is>
      </c>
      <c r="E115" s="765" t="inlineStr">
        <is>
          <t>Non significatif</t>
        </is>
      </c>
    </row>
    <row r="116">
      <c r="A116" s="761" t="inlineStr">
        <is>
          <t>Cat.10</t>
        </is>
      </c>
      <c r="B116" s="762" t="inlineStr">
        <is>
          <t>Transformation produits vendus</t>
        </is>
      </c>
      <c r="C116" s="763" t="n">
        <v>0</v>
      </c>
      <c r="D116" s="1090" t="inlineStr">
        <is>
          <t>Non couvert (saisie manuelle)</t>
        </is>
      </c>
      <c r="E116" s="765" t="inlineStr">
        <is>
          <t>Non significatif</t>
        </is>
      </c>
    </row>
    <row r="117">
      <c r="A117" s="753" t="inlineStr">
        <is>
          <t>Cat.11</t>
        </is>
      </c>
      <c r="B117" s="766" t="inlineStr">
        <is>
          <t>Utilisation produits vendus</t>
        </is>
      </c>
      <c r="C117" s="631">
        <f>IFERROR('12_USAGES_NUMÉRIQUES'!B72,0)+IFERROR(SUM('09_INSTANCES_CLOUD'!V6:V20),0)</f>
        <v/>
      </c>
      <c r="D117" s="1088" t="inlineStr">
        <is>
          <t>12_USAGES + 09_CLOUD</t>
        </is>
      </c>
      <c r="E117" s="756" t="inlineStr">
        <is>
          <t>Significatif</t>
        </is>
      </c>
    </row>
    <row r="118">
      <c r="A118" s="761" t="inlineStr">
        <is>
          <t>Cat.12</t>
        </is>
      </c>
      <c r="B118" s="762" t="inlineStr">
        <is>
          <t>Fin de vie produits vendus</t>
        </is>
      </c>
      <c r="C118" s="763" t="n">
        <v>0</v>
      </c>
      <c r="D118" s="1090" t="inlineStr">
        <is>
          <t>Non couvert (saisie manuelle)</t>
        </is>
      </c>
      <c r="E118" s="765" t="inlineStr">
        <is>
          <t>Non significatif</t>
        </is>
      </c>
    </row>
    <row r="119">
      <c r="A119" s="761" t="inlineStr">
        <is>
          <t>Cat.13</t>
        </is>
      </c>
      <c r="B119" s="762" t="inlineStr">
        <is>
          <t>Actifs loues aval</t>
        </is>
      </c>
      <c r="C119" s="763" t="n">
        <v>0</v>
      </c>
      <c r="D119" s="1090" t="inlineStr">
        <is>
          <t>Non couvert (saisie manuelle)</t>
        </is>
      </c>
      <c r="E119" s="765" t="inlineStr">
        <is>
          <t>Non significatif</t>
        </is>
      </c>
    </row>
    <row r="120">
      <c r="A120" s="761" t="inlineStr">
        <is>
          <t>Cat.14</t>
        </is>
      </c>
      <c r="B120" s="762" t="inlineStr">
        <is>
          <t>Franchises</t>
        </is>
      </c>
      <c r="C120" s="763" t="n">
        <v>0</v>
      </c>
      <c r="D120" s="1090" t="inlineStr">
        <is>
          <t>Non couvert (saisie manuelle)</t>
        </is>
      </c>
      <c r="E120" s="765" t="inlineStr">
        <is>
          <t>Non significatif</t>
        </is>
      </c>
    </row>
    <row r="121">
      <c r="A121" s="761" t="inlineStr">
        <is>
          <t>Cat.15</t>
        </is>
      </c>
      <c r="B121" s="762" t="inlineStr">
        <is>
          <t>Investissements</t>
        </is>
      </c>
      <c r="C121" s="763" t="n">
        <v>0</v>
      </c>
      <c r="D121" s="1090" t="inlineStr">
        <is>
          <t>Non couvert (saisie manuelle)</t>
        </is>
      </c>
      <c r="E121" s="765" t="inlineStr">
        <is>
          <t>Non significatif</t>
        </is>
      </c>
    </row>
    <row r="122">
      <c r="A122" s="747" t="inlineStr">
        <is>
          <t>TOTAL SCOPE 3</t>
        </is>
      </c>
      <c r="B122" s="748" t="n"/>
      <c r="C122" s="767">
        <f>SUM(C107:C121)</f>
        <v/>
      </c>
      <c r="D122" s="1091" t="n"/>
      <c r="E122" s="749" t="n"/>
    </row>
    <row r="123">
      <c r="A123" s="722" t="n"/>
      <c r="B123" s="723" t="n"/>
      <c r="C123" s="723" t="n"/>
      <c r="D123" s="723" t="n"/>
      <c r="E123" s="724" t="n"/>
    </row>
    <row r="124">
      <c r="A124" s="769" t="inlineStr">
        <is>
          <t>TOTAL SCOPE 1 + 2 (LB)</t>
        </is>
      </c>
      <c r="B124" s="770" t="n"/>
      <c r="C124" s="771">
        <f>C96+C102</f>
        <v/>
      </c>
      <c r="D124" s="1092">
        <f>C124/1000</f>
        <v/>
      </c>
      <c r="E124" s="773" t="n"/>
    </row>
    <row r="125" ht="15.75" customHeight="1" s="847">
      <c r="A125" s="774" t="inlineStr">
        <is>
          <t>TOTAL SCOPE 1 + 2 + 3</t>
        </is>
      </c>
      <c r="B125" s="775" t="n"/>
      <c r="C125" s="776">
        <f>C96+C102+C122</f>
        <v/>
      </c>
      <c r="D125" s="1093">
        <f>C125/1000</f>
        <v/>
      </c>
      <c r="E125" s="778" t="n"/>
    </row>
    <row r="126">
      <c r="A126" s="722" t="n"/>
      <c r="B126" s="723" t="n"/>
      <c r="C126" s="779" t="n"/>
      <c r="D126" s="1094" t="n"/>
      <c r="E126" s="724" t="n"/>
    </row>
    <row r="127">
      <c r="A127" s="781" t="inlineStr">
        <is>
          <t>Part Scope 1 (%)</t>
        </is>
      </c>
      <c r="B127" s="1095">
        <f>IFERROR(C96/C125,0)</f>
        <v/>
      </c>
      <c r="C127" s="783" t="n"/>
      <c r="D127" s="1096" t="n"/>
      <c r="E127" s="785" t="n"/>
    </row>
    <row r="128">
      <c r="A128" s="781" t="inlineStr">
        <is>
          <t>Part Scope 2 (%)</t>
        </is>
      </c>
      <c r="B128" s="1095">
        <f>IFERROR(C102/C125,0)</f>
        <v/>
      </c>
      <c r="C128" s="783" t="n"/>
      <c r="D128" s="1096" t="n"/>
      <c r="E128" s="785" t="n"/>
    </row>
    <row r="129">
      <c r="A129" s="781" t="inlineStr">
        <is>
          <t>Part Scope 3 (%)</t>
        </is>
      </c>
      <c r="B129" s="1095">
        <f>IFERROR(C122/C125,0)</f>
        <v/>
      </c>
      <c r="C129" s="783" t="n"/>
      <c r="D129" s="1096" t="n"/>
      <c r="E129" s="785" t="n"/>
    </row>
    <row r="130">
      <c r="A130" s="722" t="n"/>
      <c r="B130" s="723" t="n"/>
      <c r="C130" s="723" t="n"/>
      <c r="D130" s="723" t="n"/>
      <c r="E130" s="724" t="n"/>
    </row>
    <row r="131">
      <c r="A131" s="786" t="inlineStr">
        <is>
          <t>Note : les Cat. 4, 8-10, 12-15 sont a 0 (saisie manuelle requise). Cat. 3 estimee a 10% de la combustion (methode simplifiee).</t>
        </is>
      </c>
      <c r="B131" s="787" t="n"/>
      <c r="C131" s="787" t="n"/>
      <c r="D131" s="787" t="n"/>
      <c r="E131" s="788" t="n"/>
    </row>
    <row r="132">
      <c r="A132" s="789" t="inlineStr">
        <is>
          <t>Conformite : GHG Protocol Scope 3 Standard (2011) + ESRS E1-6 par. 44-49. Significativite : &gt;1% du Scope 3 total.</t>
        </is>
      </c>
      <c r="B132" s="790" t="n"/>
      <c r="C132" s="790" t="n"/>
      <c r="D132" s="790" t="n"/>
      <c r="E132" s="791" t="n"/>
    </row>
  </sheetData>
  <mergeCells count="9">
    <mergeCell ref="A1:J1"/>
    <mergeCell ref="A5:J5"/>
    <mergeCell ref="A36:J36"/>
    <mergeCell ref="A62:J62"/>
    <mergeCell ref="A3:J3"/>
    <mergeCell ref="A53:J53"/>
    <mergeCell ref="A69:J69"/>
    <mergeCell ref="A2:D2"/>
    <mergeCell ref="A24:J24"/>
  </mergeCells>
  <pageMargins left="0.7" right="0.7" top="0.75" bottom="0.75" header="0.3" footer="0.3"/>
  <drawing xmlns:r="http://schemas.openxmlformats.org/officeDocument/2006/relationships" r:id="rId1"/>
</worksheet>
</file>

<file path=xl/worksheets/sheet4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CarbonCo_Calcul_Carbone_v2 — Manifest</t>
        </is>
      </c>
    </row>
    <row r="2">
      <c r="A2" t="inlineStr">
        <is>
          <t>Version</t>
        </is>
      </c>
      <c r="B2" t="inlineStr">
        <is>
          <t>2.0</t>
        </is>
      </c>
    </row>
    <row r="3">
      <c r="A3" t="inlineStr">
        <is>
          <t>Date</t>
        </is>
      </c>
      <c r="B3" t="inlineStr">
        <is>
          <t>2026-04-12</t>
        </is>
      </c>
    </row>
    <row r="4">
      <c r="A4" t="inlineStr">
        <is>
          <t>Onglets obligatoires</t>
        </is>
      </c>
      <c r="B4" t="inlineStr">
        <is>
          <t>Couverture,Sommaire,Parametres,Synthese_GES,Energie,Trajectoire_SBTi,CBAM,Taxonomie,_Controles_Qualite,Claude Log</t>
        </is>
      </c>
    </row>
    <row r="5">
      <c r="A5" t="inlineStr">
        <is>
          <t>Plages CC_* requises</t>
        </is>
      </c>
      <c r="B5" t="inlineStr">
        <is>
          <t>30</t>
        </is>
      </c>
    </row>
    <row r="6">
      <c r="A6" t="inlineStr">
        <is>
          <t>Controles QC</t>
        </is>
      </c>
      <c r="B6" t="inlineStr">
        <is>
          <t>cf. _Controles_Qualite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2026-03-27T18:18:11Z</dcterms:created>
  <dcterms:modified xsi:type="dcterms:W3CDTF">2026-04-12T17:25:17Z</dcterms:modified>
  <cp:lastModifiedBy>Ludovic Labeaut</cp:lastModifiedBy>
  <cp:revision>0</cp:revision>
</cp:coreProperties>
</file>