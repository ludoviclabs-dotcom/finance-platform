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finance-platform\apps\neural\data\"/>
    </mc:Choice>
  </mc:AlternateContent>
  <xr:revisionPtr revIDLastSave="0" documentId="13_ncr:1_{9AE9F28B-3206-402A-9B3C-442B35734F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_DASHBOARD" sheetId="1" r:id="rId1"/>
    <sheet name="2_CRITERES" sheetId="2" r:id="rId2"/>
    <sheet name="3_CONTROLES" sheetId="3" r:id="rId3"/>
    <sheet name="4_DEFAUTS" sheetId="4" r:id="rId4"/>
    <sheet name="5_ATELIERS" sheetId="5" r:id="rId5"/>
    <sheet name="6_ARTISANS" sheetId="6" r:id="rId6"/>
    <sheet name="7_RAPPORTS_QC" sheetId="7" r:id="rId7"/>
    <sheet name="8_KPI_QUALITE" sheetId="8" r:id="rId8"/>
    <sheet name="9_ALERTES" sheetId="9" r:id="rId9"/>
    <sheet name="10_PARAMETRES" sheetId="10" r:id="rId10"/>
  </sheets>
  <definedNames>
    <definedName name="_xlnm._FilterDatabase" localSheetId="1" hidden="1">'2_CRITERES'!$A$4:$N$20</definedName>
    <definedName name="_xlnm._FilterDatabase" localSheetId="2" hidden="1">'3_CONTROLES'!$A$4:$P$18</definedName>
    <definedName name="_xlnm._FilterDatabase" localSheetId="3" hidden="1">'4_DEFAUTS'!$A$4:$P$12</definedName>
    <definedName name="_xlnm._FilterDatabase" localSheetId="4" hidden="1">'5_ATELIERS'!$A$4:$N$11</definedName>
    <definedName name="_xlnm._FilterDatabase" localSheetId="5" hidden="1">'6_ARTISANS'!$A$4:$P$14</definedName>
    <definedName name="_xlnm._FilterDatabase" localSheetId="6" hidden="1">'7_RAPPORTS_QC'!$A$4:$N$12</definedName>
    <definedName name="_xlnm._FilterDatabase" localSheetId="8" hidden="1">'9_ALERTES'!$A$4:$N$10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E16" i="9"/>
  <c r="E15" i="9"/>
  <c r="E14" i="9"/>
  <c r="E13" i="9"/>
  <c r="G27" i="8"/>
  <c r="C27" i="8"/>
  <c r="I26" i="8"/>
  <c r="J26" i="8" s="1"/>
  <c r="F26" i="8"/>
  <c r="E26" i="8"/>
  <c r="I25" i="8"/>
  <c r="J25" i="8" s="1"/>
  <c r="F25" i="8"/>
  <c r="E25" i="8"/>
  <c r="D25" i="8"/>
  <c r="J24" i="8"/>
  <c r="I24" i="8"/>
  <c r="H24" i="8"/>
  <c r="E24" i="8"/>
  <c r="F24" i="8" s="1"/>
  <c r="D24" i="8"/>
  <c r="H23" i="8"/>
  <c r="I23" i="8" s="1"/>
  <c r="J23" i="8" s="1"/>
  <c r="F23" i="8"/>
  <c r="E23" i="8"/>
  <c r="D23" i="8"/>
  <c r="J22" i="8"/>
  <c r="I22" i="8"/>
  <c r="H22" i="8"/>
  <c r="E22" i="8"/>
  <c r="F22" i="8" s="1"/>
  <c r="D22" i="8"/>
  <c r="D27" i="8" s="1"/>
  <c r="H21" i="8"/>
  <c r="H27" i="8" s="1"/>
  <c r="F21" i="8"/>
  <c r="E21" i="8"/>
  <c r="D21" i="8"/>
  <c r="F15" i="8"/>
  <c r="G15" i="8" s="1"/>
  <c r="G14" i="8"/>
  <c r="F13" i="8"/>
  <c r="G13" i="8" s="1"/>
  <c r="F11" i="8"/>
  <c r="G11" i="8" s="1"/>
  <c r="E11" i="8"/>
  <c r="G10" i="8"/>
  <c r="F7" i="8"/>
  <c r="G7" i="8" s="1"/>
  <c r="G6" i="8"/>
  <c r="F6" i="8"/>
  <c r="G12" i="7"/>
  <c r="I11" i="7"/>
  <c r="E11" i="7"/>
  <c r="I10" i="7"/>
  <c r="F10" i="7"/>
  <c r="H10" i="7" s="1"/>
  <c r="E10" i="7"/>
  <c r="G9" i="7"/>
  <c r="F9" i="7"/>
  <c r="H9" i="7" s="1"/>
  <c r="G8" i="7"/>
  <c r="I7" i="7"/>
  <c r="E7" i="7"/>
  <c r="I6" i="7"/>
  <c r="F6" i="7"/>
  <c r="H6" i="7" s="1"/>
  <c r="E6" i="7"/>
  <c r="G5" i="7"/>
  <c r="F5" i="7"/>
  <c r="H5" i="7" s="1"/>
  <c r="M15" i="6"/>
  <c r="F12" i="8" s="1"/>
  <c r="G12" i="8" s="1"/>
  <c r="I15" i="6"/>
  <c r="G15" i="6"/>
  <c r="C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G12" i="5"/>
  <c r="C12" i="5"/>
  <c r="H11" i="5"/>
  <c r="I10" i="5"/>
  <c r="H10" i="5"/>
  <c r="H9" i="5"/>
  <c r="I8" i="5"/>
  <c r="H8" i="5"/>
  <c r="H7" i="5"/>
  <c r="I6" i="5"/>
  <c r="H6" i="5"/>
  <c r="H5" i="5"/>
  <c r="I12" i="5" s="1"/>
  <c r="M13" i="4"/>
  <c r="J6" i="1" s="1"/>
  <c r="H13" i="4"/>
  <c r="F8" i="8" s="1"/>
  <c r="G8" i="8" s="1"/>
  <c r="F13" i="4"/>
  <c r="C13" i="4"/>
  <c r="F20" i="3"/>
  <c r="C20" i="3"/>
  <c r="J19" i="3"/>
  <c r="F12" i="7" s="1"/>
  <c r="H12" i="7" s="1"/>
  <c r="H19" i="3"/>
  <c r="F19" i="3"/>
  <c r="C19" i="3"/>
  <c r="H21" i="2"/>
  <c r="F21" i="2"/>
  <c r="C21" i="2"/>
  <c r="B21" i="1"/>
  <c r="B20" i="1"/>
  <c r="B19" i="1"/>
  <c r="B18" i="1"/>
  <c r="B17" i="1"/>
  <c r="B15" i="1"/>
  <c r="B14" i="1"/>
  <c r="B13" i="1"/>
  <c r="B12" i="1"/>
  <c r="B11" i="1"/>
  <c r="G6" i="1"/>
  <c r="D6" i="1"/>
  <c r="A6" i="1"/>
  <c r="F9" i="8" l="1"/>
  <c r="G9" i="8" s="1"/>
  <c r="E27" i="8"/>
  <c r="B16" i="1"/>
  <c r="G6" i="7"/>
  <c r="F7" i="7"/>
  <c r="H7" i="7" s="1"/>
  <c r="E8" i="7"/>
  <c r="I8" i="7"/>
  <c r="G10" i="7"/>
  <c r="F11" i="7"/>
  <c r="H11" i="7" s="1"/>
  <c r="E12" i="7"/>
  <c r="I12" i="7"/>
  <c r="I21" i="8"/>
  <c r="I5" i="5"/>
  <c r="I7" i="5"/>
  <c r="I9" i="5"/>
  <c r="I11" i="5"/>
  <c r="E5" i="7"/>
  <c r="I5" i="7"/>
  <c r="G7" i="7"/>
  <c r="F8" i="7"/>
  <c r="H8" i="7" s="1"/>
  <c r="E9" i="7"/>
  <c r="I9" i="7"/>
  <c r="G11" i="7"/>
  <c r="D32" i="8" l="1"/>
  <c r="B22" i="1"/>
  <c r="D31" i="8"/>
  <c r="F27" i="8"/>
  <c r="J21" i="8"/>
  <c r="J27" i="8" s="1"/>
  <c r="D34" i="8" s="1"/>
  <c r="I27" i="8"/>
  <c r="D33" i="8" s="1"/>
  <c r="D35" i="8"/>
</calcChain>
</file>

<file path=xl/sharedStrings.xml><?xml version="1.0" encoding="utf-8"?>
<sst xmlns="http://schemas.openxmlformats.org/spreadsheetml/2006/main" count="1341" uniqueCount="928">
  <si>
    <t>AGENT ARTISANALQUALITYAI — TABLEAU DE BORD QUALITE</t>
  </si>
  <si>
    <t>Neural Enterprise Framework — Qualite Artisanale Luxe — Documentation &amp; Controle — Avril 2026</t>
  </si>
  <si>
    <t>Donnees temps reel | Maroquinerie • Joaillerie • Horlogerie • Pret-a-Porter | Connexion Agent LuxeTraceability</t>
  </si>
  <si>
    <t>FIRST PASS YIELD</t>
  </si>
  <si>
    <t>SCORE QUALITE MOYEN</t>
  </si>
  <si>
    <t>ALERTES CRITIQUES</t>
  </si>
  <si>
    <t>COUT NON-QUALITE</t>
  </si>
  <si>
    <t>SYNTHESE OPERATIONNELLE</t>
  </si>
  <si>
    <t>Indicateur</t>
  </si>
  <si>
    <t>Valeur</t>
  </si>
  <si>
    <t>Unite</t>
  </si>
  <si>
    <t>Criteres qualite references</t>
  </si>
  <si>
    <t>Nb</t>
  </si>
  <si>
    <t>Controles realises (periode)</t>
  </si>
  <si>
    <t>Controles conformes</t>
  </si>
  <si>
    <t>Controles non conformes</t>
  </si>
  <si>
    <t>Defauts enregistres</t>
  </si>
  <si>
    <t>Defauts critiques ouverts</t>
  </si>
  <si>
    <t>Ateliers actifs</t>
  </si>
  <si>
    <t>Artisans references</t>
  </si>
  <si>
    <t>Maitres d'Art / MOF</t>
  </si>
  <si>
    <t>Heures formation moyennes / artisan</t>
  </si>
  <si>
    <t>h/an</t>
  </si>
  <si>
    <t>Alertes qualite actives</t>
  </si>
  <si>
    <t>ROI annuel net estime</t>
  </si>
  <si>
    <t>EUR</t>
  </si>
  <si>
    <t>Agent ArtisanalQualityAI — Neural Enterprise Framework © 2026 — Connexion Agent LuxeTraceability active</t>
  </si>
  <si>
    <t>Certifie les lots trackes par LuxeTraceability — Alimente AntiCounterfeitSC &amp; RareMaterialSourcing</t>
  </si>
  <si>
    <t>CRITERES DE QUALITE PAR METIER — AGENT ARTISANALQUALITYAI</t>
  </si>
  <si>
    <t>Referentiel qualite artisanale — Tolerances, methodes de mesure, seuils — Par maison et metier — Avril 2026</t>
  </si>
  <si>
    <t>REFERENTIEL DES CRITERES DE QUALITE ARTISANALE</t>
  </si>
  <si>
    <t>ID_Critere</t>
  </si>
  <si>
    <t>Metier</t>
  </si>
  <si>
    <t>Categorie produit</t>
  </si>
  <si>
    <t>Critere qualite</t>
  </si>
  <si>
    <t>Description detaillee</t>
  </si>
  <si>
    <t>Methode de mesure</t>
  </si>
  <si>
    <t>Outil / Instrument</t>
  </si>
  <si>
    <t>Tolerance min</t>
  </si>
  <si>
    <t>Tolerance max</t>
  </si>
  <si>
    <t>Niveau criticite</t>
  </si>
  <si>
    <t>Reference norme</t>
  </si>
  <si>
    <t>Specificite Maison</t>
  </si>
  <si>
    <t>Frequence controle</t>
  </si>
  <si>
    <t>CQ-MAR-001</t>
  </si>
  <si>
    <t>Maroquinerie</t>
  </si>
  <si>
    <t>Sac a main</t>
  </si>
  <si>
    <t>Densite de piqure</t>
  </si>
  <si>
    <t>Nombre de points par cm sur couture sellier — Regularite absolue exigee — Pas de variation &gt;0.5pt/cm</t>
  </si>
  <si>
    <t>Comptage visuel + loupe 10x</t>
  </si>
  <si>
    <t>Loupe binoculaire + regle graduee</t>
  </si>
  <si>
    <t>pts/cm</t>
  </si>
  <si>
    <t>CRITIQUE</t>
  </si>
  <si>
    <t>Norme interne MQ-001</t>
  </si>
  <si>
    <t>Point sellier : 5 pts/cm tradition Hermes — 6 pts/cm standard maison</t>
  </si>
  <si>
    <t>100% des pieces</t>
  </si>
  <si>
    <t>CQ-MAR-002</t>
  </si>
  <si>
    <t>Symetrie des coutures</t>
  </si>
  <si>
    <t>Ecart maximal entre coutures symetriques gauche/droite — Mesure sur 5 points de reference</t>
  </si>
  <si>
    <t>Mesure au pied a coulisse digital</t>
  </si>
  <si>
    <t>Pied a coulisse Mitutoyo 0.01mm</t>
  </si>
  <si>
    <t>mm</t>
  </si>
  <si>
    <t>Norme interne MQ-002</t>
  </si>
  <si>
    <t>Tolerance 0.3mm pour collections Haute Maroquinerie</t>
  </si>
  <si>
    <t>CQ-MAR-003</t>
  </si>
  <si>
    <t>Finition des tranches</t>
  </si>
  <si>
    <t>Qualite du filetage de tranche — Regularite, brillance, absence de bulles, adherence</t>
  </si>
  <si>
    <t>Inspection visuelle + test adherence (flexion 90°)</t>
  </si>
  <si>
    <t>Loupe 10x + flexion manuelle</t>
  </si>
  <si>
    <t>Regulier</t>
  </si>
  <si>
    <t>Parfait</t>
  </si>
  <si>
    <t>Qualitatif</t>
  </si>
  <si>
    <t>ELEVE</t>
  </si>
  <si>
    <t>Norme interne MQ-003</t>
  </si>
  <si>
    <t>Tranche teintee a la main — Minimum 4 couches — Polissage buis</t>
  </si>
  <si>
    <t>CQ-MAR-004</t>
  </si>
  <si>
    <t>Pose quincaillerie</t>
  </si>
  <si>
    <t>Alignement et solidite des fermoirs, boucles, rivets — Test d'arrachement — Positionnement symetrique</t>
  </si>
  <si>
    <t>Test dynamometrique + controle visuel</t>
  </si>
  <si>
    <t>Dynamometre + gabarit positionnement</t>
  </si>
  <si>
    <t>kg (arrachement)</t>
  </si>
  <si>
    <t>Norme EN 17396</t>
  </si>
  <si>
    <t>Quincaillerie palladiee — Force arrachement min 15kg — Alignement ±0.3mm</t>
  </si>
  <si>
    <t>CQ-MAR-005</t>
  </si>
  <si>
    <t>Petite maroquinerie</t>
  </si>
  <si>
    <t>Qualite du cuir</t>
  </si>
  <si>
    <t>Absence de defauts visuels sur parement — Griffures, veines marquees, taches, irregularites grain</t>
  </si>
  <si>
    <t>Inspection visuelle lumiere rasante 45°</t>
  </si>
  <si>
    <t>Table lumineuse + loupe</t>
  </si>
  <si>
    <t>Grade A</t>
  </si>
  <si>
    <t>Grade A+</t>
  </si>
  <si>
    <t>Grade</t>
  </si>
  <si>
    <t>Norme ISO 3378</t>
  </si>
  <si>
    <t>Selection parements — Cuir pleine fleur uniquement — Taux de chute accepte 40%</t>
  </si>
  <si>
    <t>100% peaux</t>
  </si>
  <si>
    <t>CQ-JOA-001</t>
  </si>
  <si>
    <t>Joaillerie</t>
  </si>
  <si>
    <t>Bague</t>
  </si>
  <si>
    <t>Precision du sertissage</t>
  </si>
  <si>
    <t>Positionnement pierre dans le serti — Symetrie, hauteur, inclinaison — Pierre ne doit pas bouger sous pression moderee</t>
  </si>
  <si>
    <t>Inspection loupe 20x + test pression doigt</t>
  </si>
  <si>
    <t>Loupe gemmologique 20x + pince brucelles</t>
  </si>
  <si>
    <t>mm (jeu)</t>
  </si>
  <si>
    <t>Norme RJC Standards</t>
  </si>
  <si>
    <t>Serti clos : jeu max 0.01mm — Serti griffe : alignement ±0.02mm</t>
  </si>
  <si>
    <t>CQ-JOA-002</t>
  </si>
  <si>
    <t>Bracelet</t>
  </si>
  <si>
    <t>Finition de surface metal</t>
  </si>
  <si>
    <t>Qualite du polissage — Absence de rayures, marques d'outils, porosites — Brillance miroir (poli) ou satine uniforme</t>
  </si>
  <si>
    <t>Inspection visuelle + mesure rugosite</t>
  </si>
  <si>
    <t>Rugosimetre Mitutoyo SJ-310 + loupe 20x</t>
  </si>
  <si>
    <t>Ra 0.025</t>
  </si>
  <si>
    <t>Ra 0.05</t>
  </si>
  <si>
    <t>µm (rugosite)</t>
  </si>
  <si>
    <t>Norme ISO 4287</t>
  </si>
  <si>
    <t>Polissage main minimum 3 passes — Finition avivage rhodie pour or blanc</t>
  </si>
  <si>
    <t>CQ-JOA-003</t>
  </si>
  <si>
    <t>Collier</t>
  </si>
  <si>
    <t>Tolerance poids metal</t>
  </si>
  <si>
    <t>Poids de la piece en metal precieux — Tolerance par rapport au poids theorique du dessin technique</t>
  </si>
  <si>
    <t>Pesee balance de precision 0.01g</t>
  </si>
  <si>
    <t>Balance Mettler Toledo XSR205</t>
  </si>
  <si>
    <t>% (ecart)</t>
  </si>
  <si>
    <t>Norme LBMA</t>
  </si>
  <si>
    <t>Poincon de garantie verifie — Titre 750‰ confirme par touchau</t>
  </si>
  <si>
    <t>CQ-HOR-001</t>
  </si>
  <si>
    <t>Horlogerie</t>
  </si>
  <si>
    <t>Montre mecanique</t>
  </si>
  <si>
    <t>Precision du mouvement</t>
  </si>
  <si>
    <t>Ecart de marche journalier — Mesure en 5 positions + 2 temperatures sur 10 jours — Criteres COSC</t>
  </si>
  <si>
    <t>Test chronometrique 10 jours</t>
  </si>
  <si>
    <t>Witschi Chronoscope + stand 5 positions</t>
  </si>
  <si>
    <t>sec/jour</t>
  </si>
  <si>
    <t>COSC ISO 3159</t>
  </si>
  <si>
    <t>Critere COSC standard — Maison exige -2/+4 sec/jour pour Haute Horlogerie</t>
  </si>
  <si>
    <t>100% mouvements</t>
  </si>
  <si>
    <t>CQ-HOR-002</t>
  </si>
  <si>
    <t>Montre</t>
  </si>
  <si>
    <t>Etancheite</t>
  </si>
  <si>
    <t>Resistance a la pression d'eau — Test de pression selon profondeur annoncee + marge 25%</t>
  </si>
  <si>
    <t>Test pression eau/air</t>
  </si>
  <si>
    <t>Appareil Witschi Proofmaster + chambre pression</t>
  </si>
  <si>
    <t>bar (fuite)</t>
  </si>
  <si>
    <t>ISO 22810</t>
  </si>
  <si>
    <t>Test a 125% de la pression annoncee — 3 cycles — Fuite = 0 tolere</t>
  </si>
  <si>
    <t>100% boitiers</t>
  </si>
  <si>
    <t>CQ-HOR-003</t>
  </si>
  <si>
    <t>Finition du mouvement</t>
  </si>
  <si>
    <t>Qualite des decorations : cotes de Geneve, perlage, anglage, polissage — Evaluation sur 8 criteres</t>
  </si>
  <si>
    <t>Inspection loupe binoculaire 40x</t>
  </si>
  <si>
    <t>Loupe Leica M205 + eclairage rasant</t>
  </si>
  <si>
    <t>Bon</t>
  </si>
  <si>
    <t>Excellent</t>
  </si>
  <si>
    <t>Qualitatif (8 criteres)</t>
  </si>
  <si>
    <t>Poincon de Geneve / Qualite Fleurier</t>
  </si>
  <si>
    <t>Anglage interne obligatoire — Cotes de Geneve sur ponts — Polissage speculaire vis</t>
  </si>
  <si>
    <t>CQ-PAP-001</t>
  </si>
  <si>
    <t>Pret-a-Porter</t>
  </si>
  <si>
    <t>Veste / Blazer</t>
  </si>
  <si>
    <t>Solidite des coutures</t>
  </si>
  <si>
    <t>Resistance a la traction des coutures — Test normalise sur eprouvette — Mesure force de rupture</t>
  </si>
  <si>
    <t>Test dynamometrique sur eprouvette</t>
  </si>
  <si>
    <t>Dynamometre Instron 5944 + machoires tissu</t>
  </si>
  <si>
    <t>N (resistance)</t>
  </si>
  <si>
    <t>ISO 13935-1</t>
  </si>
  <si>
    <t>Resistance min 80N couture principale — 60N couture decorative</t>
  </si>
  <si>
    <t>Par lot (5 pieces)</t>
  </si>
  <si>
    <t>CQ-PAP-002</t>
  </si>
  <si>
    <t>Robe</t>
  </si>
  <si>
    <t>Alignement droit-fil</t>
  </si>
  <si>
    <t>Ecart du droit-fil tissu par rapport a l'axe de symetrie du vetement — Mesure sur patron et piece finie</t>
  </si>
  <si>
    <t>Mesure au rapporteur + laser</t>
  </si>
  <si>
    <t>Laser d'alignement + rapporteur gradue</t>
  </si>
  <si>
    <t>° (degres)</t>
  </si>
  <si>
    <t>Norme interne PAP-002</t>
  </si>
  <si>
    <t>Tolerance 0.5° pour soie — 1° pour laine — Tissus imprimes : raccord motif obligatoire</t>
  </si>
  <si>
    <t>CQ-PAP-003</t>
  </si>
  <si>
    <t>Chemise</t>
  </si>
  <si>
    <t>Regularite des boutonnieres</t>
  </si>
  <si>
    <t>Taille, positionnement et finition des boutonnieres — Regularite de l'espacement — Solidite de la bride</t>
  </si>
  <si>
    <t>Mesure pied a coulisse + test boutonnage 50 cycles</t>
  </si>
  <si>
    <t>Pied a coulisse + mannequin d'essai</t>
  </si>
  <si>
    <t>mm (ecart taille)</t>
  </si>
  <si>
    <t>MOYEN</t>
  </si>
  <si>
    <t>Norme interne PAP-003</t>
  </si>
  <si>
    <t>Boutonniere a la main pour Haute Couture — Machine pour PAP standard — Points de renfort</t>
  </si>
  <si>
    <t>100% pieces HC / lot PAP</t>
  </si>
  <si>
    <t>CQ-GEN-001</t>
  </si>
  <si>
    <t>Tous metiers</t>
  </si>
  <si>
    <t>Tous produits</t>
  </si>
  <si>
    <t>Conformite colorimetrique</t>
  </si>
  <si>
    <t>Coherence couleur entre pieces d'un meme lot et par rapport au standard colorimetrique — ΔE* ≤ 1.5</t>
  </si>
  <si>
    <t>Spectrophotometre</t>
  </si>
  <si>
    <t>X-Rite Ci7800 + cabine lumiere D65</t>
  </si>
  <si>
    <t>ΔE* (ecart)</t>
  </si>
  <si>
    <t>ISO 105-J03</t>
  </si>
  <si>
    <t>ΔE* ≤ 1.0 pour cuir — ΔE* ≤ 1.5 pour textile — Validation sous D65 + TL84</t>
  </si>
  <si>
    <t>Par lot + standard</t>
  </si>
  <si>
    <t>CQ-GEN-002</t>
  </si>
  <si>
    <t>Test de solidite des teintures</t>
  </si>
  <si>
    <t>Resistance de la teinture au frottement sec et humide — a la lumiere — a la transpiration</t>
  </si>
  <si>
    <t>Test Crockmeter (frottement) + test lumiere xenon</t>
  </si>
  <si>
    <t>Crockmeter James Heal + Xenotest</t>
  </si>
  <si>
    <t>Niveau (echelle 1-5)</t>
  </si>
  <si>
    <t>ISO 105-X12 / ISO 105-B02</t>
  </si>
  <si>
    <t>Note min 4 frottement sec — Note min 3-4 frottement humide — 6 lumiere</t>
  </si>
  <si>
    <t>Par lot (3 eprouvettes)</t>
  </si>
  <si>
    <t>SYNTHESE CRITERES</t>
  </si>
  <si>
    <t>Total criteres :</t>
  </si>
  <si>
    <t>CRITIQUES :</t>
  </si>
  <si>
    <t>ELEVES :</t>
  </si>
  <si>
    <t>CONTROLES QUALITE — AGENT ARTISANALQUALITYAI</t>
  </si>
  <si>
    <t>Registre des inspections et resultats — Tracabilite piece par piece — Avril 2026</t>
  </si>
  <si>
    <t>REGISTRE DES CONTROLES QUALITE</t>
  </si>
  <si>
    <t>ID_Controle</t>
  </si>
  <si>
    <t>Date</t>
  </si>
  <si>
    <t>Heure</t>
  </si>
  <si>
    <t>Ref. produit / Lot</t>
  </si>
  <si>
    <t>Lot tracabilite (LuxeTrace)</t>
  </si>
  <si>
    <t>Critere(s) controle(s)</t>
  </si>
  <si>
    <t>Artisan</t>
  </si>
  <si>
    <t>Atelier</t>
  </si>
  <si>
    <t>Resultat</t>
  </si>
  <si>
    <t>Score (/100)</t>
  </si>
  <si>
    <t>Defauts constates</t>
  </si>
  <si>
    <t>Action corrective</t>
  </si>
  <si>
    <t>Controleur</t>
  </si>
  <si>
    <t>Observations</t>
  </si>
  <si>
    <t>CTL-2026-0001</t>
  </si>
  <si>
    <t>2026-04-01</t>
  </si>
  <si>
    <t>09:15</t>
  </si>
  <si>
    <t>SAC-KE-35-NOIR-001</t>
  </si>
  <si>
    <t>LOT-2026-0001</t>
  </si>
  <si>
    <t>CQ-MAR-001 + CQ-MAR-002 + CQ-MAR-003</t>
  </si>
  <si>
    <t>Jean-Pierre Moreau</t>
  </si>
  <si>
    <t>Atelier Maroquinerie Paris</t>
  </si>
  <si>
    <t>Conforme</t>
  </si>
  <si>
    <t>Aucun</t>
  </si>
  <si>
    <t>N/A</t>
  </si>
  <si>
    <t>Sophie Laurent</t>
  </si>
  <si>
    <t>Piece d'exception — Point sellier 5.5pts/cm — Symetrie parfaite</t>
  </si>
  <si>
    <t>CTL-2026-0002</t>
  </si>
  <si>
    <t>10:30</t>
  </si>
  <si>
    <t>SAC-KE-35-GOLD-002</t>
  </si>
  <si>
    <t>CQ-MAR-001 + CQ-MAR-002 + CQ-MAR-004</t>
  </si>
  <si>
    <t>Marie Dubois</t>
  </si>
  <si>
    <t>Obs. mineure : legere irregularite tranche coin superieur droit</t>
  </si>
  <si>
    <t>Reprise finition tranche — Couche supplementaire</t>
  </si>
  <si>
    <t>Piece validee apres reprise — Score releve de 91 a 94</t>
  </si>
  <si>
    <t>CTL-2026-0003</t>
  </si>
  <si>
    <t>2026-04-02</t>
  </si>
  <si>
    <t>08:45</t>
  </si>
  <si>
    <t>SAC-BI-28-CAMEL-003</t>
  </si>
  <si>
    <t>LOT-2026-0002</t>
  </si>
  <si>
    <t>CQ-MAR-001 + CQ-MAR-005</t>
  </si>
  <si>
    <t>Antoine Lefevre</t>
  </si>
  <si>
    <t>Non conforme</t>
  </si>
  <si>
    <t>Defaut cuir : griffure 8mm visible sur parement avant — Densite piqure irreguliere (4.2 a 5.8 pts/cm)</t>
  </si>
  <si>
    <t>Remplacement parement + reprise couture complete</t>
  </si>
  <si>
    <t>Rejet initial — Cuir retourne au tri — Nouveau parement selectionne</t>
  </si>
  <si>
    <t>CTL-2026-0004</t>
  </si>
  <si>
    <t>14:00</t>
  </si>
  <si>
    <t>BAG-SOL-OR18-DIA-001</t>
  </si>
  <si>
    <t>LOT-2026-0004</t>
  </si>
  <si>
    <t>CQ-JOA-001 + CQ-JOA-002 + CQ-JOA-003</t>
  </si>
  <si>
    <t>Maitre Francois Petit</t>
  </si>
  <si>
    <t>Atelier Haute Joaillerie Vendome</t>
  </si>
  <si>
    <t>Alain Mercier</t>
  </si>
  <si>
    <t>Piece Haute Joaillerie — Sertissage diamant 1.52ct D/IF impeccable — Polissage miroir parfait</t>
  </si>
  <si>
    <t>CTL-2026-0005</t>
  </si>
  <si>
    <t>2026-04-03</t>
  </si>
  <si>
    <t>09:00</t>
  </si>
  <si>
    <t>BRA-MAN-OR18-007</t>
  </si>
  <si>
    <t>CQ-JOA-002 + CQ-JOA-003</t>
  </si>
  <si>
    <t>Elise Durand</t>
  </si>
  <si>
    <t>Conditionnel</t>
  </si>
  <si>
    <t>Micro-rayure outil visible sur interieur maille — Poids -2.3% vs theorique</t>
  </si>
  <si>
    <t>Re-polissage interieur maillon — Validation poids dans tolerance</t>
  </si>
  <si>
    <t>Conditionnel : re-polissage suffisant — Poids dans tolerance (-2.3% &lt; -2% frontiere)</t>
  </si>
  <si>
    <t>CTL-2026-0006</t>
  </si>
  <si>
    <t>11:30</t>
  </si>
  <si>
    <t>MON-ETER-AUTO-001</t>
  </si>
  <si>
    <t>N/A (mouvement manufacture)</t>
  </si>
  <si>
    <t>CQ-HOR-001 + CQ-HOR-002</t>
  </si>
  <si>
    <t>Maitre Claude Bonnard</t>
  </si>
  <si>
    <t>Atelier Horlogerie Geneve</t>
  </si>
  <si>
    <t>Pierre Fontaine</t>
  </si>
  <si>
    <t>Mouvement manufacture — Marche -1.8s/j (cible -2/+4) — Etancheite 10 bar confirmee</t>
  </si>
  <si>
    <t>CTL-2026-0007</t>
  </si>
  <si>
    <t>2026-04-04</t>
  </si>
  <si>
    <t>08:30</t>
  </si>
  <si>
    <t>MON-CLAS-QTZ-015</t>
  </si>
  <si>
    <t>CQ-HOR-002 + CQ-HOR-003</t>
  </si>
  <si>
    <t>Isabelle Martin</t>
  </si>
  <si>
    <t>Obs. mineure : perlage pont legerement irregulier zone 3 — Dans tolerance</t>
  </si>
  <si>
    <t>N/A — Observation documentee</t>
  </si>
  <si>
    <t>Perlage acceptable selon grille — Etancheite 5 bar OK — Mouvement quartz conforme</t>
  </si>
  <si>
    <t>CTL-2026-0008</t>
  </si>
  <si>
    <t>14:15</t>
  </si>
  <si>
    <t>VES-SM-CASH-NAVY-001</t>
  </si>
  <si>
    <t>LOT-2026-0007</t>
  </si>
  <si>
    <t>CQ-PAP-001 + CQ-PAP-002 + CQ-GEN-001</t>
  </si>
  <si>
    <t>Nathalie Bernard</t>
  </si>
  <si>
    <t>Atelier PAP Milan</t>
  </si>
  <si>
    <t>Marco Ricci</t>
  </si>
  <si>
    <t>Cachemire Gobi — Coutures 120N — Droit-fil 0.3° — ΔE* 0.8 vs standard — Excellent</t>
  </si>
  <si>
    <t>CTL-2026-0009</t>
  </si>
  <si>
    <t>2026-04-05</t>
  </si>
  <si>
    <t>09:45</t>
  </si>
  <si>
    <t>ROB-SOI-IMP-FLOR-003</t>
  </si>
  <si>
    <t>LOT-2026-0009</t>
  </si>
  <si>
    <t>CQ-PAP-002 + CQ-GEN-001 + CQ-GEN-002</t>
  </si>
  <si>
    <t>Catherine Moreau</t>
  </si>
  <si>
    <t>Raccord motif imprime decale 3mm dos — ΔE* 2.1 (&gt; seuil 1.5) — Solidite frottement humide : 2/5</t>
  </si>
  <si>
    <t>Recoupe panneaux dos — Reteinture lot tissu — Lot bloque</t>
  </si>
  <si>
    <t>Triple non-conformite — Lot soie bloque — Alerte qualite fournisseur Seteria Bianchi</t>
  </si>
  <si>
    <t>CTL-2026-0010</t>
  </si>
  <si>
    <t>2026-04-07</t>
  </si>
  <si>
    <t>10:00</t>
  </si>
  <si>
    <t>PLM-ZIP-CUI-BURG-012</t>
  </si>
  <si>
    <t>CQ-MAR-005 + CQ-MAR-003 + CQ-GEN-001</t>
  </si>
  <si>
    <t>Obs. mineure : legere variation teinte cuir entre 2 panneaux (ΔE* 1.1 — dans tolerance)</t>
  </si>
  <si>
    <t>N/A — Variation naturelle cuir documentee</t>
  </si>
  <si>
    <t>Variation chromatique naturelle du cuir pleine fleur — Dans tolerance maison (ΔE* ≤ 1.0 cuir strict)</t>
  </si>
  <si>
    <t>CTL-2026-0011</t>
  </si>
  <si>
    <t>2026-04-08</t>
  </si>
  <si>
    <t>11:00</t>
  </si>
  <si>
    <t>COL-RIV-OR-SAP-001</t>
  </si>
  <si>
    <t>LOT-2026-0005</t>
  </si>
  <si>
    <t>CQ-JOA-001 + CQ-JOA-002</t>
  </si>
  <si>
    <t>En attente</t>
  </si>
  <si>
    <t>Controle en cours — Sertissage 47 saphirs en riviere — Etape 32/47</t>
  </si>
  <si>
    <t>N/A — Controle non finalise</t>
  </si>
  <si>
    <t>Piece Haute Joaillerie complexe — Controle pierre par pierre — Fin estimee 12/04</t>
  </si>
  <si>
    <t>CTL-2026-0012</t>
  </si>
  <si>
    <t>2026-04-09</t>
  </si>
  <si>
    <t>SAC-KE-35-CROC-001</t>
  </si>
  <si>
    <t>LOT-2026-0008</t>
  </si>
  <si>
    <t>CQ-MAR-001 + CQ-MAR-002 + CQ-MAR-003 + CQ-MAR-004 + CQ-MAR-005</t>
  </si>
  <si>
    <t>Piece crocodile — Controle exhaustif 5 criteres — Excellence — Ecailles symetriques validees</t>
  </si>
  <si>
    <t>CTL-2026-0013</t>
  </si>
  <si>
    <t>2026-04-10</t>
  </si>
  <si>
    <t>15:00</t>
  </si>
  <si>
    <t>CHE-COT-BLA-SLIM-LOT15</t>
  </si>
  <si>
    <t>N/A (coton japonais)</t>
  </si>
  <si>
    <t>CQ-PAP-003 + CQ-GEN-002</t>
  </si>
  <si>
    <t>Lot de 15 pieces</t>
  </si>
  <si>
    <t>2 pieces sur 15 : boutonniere #3 irreguliere (ecart 0.7mm &gt; 0.5mm tolerance) — Solidite teinture OK</t>
  </si>
  <si>
    <t>Reprise boutonniere pieces #7 et #12 — Re-controle apres</t>
  </si>
  <si>
    <t>13/15 conformes — 2 pieces en reprise — Lot conditionnel</t>
  </si>
  <si>
    <t>CTL-2026-0014</t>
  </si>
  <si>
    <t>2026-04-11</t>
  </si>
  <si>
    <t>08:00</t>
  </si>
  <si>
    <t>MON-TOUR-CHRONO-001</t>
  </si>
  <si>
    <t>N/A (mouvement complication)</t>
  </si>
  <si>
    <t>CQ-HOR-001 + CQ-HOR-002 + CQ-HOR-003</t>
  </si>
  <si>
    <t>Aucun — Piece exceptionnelle</t>
  </si>
  <si>
    <t>Score 100/100 — Tourbillon — Marche +0.2s/j — Finition Poincon de Geneve — Chef-d'oeuvre</t>
  </si>
  <si>
    <t>SYNTHESE CONTROLES</t>
  </si>
  <si>
    <t>Total :</t>
  </si>
  <si>
    <t>Conformes :</t>
  </si>
  <si>
    <t>Non conformes :</t>
  </si>
  <si>
    <t>Score moyen :</t>
  </si>
  <si>
    <t>First Pass Yield :</t>
  </si>
  <si>
    <t>Taux rejet :</t>
  </si>
  <si>
    <t>REGISTRE DES DEFAUTS — AGENT ARTISANALQUALITYAI</t>
  </si>
  <si>
    <t>Classification, analyse causale, actions correctives — Amelioration continue — Avril 2026</t>
  </si>
  <si>
    <t>REGISTRE DEFAUTS QUALITE ARTISANALE</t>
  </si>
  <si>
    <t>ID_Defaut</t>
  </si>
  <si>
    <t>Date detection</t>
  </si>
  <si>
    <t>Controle source</t>
  </si>
  <si>
    <t>Produit / Lot</t>
  </si>
  <si>
    <t>Type de defaut</t>
  </si>
  <si>
    <t>Classification</t>
  </si>
  <si>
    <t>Severite</t>
  </si>
  <si>
    <t>Cause racine identifiee</t>
  </si>
  <si>
    <t>Action preventive</t>
  </si>
  <si>
    <t>Cout impact (€)</t>
  </si>
  <si>
    <t>Responsable</t>
  </si>
  <si>
    <t>Statut</t>
  </si>
  <si>
    <t>Date cloture</t>
  </si>
  <si>
    <t>DEF-2026-001</t>
  </si>
  <si>
    <t>Defaut matiere — Griffure cuir</t>
  </si>
  <si>
    <t>Esthetique</t>
  </si>
  <si>
    <t>Majeur</t>
  </si>
  <si>
    <t>Griffure lineaire 8mm sur parement avant cuir veau — Visible a l'oeil nu — Origine : selection cuir insuffisante</t>
  </si>
  <si>
    <t>Peau presentant un defaut en zone B non detecte lors du tri initial — Eclairage poste de tri insuffisant</t>
  </si>
  <si>
    <t>Remplacement parement complet — Selection nouvelle peau Grade A+</t>
  </si>
  <si>
    <t>Installation lampe LED lumiere rasante au poste de tri cuir — Formation operateur tri</t>
  </si>
  <si>
    <t>Resp. Atelier Maroquinerie</t>
  </si>
  <si>
    <t>Resolu</t>
  </si>
  <si>
    <t>DEF-2026-002</t>
  </si>
  <si>
    <t>Defaut piqure — Densite irreguliere</t>
  </si>
  <si>
    <t>Fonctionnel</t>
  </si>
  <si>
    <t>Variation densite piqure de 4.2 a 5.8 pts/cm sur couture principale — Norme 5-7 pts/cm mais variation &gt;0.5pt/cm</t>
  </si>
  <si>
    <t>Tension fil machine mal reglee — Usure guide-fil detectee — Artisan fatigue (heure tardive)</t>
  </si>
  <si>
    <t>Decousage + reprise couture integrale — Reglage machine — Verification guide-fil</t>
  </si>
  <si>
    <t>Procedure de verification tension fil toutes les 2h — Rotation artisans en fin de journee</t>
  </si>
  <si>
    <t>Jean-Pierre Moreau (artisan)</t>
  </si>
  <si>
    <t>DEF-2026-003</t>
  </si>
  <si>
    <t>Defaut finition — Micro-rayure</t>
  </si>
  <si>
    <t>Mineur</t>
  </si>
  <si>
    <t>Micro-rayure outil 2mm sur face interieure maillon bracelet or 18K — Non visible porte — Detectable loupe 20x</t>
  </si>
  <si>
    <t>Contact accidentel outil gravure lors de manipulation piece voisine — Poste de travail encombre</t>
  </si>
  <si>
    <t>Re-polissage localise — Avivage rhodie zone impactee</t>
  </si>
  <si>
    <t>Reorganisation poste travail — Separation physique pieces en cours — Protocole manipulation</t>
  </si>
  <si>
    <t>Elise Durand (artisan)</t>
  </si>
  <si>
    <t>DEF-2026-004</t>
  </si>
  <si>
    <t>Defaut matiere — Raccord motif</t>
  </si>
  <si>
    <t>Decalage raccord motif imprime floral 3mm sur couture dos — Visible a 1m — Inacceptable pour piece de collection</t>
  </si>
  <si>
    <t>Erreur placement patron sur tissu imprime — Operateur coupe n'a pas aligne reperes motif</t>
  </si>
  <si>
    <t>Recoupe panneaux dos avec raccord correct — Piece recoupee dans nouveau metrage</t>
  </si>
  <si>
    <t>Formation placement patron sur imprimes — Gabarit de raccord obligatoire — Double validation avant coupe</t>
  </si>
  <si>
    <t>Resp. Atelier PAP Milan</t>
  </si>
  <si>
    <t>DEF-2026-005</t>
  </si>
  <si>
    <t>ROB-SOI-IMP-FLOR-003 (lot tissu)</t>
  </si>
  <si>
    <t>Defaut teinture — ΔE* hors tolerance</t>
  </si>
  <si>
    <t>Matiere premiere</t>
  </si>
  <si>
    <t>Critique</t>
  </si>
  <si>
    <t>ΔE* de 2.1 entre tissu livre et standard colorimetrique — Seuil 1.5 — Lot soie entier potentiellement impacte</t>
  </si>
  <si>
    <t>Derive bain de teinture chez fournisseur Seteria Bianchi — Lot de teinture #SB-2026-T089</t>
  </si>
  <si>
    <t>Lot soie bloque — Retour fournisseur pour reteinture — Alerte qualite emise vers fournisseur</t>
  </si>
  <si>
    <t>Audit teinture chez Seteria Bianchi — Exigence certificat colorimerique par lot — Controle reception systematique</t>
  </si>
  <si>
    <t>Dir. Qualite + Seteria Bianchi</t>
  </si>
  <si>
    <t>En cours</t>
  </si>
  <si>
    <t>DEF-2026-006</t>
  </si>
  <si>
    <t>Defaut teinture — Solidite insuffisante</t>
  </si>
  <si>
    <t>Solidite frottement humide 2/5 (min 3-4 requis) — Risque decoloration au porte — Lot impropre a la commercialisation</t>
  </si>
  <si>
    <t>Meme cause que DEF-005 — Fixation colorant insuffisante lot teinture #SB-2026-T089</t>
  </si>
  <si>
    <t>Lot bloque — Impossibilite de reprise — Remplacement lot complet par Seteria Bianchi</t>
  </si>
  <si>
    <t>Renforcement cahier des charges teinture — Clause penale fournisseur — Controle solidite reception</t>
  </si>
  <si>
    <t>Dir. Qualite + Dir. Achats</t>
  </si>
  <si>
    <t>DEF-2026-007</t>
  </si>
  <si>
    <t>CHE-COT-BLA-SLIM #7 et #12</t>
  </si>
  <si>
    <t>Defaut confection — Boutonniere irreguliere</t>
  </si>
  <si>
    <t>Boutonniere #3 sur 2 pieces (sur 15) : ecart taille 0.7mm vs 0.5mm tolerance — Legere irregularite visuelle</t>
  </si>
  <si>
    <t>Reglage machine boutonniere legerement decale — Maintenance preventive retardee de 3 jours</t>
  </si>
  <si>
    <t>Reprise manuelle boutonnieres pieces #7 et #12 — Reglage machine effectue</t>
  </si>
  <si>
    <t>Maintenance preventive machine boutonniere strictement toutes les 200 pieces — Check-list pre-production</t>
  </si>
  <si>
    <t>Catherine Moreau (operateur)</t>
  </si>
  <si>
    <t>DEF-2026-008</t>
  </si>
  <si>
    <t>Defaut finition — Tranche irreguliere</t>
  </si>
  <si>
    <t>Legere irregularite finition tranche coin superieur droit — Visible loupe 10x uniquement — Reprise simple</t>
  </si>
  <si>
    <t>Application de peinture de tranche legerement inegale — 3eme couche trop rapide (sechage incomplet)</t>
  </si>
  <si>
    <t>Poncage leger + application couche supplementaire — Polissage buis final</t>
  </si>
  <si>
    <t>Rappel temps de sechage inter-couches minimum 45min — Fiche de suivi sechage au poste</t>
  </si>
  <si>
    <t>Marie Dubois (artisan)</t>
  </si>
  <si>
    <t>SYNTHESE DEFAUTS</t>
  </si>
  <si>
    <t>Total defauts :</t>
  </si>
  <si>
    <t>Critiques :</t>
  </si>
  <si>
    <t>Ouverts :</t>
  </si>
  <si>
    <t>Cout total :</t>
  </si>
  <si>
    <t>REGISTRE DES ATELIERS — AGENT ARTISANALQUALITYAI</t>
  </si>
  <si>
    <t>Ateliers de fabrication — Capacites, certifications, scores qualite — Avril 2026</t>
  </si>
  <si>
    <t>BASE DES ATELIERS DE FABRICATION</t>
  </si>
  <si>
    <t>ID_Atelier</t>
  </si>
  <si>
    <t>Nom de l'atelier</t>
  </si>
  <si>
    <t>Ville</t>
  </si>
  <si>
    <t>Pays</t>
  </si>
  <si>
    <t>Metier principal</t>
  </si>
  <si>
    <t>Specialite</t>
  </si>
  <si>
    <t>Nb artisans</t>
  </si>
  <si>
    <t>Score qualite moyen</t>
  </si>
  <si>
    <t>Taux First Pass Yield</t>
  </si>
  <si>
    <t>Certifications atelier</t>
  </si>
  <si>
    <t>Date dernier audit qualite</t>
  </si>
  <si>
    <t>Resultat audit</t>
  </si>
  <si>
    <t>Notes</t>
  </si>
  <si>
    <t>ATL-001</t>
  </si>
  <si>
    <t>Paris 3e</t>
  </si>
  <si>
    <t>France</t>
  </si>
  <si>
    <t>Sacs a main — Point sellier — Cuirs exotiques</t>
  </si>
  <si>
    <t>ISO 9001 + Label EPV (Entreprise du Patrimoine Vivant)</t>
  </si>
  <si>
    <t>2026-03-15</t>
  </si>
  <si>
    <t>Actif</t>
  </si>
  <si>
    <t>Atelier historique — Excellence artisanale — Formation compagnonnage — Maitre d'art resident</t>
  </si>
  <si>
    <t>ATL-002</t>
  </si>
  <si>
    <t>Paris 1er</t>
  </si>
  <si>
    <t>Haute Joaillerie — Sertissage — Polissage — Gravure</t>
  </si>
  <si>
    <t>RJC CoP + Label EPV + Poincon de maitre</t>
  </si>
  <si>
    <t>2026-02-28</t>
  </si>
  <si>
    <t>Place Vendome — Maitres joailliers — Pieces uniques et haute joaillerie — Coffre-fort classe 6</t>
  </si>
  <si>
    <t>ATL-003</t>
  </si>
  <si>
    <t>Geneve</t>
  </si>
  <si>
    <t>Suisse</t>
  </si>
  <si>
    <t>Mouvements manufacture — Complications — Habillage</t>
  </si>
  <si>
    <t>Poincon de Geneve + COSC + ISO 9001</t>
  </si>
  <si>
    <t>2026-01-20</t>
  </si>
  <si>
    <t>Manufacture horlogere — Poincon de Geneve — Tourbillons et complications</t>
  </si>
  <si>
    <t>ATL-004</t>
  </si>
  <si>
    <t>Milan</t>
  </si>
  <si>
    <t>Italie</t>
  </si>
  <si>
    <t>Confection Femme — Tailleur — Couture flou</t>
  </si>
  <si>
    <t>ISO 9001 + Camera Nazionale della Moda</t>
  </si>
  <si>
    <t>2026-03-01</t>
  </si>
  <si>
    <t>Atelier italien — Couture et tailleur — Expertise textiles nobles — 2 modelistes seniors</t>
  </si>
  <si>
    <t>ATL-005</t>
  </si>
  <si>
    <t>Atelier Haute Couture Paris</t>
  </si>
  <si>
    <t>Paris 8e</t>
  </si>
  <si>
    <t>Haute Couture</t>
  </si>
  <si>
    <t>Flou — Tailleur — Broderie — Plissage</t>
  </si>
  <si>
    <t>Label Haute Couture (Federation) + EPV</t>
  </si>
  <si>
    <t>2026-02-15</t>
  </si>
  <si>
    <t>Maison membre Chambre Syndicale Haute Couture — Ateliers flou et tailleur separes</t>
  </si>
  <si>
    <t>ATL-006</t>
  </si>
  <si>
    <t>Atelier Ganterie Millau</t>
  </si>
  <si>
    <t>Millau</t>
  </si>
  <si>
    <t>Gants de luxe — Coupe, couture, finition</t>
  </si>
  <si>
    <t>Label EPV + IGP Gant de Millau</t>
  </si>
  <si>
    <t>2025-11-15</t>
  </si>
  <si>
    <t>Savoir-faire centenaire — Coupe a la main — Derniere ganterie de tradition en France</t>
  </si>
  <si>
    <t>ATL-007</t>
  </si>
  <si>
    <t>Atelier Souliers Florence</t>
  </si>
  <si>
    <t>Florence</t>
  </si>
  <si>
    <t>Chaussures homme/femme — Cousu Blake — Cousu Goodyear</t>
  </si>
  <si>
    <t>ISO 9001 + Consorzio Vera Pelle Italiana</t>
  </si>
  <si>
    <t>2026-01-10</t>
  </si>
  <si>
    <t>Bottier florentin — Blake et Goodyear — Formes sur mesure disponibles</t>
  </si>
  <si>
    <t>SYNTHESE ATELIERS</t>
  </si>
  <si>
    <t>Total ateliers :</t>
  </si>
  <si>
    <t>Total artisans :</t>
  </si>
  <si>
    <t>Score global :</t>
  </si>
  <si>
    <t>REGISTRE DES ARTISANS — AGENT ARTISANALQUALITYAI</t>
  </si>
  <si>
    <t>Competences, certifications, evaluations qualite, formation — Capital humain artisanal — Avril 2026</t>
  </si>
  <si>
    <t>BASE DES ARTISANS ET COMPETENCES</t>
  </si>
  <si>
    <t>ID_Artisan</t>
  </si>
  <si>
    <t>Nom</t>
  </si>
  <si>
    <t>Prenom</t>
  </si>
  <si>
    <t>Specialite principale</t>
  </si>
  <si>
    <t>Annees experience</t>
  </si>
  <si>
    <t>Niveau maitrise</t>
  </si>
  <si>
    <t>Taux defaut (%)</t>
  </si>
  <si>
    <t>Certifications / Distinctions</t>
  </si>
  <si>
    <t>Derniere evaluation</t>
  </si>
  <si>
    <t>Heures formation (12 mois)</t>
  </si>
  <si>
    <t>Besoins formation identifies</t>
  </si>
  <si>
    <t>ART-001</t>
  </si>
  <si>
    <t>Moreau</t>
  </si>
  <si>
    <t>Jean-Pierre</t>
  </si>
  <si>
    <t>Point sellier — Sacs structures — Cuirs exotiques</t>
  </si>
  <si>
    <t>Maitre d'art</t>
  </si>
  <si>
    <t>Maitre d'Art (2019) + MOF Maroquinier (2015) + EPV</t>
  </si>
  <si>
    <t>Formation nouvelles colles ecologiques — Cuirs alternatifs</t>
  </si>
  <si>
    <t>Maitre d'art — Formateur compagnons — 28 ans de maison — Referent cuirs exotiques</t>
  </si>
  <si>
    <t>ART-002</t>
  </si>
  <si>
    <t>Dubois</t>
  </si>
  <si>
    <t>Marie</t>
  </si>
  <si>
    <t>Couture sellier — Petite maroquinerie — Finition tranches</t>
  </si>
  <si>
    <t>Expert</t>
  </si>
  <si>
    <t>MOF Maroquinier candidat 2027 + CQP Maroquinerie Luxe</t>
  </si>
  <si>
    <t>Perfectionnement cuirs exotiques — Preparation MOF 2027</t>
  </si>
  <si>
    <t>Candidate MOF 2027 — Excellente — En progression rapide sur exotiques</t>
  </si>
  <si>
    <t>ART-003</t>
  </si>
  <si>
    <t>Lefevre</t>
  </si>
  <si>
    <t>Antoine</t>
  </si>
  <si>
    <t>Coupe — Patronage — Sacs souples</t>
  </si>
  <si>
    <t>Confirme</t>
  </si>
  <si>
    <t>CQP Maroquinerie Luxe + Formation interne avancee</t>
  </si>
  <si>
    <t>Renforcement controle visuel cuir — Regularite piqure</t>
  </si>
  <si>
    <t>Defauts DEF-001/002 — Plan amelioration en cours — Formation renforcee tri cuir</t>
  </si>
  <si>
    <t>ART-004</t>
  </si>
  <si>
    <t>Petit</t>
  </si>
  <si>
    <t>Francois</t>
  </si>
  <si>
    <t>Sertissage — Haute Joaillerie — Pierres de centre</t>
  </si>
  <si>
    <t>Maitre joaillier</t>
  </si>
  <si>
    <t>Maitre d'Art (2017) + MOF Joaillier (2011) + Poincon de maitre</t>
  </si>
  <si>
    <t>Nouvelles techniques CAO 3D — Impression cire perdue avancee</t>
  </si>
  <si>
    <t>Plus haut niveau expertise — Pieces de Haute Joaillerie exclusivement — Mentor 2 apprentis</t>
  </si>
  <si>
    <t>ART-005</t>
  </si>
  <si>
    <t>Durand</t>
  </si>
  <si>
    <t>Elise</t>
  </si>
  <si>
    <t>Polissage — Finition — Rhodiage</t>
  </si>
  <si>
    <t>CQP Joaillerie Luxe + Formation Cartier Academy</t>
  </si>
  <si>
    <t>Perfectionnement finitions pierres de couleur — Techniques laser</t>
  </si>
  <si>
    <t>Excellente polisseuse — Obs. mineure DEF-003 — Plan attention renforce manipulation</t>
  </si>
  <si>
    <t>ART-006</t>
  </si>
  <si>
    <t>Bonnard</t>
  </si>
  <si>
    <t>Claude</t>
  </si>
  <si>
    <t>Assemblage mouvements — Complications — Tourbillons</t>
  </si>
  <si>
    <t>Maitre horloger</t>
  </si>
  <si>
    <t>Maitre Horloger WOSTEP + Poincon de Geneve + Brevet federal CH</t>
  </si>
  <si>
    <t>Nouvelles certifications silicium — Composants haute frequence</t>
  </si>
  <si>
    <t>Maitre horloger referent — Score 100/100 sur tourbillon — 35 ans d'excellence</t>
  </si>
  <si>
    <t>ART-007</t>
  </si>
  <si>
    <t>Martin</t>
  </si>
  <si>
    <t>Isabelle</t>
  </si>
  <si>
    <t>Habillage — Decoration — Finition mouvements</t>
  </si>
  <si>
    <t>CFC Horlogere + Formation Geneve Watchmaking School</t>
  </si>
  <si>
    <t>Anglage avance — Perlage haute precision — Preparation Poincon de Geneve</t>
  </si>
  <si>
    <t>En progression — Observation perlage (CTL-007) — Formation anglage en cours</t>
  </si>
  <si>
    <t>ART-008</t>
  </si>
  <si>
    <t>Bernard</t>
  </si>
  <si>
    <t>Nathalie</t>
  </si>
  <si>
    <t>Tailleur femme — Cachemire — Couture structuree</t>
  </si>
  <si>
    <t>Diploma Accademia del Lusso + Maestro Sartoriale</t>
  </si>
  <si>
    <t>Nouveaux textiles techniques — Couture collee — Hybrides</t>
  </si>
  <si>
    <t>Experte tailleur italien — Specialiste cachemire — Resultats excellents</t>
  </si>
  <si>
    <t>ART-009</t>
  </si>
  <si>
    <t>Catherine</t>
  </si>
  <si>
    <t>Couture flou — Soie — Imprimes — Boutonnieres</t>
  </si>
  <si>
    <t>CAP Couture + Formation interne avancee soie</t>
  </si>
  <si>
    <t>Perfectionnement placement patron imprimes — Maintenance machine</t>
  </si>
  <si>
    <t>Defauts DEF-004 + DEF-007 — Plan formation renforce — Progression attendue</t>
  </si>
  <si>
    <t>ART-010</t>
  </si>
  <si>
    <t>Ricci</t>
  </si>
  <si>
    <t>Marco</t>
  </si>
  <si>
    <t>Controle qualite — Chef d'atelier adjoint</t>
  </si>
  <si>
    <t>CQP Industrie Mode Luxe + Formation AFNOR Qualite</t>
  </si>
  <si>
    <t>Formation auditeur interne ISO 9001 — Lean Manufacturing luxe</t>
  </si>
  <si>
    <t>Controleur qualite principal Milan — Fiable et rigoureux — Candidat chef d'atelier</t>
  </si>
  <si>
    <t>SYNTHESE ARTISANS</t>
  </si>
  <si>
    <t>Maitres d'art :</t>
  </si>
  <si>
    <t>Exp. moyenne :</t>
  </si>
  <si>
    <t>Formation moy. :</t>
  </si>
  <si>
    <t>RAPPORTS QUALITE AGREGES — AGENT ARTISANALQUALITYAI</t>
  </si>
  <si>
    <t>Synthese mensuelle par atelier et metier — Tendances et analyse — Avril 2026</t>
  </si>
  <si>
    <t>RAPPORTS QUALITE MENSUELS — PERIODE : Q1-Q2 2026</t>
  </si>
  <si>
    <t>ID_Rapport</t>
  </si>
  <si>
    <t>Periode</t>
  </si>
  <si>
    <t>Nb controles</t>
  </si>
  <si>
    <t>Nb conformes</t>
  </si>
  <si>
    <t>Nb non conformes</t>
  </si>
  <si>
    <t>First Pass Yield (%)</t>
  </si>
  <si>
    <t>Score moyen (/100)</t>
  </si>
  <si>
    <t>Top 3 defauts</t>
  </si>
  <si>
    <t>Tendance vs M-1</t>
  </si>
  <si>
    <t>Actions prioritaires</t>
  </si>
  <si>
    <t>Statut rapport</t>
  </si>
  <si>
    <t>RPT-2026-Q1-001</t>
  </si>
  <si>
    <t>Janvier 2026</t>
  </si>
  <si>
    <t>1. Finition tranche (3) 2. Symetrie couture (2) 3. Qualite cuir (1)</t>
  </si>
  <si>
    <t>Amelioration</t>
  </si>
  <si>
    <t>Renforcement controle tri cuir — Formation finition tranche</t>
  </si>
  <si>
    <t>Valide</t>
  </si>
  <si>
    <t>RPT-2026-Q1-002</t>
  </si>
  <si>
    <t>Fevrier 2026</t>
  </si>
  <si>
    <t>1. Qualite cuir (2) 2. Finition tranche (2) 3. Quincaillerie (1)</t>
  </si>
  <si>
    <t>Stable</t>
  </si>
  <si>
    <t>Installation eclairage LED poste tri — Suivi plan tranche</t>
  </si>
  <si>
    <t>RPT-2026-Q1-003</t>
  </si>
  <si>
    <t>Mars 2026</t>
  </si>
  <si>
    <t>1. Piqure irreguliere (1) 2. Griffure cuir (1)</t>
  </si>
  <si>
    <t>Plan d'action eclairage deploye — Resultats positifs observes</t>
  </si>
  <si>
    <t>RPT-2026-Q1-004</t>
  </si>
  <si>
    <t>1. Micro-rayure polissage (1)</t>
  </si>
  <si>
    <t>Reorganisation postes de travail — Separation pieces en cours</t>
  </si>
  <si>
    <t>RPT-2026-Q1-005</t>
  </si>
  <si>
    <t>Aucun defaut</t>
  </si>
  <si>
    <t>RAS — Excellence maintenue</t>
  </si>
  <si>
    <t>RPT-2026-Q1-006</t>
  </si>
  <si>
    <t>RAS — Preparation piece Haute Joaillerie complexe (47 saphirs)</t>
  </si>
  <si>
    <t>RPT-2026-Q1-007</t>
  </si>
  <si>
    <t>Q1 2026</t>
  </si>
  <si>
    <t>1. Perlage irregulier (1 obs.)</t>
  </si>
  <si>
    <t>Formation perlage Isabelle Martin — Preparation Poincon de Geneve</t>
  </si>
  <si>
    <t>RPT-2026-Q2-008</t>
  </si>
  <si>
    <t>Avril 2026 (partiel)</t>
  </si>
  <si>
    <t>1. Solidite teinture soie (2 CRIT) 2. Raccord motif (1) 3. Boutonniere (1)</t>
  </si>
  <si>
    <t>Degradation</t>
  </si>
  <si>
    <t>ALERTE — Probleme fournisseur Seteria Bianchi — Audit urgent teinture</t>
  </si>
  <si>
    <t>KPI QUALITE &amp; ROI — AGENT ARTISANALQUALITYAI</t>
  </si>
  <si>
    <t>Indicateurs de performance qualite artisanale — Calcul ROI automatise — Avril 2026</t>
  </si>
  <si>
    <t>SECTION A — KPIs QUALITE ARTISANALE</t>
  </si>
  <si>
    <t>ID_KPI</t>
  </si>
  <si>
    <t>Categorie</t>
  </si>
  <si>
    <t>Cible</t>
  </si>
  <si>
    <t>Valeur actuelle</t>
  </si>
  <si>
    <t>% Atteinte</t>
  </si>
  <si>
    <t>Tendance</t>
  </si>
  <si>
    <t>Source donnees</t>
  </si>
  <si>
    <t>Frequence</t>
  </si>
  <si>
    <t>Commentaire</t>
  </si>
  <si>
    <t>KQ-001</t>
  </si>
  <si>
    <t>First Pass Yield global</t>
  </si>
  <si>
    <t>Performance</t>
  </si>
  <si>
    <t>%</t>
  </si>
  <si>
    <t>3_CONTROLES</t>
  </si>
  <si>
    <t>Mensuel</t>
  </si>
  <si>
    <t>Dir. Qualite</t>
  </si>
  <si>
    <t>% pieces conformes des le 1er controle</t>
  </si>
  <si>
    <t>KQ-002</t>
  </si>
  <si>
    <t>/100</t>
  </si>
  <si>
    <t>Moyenne ponderee tous ateliers</t>
  </si>
  <si>
    <t>KQ-003</t>
  </si>
  <si>
    <t>Taux de defauts critiques</t>
  </si>
  <si>
    <t>Defauts</t>
  </si>
  <si>
    <t>4_DEFAUTS</t>
  </si>
  <si>
    <t>Hebdomadaire</t>
  </si>
  <si>
    <t>Objectif zero defaut critique</t>
  </si>
  <si>
    <t>KQ-004</t>
  </si>
  <si>
    <t>Cout total non-qualite</t>
  </si>
  <si>
    <t>Financier</t>
  </si>
  <si>
    <t>EUR/mois</t>
  </si>
  <si>
    <t>Dir. Finance</t>
  </si>
  <si>
    <t>Couts reprises + rebuts + retours</t>
  </si>
  <si>
    <t>KQ-005</t>
  </si>
  <si>
    <t>Taux de retour client</t>
  </si>
  <si>
    <t>Client</t>
  </si>
  <si>
    <t>Donnees SAV (ext.)</t>
  </si>
  <si>
    <t>Dir. Commercial</t>
  </si>
  <si>
    <t>Retours lies a un defaut qualite</t>
  </si>
  <si>
    <t>KQ-006</t>
  </si>
  <si>
    <t>Nb artisans Maitre d'Art / MOF</t>
  </si>
  <si>
    <t>Capital humain</t>
  </si>
  <si>
    <t>6_ARTISANS</t>
  </si>
  <si>
    <t>Annuel</t>
  </si>
  <si>
    <t>Dir. RH</t>
  </si>
  <si>
    <t>Indicateur excellence savoir-faire</t>
  </si>
  <si>
    <t>KQ-007</t>
  </si>
  <si>
    <t>Heures formation qualite / artisan / an</t>
  </si>
  <si>
    <t>Formation</t>
  </si>
  <si>
    <t>h</t>
  </si>
  <si>
    <t>Trimestriel</t>
  </si>
  <si>
    <t>Dir. RH + Qualite</t>
  </si>
  <si>
    <t>Minimum 40h/an pour maintien excellence</t>
  </si>
  <si>
    <t>KQ-008</t>
  </si>
  <si>
    <t>Taux de certification ateliers</t>
  </si>
  <si>
    <t>Certification</t>
  </si>
  <si>
    <t>5_ATELIERS</t>
  </si>
  <si>
    <t>Tous ateliers ISO 9001 ou equivalent</t>
  </si>
  <si>
    <t>KQ-009</t>
  </si>
  <si>
    <t>Delai moyen resolution defaut</t>
  </si>
  <si>
    <t>Reactivite</t>
  </si>
  <si>
    <t>jours</t>
  </si>
  <si>
    <t>De detection a resolution complete</t>
  </si>
  <si>
    <t>KQ-010</t>
  </si>
  <si>
    <t>Taux de reprise vs rejet</t>
  </si>
  <si>
    <t>Economie</t>
  </si>
  <si>
    <t>Dir. Production</t>
  </si>
  <si>
    <t>% defauts resolus par reprise (vs rejet piece)</t>
  </si>
  <si>
    <t>SECTION B — CALCUL ROI AGENT ARTISANALQUALITYAI</t>
  </si>
  <si>
    <t>Poste</t>
  </si>
  <si>
    <t>Description</t>
  </si>
  <si>
    <t>Avant Agent (EUR/an)</t>
  </si>
  <si>
    <t>Apres Agent (EUR/an)</t>
  </si>
  <si>
    <t>Economie (EUR/an)</t>
  </si>
  <si>
    <t>% Reduction</t>
  </si>
  <si>
    <t>Temps avant (h/mois)</t>
  </si>
  <si>
    <t>Temps apres (h/mois)</t>
  </si>
  <si>
    <t>Heures gagnees</t>
  </si>
  <si>
    <t>ETP liberes</t>
  </si>
  <si>
    <t>Source</t>
  </si>
  <si>
    <t>Inspection qualite manuelle</t>
  </si>
  <si>
    <t>Temps inspecteurs sur controles visuels et mesures</t>
  </si>
  <si>
    <t>Benchmark KPMG 2026</t>
  </si>
  <si>
    <t>Automatisation partielle par vision IA</t>
  </si>
  <si>
    <t>Documentation qualite</t>
  </si>
  <si>
    <t>Redaction rapports, fiches controle, archivage</t>
  </si>
  <si>
    <t>Interne</t>
  </si>
  <si>
    <t>Generation automatique rapports QC</t>
  </si>
  <si>
    <t>Gestion des non-conformites</t>
  </si>
  <si>
    <t>Detection, investigation, traitement, suivi</t>
  </si>
  <si>
    <t>Workflow automatise + alertes proactives</t>
  </si>
  <si>
    <t>Formation et evaluation</t>
  </si>
  <si>
    <t>Suivi competences, plans formation, evaluations</t>
  </si>
  <si>
    <t>DRH</t>
  </si>
  <si>
    <t>Tableaux de bord competences automatises</t>
  </si>
  <si>
    <t>Couts de non-qualite evites</t>
  </si>
  <si>
    <t>Reprises, rebuts, retours clients reduits</t>
  </si>
  <si>
    <t>Qualite</t>
  </si>
  <si>
    <t>Reduction estimee 45% des couts non-qualite</t>
  </si>
  <si>
    <t>Cout Agent IA</t>
  </si>
  <si>
    <t>Licence, maintenance, formation utilisateurs</t>
  </si>
  <si>
    <t>Devis Neural Enterprise</t>
  </si>
  <si>
    <t>Cout annuel tout compris</t>
  </si>
  <si>
    <t>TOTAL ROI</t>
  </si>
  <si>
    <t>SYNTHESE ROI</t>
  </si>
  <si>
    <t>ROI annuel net</t>
  </si>
  <si>
    <t>ROI en %</t>
  </si>
  <si>
    <t>Heures economisees / mois</t>
  </si>
  <si>
    <t>Payback (mois)</t>
  </si>
  <si>
    <t>ALERTES QUALITE — AGENT ARTISANALQUALITYAI</t>
  </si>
  <si>
    <t>Alertes actives — Seuils qualite — Escalade intelligente — Avril 2026</t>
  </si>
  <si>
    <t>REGISTRE DES ALERTES QUALITE ACTIVES</t>
  </si>
  <si>
    <t>ID_Alerte</t>
  </si>
  <si>
    <t>Type alerte</t>
  </si>
  <si>
    <t>Criticite</t>
  </si>
  <si>
    <t>Produit / Lot concerne</t>
  </si>
  <si>
    <t>Impact</t>
  </si>
  <si>
    <t>Action requise</t>
  </si>
  <si>
    <t>Delai (j)</t>
  </si>
  <si>
    <t>AQ-2026-001</t>
  </si>
  <si>
    <t>10:45</t>
  </si>
  <si>
    <t>Non-conformite produit</t>
  </si>
  <si>
    <t>Double defaut : griffure cuir + piqure irreguliere — Piece rejetee en premiere inspection</t>
  </si>
  <si>
    <t>Retard livraison client 5 jours — Cout reprise 830 EUR — Image qualite interne</t>
  </si>
  <si>
    <t>Reprise complete — Plan formation artisan Lefevre — Audit eclairage tri</t>
  </si>
  <si>
    <t>AQ-2026-002</t>
  </si>
  <si>
    <t>12:00</t>
  </si>
  <si>
    <t>Defaut matiere premiere fournisseur</t>
  </si>
  <si>
    <t>Lot soie Seteria Bianchi #SB-2026-T089</t>
  </si>
  <si>
    <t>DeltaE 2.1 + solidite frottement 2/5 — Lot entier non conforme — 3 robes impactees — Risque lot complet</t>
  </si>
  <si>
    <t>Blocage production soie — 12 pieces en attente — Retard collection — Cout &gt;7000 EUR — Risque fournisseur</t>
  </si>
  <si>
    <t>Blocage lot — Retour fournisseur — Audit teinture Seteria Bianchi — Recherche lot remplacement</t>
  </si>
  <si>
    <t>AQ-2026-003</t>
  </si>
  <si>
    <t>15:30</t>
  </si>
  <si>
    <t>Seuil qualite franchi</t>
  </si>
  <si>
    <t>Score qualite 82/100 — Sous le seuil atelier 90/100 — Piece validee apres reprise mais score initial faible</t>
  </si>
  <si>
    <t>Alerte monitoring — Pas de blocage — Vigilance accrue sur finition bracelet or</t>
  </si>
  <si>
    <t>Analyse cause + reorganisation poste polissage — Sensibilisation manipulation</t>
  </si>
  <si>
    <t>AQ-2026-004</t>
  </si>
  <si>
    <t>Tendance degradation</t>
  </si>
  <si>
    <t>Atelier PAP Milan — Global</t>
  </si>
  <si>
    <t>FPY atelier Milan passe de 94% a 77% en avril — 3 non-conformites en 10 jours — Tendance negative</t>
  </si>
  <si>
    <t>Risque systemique — Qualite collection ete 2026 menacee — Retards cascade</t>
  </si>
  <si>
    <t>Audit flash atelier Milan — Revue process — Renforcement controles reception matieres</t>
  </si>
  <si>
    <t>Marco Ricci + Dir. Qualite</t>
  </si>
  <si>
    <t>AQ-2026-005</t>
  </si>
  <si>
    <t>Competence artisan</t>
  </si>
  <si>
    <t>Catherine Moreau — Artisan #ART-009</t>
  </si>
  <si>
    <t>2 defauts attribues en avril (DEF-004 raccord motif + DEF-007 boutonniere) — Besoin formation identifie</t>
  </si>
  <si>
    <t>Plan de formation individuel necessaire — Risque de repetition</t>
  </si>
  <si>
    <t>Entretien individuel + plan de formation placement patron + maintenance machine</t>
  </si>
  <si>
    <t>Resp. Atelier + DRH</t>
  </si>
  <si>
    <t>AQ-2026-006</t>
  </si>
  <si>
    <t>Excellence detectee</t>
  </si>
  <si>
    <t>INFO</t>
  </si>
  <si>
    <t>Score 100/100 — Tourbillon Maitre Bonnard — Piece d'exception — Candidature prix interne</t>
  </si>
  <si>
    <t>Impact positif — Valorisation savoir-faire — Communication interne et externe</t>
  </si>
  <si>
    <t>Nomination prix excellence artisanale — Documentation pour communication Maison</t>
  </si>
  <si>
    <t>Ouvert</t>
  </si>
  <si>
    <t>SYNTHESE ALERTES</t>
  </si>
  <si>
    <t>CRITIQUES ouvertes</t>
  </si>
  <si>
    <t>ELEVEES ouvertes</t>
  </si>
  <si>
    <t>MOYENNES ouvertes</t>
  </si>
  <si>
    <t>Resolues</t>
  </si>
  <si>
    <t>Total actives</t>
  </si>
  <si>
    <t>PARAMETRES &amp; REFERENTIELS — AGENT ARTISANALQUALITYAI</t>
  </si>
  <si>
    <t>Referentiels qualite — Classifications — Seuils — Configuration systeme — Avril 2026</t>
  </si>
  <si>
    <t>REF A — CLASSIFICATION DES DEFAUTS</t>
  </si>
  <si>
    <t>Code</t>
  </si>
  <si>
    <t>Severite par defaut</t>
  </si>
  <si>
    <t>TYP-EST</t>
  </si>
  <si>
    <t>Defaut visuel n'affectant pas la fonctionnalite mais l'apparence</t>
  </si>
  <si>
    <t>Mineur a Majeur</t>
  </si>
  <si>
    <t>TYP-FON</t>
  </si>
  <si>
    <t>Defaut affectant l'usage ou la durabilite du produit</t>
  </si>
  <si>
    <t>Majeur a Critique</t>
  </si>
  <si>
    <t>TYP-DIM</t>
  </si>
  <si>
    <t>Dimensionnel</t>
  </si>
  <si>
    <t>Ecart de mesure hors tolerance — Taille, poids, epaisseur</t>
  </si>
  <si>
    <t>TYP-MAT</t>
  </si>
  <si>
    <t>Defaut inherent a la matiere brute — Cuir, tissu, metal, pierre</t>
  </si>
  <si>
    <t>Variable</t>
  </si>
  <si>
    <t>TYP-ASS</t>
  </si>
  <si>
    <t>Assemblage</t>
  </si>
  <si>
    <t>Defaut de montage, collage, rivetage, sertissage</t>
  </si>
  <si>
    <t>TYP-FIN</t>
  </si>
  <si>
    <t>Finition</t>
  </si>
  <si>
    <t>Defaut de finition — Polissage, teinture, tranche, rhodiage</t>
  </si>
  <si>
    <t>TYP-EMB</t>
  </si>
  <si>
    <t>Emballage / Presentation</t>
  </si>
  <si>
    <t>Defaut d'emballage, etiquetage, presentation</t>
  </si>
  <si>
    <t>TYP-CON</t>
  </si>
  <si>
    <t>Contamination</t>
  </si>
  <si>
    <t>Presence corps etranger, tache, residu chimique</t>
  </si>
  <si>
    <t>REF B — NIVEAUX DE MAITRISE ARTISANALE</t>
  </si>
  <si>
    <t>Niveau</t>
  </si>
  <si>
    <t>Annees min.</t>
  </si>
  <si>
    <t>Equivalent</t>
  </si>
  <si>
    <t>Apprenti</t>
  </si>
  <si>
    <t>0-2</t>
  </si>
  <si>
    <t>En formation — Sous supervision directe permanente</t>
  </si>
  <si>
    <t>CAP / BEP</t>
  </si>
  <si>
    <t>Compagnon</t>
  </si>
  <si>
    <t>2-5</t>
  </si>
  <si>
    <t>Autonome sur taches courantes — Supervision ponctuelle</t>
  </si>
  <si>
    <t>BP / BMA</t>
  </si>
  <si>
    <t>5-10</t>
  </si>
  <si>
    <t>Maitrise complete metier — Peut former les apprentis</t>
  </si>
  <si>
    <t>CQP Luxe</t>
  </si>
  <si>
    <t>10-20</t>
  </si>
  <si>
    <t>Excellence reconnue — Referent technique — Pieces complexes</t>
  </si>
  <si>
    <t>DMA / Titre RNCP</t>
  </si>
  <si>
    <t>20+</t>
  </si>
  <si>
    <t>Savoir-faire exceptionnel — Distinction nationale — Pieces uniques</t>
  </si>
  <si>
    <t>MOF / Maitre d'Art</t>
  </si>
  <si>
    <t>REF C — SEUILS &amp; PARAMETRES QUALITE</t>
  </si>
  <si>
    <t>Parametre</t>
  </si>
  <si>
    <t>Min</t>
  </si>
  <si>
    <t>Max</t>
  </si>
  <si>
    <t>Score qualite minimum — piece individuelle</t>
  </si>
  <si>
    <t>En dessous : piece rejetee ou en reprise</t>
  </si>
  <si>
    <t>Score qualite minimum — atelier (moyenne)</t>
  </si>
  <si>
    <t>En dessous : audit flash declenche</t>
  </si>
  <si>
    <t>First Pass Yield cible</t>
  </si>
  <si>
    <t>% pieces conformes au 1er controle</t>
  </si>
  <si>
    <t>Taux de defaut critique maximum</t>
  </si>
  <si>
    <t>Delai max resolution defaut critique</t>
  </si>
  <si>
    <t>heures</t>
  </si>
  <si>
    <t>Escalade Direction si depasse</t>
  </si>
  <si>
    <t>Delai max resolution defaut majeur</t>
  </si>
  <si>
    <t>5 jours ouvres maximum</t>
  </si>
  <si>
    <t>Nb controles par artisan / mois (min)</t>
  </si>
  <si>
    <t>Frequence minimale pour suivi qualite</t>
  </si>
  <si>
    <t>Heures formation qualite / an (min)</t>
  </si>
  <si>
    <t>Maintien des competences</t>
  </si>
  <si>
    <t>DeltaE max cuir — ecart colorimetrique</t>
  </si>
  <si>
    <t>DeltaE</t>
  </si>
  <si>
    <t>Seuil stricte pour cuir pleine fleur</t>
  </si>
  <si>
    <t>DeltaE max textile</t>
  </si>
  <si>
    <t>Seuil standard textiles</t>
  </si>
  <si>
    <t>Version referentiel qualite</t>
  </si>
  <si>
    <t>v2026.04</t>
  </si>
  <si>
    <t>-</t>
  </si>
  <si>
    <t>Derniere MAJ Avril 2026</t>
  </si>
  <si>
    <t>REF D — CONNEXIONS INTER-AGENTS (Neural Enterprise)</t>
  </si>
  <si>
    <t>Agent source</t>
  </si>
  <si>
    <t>Donnees consommees</t>
  </si>
  <si>
    <t>Agent destination</t>
  </si>
  <si>
    <t>Donnees produites</t>
  </si>
  <si>
    <t>Frequence sync</t>
  </si>
  <si>
    <t>LuxeTraceability</t>
  </si>
  <si>
    <t>ID Lot, Matiere, Fournisseur, Certification origine</t>
  </si>
  <si>
    <t>ArtisanalQualityAI</t>
  </si>
  <si>
    <t>Score qualite lot, Statut QC, Defauts detectes</t>
  </si>
  <si>
    <t>Temps reel</t>
  </si>
  <si>
    <t>Score qualite par lot certifie</t>
  </si>
  <si>
    <t>Certification qualite artisanale — Lot valide / rejete</t>
  </si>
  <si>
    <t>Par controle</t>
  </si>
  <si>
    <t>Taux defaut par matiere / fournisseur</t>
  </si>
  <si>
    <t>RareMaterialSourcing</t>
  </si>
  <si>
    <t>Alerte qualite matiere -&gt; Reevaluation sourcing</t>
  </si>
  <si>
    <t>Planifie</t>
  </si>
  <si>
    <t>Score qualite lot + serialisation</t>
  </si>
  <si>
    <t>AntiCounterfeitSC</t>
  </si>
  <si>
    <t>Authenticite qualite artisanale certifiee par lot</t>
  </si>
  <si>
    <t>Par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</si>
</sst>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#,##0\ \€"/>
    <numFmt numFmtId="167" formatCode="0.0&quot; ans&quot;"/>
    <numFmt numFmtId="168" formatCode="0&quot;h&quot;"/>
    <numFmt numFmtId="169" formatCode="#,##0\ &quot;EUR&quot;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C9A84C"/>
      <name val="Calibri"/>
    </font>
    <font>
      <i/>
      <sz val="8"/>
      <color rgb="FF8C8C8C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11"/>
      <color rgb="FFC9A84C"/>
      <name val="Calibri"/>
    </font>
    <font>
      <b/>
      <sz val="11"/>
      <color rgb="FFFF0000"/>
      <name val="Calibri"/>
    </font>
    <font>
      <b/>
      <sz val="10"/>
      <color rgb="FFC9A84C"/>
      <name val="Calibri"/>
    </font>
    <font>
      <sz val="9"/>
      <color rgb="FF006100"/>
      <name val="Calibri"/>
    </font>
    <font>
      <sz val="9"/>
      <color rgb="FF9C0006"/>
      <name val="Calibri"/>
    </font>
    <font>
      <b/>
      <sz val="10"/>
      <name val="Calibri"/>
    </font>
    <font>
      <b/>
      <sz val="9"/>
      <color rgb="FF006100"/>
      <name val="Calibri"/>
    </font>
    <font>
      <b/>
      <sz val="11"/>
      <name val="Calibri"/>
    </font>
    <font>
      <b/>
      <sz val="14"/>
      <color rgb="FFC9A84C"/>
      <name val="Calibri"/>
    </font>
    <font>
      <b/>
      <sz val="28"/>
      <color rgb="FFC9A84C"/>
      <name val="Calibri"/>
    </font>
    <font>
      <b/>
      <sz val="28"/>
      <color rgb="FFFF0000"/>
      <name val="Calibri"/>
    </font>
    <font>
      <sz val="10"/>
      <name val="Calibri"/>
    </font>
    <font>
      <b/>
      <sz val="12"/>
      <color rgb="FFC9A84C"/>
      <name val="Calibri"/>
    </font>
    <font>
      <i/>
      <sz val="8"/>
      <color rgb="FF6B1D2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9F6F0"/>
        <bgColor rgb="FFF9F6F0"/>
      </patternFill>
    </fill>
    <fill>
      <patternFill patternType="solid">
        <fgColor rgb="FF6B1D2A"/>
        <bgColor rgb="FF6B1D2A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/>
    <xf numFmtId="1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/>
    <xf numFmtId="164" fontId="7" fillId="2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169" fontId="13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69" fontId="13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/>
    <xf numFmtId="2" fontId="7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9" fontId="19" fillId="3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169" fontId="16" fillId="0" borderId="0" xfId="0" applyNumberFormat="1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4" fillId="0" borderId="1" xfId="0" applyFont="1" applyBorder="1"/>
    <xf numFmtId="0" fontId="0" fillId="0" borderId="2" xfId="0" applyBorder="1"/>
    <xf numFmtId="0" fontId="0" fillId="0" borderId="3" xfId="0" applyBorder="1"/>
    <xf numFmtId="169" fontId="15" fillId="0" borderId="1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32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1565C0"/>
      </font>
      <fill>
        <patternFill patternType="solid">
          <fgColor rgb="FFD6E4F0"/>
          <bgColor rgb="FFD6E4F0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FFFFFF"/>
      </font>
      <fill>
        <patternFill patternType="solid">
          <fgColor rgb="FFFF6600"/>
          <bgColor rgb="FFFF66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1565C0"/>
      </font>
      <fill>
        <patternFill patternType="solid">
          <fgColor rgb="FFD6E4F0"/>
          <bgColor rgb="FFD6E4F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FFFFFF"/>
      </font>
      <fill>
        <patternFill patternType="solid">
          <fgColor rgb="FFFF6600"/>
          <bgColor rgb="FFFF66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FFFFFF"/>
      </font>
      <fill>
        <patternFill patternType="solid">
          <fgColor rgb="FFFF6600"/>
          <bgColor rgb="FFFF66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L26"/>
  <sheetViews>
    <sheetView showGridLines="0" tabSelected="1" workbookViewId="0">
      <pane ySplit="4" topLeftCell="A8" activePane="bottomLeft" state="frozen"/>
      <selection pane="bottomLeft" activeCell="A9" sqref="A9:L9"/>
    </sheetView>
  </sheetViews>
  <sheetFormatPr baseColWidth="10" defaultColWidth="9.140625" defaultRowHeight="15" x14ac:dyDescent="0.25"/>
  <cols>
    <col min="1" max="1" width="36" customWidth="1"/>
    <col min="2" max="2" width="18" customWidth="1"/>
    <col min="3" max="3" width="12" customWidth="1"/>
    <col min="4" max="12" width="18" customWidth="1"/>
  </cols>
  <sheetData>
    <row r="1" spans="1:12" ht="48" customHeight="1" x14ac:dyDescent="0.25">
      <c r="A1" s="6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7.95" customHeight="1" x14ac:dyDescent="0.25">
      <c r="A2" s="54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x14ac:dyDescent="0.25">
      <c r="A3" s="63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spans="1:12" x14ac:dyDescent="0.25">
      <c r="A5" s="53" t="s">
        <v>3</v>
      </c>
      <c r="B5" s="52"/>
      <c r="C5" s="52"/>
      <c r="D5" s="53" t="s">
        <v>4</v>
      </c>
      <c r="E5" s="52"/>
      <c r="F5" s="52"/>
      <c r="G5" s="59" t="s">
        <v>5</v>
      </c>
      <c r="H5" s="52"/>
      <c r="I5" s="52"/>
      <c r="J5" s="53" t="s">
        <v>6</v>
      </c>
      <c r="K5" s="52"/>
      <c r="L5" s="52"/>
    </row>
    <row r="6" spans="1:12" ht="50.1" customHeight="1" x14ac:dyDescent="0.25">
      <c r="A6" s="55">
        <f>IFERROR(COUNTIF('3_CONTROLES'!K5:K5000,"Conforme")/COUNTIFS('3_CONTROLES'!K5:K5000,"&lt;&gt;En attente"),0)</f>
        <v>1.8018018018018018E-3</v>
      </c>
      <c r="B6" s="52"/>
      <c r="C6" s="52"/>
      <c r="D6" s="56">
        <f>IFERROR(AVERAGEIF('3_CONTROLES'!L5:L5000,"&gt;0"),0)</f>
        <v>87.92307692307692</v>
      </c>
      <c r="E6" s="52"/>
      <c r="F6" s="52"/>
      <c r="G6" s="57">
        <f>COUNTIFS('9_ALERTES'!E5:E10,"CRITIQUE",'9_ALERTES'!M5:M10,"&lt;&gt;Resolu")</f>
        <v>1</v>
      </c>
      <c r="H6" s="52"/>
      <c r="I6" s="52"/>
      <c r="J6" s="58">
        <f>SUM('4_DEFAUTS'!M5:M5000)</f>
        <v>17260</v>
      </c>
      <c r="K6" s="52"/>
      <c r="L6" s="52"/>
    </row>
    <row r="7" spans="1:12" x14ac:dyDescent="0.2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9" spans="1:12" ht="30" customHeight="1" x14ac:dyDescent="0.25">
      <c r="A9" s="62" t="s">
        <v>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</row>
    <row r="10" spans="1:12" ht="36" customHeight="1" x14ac:dyDescent="0.25">
      <c r="A10" s="1" t="s">
        <v>8</v>
      </c>
      <c r="B10" s="1" t="s">
        <v>9</v>
      </c>
      <c r="C10" s="1" t="s">
        <v>10</v>
      </c>
    </row>
    <row r="11" spans="1:12" ht="15.75" x14ac:dyDescent="0.25">
      <c r="A11" s="44" t="s">
        <v>11</v>
      </c>
      <c r="B11" s="45">
        <f>COUNTA('2_CRITERES'!A5:A5000)</f>
        <v>17</v>
      </c>
      <c r="C11" s="46" t="s">
        <v>12</v>
      </c>
    </row>
    <row r="12" spans="1:12" ht="15.75" x14ac:dyDescent="0.25">
      <c r="A12" s="47" t="s">
        <v>13</v>
      </c>
      <c r="B12" s="48">
        <f>COUNTA('3_CONTROLES'!A5:A5000)</f>
        <v>15</v>
      </c>
      <c r="C12" s="49" t="s">
        <v>12</v>
      </c>
    </row>
    <row r="13" spans="1:12" ht="15.75" x14ac:dyDescent="0.25">
      <c r="A13" s="44" t="s">
        <v>14</v>
      </c>
      <c r="B13" s="45">
        <f>COUNTIF('3_CONTROLES'!K5:K5000,"Conforme")</f>
        <v>9</v>
      </c>
      <c r="C13" s="46" t="s">
        <v>12</v>
      </c>
    </row>
    <row r="14" spans="1:12" ht="15.75" x14ac:dyDescent="0.25">
      <c r="A14" s="47" t="s">
        <v>15</v>
      </c>
      <c r="B14" s="48">
        <f>COUNTIF('3_CONTROLES'!K5:K5000,"Non conforme")</f>
        <v>2</v>
      </c>
      <c r="C14" s="49" t="s">
        <v>12</v>
      </c>
    </row>
    <row r="15" spans="1:12" ht="15.75" x14ac:dyDescent="0.25">
      <c r="A15" s="44" t="s">
        <v>16</v>
      </c>
      <c r="B15" s="45">
        <f>COUNTA('4_DEFAUTS'!A5:A5000)</f>
        <v>9</v>
      </c>
      <c r="C15" s="46" t="s">
        <v>12</v>
      </c>
    </row>
    <row r="16" spans="1:12" ht="15.75" x14ac:dyDescent="0.25">
      <c r="A16" s="47" t="s">
        <v>17</v>
      </c>
      <c r="B16" s="48">
        <f>COUNTIFS('4_DEFAUTS'!H5:H5000,"Critique",'4_DEFAUTS'!O5:O5000,"En cours")</f>
        <v>2</v>
      </c>
      <c r="C16" s="49" t="s">
        <v>12</v>
      </c>
    </row>
    <row r="17" spans="1:12" ht="15.75" x14ac:dyDescent="0.25">
      <c r="A17" s="44" t="s">
        <v>18</v>
      </c>
      <c r="B17" s="45">
        <f>COUNTIF('5_ATELIERS'!M5:M5000,"Actif")</f>
        <v>7</v>
      </c>
      <c r="C17" s="46" t="s">
        <v>12</v>
      </c>
    </row>
    <row r="18" spans="1:12" ht="15.75" x14ac:dyDescent="0.25">
      <c r="A18" s="47" t="s">
        <v>19</v>
      </c>
      <c r="B18" s="48">
        <f>COUNTA('6_ARTISANS'!A5:A5000)</f>
        <v>11</v>
      </c>
      <c r="C18" s="49" t="s">
        <v>12</v>
      </c>
    </row>
    <row r="19" spans="1:12" ht="15.75" x14ac:dyDescent="0.25">
      <c r="A19" s="44" t="s">
        <v>20</v>
      </c>
      <c r="B19" s="45">
        <f>COUNTIF('6_ARTISANS'!H5:H5000,"Maitre*")</f>
        <v>3</v>
      </c>
      <c r="C19" s="46" t="s">
        <v>12</v>
      </c>
    </row>
    <row r="20" spans="1:12" ht="15.75" x14ac:dyDescent="0.25">
      <c r="A20" s="47" t="s">
        <v>21</v>
      </c>
      <c r="B20" s="48">
        <f>IFERROR(AVERAGE('6_ARTISANS'!M5:M5000),0)</f>
        <v>30.8</v>
      </c>
      <c r="C20" s="49" t="s">
        <v>22</v>
      </c>
    </row>
    <row r="21" spans="1:12" ht="15.75" x14ac:dyDescent="0.25">
      <c r="A21" s="44" t="s">
        <v>23</v>
      </c>
      <c r="B21" s="45">
        <f>COUNTIF('9_ALERTES'!M5:M10,"&lt;&gt;Resolu")</f>
        <v>4</v>
      </c>
      <c r="C21" s="46" t="s">
        <v>12</v>
      </c>
    </row>
    <row r="22" spans="1:12" ht="15.75" x14ac:dyDescent="0.25">
      <c r="A22" s="47" t="s">
        <v>24</v>
      </c>
      <c r="B22" s="50">
        <f>'8_KPI_QUALITE'!E27</f>
        <v>516500</v>
      </c>
      <c r="C22" s="49" t="s">
        <v>25</v>
      </c>
    </row>
    <row r="25" spans="1:12" x14ac:dyDescent="0.25">
      <c r="A25" s="60" t="s">
        <v>26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</row>
    <row r="26" spans="1:12" x14ac:dyDescent="0.25">
      <c r="A26" s="51" t="s">
        <v>27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</sheetData>
  <sheetProtection password="D199" sheet="1"/>
  <mergeCells count="14">
    <mergeCell ref="A1:L1"/>
    <mergeCell ref="A9:L9"/>
    <mergeCell ref="A3:L3"/>
    <mergeCell ref="A26:L26"/>
    <mergeCell ref="J5:L5"/>
    <mergeCell ref="A2:L2"/>
    <mergeCell ref="A6:C7"/>
    <mergeCell ref="D6:F7"/>
    <mergeCell ref="G6:I7"/>
    <mergeCell ref="J6:L7"/>
    <mergeCell ref="D5:F5"/>
    <mergeCell ref="A5:C5"/>
    <mergeCell ref="G5:I5"/>
    <mergeCell ref="A25:L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N21"/>
  <sheetViews>
    <sheetView showGridLines="0" workbookViewId="0">
      <pane ySplit="4" topLeftCell="A8" activePane="bottomLeft" state="frozen"/>
      <selection pane="bottomLeft" sqref="A1:N1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18" customWidth="1"/>
    <col min="4" max="4" width="24" customWidth="1"/>
    <col min="5" max="5" width="40" customWidth="1"/>
    <col min="6" max="6" width="24" customWidth="1"/>
    <col min="7" max="7" width="20" customWidth="1"/>
    <col min="8" max="9" width="14" customWidth="1"/>
    <col min="10" max="10" width="10" customWidth="1"/>
    <col min="11" max="11" width="14" customWidth="1"/>
    <col min="12" max="12" width="18" customWidth="1"/>
    <col min="13" max="13" width="30" customWidth="1"/>
    <col min="14" max="14" width="16" customWidth="1"/>
  </cols>
  <sheetData>
    <row r="1" spans="1:14" ht="48" customHeight="1" x14ac:dyDescent="0.25">
      <c r="A1" s="61" t="s">
        <v>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7.95" customHeight="1" x14ac:dyDescent="0.25">
      <c r="A2" s="54" t="s">
        <v>29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30" customHeight="1" x14ac:dyDescent="0.25">
      <c r="A3" s="62" t="s">
        <v>30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36" customHeight="1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10</v>
      </c>
      <c r="K4" s="1" t="s">
        <v>40</v>
      </c>
      <c r="L4" s="1" t="s">
        <v>41</v>
      </c>
      <c r="M4" s="1" t="s">
        <v>42</v>
      </c>
      <c r="N4" s="1" t="s">
        <v>43</v>
      </c>
    </row>
    <row r="5" spans="1:14" ht="36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>
        <v>5</v>
      </c>
      <c r="I5" s="2">
        <v>7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</row>
    <row r="6" spans="1:14" ht="36" x14ac:dyDescent="0.25">
      <c r="A6" s="3" t="s">
        <v>56</v>
      </c>
      <c r="B6" s="3" t="s">
        <v>45</v>
      </c>
      <c r="C6" s="3" t="s">
        <v>46</v>
      </c>
      <c r="D6" s="3" t="s">
        <v>57</v>
      </c>
      <c r="E6" s="3" t="s">
        <v>58</v>
      </c>
      <c r="F6" s="3" t="s">
        <v>59</v>
      </c>
      <c r="G6" s="3" t="s">
        <v>60</v>
      </c>
      <c r="H6" s="3">
        <v>0</v>
      </c>
      <c r="I6" s="3">
        <v>0.5</v>
      </c>
      <c r="J6" s="3" t="s">
        <v>61</v>
      </c>
      <c r="K6" s="3" t="s">
        <v>52</v>
      </c>
      <c r="L6" s="3" t="s">
        <v>62</v>
      </c>
      <c r="M6" s="3" t="s">
        <v>63</v>
      </c>
      <c r="N6" s="3" t="s">
        <v>55</v>
      </c>
    </row>
    <row r="7" spans="1:14" ht="36" x14ac:dyDescent="0.25">
      <c r="A7" s="2" t="s">
        <v>64</v>
      </c>
      <c r="B7" s="2" t="s">
        <v>45</v>
      </c>
      <c r="C7" s="2" t="s">
        <v>46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 t="s">
        <v>55</v>
      </c>
    </row>
    <row r="8" spans="1:14" ht="36" x14ac:dyDescent="0.25">
      <c r="A8" s="3" t="s">
        <v>75</v>
      </c>
      <c r="B8" s="3" t="s">
        <v>45</v>
      </c>
      <c r="C8" s="3" t="s">
        <v>46</v>
      </c>
      <c r="D8" s="3" t="s">
        <v>76</v>
      </c>
      <c r="E8" s="3" t="s">
        <v>77</v>
      </c>
      <c r="F8" s="3" t="s">
        <v>78</v>
      </c>
      <c r="G8" s="3" t="s">
        <v>79</v>
      </c>
      <c r="H8" s="3">
        <v>15</v>
      </c>
      <c r="I8" s="3">
        <v>999</v>
      </c>
      <c r="J8" s="3" t="s">
        <v>80</v>
      </c>
      <c r="K8" s="3" t="s">
        <v>52</v>
      </c>
      <c r="L8" s="3" t="s">
        <v>81</v>
      </c>
      <c r="M8" s="3" t="s">
        <v>82</v>
      </c>
      <c r="N8" s="3" t="s">
        <v>55</v>
      </c>
    </row>
    <row r="9" spans="1:14" ht="36" x14ac:dyDescent="0.25">
      <c r="A9" s="2" t="s">
        <v>83</v>
      </c>
      <c r="B9" s="2" t="s">
        <v>45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52</v>
      </c>
      <c r="L9" s="2" t="s">
        <v>92</v>
      </c>
      <c r="M9" s="2" t="s">
        <v>93</v>
      </c>
      <c r="N9" s="2" t="s">
        <v>94</v>
      </c>
    </row>
    <row r="10" spans="1:14" ht="36" x14ac:dyDescent="0.25">
      <c r="A10" s="3" t="s">
        <v>95</v>
      </c>
      <c r="B10" s="3" t="s">
        <v>96</v>
      </c>
      <c r="C10" s="3" t="s">
        <v>97</v>
      </c>
      <c r="D10" s="3" t="s">
        <v>98</v>
      </c>
      <c r="E10" s="3" t="s">
        <v>99</v>
      </c>
      <c r="F10" s="3" t="s">
        <v>100</v>
      </c>
      <c r="G10" s="3" t="s">
        <v>101</v>
      </c>
      <c r="H10" s="3">
        <v>0</v>
      </c>
      <c r="I10" s="3">
        <v>0.02</v>
      </c>
      <c r="J10" s="3" t="s">
        <v>102</v>
      </c>
      <c r="K10" s="3" t="s">
        <v>52</v>
      </c>
      <c r="L10" s="3" t="s">
        <v>103</v>
      </c>
      <c r="M10" s="3" t="s">
        <v>104</v>
      </c>
      <c r="N10" s="3" t="s">
        <v>55</v>
      </c>
    </row>
    <row r="11" spans="1:14" ht="36" x14ac:dyDescent="0.25">
      <c r="A11" s="2" t="s">
        <v>105</v>
      </c>
      <c r="B11" s="2" t="s">
        <v>96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72</v>
      </c>
      <c r="L11" s="2" t="s">
        <v>114</v>
      </c>
      <c r="M11" s="2" t="s">
        <v>115</v>
      </c>
      <c r="N11" s="2" t="s">
        <v>55</v>
      </c>
    </row>
    <row r="12" spans="1:14" ht="36" x14ac:dyDescent="0.25">
      <c r="A12" s="3" t="s">
        <v>116</v>
      </c>
      <c r="B12" s="3" t="s">
        <v>96</v>
      </c>
      <c r="C12" s="3" t="s">
        <v>117</v>
      </c>
      <c r="D12" s="3" t="s">
        <v>118</v>
      </c>
      <c r="E12" s="3" t="s">
        <v>119</v>
      </c>
      <c r="F12" s="3" t="s">
        <v>120</v>
      </c>
      <c r="G12" s="3" t="s">
        <v>121</v>
      </c>
      <c r="H12" s="3">
        <v>-2</v>
      </c>
      <c r="I12" s="3">
        <v>2</v>
      </c>
      <c r="J12" s="3" t="s">
        <v>122</v>
      </c>
      <c r="K12" s="3" t="s">
        <v>72</v>
      </c>
      <c r="L12" s="3" t="s">
        <v>123</v>
      </c>
      <c r="M12" s="3" t="s">
        <v>124</v>
      </c>
      <c r="N12" s="3" t="s">
        <v>55</v>
      </c>
    </row>
    <row r="13" spans="1:14" ht="36" x14ac:dyDescent="0.25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131</v>
      </c>
      <c r="H13" s="2">
        <v>-4</v>
      </c>
      <c r="I13" s="2">
        <v>6</v>
      </c>
      <c r="J13" s="2" t="s">
        <v>132</v>
      </c>
      <c r="K13" s="2" t="s">
        <v>52</v>
      </c>
      <c r="L13" s="2" t="s">
        <v>133</v>
      </c>
      <c r="M13" s="2" t="s">
        <v>134</v>
      </c>
      <c r="N13" s="2" t="s">
        <v>135</v>
      </c>
    </row>
    <row r="14" spans="1:14" ht="36" x14ac:dyDescent="0.25">
      <c r="A14" s="3" t="s">
        <v>136</v>
      </c>
      <c r="B14" s="3" t="s">
        <v>126</v>
      </c>
      <c r="C14" s="3" t="s">
        <v>137</v>
      </c>
      <c r="D14" s="3" t="s">
        <v>138</v>
      </c>
      <c r="E14" s="3" t="s">
        <v>139</v>
      </c>
      <c r="F14" s="3" t="s">
        <v>140</v>
      </c>
      <c r="G14" s="3" t="s">
        <v>141</v>
      </c>
      <c r="H14" s="3">
        <v>0</v>
      </c>
      <c r="I14" s="3">
        <v>0</v>
      </c>
      <c r="J14" s="3" t="s">
        <v>142</v>
      </c>
      <c r="K14" s="3" t="s">
        <v>52</v>
      </c>
      <c r="L14" s="3" t="s">
        <v>143</v>
      </c>
      <c r="M14" s="3" t="s">
        <v>144</v>
      </c>
      <c r="N14" s="3" t="s">
        <v>145</v>
      </c>
    </row>
    <row r="15" spans="1:14" ht="36" x14ac:dyDescent="0.25">
      <c r="A15" s="2" t="s">
        <v>146</v>
      </c>
      <c r="B15" s="2" t="s">
        <v>126</v>
      </c>
      <c r="C15" s="2" t="s">
        <v>137</v>
      </c>
      <c r="D15" s="2" t="s">
        <v>147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152</v>
      </c>
      <c r="J15" s="2" t="s">
        <v>153</v>
      </c>
      <c r="K15" s="2" t="s">
        <v>72</v>
      </c>
      <c r="L15" s="2" t="s">
        <v>154</v>
      </c>
      <c r="M15" s="2" t="s">
        <v>155</v>
      </c>
      <c r="N15" s="2" t="s">
        <v>135</v>
      </c>
    </row>
    <row r="16" spans="1:14" ht="36" x14ac:dyDescent="0.25">
      <c r="A16" s="3" t="s">
        <v>156</v>
      </c>
      <c r="B16" s="3" t="s">
        <v>157</v>
      </c>
      <c r="C16" s="3" t="s">
        <v>158</v>
      </c>
      <c r="D16" s="3" t="s">
        <v>159</v>
      </c>
      <c r="E16" s="3" t="s">
        <v>160</v>
      </c>
      <c r="F16" s="3" t="s">
        <v>161</v>
      </c>
      <c r="G16" s="3" t="s">
        <v>162</v>
      </c>
      <c r="H16" s="3">
        <v>80</v>
      </c>
      <c r="I16" s="3">
        <v>999</v>
      </c>
      <c r="J16" s="3" t="s">
        <v>163</v>
      </c>
      <c r="K16" s="3" t="s">
        <v>72</v>
      </c>
      <c r="L16" s="3" t="s">
        <v>164</v>
      </c>
      <c r="M16" s="3" t="s">
        <v>165</v>
      </c>
      <c r="N16" s="3" t="s">
        <v>166</v>
      </c>
    </row>
    <row r="17" spans="1:14" ht="36" x14ac:dyDescent="0.25">
      <c r="A17" s="2" t="s">
        <v>167</v>
      </c>
      <c r="B17" s="2" t="s">
        <v>157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  <c r="H17" s="2">
        <v>0</v>
      </c>
      <c r="I17" s="2">
        <v>1</v>
      </c>
      <c r="J17" s="2" t="s">
        <v>173</v>
      </c>
      <c r="K17" s="2" t="s">
        <v>72</v>
      </c>
      <c r="L17" s="2" t="s">
        <v>174</v>
      </c>
      <c r="M17" s="2" t="s">
        <v>175</v>
      </c>
      <c r="N17" s="2" t="s">
        <v>55</v>
      </c>
    </row>
    <row r="18" spans="1:14" ht="36" x14ac:dyDescent="0.25">
      <c r="A18" s="3" t="s">
        <v>176</v>
      </c>
      <c r="B18" s="3" t="s">
        <v>157</v>
      </c>
      <c r="C18" s="3" t="s">
        <v>177</v>
      </c>
      <c r="D18" s="3" t="s">
        <v>178</v>
      </c>
      <c r="E18" s="3" t="s">
        <v>179</v>
      </c>
      <c r="F18" s="3" t="s">
        <v>180</v>
      </c>
      <c r="G18" s="3" t="s">
        <v>181</v>
      </c>
      <c r="H18" s="3">
        <v>0</v>
      </c>
      <c r="I18" s="3">
        <v>0.5</v>
      </c>
      <c r="J18" s="3" t="s">
        <v>182</v>
      </c>
      <c r="K18" s="3" t="s">
        <v>183</v>
      </c>
      <c r="L18" s="3" t="s">
        <v>184</v>
      </c>
      <c r="M18" s="3" t="s">
        <v>185</v>
      </c>
      <c r="N18" s="3" t="s">
        <v>186</v>
      </c>
    </row>
    <row r="19" spans="1:14" ht="36" x14ac:dyDescent="0.25">
      <c r="A19" s="2" t="s">
        <v>187</v>
      </c>
      <c r="B19" s="2" t="s">
        <v>188</v>
      </c>
      <c r="C19" s="2" t="s">
        <v>189</v>
      </c>
      <c r="D19" s="2" t="s">
        <v>190</v>
      </c>
      <c r="E19" s="2" t="s">
        <v>191</v>
      </c>
      <c r="F19" s="2" t="s">
        <v>192</v>
      </c>
      <c r="G19" s="2" t="s">
        <v>193</v>
      </c>
      <c r="H19" s="2">
        <v>0</v>
      </c>
      <c r="I19" s="2">
        <v>1.5</v>
      </c>
      <c r="J19" s="2" t="s">
        <v>194</v>
      </c>
      <c r="K19" s="2" t="s">
        <v>72</v>
      </c>
      <c r="L19" s="2" t="s">
        <v>195</v>
      </c>
      <c r="M19" s="2" t="s">
        <v>196</v>
      </c>
      <c r="N19" s="2" t="s">
        <v>197</v>
      </c>
    </row>
    <row r="20" spans="1:14" ht="36" x14ac:dyDescent="0.25">
      <c r="A20" s="3" t="s">
        <v>198</v>
      </c>
      <c r="B20" s="3" t="s">
        <v>188</v>
      </c>
      <c r="C20" s="3" t="s">
        <v>189</v>
      </c>
      <c r="D20" s="3" t="s">
        <v>199</v>
      </c>
      <c r="E20" s="3" t="s">
        <v>200</v>
      </c>
      <c r="F20" s="3" t="s">
        <v>201</v>
      </c>
      <c r="G20" s="3" t="s">
        <v>202</v>
      </c>
      <c r="H20" s="3">
        <v>4</v>
      </c>
      <c r="I20" s="3">
        <v>5</v>
      </c>
      <c r="J20" s="3" t="s">
        <v>203</v>
      </c>
      <c r="K20" s="3" t="s">
        <v>72</v>
      </c>
      <c r="L20" s="3" t="s">
        <v>204</v>
      </c>
      <c r="M20" s="3" t="s">
        <v>205</v>
      </c>
      <c r="N20" s="3" t="s">
        <v>206</v>
      </c>
    </row>
    <row r="21" spans="1:14" x14ac:dyDescent="0.25">
      <c r="A21" s="4" t="s">
        <v>207</v>
      </c>
      <c r="B21" s="4" t="s">
        <v>208</v>
      </c>
      <c r="C21" s="5">
        <f>COUNTA(A5:A20)</f>
        <v>16</v>
      </c>
      <c r="D21" s="4"/>
      <c r="E21" s="4" t="s">
        <v>209</v>
      </c>
      <c r="F21" s="5">
        <f>COUNTIF(K5:K20,"CRITIQUE")</f>
        <v>7</v>
      </c>
      <c r="G21" s="4" t="s">
        <v>210</v>
      </c>
      <c r="H21" s="5">
        <f>COUNTIF(K5:K20,"ELEVE")</f>
        <v>8</v>
      </c>
      <c r="I21" s="4"/>
      <c r="J21" s="4"/>
      <c r="K21" s="4"/>
      <c r="L21" s="4"/>
      <c r="M21" s="4"/>
      <c r="N21" s="4"/>
    </row>
  </sheetData>
  <autoFilter ref="A4:N20" xr:uid="{00000000-0009-0000-0000-000001000000}"/>
  <mergeCells count="3">
    <mergeCell ref="A3:N3"/>
    <mergeCell ref="A2:N2"/>
    <mergeCell ref="A1:N1"/>
  </mergeCells>
  <conditionalFormatting sqref="K5:K20">
    <cfRule type="cellIs" dxfId="131" priority="1" operator="equal">
      <formula>"Conforme"</formula>
    </cfRule>
    <cfRule type="cellIs" dxfId="130" priority="2" operator="equal">
      <formula>"Valide"</formula>
    </cfRule>
    <cfRule type="cellIs" dxfId="129" priority="3" operator="equal">
      <formula>"Actif"</formula>
    </cfRule>
    <cfRule type="cellIs" dxfId="128" priority="4" operator="equal">
      <formula>"Excellent"</formula>
    </cfRule>
    <cfRule type="cellIs" dxfId="127" priority="5" operator="equal">
      <formula>"Acceptable"</formula>
    </cfRule>
    <cfRule type="cellIs" dxfId="126" priority="6" operator="equal">
      <formula>"En attente"</formula>
    </cfRule>
    <cfRule type="cellIs" dxfId="125" priority="7" operator="equal">
      <formula>"En cours"</formula>
    </cfRule>
    <cfRule type="cellIs" dxfId="124" priority="8" operator="equal">
      <formula>"Conditionnel"</formula>
    </cfRule>
    <cfRule type="cellIs" dxfId="123" priority="9" operator="equal">
      <formula>"A ameliorer"</formula>
    </cfRule>
    <cfRule type="cellIs" dxfId="122" priority="10" operator="equal">
      <formula>"Non conforme"</formula>
    </cfRule>
    <cfRule type="cellIs" dxfId="121" priority="11" operator="equal">
      <formula>"Rejete"</formula>
    </cfRule>
    <cfRule type="cellIs" dxfId="120" priority="12" operator="equal">
      <formula>"Critique"</formula>
    </cfRule>
    <cfRule type="cellIs" dxfId="119" priority="13" operator="equal">
      <formula>"Suspendu"</formula>
    </cfRule>
    <cfRule type="cellIs" dxfId="118" priority="14" operator="equal">
      <formula>"Insuffisant"</formula>
    </cfRule>
    <cfRule type="cellIs" dxfId="117" priority="15" operator="equal">
      <formula>"CRITIQUE"</formula>
    </cfRule>
    <cfRule type="cellIs" dxfId="116" priority="16" operator="equal">
      <formula>"ELEVE"</formula>
    </cfRule>
    <cfRule type="cellIs" dxfId="115" priority="17" operator="equal">
      <formula>"MOYEN"</formula>
    </cfRule>
  </conditionalFormatting>
  <dataValidations count="1">
    <dataValidation type="list" sqref="K5:K5000" xr:uid="{00000000-0002-0000-0100-000000000000}">
      <formula1>"CRITIQUE,ELEVE,MOYEN,FAIBLE"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P20"/>
  <sheetViews>
    <sheetView showGridLines="0" workbookViewId="0">
      <pane ySplit="4" topLeftCell="A13" activePane="bottomLeft" state="frozen"/>
      <selection pane="bottomLeft" sqref="A1:P1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8" customWidth="1"/>
    <col min="4" max="4" width="16" customWidth="1"/>
    <col min="5" max="5" width="18" customWidth="1"/>
    <col min="6" max="6" width="20" customWidth="1"/>
    <col min="7" max="7" width="22" customWidth="1"/>
    <col min="8" max="8" width="24" customWidth="1"/>
    <col min="9" max="10" width="20" customWidth="1"/>
    <col min="11" max="11" width="14" customWidth="1"/>
    <col min="12" max="12" width="12" customWidth="1"/>
    <col min="13" max="13" width="30" customWidth="1"/>
    <col min="14" max="14" width="28" customWidth="1"/>
    <col min="15" max="15" width="18" customWidth="1"/>
    <col min="16" max="16" width="34" customWidth="1"/>
  </cols>
  <sheetData>
    <row r="1" spans="1:16" ht="48" customHeight="1" x14ac:dyDescent="0.25">
      <c r="A1" s="61" t="s">
        <v>211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27.95" customHeight="1" x14ac:dyDescent="0.25">
      <c r="A2" s="54" t="s">
        <v>212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30" customHeight="1" x14ac:dyDescent="0.25">
      <c r="A3" s="62" t="s">
        <v>213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4" spans="1:16" ht="36" customHeight="1" x14ac:dyDescent="0.25">
      <c r="A4" s="1" t="s">
        <v>214</v>
      </c>
      <c r="B4" s="1" t="s">
        <v>215</v>
      </c>
      <c r="C4" s="1" t="s">
        <v>216</v>
      </c>
      <c r="D4" s="1" t="s">
        <v>32</v>
      </c>
      <c r="E4" s="1" t="s">
        <v>33</v>
      </c>
      <c r="F4" s="1" t="s">
        <v>217</v>
      </c>
      <c r="G4" s="1" t="s">
        <v>218</v>
      </c>
      <c r="H4" s="1" t="s">
        <v>219</v>
      </c>
      <c r="I4" s="1" t="s">
        <v>220</v>
      </c>
      <c r="J4" s="1" t="s">
        <v>221</v>
      </c>
      <c r="K4" s="1" t="s">
        <v>222</v>
      </c>
      <c r="L4" s="1" t="s">
        <v>223</v>
      </c>
      <c r="M4" s="1" t="s">
        <v>224</v>
      </c>
      <c r="N4" s="1" t="s">
        <v>225</v>
      </c>
      <c r="O4" s="1" t="s">
        <v>226</v>
      </c>
      <c r="P4" s="1" t="s">
        <v>227</v>
      </c>
    </row>
    <row r="5" spans="1:16" ht="24" x14ac:dyDescent="0.25">
      <c r="A5" s="2" t="s">
        <v>228</v>
      </c>
      <c r="B5" s="2" t="s">
        <v>229</v>
      </c>
      <c r="C5" s="2" t="s">
        <v>230</v>
      </c>
      <c r="D5" s="2" t="s">
        <v>45</v>
      </c>
      <c r="E5" s="2" t="s">
        <v>46</v>
      </c>
      <c r="F5" s="2" t="s">
        <v>231</v>
      </c>
      <c r="G5" s="2" t="s">
        <v>232</v>
      </c>
      <c r="H5" s="2" t="s">
        <v>233</v>
      </c>
      <c r="I5" s="2" t="s">
        <v>234</v>
      </c>
      <c r="J5" s="2" t="s">
        <v>235</v>
      </c>
      <c r="K5" s="2" t="s">
        <v>236</v>
      </c>
      <c r="L5" s="2">
        <v>97</v>
      </c>
      <c r="M5" s="2" t="s">
        <v>237</v>
      </c>
      <c r="N5" s="2" t="s">
        <v>238</v>
      </c>
      <c r="O5" s="2" t="s">
        <v>239</v>
      </c>
      <c r="P5" s="2" t="s">
        <v>240</v>
      </c>
    </row>
    <row r="6" spans="1:16" ht="24" x14ac:dyDescent="0.25">
      <c r="A6" s="3" t="s">
        <v>241</v>
      </c>
      <c r="B6" s="3" t="s">
        <v>229</v>
      </c>
      <c r="C6" s="3" t="s">
        <v>242</v>
      </c>
      <c r="D6" s="3" t="s">
        <v>45</v>
      </c>
      <c r="E6" s="3" t="s">
        <v>46</v>
      </c>
      <c r="F6" s="3" t="s">
        <v>243</v>
      </c>
      <c r="G6" s="3" t="s">
        <v>232</v>
      </c>
      <c r="H6" s="3" t="s">
        <v>244</v>
      </c>
      <c r="I6" s="3" t="s">
        <v>245</v>
      </c>
      <c r="J6" s="3" t="s">
        <v>235</v>
      </c>
      <c r="K6" s="3" t="s">
        <v>236</v>
      </c>
      <c r="L6" s="3">
        <v>94</v>
      </c>
      <c r="M6" s="3" t="s">
        <v>246</v>
      </c>
      <c r="N6" s="3" t="s">
        <v>247</v>
      </c>
      <c r="O6" s="3" t="s">
        <v>239</v>
      </c>
      <c r="P6" s="3" t="s">
        <v>248</v>
      </c>
    </row>
    <row r="7" spans="1:16" ht="36" x14ac:dyDescent="0.25">
      <c r="A7" s="2" t="s">
        <v>249</v>
      </c>
      <c r="B7" s="2" t="s">
        <v>250</v>
      </c>
      <c r="C7" s="2" t="s">
        <v>251</v>
      </c>
      <c r="D7" s="2" t="s">
        <v>45</v>
      </c>
      <c r="E7" s="2" t="s">
        <v>46</v>
      </c>
      <c r="F7" s="2" t="s">
        <v>252</v>
      </c>
      <c r="G7" s="2" t="s">
        <v>253</v>
      </c>
      <c r="H7" s="2" t="s">
        <v>254</v>
      </c>
      <c r="I7" s="2" t="s">
        <v>255</v>
      </c>
      <c r="J7" s="2" t="s">
        <v>235</v>
      </c>
      <c r="K7" s="2" t="s">
        <v>256</v>
      </c>
      <c r="L7" s="2">
        <v>62</v>
      </c>
      <c r="M7" s="2" t="s">
        <v>257</v>
      </c>
      <c r="N7" s="2" t="s">
        <v>258</v>
      </c>
      <c r="O7" s="2" t="s">
        <v>239</v>
      </c>
      <c r="P7" s="2" t="s">
        <v>259</v>
      </c>
    </row>
    <row r="8" spans="1:16" ht="36" x14ac:dyDescent="0.25">
      <c r="A8" s="3" t="s">
        <v>260</v>
      </c>
      <c r="B8" s="3" t="s">
        <v>250</v>
      </c>
      <c r="C8" s="3" t="s">
        <v>261</v>
      </c>
      <c r="D8" s="3" t="s">
        <v>96</v>
      </c>
      <c r="E8" s="3" t="s">
        <v>97</v>
      </c>
      <c r="F8" s="3" t="s">
        <v>262</v>
      </c>
      <c r="G8" s="3" t="s">
        <v>263</v>
      </c>
      <c r="H8" s="3" t="s">
        <v>264</v>
      </c>
      <c r="I8" s="3" t="s">
        <v>265</v>
      </c>
      <c r="J8" s="3" t="s">
        <v>266</v>
      </c>
      <c r="K8" s="3" t="s">
        <v>236</v>
      </c>
      <c r="L8" s="3">
        <v>99</v>
      </c>
      <c r="M8" s="3" t="s">
        <v>237</v>
      </c>
      <c r="N8" s="3" t="s">
        <v>238</v>
      </c>
      <c r="O8" s="3" t="s">
        <v>267</v>
      </c>
      <c r="P8" s="3" t="s">
        <v>268</v>
      </c>
    </row>
    <row r="9" spans="1:16" ht="36" x14ac:dyDescent="0.25">
      <c r="A9" s="2" t="s">
        <v>269</v>
      </c>
      <c r="B9" s="2" t="s">
        <v>270</v>
      </c>
      <c r="C9" s="2" t="s">
        <v>271</v>
      </c>
      <c r="D9" s="2" t="s">
        <v>96</v>
      </c>
      <c r="E9" s="2" t="s">
        <v>106</v>
      </c>
      <c r="F9" s="2" t="s">
        <v>272</v>
      </c>
      <c r="G9" s="2" t="s">
        <v>263</v>
      </c>
      <c r="H9" s="2" t="s">
        <v>273</v>
      </c>
      <c r="I9" s="2" t="s">
        <v>274</v>
      </c>
      <c r="J9" s="2" t="s">
        <v>266</v>
      </c>
      <c r="K9" s="2" t="s">
        <v>275</v>
      </c>
      <c r="L9" s="2">
        <v>82</v>
      </c>
      <c r="M9" s="2" t="s">
        <v>276</v>
      </c>
      <c r="N9" s="2" t="s">
        <v>277</v>
      </c>
      <c r="O9" s="2" t="s">
        <v>267</v>
      </c>
      <c r="P9" s="2" t="s">
        <v>278</v>
      </c>
    </row>
    <row r="10" spans="1:16" ht="36" x14ac:dyDescent="0.25">
      <c r="A10" s="3" t="s">
        <v>279</v>
      </c>
      <c r="B10" s="3" t="s">
        <v>270</v>
      </c>
      <c r="C10" s="3" t="s">
        <v>280</v>
      </c>
      <c r="D10" s="3" t="s">
        <v>126</v>
      </c>
      <c r="E10" s="3" t="s">
        <v>127</v>
      </c>
      <c r="F10" s="3" t="s">
        <v>281</v>
      </c>
      <c r="G10" s="3" t="s">
        <v>282</v>
      </c>
      <c r="H10" s="3" t="s">
        <v>283</v>
      </c>
      <c r="I10" s="3" t="s">
        <v>284</v>
      </c>
      <c r="J10" s="3" t="s">
        <v>285</v>
      </c>
      <c r="K10" s="3" t="s">
        <v>236</v>
      </c>
      <c r="L10" s="3">
        <v>98</v>
      </c>
      <c r="M10" s="3" t="s">
        <v>237</v>
      </c>
      <c r="N10" s="3" t="s">
        <v>238</v>
      </c>
      <c r="O10" s="3" t="s">
        <v>286</v>
      </c>
      <c r="P10" s="3" t="s">
        <v>287</v>
      </c>
    </row>
    <row r="11" spans="1:16" ht="36" x14ac:dyDescent="0.25">
      <c r="A11" s="2" t="s">
        <v>288</v>
      </c>
      <c r="B11" s="2" t="s">
        <v>289</v>
      </c>
      <c r="C11" s="2" t="s">
        <v>290</v>
      </c>
      <c r="D11" s="2" t="s">
        <v>126</v>
      </c>
      <c r="E11" s="2" t="s">
        <v>137</v>
      </c>
      <c r="F11" s="2" t="s">
        <v>291</v>
      </c>
      <c r="G11" s="2" t="s">
        <v>238</v>
      </c>
      <c r="H11" s="2" t="s">
        <v>292</v>
      </c>
      <c r="I11" s="2" t="s">
        <v>293</v>
      </c>
      <c r="J11" s="2" t="s">
        <v>285</v>
      </c>
      <c r="K11" s="2" t="s">
        <v>236</v>
      </c>
      <c r="L11" s="2">
        <v>91</v>
      </c>
      <c r="M11" s="2" t="s">
        <v>294</v>
      </c>
      <c r="N11" s="2" t="s">
        <v>295</v>
      </c>
      <c r="O11" s="2" t="s">
        <v>286</v>
      </c>
      <c r="P11" s="2" t="s">
        <v>296</v>
      </c>
    </row>
    <row r="12" spans="1:16" ht="24" x14ac:dyDescent="0.25">
      <c r="A12" s="3" t="s">
        <v>297</v>
      </c>
      <c r="B12" s="3" t="s">
        <v>289</v>
      </c>
      <c r="C12" s="3" t="s">
        <v>298</v>
      </c>
      <c r="D12" s="3" t="s">
        <v>157</v>
      </c>
      <c r="E12" s="3" t="s">
        <v>158</v>
      </c>
      <c r="F12" s="3" t="s">
        <v>299</v>
      </c>
      <c r="G12" s="3" t="s">
        <v>300</v>
      </c>
      <c r="H12" s="3" t="s">
        <v>301</v>
      </c>
      <c r="I12" s="3" t="s">
        <v>302</v>
      </c>
      <c r="J12" s="3" t="s">
        <v>303</v>
      </c>
      <c r="K12" s="3" t="s">
        <v>236</v>
      </c>
      <c r="L12" s="3">
        <v>95</v>
      </c>
      <c r="M12" s="3" t="s">
        <v>237</v>
      </c>
      <c r="N12" s="3" t="s">
        <v>238</v>
      </c>
      <c r="O12" s="3" t="s">
        <v>304</v>
      </c>
      <c r="P12" s="3" t="s">
        <v>305</v>
      </c>
    </row>
    <row r="13" spans="1:16" ht="36" x14ac:dyDescent="0.25">
      <c r="A13" s="2" t="s">
        <v>306</v>
      </c>
      <c r="B13" s="2" t="s">
        <v>307</v>
      </c>
      <c r="C13" s="2" t="s">
        <v>308</v>
      </c>
      <c r="D13" s="2" t="s">
        <v>157</v>
      </c>
      <c r="E13" s="2" t="s">
        <v>168</v>
      </c>
      <c r="F13" s="2" t="s">
        <v>309</v>
      </c>
      <c r="G13" s="2" t="s">
        <v>310</v>
      </c>
      <c r="H13" s="2" t="s">
        <v>311</v>
      </c>
      <c r="I13" s="2" t="s">
        <v>312</v>
      </c>
      <c r="J13" s="2" t="s">
        <v>303</v>
      </c>
      <c r="K13" s="2" t="s">
        <v>256</v>
      </c>
      <c r="L13" s="2">
        <v>58</v>
      </c>
      <c r="M13" s="2" t="s">
        <v>313</v>
      </c>
      <c r="N13" s="2" t="s">
        <v>314</v>
      </c>
      <c r="O13" s="2" t="s">
        <v>304</v>
      </c>
      <c r="P13" s="2" t="s">
        <v>315</v>
      </c>
    </row>
    <row r="14" spans="1:16" ht="36" x14ac:dyDescent="0.25">
      <c r="A14" s="3" t="s">
        <v>316</v>
      </c>
      <c r="B14" s="3" t="s">
        <v>317</v>
      </c>
      <c r="C14" s="3" t="s">
        <v>318</v>
      </c>
      <c r="D14" s="3" t="s">
        <v>45</v>
      </c>
      <c r="E14" s="3" t="s">
        <v>84</v>
      </c>
      <c r="F14" s="3" t="s">
        <v>319</v>
      </c>
      <c r="G14" s="3" t="s">
        <v>232</v>
      </c>
      <c r="H14" s="3" t="s">
        <v>320</v>
      </c>
      <c r="I14" s="3" t="s">
        <v>234</v>
      </c>
      <c r="J14" s="3" t="s">
        <v>235</v>
      </c>
      <c r="K14" s="3" t="s">
        <v>236</v>
      </c>
      <c r="L14" s="3">
        <v>93</v>
      </c>
      <c r="M14" s="3" t="s">
        <v>321</v>
      </c>
      <c r="N14" s="3" t="s">
        <v>322</v>
      </c>
      <c r="O14" s="3" t="s">
        <v>239</v>
      </c>
      <c r="P14" s="3" t="s">
        <v>323</v>
      </c>
    </row>
    <row r="15" spans="1:16" ht="36" x14ac:dyDescent="0.25">
      <c r="A15" s="2" t="s">
        <v>324</v>
      </c>
      <c r="B15" s="2" t="s">
        <v>325</v>
      </c>
      <c r="C15" s="2" t="s">
        <v>326</v>
      </c>
      <c r="D15" s="2" t="s">
        <v>96</v>
      </c>
      <c r="E15" s="2" t="s">
        <v>117</v>
      </c>
      <c r="F15" s="2" t="s">
        <v>327</v>
      </c>
      <c r="G15" s="2" t="s">
        <v>328</v>
      </c>
      <c r="H15" s="2" t="s">
        <v>329</v>
      </c>
      <c r="I15" s="2" t="s">
        <v>265</v>
      </c>
      <c r="J15" s="2" t="s">
        <v>266</v>
      </c>
      <c r="K15" s="2" t="s">
        <v>330</v>
      </c>
      <c r="L15" s="2">
        <v>0</v>
      </c>
      <c r="M15" s="2" t="s">
        <v>331</v>
      </c>
      <c r="N15" s="2" t="s">
        <v>332</v>
      </c>
      <c r="O15" s="2" t="s">
        <v>267</v>
      </c>
      <c r="P15" s="2" t="s">
        <v>333</v>
      </c>
    </row>
    <row r="16" spans="1:16" ht="36" x14ac:dyDescent="0.25">
      <c r="A16" s="3" t="s">
        <v>334</v>
      </c>
      <c r="B16" s="3" t="s">
        <v>335</v>
      </c>
      <c r="C16" s="3" t="s">
        <v>271</v>
      </c>
      <c r="D16" s="3" t="s">
        <v>45</v>
      </c>
      <c r="E16" s="3" t="s">
        <v>46</v>
      </c>
      <c r="F16" s="3" t="s">
        <v>336</v>
      </c>
      <c r="G16" s="3" t="s">
        <v>337</v>
      </c>
      <c r="H16" s="3" t="s">
        <v>338</v>
      </c>
      <c r="I16" s="3" t="s">
        <v>245</v>
      </c>
      <c r="J16" s="3" t="s">
        <v>235</v>
      </c>
      <c r="K16" s="3" t="s">
        <v>236</v>
      </c>
      <c r="L16" s="3">
        <v>96</v>
      </c>
      <c r="M16" s="3" t="s">
        <v>237</v>
      </c>
      <c r="N16" s="3" t="s">
        <v>238</v>
      </c>
      <c r="O16" s="3" t="s">
        <v>239</v>
      </c>
      <c r="P16" s="3" t="s">
        <v>339</v>
      </c>
    </row>
    <row r="17" spans="1:16" ht="36" x14ac:dyDescent="0.25">
      <c r="A17" s="2" t="s">
        <v>340</v>
      </c>
      <c r="B17" s="2" t="s">
        <v>341</v>
      </c>
      <c r="C17" s="2" t="s">
        <v>342</v>
      </c>
      <c r="D17" s="2" t="s">
        <v>157</v>
      </c>
      <c r="E17" s="2" t="s">
        <v>177</v>
      </c>
      <c r="F17" s="2" t="s">
        <v>343</v>
      </c>
      <c r="G17" s="2" t="s">
        <v>344</v>
      </c>
      <c r="H17" s="2" t="s">
        <v>345</v>
      </c>
      <c r="I17" s="2" t="s">
        <v>346</v>
      </c>
      <c r="J17" s="2" t="s">
        <v>303</v>
      </c>
      <c r="K17" s="2" t="s">
        <v>275</v>
      </c>
      <c r="L17" s="2">
        <v>78</v>
      </c>
      <c r="M17" s="2" t="s">
        <v>347</v>
      </c>
      <c r="N17" s="2" t="s">
        <v>348</v>
      </c>
      <c r="O17" s="2" t="s">
        <v>304</v>
      </c>
      <c r="P17" s="2" t="s">
        <v>349</v>
      </c>
    </row>
    <row r="18" spans="1:16" ht="36" x14ac:dyDescent="0.25">
      <c r="A18" s="3" t="s">
        <v>350</v>
      </c>
      <c r="B18" s="3" t="s">
        <v>351</v>
      </c>
      <c r="C18" s="3" t="s">
        <v>352</v>
      </c>
      <c r="D18" s="3" t="s">
        <v>126</v>
      </c>
      <c r="E18" s="3" t="s">
        <v>127</v>
      </c>
      <c r="F18" s="3" t="s">
        <v>353</v>
      </c>
      <c r="G18" s="3" t="s">
        <v>354</v>
      </c>
      <c r="H18" s="3" t="s">
        <v>355</v>
      </c>
      <c r="I18" s="3" t="s">
        <v>284</v>
      </c>
      <c r="J18" s="3" t="s">
        <v>285</v>
      </c>
      <c r="K18" s="3" t="s">
        <v>236</v>
      </c>
      <c r="L18" s="3">
        <v>100</v>
      </c>
      <c r="M18" s="3" t="s">
        <v>356</v>
      </c>
      <c r="N18" s="3" t="s">
        <v>238</v>
      </c>
      <c r="O18" s="3" t="s">
        <v>286</v>
      </c>
      <c r="P18" s="3" t="s">
        <v>357</v>
      </c>
    </row>
    <row r="19" spans="1:16" x14ac:dyDescent="0.25">
      <c r="A19" s="4" t="s">
        <v>358</v>
      </c>
      <c r="B19" s="4" t="s">
        <v>359</v>
      </c>
      <c r="C19" s="5">
        <f>COUNTA(A5:A18)</f>
        <v>14</v>
      </c>
      <c r="D19" s="4"/>
      <c r="E19" s="4" t="s">
        <v>360</v>
      </c>
      <c r="F19" s="5">
        <f>COUNTIF(K5:K18,"Conforme")</f>
        <v>9</v>
      </c>
      <c r="G19" s="4" t="s">
        <v>361</v>
      </c>
      <c r="H19" s="6">
        <f>COUNTIF(K5:K18,"Non conforme")</f>
        <v>2</v>
      </c>
      <c r="I19" s="4" t="s">
        <v>362</v>
      </c>
      <c r="J19" s="7">
        <f>IFERROR(AVERAGEIF(L5:L18,"&gt;0"),0)</f>
        <v>87.92307692307692</v>
      </c>
      <c r="K19" s="4"/>
      <c r="L19" s="4"/>
      <c r="M19" s="4"/>
      <c r="N19" s="4"/>
      <c r="O19" s="4"/>
      <c r="P19" s="4"/>
    </row>
    <row r="20" spans="1:16" x14ac:dyDescent="0.25">
      <c r="B20" t="s">
        <v>363</v>
      </c>
      <c r="C20" s="8">
        <f>IFERROR(COUNTIF(K5:K18,"Conforme")/COUNTIFS(K5:K18,"&lt;&gt;En attente"),0)</f>
        <v>0.69230769230769229</v>
      </c>
      <c r="E20" t="s">
        <v>364</v>
      </c>
      <c r="F20" s="8">
        <f>IFERROR(COUNTIF(K5:K18,"Non conforme")/COUNTIFS(K5:K18,"&lt;&gt;En attente"),0)</f>
        <v>0.15384615384615385</v>
      </c>
    </row>
  </sheetData>
  <autoFilter ref="A4:P18" xr:uid="{00000000-0009-0000-0000-000002000000}"/>
  <mergeCells count="3">
    <mergeCell ref="A1:P1"/>
    <mergeCell ref="A3:P3"/>
    <mergeCell ref="A2:P2"/>
  </mergeCells>
  <conditionalFormatting sqref="K5:K18">
    <cfRule type="cellIs" dxfId="114" priority="1" operator="equal">
      <formula>"Conforme"</formula>
    </cfRule>
    <cfRule type="cellIs" dxfId="113" priority="2" operator="equal">
      <formula>"Valide"</formula>
    </cfRule>
    <cfRule type="cellIs" dxfId="112" priority="3" operator="equal">
      <formula>"Actif"</formula>
    </cfRule>
    <cfRule type="cellIs" dxfId="111" priority="4" operator="equal">
      <formula>"Excellent"</formula>
    </cfRule>
    <cfRule type="cellIs" dxfId="110" priority="5" operator="equal">
      <formula>"Acceptable"</formula>
    </cfRule>
    <cfRule type="cellIs" dxfId="109" priority="6" operator="equal">
      <formula>"En attente"</formula>
    </cfRule>
    <cfRule type="cellIs" dxfId="108" priority="7" operator="equal">
      <formula>"En cours"</formula>
    </cfRule>
    <cfRule type="cellIs" dxfId="107" priority="8" operator="equal">
      <formula>"Conditionnel"</formula>
    </cfRule>
    <cfRule type="cellIs" dxfId="106" priority="9" operator="equal">
      <formula>"A ameliorer"</formula>
    </cfRule>
    <cfRule type="cellIs" dxfId="105" priority="10" operator="equal">
      <formula>"Non conforme"</formula>
    </cfRule>
    <cfRule type="cellIs" dxfId="104" priority="11" operator="equal">
      <formula>"Rejete"</formula>
    </cfRule>
    <cfRule type="cellIs" dxfId="103" priority="12" operator="equal">
      <formula>"Critique"</formula>
    </cfRule>
    <cfRule type="cellIs" dxfId="102" priority="13" operator="equal">
      <formula>"Suspendu"</formula>
    </cfRule>
    <cfRule type="cellIs" dxfId="101" priority="14" operator="equal">
      <formula>"Insuffisant"</formula>
    </cfRule>
  </conditionalFormatting>
  <conditionalFormatting sqref="L5:L18">
    <cfRule type="dataBar" priority="15">
      <dataBar>
        <cfvo type="num" val="0"/>
        <cfvo type="num" val="100"/>
        <color rgb="FF2E7D32"/>
      </dataBar>
    </cfRule>
  </conditionalFormatting>
  <dataValidations count="1">
    <dataValidation type="list" sqref="K5:K5000" xr:uid="{00000000-0002-0000-0200-000000000000}">
      <formula1>"Conforme,Non conforme,Conditionnel,En attente"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P13"/>
  <sheetViews>
    <sheetView showGridLines="0" workbookViewId="0">
      <pane ySplit="4" topLeftCell="A5" activePane="bottomLeft" state="frozen"/>
      <selection pane="bottomLeft" sqref="A1:P1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6" customWidth="1"/>
    <col min="4" max="4" width="14" customWidth="1"/>
    <col min="5" max="6" width="22" customWidth="1"/>
    <col min="7" max="7" width="16" customWidth="1"/>
    <col min="8" max="8" width="12" customWidth="1"/>
    <col min="9" max="9" width="40" customWidth="1"/>
    <col min="10" max="12" width="34" customWidth="1"/>
    <col min="13" max="13" width="14" customWidth="1"/>
    <col min="14" max="14" width="18" customWidth="1"/>
    <col min="15" max="16" width="12" customWidth="1"/>
  </cols>
  <sheetData>
    <row r="1" spans="1:16" ht="48" customHeight="1" x14ac:dyDescent="0.25">
      <c r="A1" s="61" t="s">
        <v>365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27.95" customHeight="1" x14ac:dyDescent="0.25">
      <c r="A2" s="54" t="s">
        <v>366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30" customHeight="1" x14ac:dyDescent="0.25">
      <c r="A3" s="62" t="s">
        <v>367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4" spans="1:16" ht="36" customHeight="1" x14ac:dyDescent="0.25">
      <c r="A4" s="1" t="s">
        <v>368</v>
      </c>
      <c r="B4" s="1" t="s">
        <v>369</v>
      </c>
      <c r="C4" s="1" t="s">
        <v>370</v>
      </c>
      <c r="D4" s="1" t="s">
        <v>32</v>
      </c>
      <c r="E4" s="1" t="s">
        <v>371</v>
      </c>
      <c r="F4" s="1" t="s">
        <v>372</v>
      </c>
      <c r="G4" s="1" t="s">
        <v>373</v>
      </c>
      <c r="H4" s="1" t="s">
        <v>374</v>
      </c>
      <c r="I4" s="1" t="s">
        <v>35</v>
      </c>
      <c r="J4" s="1" t="s">
        <v>375</v>
      </c>
      <c r="K4" s="1" t="s">
        <v>225</v>
      </c>
      <c r="L4" s="1" t="s">
        <v>376</v>
      </c>
      <c r="M4" s="1" t="s">
        <v>377</v>
      </c>
      <c r="N4" s="1" t="s">
        <v>378</v>
      </c>
      <c r="O4" s="1" t="s">
        <v>379</v>
      </c>
      <c r="P4" s="1" t="s">
        <v>380</v>
      </c>
    </row>
    <row r="5" spans="1:16" ht="36" x14ac:dyDescent="0.25">
      <c r="A5" s="2" t="s">
        <v>381</v>
      </c>
      <c r="B5" s="2" t="s">
        <v>250</v>
      </c>
      <c r="C5" s="2" t="s">
        <v>249</v>
      </c>
      <c r="D5" s="2" t="s">
        <v>45</v>
      </c>
      <c r="E5" s="2" t="s">
        <v>252</v>
      </c>
      <c r="F5" s="2" t="s">
        <v>382</v>
      </c>
      <c r="G5" s="2" t="s">
        <v>383</v>
      </c>
      <c r="H5" s="2" t="s">
        <v>384</v>
      </c>
      <c r="I5" s="2" t="s">
        <v>385</v>
      </c>
      <c r="J5" s="2" t="s">
        <v>386</v>
      </c>
      <c r="K5" s="2" t="s">
        <v>387</v>
      </c>
      <c r="L5" s="2" t="s">
        <v>388</v>
      </c>
      <c r="M5" s="9">
        <v>450</v>
      </c>
      <c r="N5" s="2" t="s">
        <v>389</v>
      </c>
      <c r="O5" s="2" t="s">
        <v>390</v>
      </c>
      <c r="P5" s="2" t="s">
        <v>289</v>
      </c>
    </row>
    <row r="6" spans="1:16" ht="36" x14ac:dyDescent="0.25">
      <c r="A6" s="3" t="s">
        <v>391</v>
      </c>
      <c r="B6" s="3" t="s">
        <v>250</v>
      </c>
      <c r="C6" s="3" t="s">
        <v>249</v>
      </c>
      <c r="D6" s="3" t="s">
        <v>45</v>
      </c>
      <c r="E6" s="3" t="s">
        <v>252</v>
      </c>
      <c r="F6" s="3" t="s">
        <v>392</v>
      </c>
      <c r="G6" s="3" t="s">
        <v>393</v>
      </c>
      <c r="H6" s="3" t="s">
        <v>384</v>
      </c>
      <c r="I6" s="3" t="s">
        <v>394</v>
      </c>
      <c r="J6" s="3" t="s">
        <v>395</v>
      </c>
      <c r="K6" s="3" t="s">
        <v>396</v>
      </c>
      <c r="L6" s="3" t="s">
        <v>397</v>
      </c>
      <c r="M6" s="10">
        <v>380</v>
      </c>
      <c r="N6" s="3" t="s">
        <v>398</v>
      </c>
      <c r="O6" s="3" t="s">
        <v>390</v>
      </c>
      <c r="P6" s="3" t="s">
        <v>307</v>
      </c>
    </row>
    <row r="7" spans="1:16" ht="36" x14ac:dyDescent="0.25">
      <c r="A7" s="2" t="s">
        <v>399</v>
      </c>
      <c r="B7" s="2" t="s">
        <v>270</v>
      </c>
      <c r="C7" s="2" t="s">
        <v>269</v>
      </c>
      <c r="D7" s="2" t="s">
        <v>96</v>
      </c>
      <c r="E7" s="2" t="s">
        <v>272</v>
      </c>
      <c r="F7" s="2" t="s">
        <v>400</v>
      </c>
      <c r="G7" s="2" t="s">
        <v>383</v>
      </c>
      <c r="H7" s="2" t="s">
        <v>401</v>
      </c>
      <c r="I7" s="2" t="s">
        <v>402</v>
      </c>
      <c r="J7" s="2" t="s">
        <v>403</v>
      </c>
      <c r="K7" s="2" t="s">
        <v>404</v>
      </c>
      <c r="L7" s="2" t="s">
        <v>405</v>
      </c>
      <c r="M7" s="9">
        <v>120</v>
      </c>
      <c r="N7" s="2" t="s">
        <v>406</v>
      </c>
      <c r="O7" s="2" t="s">
        <v>390</v>
      </c>
      <c r="P7" s="2" t="s">
        <v>289</v>
      </c>
    </row>
    <row r="8" spans="1:16" ht="48" x14ac:dyDescent="0.25">
      <c r="A8" s="3" t="s">
        <v>407</v>
      </c>
      <c r="B8" s="3" t="s">
        <v>307</v>
      </c>
      <c r="C8" s="3" t="s">
        <v>306</v>
      </c>
      <c r="D8" s="3" t="s">
        <v>157</v>
      </c>
      <c r="E8" s="3" t="s">
        <v>309</v>
      </c>
      <c r="F8" s="3" t="s">
        <v>408</v>
      </c>
      <c r="G8" s="3" t="s">
        <v>383</v>
      </c>
      <c r="H8" s="3" t="s">
        <v>384</v>
      </c>
      <c r="I8" s="3" t="s">
        <v>409</v>
      </c>
      <c r="J8" s="3" t="s">
        <v>410</v>
      </c>
      <c r="K8" s="3" t="s">
        <v>411</v>
      </c>
      <c r="L8" s="3" t="s">
        <v>412</v>
      </c>
      <c r="M8" s="10">
        <v>580</v>
      </c>
      <c r="N8" s="3" t="s">
        <v>413</v>
      </c>
      <c r="O8" s="3" t="s">
        <v>390</v>
      </c>
      <c r="P8" s="3" t="s">
        <v>325</v>
      </c>
    </row>
    <row r="9" spans="1:16" ht="36" x14ac:dyDescent="0.25">
      <c r="A9" s="2" t="s">
        <v>414</v>
      </c>
      <c r="B9" s="2" t="s">
        <v>307</v>
      </c>
      <c r="C9" s="2" t="s">
        <v>306</v>
      </c>
      <c r="D9" s="2" t="s">
        <v>157</v>
      </c>
      <c r="E9" s="2" t="s">
        <v>415</v>
      </c>
      <c r="F9" s="2" t="s">
        <v>416</v>
      </c>
      <c r="G9" s="2" t="s">
        <v>417</v>
      </c>
      <c r="H9" s="2" t="s">
        <v>418</v>
      </c>
      <c r="I9" s="2" t="s">
        <v>419</v>
      </c>
      <c r="J9" s="2" t="s">
        <v>420</v>
      </c>
      <c r="K9" s="2" t="s">
        <v>421</v>
      </c>
      <c r="L9" s="2" t="s">
        <v>422</v>
      </c>
      <c r="M9" s="9">
        <v>2800</v>
      </c>
      <c r="N9" s="2" t="s">
        <v>423</v>
      </c>
      <c r="O9" s="2" t="s">
        <v>424</v>
      </c>
      <c r="P9" s="2"/>
    </row>
    <row r="10" spans="1:16" ht="36" x14ac:dyDescent="0.25">
      <c r="A10" s="3" t="s">
        <v>425</v>
      </c>
      <c r="B10" s="3" t="s">
        <v>307</v>
      </c>
      <c r="C10" s="3" t="s">
        <v>306</v>
      </c>
      <c r="D10" s="3" t="s">
        <v>157</v>
      </c>
      <c r="E10" s="3" t="s">
        <v>415</v>
      </c>
      <c r="F10" s="3" t="s">
        <v>426</v>
      </c>
      <c r="G10" s="3" t="s">
        <v>393</v>
      </c>
      <c r="H10" s="3" t="s">
        <v>418</v>
      </c>
      <c r="I10" s="3" t="s">
        <v>427</v>
      </c>
      <c r="J10" s="3" t="s">
        <v>428</v>
      </c>
      <c r="K10" s="3" t="s">
        <v>429</v>
      </c>
      <c r="L10" s="3" t="s">
        <v>430</v>
      </c>
      <c r="M10" s="10">
        <v>4200</v>
      </c>
      <c r="N10" s="3" t="s">
        <v>431</v>
      </c>
      <c r="O10" s="3" t="s">
        <v>424</v>
      </c>
      <c r="P10" s="3"/>
    </row>
    <row r="11" spans="1:16" ht="36" x14ac:dyDescent="0.25">
      <c r="A11" s="2" t="s">
        <v>432</v>
      </c>
      <c r="B11" s="2" t="s">
        <v>341</v>
      </c>
      <c r="C11" s="2" t="s">
        <v>340</v>
      </c>
      <c r="D11" s="2" t="s">
        <v>157</v>
      </c>
      <c r="E11" s="2" t="s">
        <v>433</v>
      </c>
      <c r="F11" s="2" t="s">
        <v>434</v>
      </c>
      <c r="G11" s="2" t="s">
        <v>383</v>
      </c>
      <c r="H11" s="2" t="s">
        <v>401</v>
      </c>
      <c r="I11" s="2" t="s">
        <v>435</v>
      </c>
      <c r="J11" s="2" t="s">
        <v>436</v>
      </c>
      <c r="K11" s="2" t="s">
        <v>437</v>
      </c>
      <c r="L11" s="2" t="s">
        <v>438</v>
      </c>
      <c r="M11" s="9">
        <v>60</v>
      </c>
      <c r="N11" s="2" t="s">
        <v>439</v>
      </c>
      <c r="O11" s="2" t="s">
        <v>390</v>
      </c>
      <c r="P11" s="2" t="s">
        <v>351</v>
      </c>
    </row>
    <row r="12" spans="1:16" ht="36" x14ac:dyDescent="0.25">
      <c r="A12" s="3" t="s">
        <v>440</v>
      </c>
      <c r="B12" s="3" t="s">
        <v>229</v>
      </c>
      <c r="C12" s="3" t="s">
        <v>241</v>
      </c>
      <c r="D12" s="3" t="s">
        <v>45</v>
      </c>
      <c r="E12" s="3" t="s">
        <v>243</v>
      </c>
      <c r="F12" s="3" t="s">
        <v>441</v>
      </c>
      <c r="G12" s="3" t="s">
        <v>383</v>
      </c>
      <c r="H12" s="3" t="s">
        <v>401</v>
      </c>
      <c r="I12" s="3" t="s">
        <v>442</v>
      </c>
      <c r="J12" s="3" t="s">
        <v>443</v>
      </c>
      <c r="K12" s="3" t="s">
        <v>444</v>
      </c>
      <c r="L12" s="3" t="s">
        <v>445</v>
      </c>
      <c r="M12" s="10">
        <v>40</v>
      </c>
      <c r="N12" s="3" t="s">
        <v>446</v>
      </c>
      <c r="O12" s="3" t="s">
        <v>390</v>
      </c>
      <c r="P12" s="3" t="s">
        <v>229</v>
      </c>
    </row>
    <row r="13" spans="1:16" x14ac:dyDescent="0.25">
      <c r="A13" s="4" t="s">
        <v>447</v>
      </c>
      <c r="B13" s="4" t="s">
        <v>448</v>
      </c>
      <c r="C13" s="5">
        <f>COUNTA(A5:A12)</f>
        <v>8</v>
      </c>
      <c r="D13" s="4"/>
      <c r="E13" s="4" t="s">
        <v>449</v>
      </c>
      <c r="F13" s="6">
        <f>COUNTIF(H5:H12,"Critique")</f>
        <v>2</v>
      </c>
      <c r="G13" s="4" t="s">
        <v>450</v>
      </c>
      <c r="H13" s="5">
        <f>COUNTIF(O5:O12,"En cours")</f>
        <v>2</v>
      </c>
      <c r="I13" s="4"/>
      <c r="J13" s="4"/>
      <c r="K13" s="4"/>
      <c r="L13" s="4" t="s">
        <v>451</v>
      </c>
      <c r="M13" s="11">
        <f>SUM(M5:M12)</f>
        <v>8630</v>
      </c>
      <c r="N13" s="4"/>
      <c r="O13" s="4"/>
      <c r="P13" s="4"/>
    </row>
  </sheetData>
  <autoFilter ref="A4:P12" xr:uid="{00000000-0009-0000-0000-000003000000}"/>
  <mergeCells count="3">
    <mergeCell ref="A1:P1"/>
    <mergeCell ref="A3:P3"/>
    <mergeCell ref="A2:P2"/>
  </mergeCells>
  <conditionalFormatting sqref="H5:H12">
    <cfRule type="cellIs" dxfId="100" priority="15" operator="equal">
      <formula>"Critique"</formula>
    </cfRule>
    <cfRule type="cellIs" dxfId="99" priority="16" operator="equal">
      <formula>"Majeur"</formula>
    </cfRule>
    <cfRule type="cellIs" dxfId="98" priority="17" operator="equal">
      <formula>"Mineur"</formula>
    </cfRule>
  </conditionalFormatting>
  <conditionalFormatting sqref="O5:O12">
    <cfRule type="cellIs" dxfId="97" priority="1" operator="equal">
      <formula>"Conforme"</formula>
    </cfRule>
    <cfRule type="cellIs" dxfId="96" priority="2" operator="equal">
      <formula>"Valide"</formula>
    </cfRule>
    <cfRule type="cellIs" dxfId="95" priority="3" operator="equal">
      <formula>"Actif"</formula>
    </cfRule>
    <cfRule type="cellIs" dxfId="94" priority="4" operator="equal">
      <formula>"Excellent"</formula>
    </cfRule>
    <cfRule type="cellIs" dxfId="93" priority="5" operator="equal">
      <formula>"Acceptable"</formula>
    </cfRule>
    <cfRule type="cellIs" dxfId="92" priority="6" operator="equal">
      <formula>"En attente"</formula>
    </cfRule>
    <cfRule type="cellIs" dxfId="91" priority="7" operator="equal">
      <formula>"En cours"</formula>
    </cfRule>
    <cfRule type="cellIs" dxfId="90" priority="8" operator="equal">
      <formula>"Conditionnel"</formula>
    </cfRule>
    <cfRule type="cellIs" dxfId="89" priority="9" operator="equal">
      <formula>"A ameliorer"</formula>
    </cfRule>
    <cfRule type="cellIs" dxfId="88" priority="10" operator="equal">
      <formula>"Non conforme"</formula>
    </cfRule>
    <cfRule type="cellIs" dxfId="87" priority="11" operator="equal">
      <formula>"Rejete"</formula>
    </cfRule>
    <cfRule type="cellIs" dxfId="86" priority="12" operator="equal">
      <formula>"Critique"</formula>
    </cfRule>
    <cfRule type="cellIs" dxfId="85" priority="13" operator="equal">
      <formula>"Suspendu"</formula>
    </cfRule>
    <cfRule type="cellIs" dxfId="84" priority="14" operator="equal">
      <formula>"Insuffisant"</formula>
    </cfRule>
  </conditionalFormatting>
  <dataValidations count="2">
    <dataValidation type="list" sqref="H5:H5000" xr:uid="{00000000-0002-0000-0300-000000000000}">
      <formula1>"Critique,Majeur,Mineur,Observation"</formula1>
    </dataValidation>
    <dataValidation type="list" sqref="O5:O5000" xr:uid="{00000000-0002-0000-0300-000001000000}">
      <formula1>"En cours,Resolu,Escalade,Accepte en letat"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A1:N12"/>
  <sheetViews>
    <sheetView showGridLines="0" workbookViewId="0">
      <pane ySplit="4" topLeftCell="A5" activePane="bottomLeft" state="frozen"/>
      <selection pane="bottomLeft" sqref="A1:N1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6" customWidth="1"/>
    <col min="4" max="4" width="12" customWidth="1"/>
    <col min="5" max="5" width="18" customWidth="1"/>
    <col min="6" max="6" width="24" customWidth="1"/>
    <col min="7" max="7" width="12" customWidth="1"/>
    <col min="8" max="9" width="16" customWidth="1"/>
    <col min="10" max="10" width="28" customWidth="1"/>
    <col min="11" max="11" width="16" customWidth="1"/>
    <col min="12" max="12" width="14" customWidth="1"/>
    <col min="13" max="13" width="12" customWidth="1"/>
    <col min="14" max="14" width="36" customWidth="1"/>
  </cols>
  <sheetData>
    <row r="1" spans="1:14" ht="48" customHeight="1" x14ac:dyDescent="0.25">
      <c r="A1" s="61" t="s">
        <v>452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7.95" customHeight="1" x14ac:dyDescent="0.25">
      <c r="A2" s="54" t="s">
        <v>453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30" customHeight="1" x14ac:dyDescent="0.25">
      <c r="A3" s="62" t="s">
        <v>454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36" customHeight="1" x14ac:dyDescent="0.25">
      <c r="A4" s="1" t="s">
        <v>455</v>
      </c>
      <c r="B4" s="1" t="s">
        <v>456</v>
      </c>
      <c r="C4" s="1" t="s">
        <v>457</v>
      </c>
      <c r="D4" s="1" t="s">
        <v>458</v>
      </c>
      <c r="E4" s="1" t="s">
        <v>459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379</v>
      </c>
      <c r="N4" s="1" t="s">
        <v>467</v>
      </c>
    </row>
    <row r="5" spans="1:14" ht="36" x14ac:dyDescent="0.25">
      <c r="A5" s="2" t="s">
        <v>468</v>
      </c>
      <c r="B5" s="2" t="s">
        <v>235</v>
      </c>
      <c r="C5" s="2" t="s">
        <v>469</v>
      </c>
      <c r="D5" s="2" t="s">
        <v>470</v>
      </c>
      <c r="E5" s="2" t="s">
        <v>45</v>
      </c>
      <c r="F5" s="2" t="s">
        <v>471</v>
      </c>
      <c r="G5" s="2">
        <v>12</v>
      </c>
      <c r="H5" s="12">
        <f>IFERROR(AVERAGEIFS('3_CONTROLES'!L$5:L$5000,'3_CONTROLES'!J$5:J$5000,B5,'3_CONTROLES'!L$5:L$5000,"&gt;0"),"-")</f>
        <v>88.4</v>
      </c>
      <c r="I5" s="13">
        <f>IFERROR(COUNTIFS('3_CONTROLES'!J$5:J$5000,B5,'3_CONTROLES'!K$5:K$5000,"Conforme")/COUNTIFS('3_CONTROLES'!J$5:J$5000,B5,'3_CONTROLES'!K$5:K$5000,"&lt;&gt;En attente"),"-")</f>
        <v>0.8</v>
      </c>
      <c r="J5" s="2" t="s">
        <v>472</v>
      </c>
      <c r="K5" s="2" t="s">
        <v>473</v>
      </c>
      <c r="L5" s="2" t="s">
        <v>236</v>
      </c>
      <c r="M5" s="2" t="s">
        <v>474</v>
      </c>
      <c r="N5" s="2" t="s">
        <v>475</v>
      </c>
    </row>
    <row r="6" spans="1:14" ht="36" x14ac:dyDescent="0.25">
      <c r="A6" s="3" t="s">
        <v>476</v>
      </c>
      <c r="B6" s="3" t="s">
        <v>266</v>
      </c>
      <c r="C6" s="3" t="s">
        <v>477</v>
      </c>
      <c r="D6" s="3" t="s">
        <v>470</v>
      </c>
      <c r="E6" s="3" t="s">
        <v>96</v>
      </c>
      <c r="F6" s="3" t="s">
        <v>478</v>
      </c>
      <c r="G6" s="3">
        <v>8</v>
      </c>
      <c r="H6" s="14">
        <f>IFERROR(AVERAGEIFS('3_CONTROLES'!L$5:L$5000,'3_CONTROLES'!J$5:J$5000,B6,'3_CONTROLES'!L$5:L$5000,"&gt;0"),"-")</f>
        <v>90.5</v>
      </c>
      <c r="I6" s="15">
        <f>IFERROR(COUNTIFS('3_CONTROLES'!J$5:J$5000,B6,'3_CONTROLES'!K$5:K$5000,"Conforme")/COUNTIFS('3_CONTROLES'!J$5:J$5000,B6,'3_CONTROLES'!K$5:K$5000,"&lt;&gt;En attente"),"-")</f>
        <v>0.5</v>
      </c>
      <c r="J6" s="3" t="s">
        <v>479</v>
      </c>
      <c r="K6" s="3" t="s">
        <v>480</v>
      </c>
      <c r="L6" s="3" t="s">
        <v>236</v>
      </c>
      <c r="M6" s="3" t="s">
        <v>474</v>
      </c>
      <c r="N6" s="3" t="s">
        <v>481</v>
      </c>
    </row>
    <row r="7" spans="1:14" ht="24" x14ac:dyDescent="0.25">
      <c r="A7" s="2" t="s">
        <v>482</v>
      </c>
      <c r="B7" s="2" t="s">
        <v>285</v>
      </c>
      <c r="C7" s="2" t="s">
        <v>483</v>
      </c>
      <c r="D7" s="2" t="s">
        <v>484</v>
      </c>
      <c r="E7" s="2" t="s">
        <v>126</v>
      </c>
      <c r="F7" s="2" t="s">
        <v>485</v>
      </c>
      <c r="G7" s="2">
        <v>6</v>
      </c>
      <c r="H7" s="12">
        <f>IFERROR(AVERAGEIFS('3_CONTROLES'!L$5:L$5000,'3_CONTROLES'!J$5:J$5000,B7,'3_CONTROLES'!L$5:L$5000,"&gt;0"),"-")</f>
        <v>96.333333333333329</v>
      </c>
      <c r="I7" s="13">
        <f>IFERROR(COUNTIFS('3_CONTROLES'!J$5:J$5000,B7,'3_CONTROLES'!K$5:K$5000,"Conforme")/COUNTIFS('3_CONTROLES'!J$5:J$5000,B7,'3_CONTROLES'!K$5:K$5000,"&lt;&gt;En attente"),"-")</f>
        <v>1</v>
      </c>
      <c r="J7" s="2" t="s">
        <v>486</v>
      </c>
      <c r="K7" s="2" t="s">
        <v>487</v>
      </c>
      <c r="L7" s="2" t="s">
        <v>236</v>
      </c>
      <c r="M7" s="2" t="s">
        <v>474</v>
      </c>
      <c r="N7" s="2" t="s">
        <v>488</v>
      </c>
    </row>
    <row r="8" spans="1:14" ht="36" x14ac:dyDescent="0.25">
      <c r="A8" s="3" t="s">
        <v>489</v>
      </c>
      <c r="B8" s="3" t="s">
        <v>303</v>
      </c>
      <c r="C8" s="3" t="s">
        <v>490</v>
      </c>
      <c r="D8" s="3" t="s">
        <v>491</v>
      </c>
      <c r="E8" s="3" t="s">
        <v>157</v>
      </c>
      <c r="F8" s="3" t="s">
        <v>492</v>
      </c>
      <c r="G8" s="3">
        <v>18</v>
      </c>
      <c r="H8" s="14">
        <f>IFERROR(AVERAGEIFS('3_CONTROLES'!L$5:L$5000,'3_CONTROLES'!J$5:J$5000,B8,'3_CONTROLES'!L$5:L$5000,"&gt;0"),"-")</f>
        <v>77</v>
      </c>
      <c r="I8" s="15">
        <f>IFERROR(COUNTIFS('3_CONTROLES'!J$5:J$5000,B8,'3_CONTROLES'!K$5:K$5000,"Conforme")/COUNTIFS('3_CONTROLES'!J$5:J$5000,B8,'3_CONTROLES'!K$5:K$5000,"&lt;&gt;En attente"),"-")</f>
        <v>0.33333333333333331</v>
      </c>
      <c r="J8" s="3" t="s">
        <v>493</v>
      </c>
      <c r="K8" s="3" t="s">
        <v>494</v>
      </c>
      <c r="L8" s="3" t="s">
        <v>236</v>
      </c>
      <c r="M8" s="3" t="s">
        <v>474</v>
      </c>
      <c r="N8" s="3" t="s">
        <v>495</v>
      </c>
    </row>
    <row r="9" spans="1:14" ht="24" x14ac:dyDescent="0.25">
      <c r="A9" s="2" t="s">
        <v>496</v>
      </c>
      <c r="B9" s="2" t="s">
        <v>497</v>
      </c>
      <c r="C9" s="2" t="s">
        <v>498</v>
      </c>
      <c r="D9" s="2" t="s">
        <v>470</v>
      </c>
      <c r="E9" s="2" t="s">
        <v>499</v>
      </c>
      <c r="F9" s="2" t="s">
        <v>500</v>
      </c>
      <c r="G9" s="2">
        <v>22</v>
      </c>
      <c r="H9" s="12" t="str">
        <f>IFERROR(AVERAGEIFS('3_CONTROLES'!L$5:L$5000,'3_CONTROLES'!J$5:J$5000,B9,'3_CONTROLES'!L$5:L$5000,"&gt;0"),"-")</f>
        <v>-</v>
      </c>
      <c r="I9" s="13" t="str">
        <f>IFERROR(COUNTIFS('3_CONTROLES'!J$5:J$5000,B9,'3_CONTROLES'!K$5:K$5000,"Conforme")/COUNTIFS('3_CONTROLES'!J$5:J$5000,B9,'3_CONTROLES'!K$5:K$5000,"&lt;&gt;En attente"),"-")</f>
        <v>-</v>
      </c>
      <c r="J9" s="2" t="s">
        <v>501</v>
      </c>
      <c r="K9" s="2" t="s">
        <v>502</v>
      </c>
      <c r="L9" s="2" t="s">
        <v>236</v>
      </c>
      <c r="M9" s="2" t="s">
        <v>474</v>
      </c>
      <c r="N9" s="2" t="s">
        <v>503</v>
      </c>
    </row>
    <row r="10" spans="1:14" ht="24" x14ac:dyDescent="0.25">
      <c r="A10" s="3" t="s">
        <v>504</v>
      </c>
      <c r="B10" s="3" t="s">
        <v>505</v>
      </c>
      <c r="C10" s="3" t="s">
        <v>506</v>
      </c>
      <c r="D10" s="3" t="s">
        <v>470</v>
      </c>
      <c r="E10" s="3" t="s">
        <v>45</v>
      </c>
      <c r="F10" s="3" t="s">
        <v>507</v>
      </c>
      <c r="G10" s="3">
        <v>5</v>
      </c>
      <c r="H10" s="14" t="str">
        <f>IFERROR(AVERAGEIFS('3_CONTROLES'!L$5:L$5000,'3_CONTROLES'!J$5:J$5000,B10,'3_CONTROLES'!L$5:L$5000,"&gt;0"),"-")</f>
        <v>-</v>
      </c>
      <c r="I10" s="15" t="str">
        <f>IFERROR(COUNTIFS('3_CONTROLES'!J$5:J$5000,B10,'3_CONTROLES'!K$5:K$5000,"Conforme")/COUNTIFS('3_CONTROLES'!J$5:J$5000,B10,'3_CONTROLES'!K$5:K$5000,"&lt;&gt;En attente"),"-")</f>
        <v>-</v>
      </c>
      <c r="J10" s="3" t="s">
        <v>508</v>
      </c>
      <c r="K10" s="3" t="s">
        <v>509</v>
      </c>
      <c r="L10" s="3" t="s">
        <v>236</v>
      </c>
      <c r="M10" s="3" t="s">
        <v>474</v>
      </c>
      <c r="N10" s="3" t="s">
        <v>510</v>
      </c>
    </row>
    <row r="11" spans="1:14" ht="36" x14ac:dyDescent="0.25">
      <c r="A11" s="2" t="s">
        <v>511</v>
      </c>
      <c r="B11" s="2" t="s">
        <v>512</v>
      </c>
      <c r="C11" s="2" t="s">
        <v>513</v>
      </c>
      <c r="D11" s="2" t="s">
        <v>491</v>
      </c>
      <c r="E11" s="2" t="s">
        <v>45</v>
      </c>
      <c r="F11" s="2" t="s">
        <v>514</v>
      </c>
      <c r="G11" s="2">
        <v>10</v>
      </c>
      <c r="H11" s="12" t="str">
        <f>IFERROR(AVERAGEIFS('3_CONTROLES'!L$5:L$5000,'3_CONTROLES'!J$5:J$5000,B11,'3_CONTROLES'!L$5:L$5000,"&gt;0"),"-")</f>
        <v>-</v>
      </c>
      <c r="I11" s="13" t="str">
        <f>IFERROR(COUNTIFS('3_CONTROLES'!J$5:J$5000,B11,'3_CONTROLES'!K$5:K$5000,"Conforme")/COUNTIFS('3_CONTROLES'!J$5:J$5000,B11,'3_CONTROLES'!K$5:K$5000,"&lt;&gt;En attente"),"-")</f>
        <v>-</v>
      </c>
      <c r="J11" s="2" t="s">
        <v>515</v>
      </c>
      <c r="K11" s="2" t="s">
        <v>516</v>
      </c>
      <c r="L11" s="2" t="s">
        <v>236</v>
      </c>
      <c r="M11" s="2" t="s">
        <v>474</v>
      </c>
      <c r="N11" s="2" t="s">
        <v>517</v>
      </c>
    </row>
    <row r="12" spans="1:14" x14ac:dyDescent="0.25">
      <c r="A12" s="4" t="s">
        <v>518</v>
      </c>
      <c r="B12" s="4" t="s">
        <v>519</v>
      </c>
      <c r="C12" s="5">
        <f>COUNTA(A5:A11)</f>
        <v>7</v>
      </c>
      <c r="D12" s="4"/>
      <c r="E12" s="4"/>
      <c r="F12" s="4" t="s">
        <v>520</v>
      </c>
      <c r="G12" s="5">
        <f>SUM(G5:G11)</f>
        <v>81</v>
      </c>
      <c r="H12" s="4" t="s">
        <v>521</v>
      </c>
      <c r="I12" s="7">
        <f>IFERROR(AVERAGE(H5:H11),0)</f>
        <v>88.058333333333337</v>
      </c>
      <c r="J12" s="4"/>
      <c r="K12" s="4"/>
      <c r="L12" s="4"/>
      <c r="M12" s="4"/>
      <c r="N12" s="4"/>
    </row>
  </sheetData>
  <autoFilter ref="A4:N11" xr:uid="{00000000-0009-0000-0000-000004000000}"/>
  <mergeCells count="3">
    <mergeCell ref="A3:N3"/>
    <mergeCell ref="A2:N2"/>
    <mergeCell ref="A1:N1"/>
  </mergeCells>
  <conditionalFormatting sqref="H5:H11">
    <cfRule type="dataBar" priority="29">
      <dataBar>
        <cfvo type="num" val="0"/>
        <cfvo type="num" val="100"/>
        <color rgb="FF2E7D32"/>
      </dataBar>
    </cfRule>
  </conditionalFormatting>
  <conditionalFormatting sqref="L5:M11">
    <cfRule type="cellIs" dxfId="83" priority="1" operator="equal">
      <formula>"Conforme"</formula>
    </cfRule>
    <cfRule type="cellIs" dxfId="82" priority="2" operator="equal">
      <formula>"Valide"</formula>
    </cfRule>
    <cfRule type="cellIs" dxfId="81" priority="3" operator="equal">
      <formula>"Actif"</formula>
    </cfRule>
    <cfRule type="cellIs" dxfId="80" priority="4" operator="equal">
      <formula>"Excellent"</formula>
    </cfRule>
    <cfRule type="cellIs" dxfId="79" priority="5" operator="equal">
      <formula>"Acceptable"</formula>
    </cfRule>
    <cfRule type="cellIs" dxfId="78" priority="6" operator="equal">
      <formula>"En attente"</formula>
    </cfRule>
    <cfRule type="cellIs" dxfId="77" priority="7" operator="equal">
      <formula>"En cours"</formula>
    </cfRule>
    <cfRule type="cellIs" dxfId="76" priority="8" operator="equal">
      <formula>"Conditionnel"</formula>
    </cfRule>
    <cfRule type="cellIs" dxfId="75" priority="9" operator="equal">
      <formula>"A ameliorer"</formula>
    </cfRule>
    <cfRule type="cellIs" dxfId="74" priority="10" operator="equal">
      <formula>"Non conforme"</formula>
    </cfRule>
    <cfRule type="cellIs" dxfId="73" priority="11" operator="equal">
      <formula>"Rejete"</formula>
    </cfRule>
    <cfRule type="cellIs" dxfId="72" priority="12" operator="equal">
      <formula>"Critique"</formula>
    </cfRule>
    <cfRule type="cellIs" dxfId="71" priority="13" operator="equal">
      <formula>"Suspendu"</formula>
    </cfRule>
    <cfRule type="cellIs" dxfId="70" priority="14" operator="equal">
      <formula>"Insuffisant"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84C"/>
  </sheetPr>
  <dimension ref="A1:P15"/>
  <sheetViews>
    <sheetView showGridLines="0" workbookViewId="0">
      <pane ySplit="4" topLeftCell="A5" activePane="bottomLeft" state="frozen"/>
      <selection pane="bottomLeft" sqref="A1:P1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28" customWidth="1"/>
    <col min="5" max="5" width="16" customWidth="1"/>
    <col min="6" max="6" width="26" customWidth="1"/>
    <col min="7" max="7" width="12" customWidth="1"/>
    <col min="8" max="9" width="14" customWidth="1"/>
    <col min="10" max="10" width="12" customWidth="1"/>
    <col min="11" max="11" width="30" customWidth="1"/>
    <col min="12" max="13" width="14" customWidth="1"/>
    <col min="14" max="14" width="30" customWidth="1"/>
    <col min="15" max="15" width="12" customWidth="1"/>
    <col min="16" max="16" width="34" customWidth="1"/>
  </cols>
  <sheetData>
    <row r="1" spans="1:16" ht="48" customHeight="1" x14ac:dyDescent="0.25">
      <c r="A1" s="61" t="s">
        <v>522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27.95" customHeight="1" x14ac:dyDescent="0.25">
      <c r="A2" s="54" t="s">
        <v>523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30" customHeight="1" x14ac:dyDescent="0.25">
      <c r="A3" s="62" t="s">
        <v>524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</row>
    <row r="4" spans="1:16" ht="36" customHeight="1" x14ac:dyDescent="0.25">
      <c r="A4" s="1" t="s">
        <v>525</v>
      </c>
      <c r="B4" s="1" t="s">
        <v>526</v>
      </c>
      <c r="C4" s="1" t="s">
        <v>527</v>
      </c>
      <c r="D4" s="1" t="s">
        <v>221</v>
      </c>
      <c r="E4" s="1" t="s">
        <v>32</v>
      </c>
      <c r="F4" s="1" t="s">
        <v>528</v>
      </c>
      <c r="G4" s="1" t="s">
        <v>529</v>
      </c>
      <c r="H4" s="1" t="s">
        <v>530</v>
      </c>
      <c r="I4" s="1" t="s">
        <v>462</v>
      </c>
      <c r="J4" s="1" t="s">
        <v>531</v>
      </c>
      <c r="K4" s="1" t="s">
        <v>532</v>
      </c>
      <c r="L4" s="1" t="s">
        <v>533</v>
      </c>
      <c r="M4" s="1" t="s">
        <v>534</v>
      </c>
      <c r="N4" s="1" t="s">
        <v>535</v>
      </c>
      <c r="O4" s="1" t="s">
        <v>379</v>
      </c>
      <c r="P4" s="1" t="s">
        <v>467</v>
      </c>
    </row>
    <row r="5" spans="1:16" ht="36" x14ac:dyDescent="0.25">
      <c r="A5" s="2" t="s">
        <v>536</v>
      </c>
      <c r="B5" s="2" t="s">
        <v>537</v>
      </c>
      <c r="C5" s="2" t="s">
        <v>538</v>
      </c>
      <c r="D5" s="2" t="s">
        <v>235</v>
      </c>
      <c r="E5" s="2" t="s">
        <v>45</v>
      </c>
      <c r="F5" s="2" t="s">
        <v>539</v>
      </c>
      <c r="G5" s="2">
        <v>28</v>
      </c>
      <c r="H5" s="2" t="s">
        <v>540</v>
      </c>
      <c r="I5" s="12">
        <f>IFERROR(AVERAGEIFS('3_CONTROLES'!L$5:L$5000,'3_CONTROLES'!I$5:I$5000,"*"&amp;C5&amp;"*",'3_CONTROLES'!L$5:L$5000,"&gt;0"),"-")</f>
        <v>95</v>
      </c>
      <c r="J5" s="16">
        <f>IFERROR(COUNTIFS('4_DEFAUTS'!N$5:N$5000,"*"&amp;C5&amp;"*")/COUNTIFS('3_CONTROLES'!I$5:I$5000,"*"&amp;C5&amp;"*",'3_CONTROLES'!K$5:K$5000,"&lt;&gt;En attente")*100,0)</f>
        <v>50</v>
      </c>
      <c r="K5" s="2" t="s">
        <v>541</v>
      </c>
      <c r="L5" s="2" t="s">
        <v>473</v>
      </c>
      <c r="M5" s="2">
        <v>24</v>
      </c>
      <c r="N5" s="2" t="s">
        <v>542</v>
      </c>
      <c r="O5" s="2" t="s">
        <v>474</v>
      </c>
      <c r="P5" s="2" t="s">
        <v>543</v>
      </c>
    </row>
    <row r="6" spans="1:16" ht="36" x14ac:dyDescent="0.25">
      <c r="A6" s="3" t="s">
        <v>544</v>
      </c>
      <c r="B6" s="3" t="s">
        <v>545</v>
      </c>
      <c r="C6" s="3" t="s">
        <v>546</v>
      </c>
      <c r="D6" s="3" t="s">
        <v>235</v>
      </c>
      <c r="E6" s="3" t="s">
        <v>45</v>
      </c>
      <c r="F6" s="3" t="s">
        <v>547</v>
      </c>
      <c r="G6" s="3">
        <v>15</v>
      </c>
      <c r="H6" s="3" t="s">
        <v>548</v>
      </c>
      <c r="I6" s="14">
        <f>IFERROR(AVERAGEIFS('3_CONTROLES'!L$5:L$5000,'3_CONTROLES'!I$5:I$5000,"*"&amp;C6&amp;"*",'3_CONTROLES'!L$5:L$5000,"&gt;0"),"-")</f>
        <v>95</v>
      </c>
      <c r="J6" s="17">
        <f>IFERROR(COUNTIFS('4_DEFAUTS'!N$5:N$5000,"*"&amp;C6&amp;"*")/COUNTIFS('3_CONTROLES'!I$5:I$5000,"*"&amp;C6&amp;"*",'3_CONTROLES'!K$5:K$5000,"&lt;&gt;En attente")*100,0)</f>
        <v>50</v>
      </c>
      <c r="K6" s="3" t="s">
        <v>549</v>
      </c>
      <c r="L6" s="3" t="s">
        <v>473</v>
      </c>
      <c r="M6" s="3">
        <v>32</v>
      </c>
      <c r="N6" s="3" t="s">
        <v>550</v>
      </c>
      <c r="O6" s="3" t="s">
        <v>474</v>
      </c>
      <c r="P6" s="3" t="s">
        <v>551</v>
      </c>
    </row>
    <row r="7" spans="1:16" ht="24" x14ac:dyDescent="0.25">
      <c r="A7" s="2" t="s">
        <v>552</v>
      </c>
      <c r="B7" s="2" t="s">
        <v>553</v>
      </c>
      <c r="C7" s="2" t="s">
        <v>554</v>
      </c>
      <c r="D7" s="2" t="s">
        <v>235</v>
      </c>
      <c r="E7" s="2" t="s">
        <v>45</v>
      </c>
      <c r="F7" s="2" t="s">
        <v>555</v>
      </c>
      <c r="G7" s="2">
        <v>8</v>
      </c>
      <c r="H7" s="2" t="s">
        <v>556</v>
      </c>
      <c r="I7" s="12">
        <f>IFERROR(AVERAGEIFS('3_CONTROLES'!L$5:L$5000,'3_CONTROLES'!I$5:I$5000,"*"&amp;C7&amp;"*",'3_CONTROLES'!L$5:L$5000,"&gt;0"),"-")</f>
        <v>62</v>
      </c>
      <c r="J7" s="16">
        <f>IFERROR(COUNTIFS('4_DEFAUTS'!N$5:N$5000,"*"&amp;C7&amp;"*")/COUNTIFS('3_CONTROLES'!I$5:I$5000,"*"&amp;C7&amp;"*",'3_CONTROLES'!K$5:K$5000,"&lt;&gt;En attente")*100,0)</f>
        <v>0</v>
      </c>
      <c r="K7" s="2" t="s">
        <v>557</v>
      </c>
      <c r="L7" s="2" t="s">
        <v>473</v>
      </c>
      <c r="M7" s="2">
        <v>48</v>
      </c>
      <c r="N7" s="2" t="s">
        <v>558</v>
      </c>
      <c r="O7" s="2" t="s">
        <v>474</v>
      </c>
      <c r="P7" s="2" t="s">
        <v>559</v>
      </c>
    </row>
    <row r="8" spans="1:16" ht="36" x14ac:dyDescent="0.25">
      <c r="A8" s="3" t="s">
        <v>560</v>
      </c>
      <c r="B8" s="3" t="s">
        <v>561</v>
      </c>
      <c r="C8" s="3" t="s">
        <v>562</v>
      </c>
      <c r="D8" s="3" t="s">
        <v>266</v>
      </c>
      <c r="E8" s="3" t="s">
        <v>96</v>
      </c>
      <c r="F8" s="3" t="s">
        <v>563</v>
      </c>
      <c r="G8" s="3">
        <v>32</v>
      </c>
      <c r="H8" s="3" t="s">
        <v>564</v>
      </c>
      <c r="I8" s="14">
        <f>IFERROR(AVERAGEIFS('3_CONTROLES'!L$5:L$5000,'3_CONTROLES'!I$5:I$5000,"*"&amp;C8&amp;"*",'3_CONTROLES'!L$5:L$5000,"&gt;0"),"-")</f>
        <v>99</v>
      </c>
      <c r="J8" s="17">
        <f>IFERROR(COUNTIFS('4_DEFAUTS'!N$5:N$5000,"*"&amp;C8&amp;"*")/COUNTIFS('3_CONTROLES'!I$5:I$5000,"*"&amp;C8&amp;"*",'3_CONTROLES'!K$5:K$5000,"&lt;&gt;En attente")*100,0)</f>
        <v>0</v>
      </c>
      <c r="K8" s="3" t="s">
        <v>565</v>
      </c>
      <c r="L8" s="3" t="s">
        <v>480</v>
      </c>
      <c r="M8" s="3">
        <v>16</v>
      </c>
      <c r="N8" s="3" t="s">
        <v>566</v>
      </c>
      <c r="O8" s="3" t="s">
        <v>474</v>
      </c>
      <c r="P8" s="3" t="s">
        <v>567</v>
      </c>
    </row>
    <row r="9" spans="1:16" ht="36" x14ac:dyDescent="0.25">
      <c r="A9" s="2" t="s">
        <v>568</v>
      </c>
      <c r="B9" s="2" t="s">
        <v>569</v>
      </c>
      <c r="C9" s="2" t="s">
        <v>570</v>
      </c>
      <c r="D9" s="2" t="s">
        <v>266</v>
      </c>
      <c r="E9" s="2" t="s">
        <v>96</v>
      </c>
      <c r="F9" s="2" t="s">
        <v>571</v>
      </c>
      <c r="G9" s="2">
        <v>12</v>
      </c>
      <c r="H9" s="2" t="s">
        <v>548</v>
      </c>
      <c r="I9" s="12">
        <f>IFERROR(AVERAGEIFS('3_CONTROLES'!L$5:L$5000,'3_CONTROLES'!I$5:I$5000,"*"&amp;C9&amp;"*",'3_CONTROLES'!L$5:L$5000,"&gt;0"),"-")</f>
        <v>82</v>
      </c>
      <c r="J9" s="16">
        <f>IFERROR(COUNTIFS('4_DEFAUTS'!N$5:N$5000,"*"&amp;C9&amp;"*")/COUNTIFS('3_CONTROLES'!I$5:I$5000,"*"&amp;C9&amp;"*",'3_CONTROLES'!K$5:K$5000,"&lt;&gt;En attente")*100,0)</f>
        <v>100</v>
      </c>
      <c r="K9" s="2" t="s">
        <v>572</v>
      </c>
      <c r="L9" s="2" t="s">
        <v>480</v>
      </c>
      <c r="M9" s="2">
        <v>28</v>
      </c>
      <c r="N9" s="2" t="s">
        <v>573</v>
      </c>
      <c r="O9" s="2" t="s">
        <v>474</v>
      </c>
      <c r="P9" s="2" t="s">
        <v>574</v>
      </c>
    </row>
    <row r="10" spans="1:16" ht="24" x14ac:dyDescent="0.25">
      <c r="A10" s="3" t="s">
        <v>575</v>
      </c>
      <c r="B10" s="3" t="s">
        <v>576</v>
      </c>
      <c r="C10" s="3" t="s">
        <v>577</v>
      </c>
      <c r="D10" s="3" t="s">
        <v>285</v>
      </c>
      <c r="E10" s="3" t="s">
        <v>126</v>
      </c>
      <c r="F10" s="3" t="s">
        <v>578</v>
      </c>
      <c r="G10" s="3">
        <v>35</v>
      </c>
      <c r="H10" s="3" t="s">
        <v>579</v>
      </c>
      <c r="I10" s="14">
        <f>IFERROR(AVERAGEIFS('3_CONTROLES'!L$5:L$5000,'3_CONTROLES'!I$5:I$5000,"*"&amp;C10&amp;"*",'3_CONTROLES'!L$5:L$5000,"&gt;0"),"-")</f>
        <v>99</v>
      </c>
      <c r="J10" s="17">
        <f>IFERROR(COUNTIFS('4_DEFAUTS'!N$5:N$5000,"*"&amp;C10&amp;"*")/COUNTIFS('3_CONTROLES'!I$5:I$5000,"*"&amp;C10&amp;"*",'3_CONTROLES'!K$5:K$5000,"&lt;&gt;En attente")*100,0)</f>
        <v>0</v>
      </c>
      <c r="K10" s="3" t="s">
        <v>580</v>
      </c>
      <c r="L10" s="3" t="s">
        <v>487</v>
      </c>
      <c r="M10" s="3">
        <v>12</v>
      </c>
      <c r="N10" s="3" t="s">
        <v>581</v>
      </c>
      <c r="O10" s="3" t="s">
        <v>474</v>
      </c>
      <c r="P10" s="3" t="s">
        <v>582</v>
      </c>
    </row>
    <row r="11" spans="1:16" ht="36" x14ac:dyDescent="0.25">
      <c r="A11" s="2" t="s">
        <v>583</v>
      </c>
      <c r="B11" s="2" t="s">
        <v>584</v>
      </c>
      <c r="C11" s="2" t="s">
        <v>585</v>
      </c>
      <c r="D11" s="2" t="s">
        <v>285</v>
      </c>
      <c r="E11" s="2" t="s">
        <v>126</v>
      </c>
      <c r="F11" s="2" t="s">
        <v>586</v>
      </c>
      <c r="G11" s="2">
        <v>10</v>
      </c>
      <c r="H11" s="2" t="s">
        <v>556</v>
      </c>
      <c r="I11" s="12">
        <f>IFERROR(AVERAGEIFS('3_CONTROLES'!L$5:L$5000,'3_CONTROLES'!I$5:I$5000,"*"&amp;C11&amp;"*",'3_CONTROLES'!L$5:L$5000,"&gt;0"),"-")</f>
        <v>91</v>
      </c>
      <c r="J11" s="16">
        <f>IFERROR(COUNTIFS('4_DEFAUTS'!N$5:N$5000,"*"&amp;C11&amp;"*")/COUNTIFS('3_CONTROLES'!I$5:I$5000,"*"&amp;C11&amp;"*",'3_CONTROLES'!K$5:K$5000,"&lt;&gt;En attente")*100,0)</f>
        <v>0</v>
      </c>
      <c r="K11" s="2" t="s">
        <v>587</v>
      </c>
      <c r="L11" s="2" t="s">
        <v>487</v>
      </c>
      <c r="M11" s="2">
        <v>40</v>
      </c>
      <c r="N11" s="2" t="s">
        <v>588</v>
      </c>
      <c r="O11" s="2" t="s">
        <v>474</v>
      </c>
      <c r="P11" s="2" t="s">
        <v>589</v>
      </c>
    </row>
    <row r="12" spans="1:16" ht="24" x14ac:dyDescent="0.25">
      <c r="A12" s="3" t="s">
        <v>590</v>
      </c>
      <c r="B12" s="3" t="s">
        <v>591</v>
      </c>
      <c r="C12" s="3" t="s">
        <v>592</v>
      </c>
      <c r="D12" s="3" t="s">
        <v>303</v>
      </c>
      <c r="E12" s="3" t="s">
        <v>157</v>
      </c>
      <c r="F12" s="3" t="s">
        <v>593</v>
      </c>
      <c r="G12" s="3">
        <v>20</v>
      </c>
      <c r="H12" s="3" t="s">
        <v>548</v>
      </c>
      <c r="I12" s="14">
        <f>IFERROR(AVERAGEIFS('3_CONTROLES'!L$5:L$5000,'3_CONTROLES'!I$5:I$5000,"*"&amp;C12&amp;"*",'3_CONTROLES'!L$5:L$5000,"&gt;0"),"-")</f>
        <v>95</v>
      </c>
      <c r="J12" s="17">
        <f>IFERROR(COUNTIFS('4_DEFAUTS'!N$5:N$5000,"*"&amp;C12&amp;"*")/COUNTIFS('3_CONTROLES'!I$5:I$5000,"*"&amp;C12&amp;"*",'3_CONTROLES'!K$5:K$5000,"&lt;&gt;En attente")*100,0)</f>
        <v>0</v>
      </c>
      <c r="K12" s="3" t="s">
        <v>594</v>
      </c>
      <c r="L12" s="3" t="s">
        <v>494</v>
      </c>
      <c r="M12" s="3">
        <v>20</v>
      </c>
      <c r="N12" s="3" t="s">
        <v>595</v>
      </c>
      <c r="O12" s="3" t="s">
        <v>474</v>
      </c>
      <c r="P12" s="3" t="s">
        <v>596</v>
      </c>
    </row>
    <row r="13" spans="1:16" ht="36" x14ac:dyDescent="0.25">
      <c r="A13" s="2" t="s">
        <v>597</v>
      </c>
      <c r="B13" s="2" t="s">
        <v>537</v>
      </c>
      <c r="C13" s="2" t="s">
        <v>598</v>
      </c>
      <c r="D13" s="2" t="s">
        <v>303</v>
      </c>
      <c r="E13" s="2" t="s">
        <v>157</v>
      </c>
      <c r="F13" s="2" t="s">
        <v>599</v>
      </c>
      <c r="G13" s="2">
        <v>7</v>
      </c>
      <c r="H13" s="2" t="s">
        <v>556</v>
      </c>
      <c r="I13" s="12">
        <f>IFERROR(AVERAGEIFS('3_CONTROLES'!L$5:L$5000,'3_CONTROLES'!I$5:I$5000,"*"&amp;C13&amp;"*",'3_CONTROLES'!L$5:L$5000,"&gt;0"),"-")</f>
        <v>58</v>
      </c>
      <c r="J13" s="16">
        <f>IFERROR(COUNTIFS('4_DEFAUTS'!N$5:N$5000,"*"&amp;C13&amp;"*")/COUNTIFS('3_CONTROLES'!I$5:I$5000,"*"&amp;C13&amp;"*",'3_CONTROLES'!K$5:K$5000,"&lt;&gt;En attente")*100,0)</f>
        <v>100</v>
      </c>
      <c r="K13" s="2" t="s">
        <v>600</v>
      </c>
      <c r="L13" s="2" t="s">
        <v>494</v>
      </c>
      <c r="M13" s="2">
        <v>52</v>
      </c>
      <c r="N13" s="2" t="s">
        <v>601</v>
      </c>
      <c r="O13" s="2" t="s">
        <v>474</v>
      </c>
      <c r="P13" s="2" t="s">
        <v>602</v>
      </c>
    </row>
    <row r="14" spans="1:16" ht="36" x14ac:dyDescent="0.25">
      <c r="A14" s="3" t="s">
        <v>603</v>
      </c>
      <c r="B14" s="3" t="s">
        <v>604</v>
      </c>
      <c r="C14" s="3" t="s">
        <v>605</v>
      </c>
      <c r="D14" s="3" t="s">
        <v>303</v>
      </c>
      <c r="E14" s="3" t="s">
        <v>157</v>
      </c>
      <c r="F14" s="3" t="s">
        <v>606</v>
      </c>
      <c r="G14" s="3">
        <v>18</v>
      </c>
      <c r="H14" s="3" t="s">
        <v>548</v>
      </c>
      <c r="I14" s="14" t="str">
        <f>IFERROR(AVERAGEIFS('3_CONTROLES'!L$5:L$5000,'3_CONTROLES'!I$5:I$5000,"*"&amp;C14&amp;"*",'3_CONTROLES'!L$5:L$5000,"&gt;0"),"-")</f>
        <v>-</v>
      </c>
      <c r="J14" s="17">
        <f>IFERROR(COUNTIFS('4_DEFAUTS'!N$5:N$5000,"*"&amp;C14&amp;"*")/COUNTIFS('3_CONTROLES'!I$5:I$5000,"*"&amp;C14&amp;"*",'3_CONTROLES'!K$5:K$5000,"&lt;&gt;En attente")*100,0)</f>
        <v>0</v>
      </c>
      <c r="K14" s="3" t="s">
        <v>607</v>
      </c>
      <c r="L14" s="3" t="s">
        <v>494</v>
      </c>
      <c r="M14" s="3">
        <v>36</v>
      </c>
      <c r="N14" s="3" t="s">
        <v>608</v>
      </c>
      <c r="O14" s="3" t="s">
        <v>474</v>
      </c>
      <c r="P14" s="3" t="s">
        <v>609</v>
      </c>
    </row>
    <row r="15" spans="1:16" x14ac:dyDescent="0.25">
      <c r="A15" s="4" t="s">
        <v>610</v>
      </c>
      <c r="B15" s="4" t="s">
        <v>520</v>
      </c>
      <c r="C15" s="5">
        <f>COUNTA(A5:A14)</f>
        <v>10</v>
      </c>
      <c r="D15" s="4"/>
      <c r="E15" s="4"/>
      <c r="F15" s="4" t="s">
        <v>611</v>
      </c>
      <c r="G15" s="5">
        <f>COUNTIF(H5:H14,"Maitre*")</f>
        <v>3</v>
      </c>
      <c r="H15" s="4" t="s">
        <v>612</v>
      </c>
      <c r="I15" s="18">
        <f>IFERROR(AVERAGE(G5:G14),0)</f>
        <v>18.5</v>
      </c>
      <c r="J15" s="4"/>
      <c r="K15" s="4"/>
      <c r="L15" s="4" t="s">
        <v>613</v>
      </c>
      <c r="M15" s="19">
        <f>IFERROR(AVERAGE(M5:M14),0)</f>
        <v>30.8</v>
      </c>
      <c r="N15" s="4"/>
      <c r="O15" s="4"/>
      <c r="P15" s="4"/>
    </row>
  </sheetData>
  <autoFilter ref="A4:P14" xr:uid="{00000000-0009-0000-0000-000005000000}"/>
  <mergeCells count="3">
    <mergeCell ref="A1:P1"/>
    <mergeCell ref="A3:P3"/>
    <mergeCell ref="A2:P2"/>
  </mergeCells>
  <conditionalFormatting sqref="H5:H14">
    <cfRule type="cellIs" dxfId="69" priority="16" operator="equal">
      <formula>"Maitre d'art"</formula>
    </cfRule>
    <cfRule type="cellIs" dxfId="68" priority="17" operator="equal">
      <formula>"Maitre joaillier"</formula>
    </cfRule>
    <cfRule type="cellIs" dxfId="67" priority="18" operator="equal">
      <formula>"Maitre horloger"</formula>
    </cfRule>
    <cfRule type="cellIs" dxfId="66" priority="19" operator="equal">
      <formula>"Expert"</formula>
    </cfRule>
    <cfRule type="cellIs" dxfId="65" priority="20" operator="equal">
      <formula>"Confirme"</formula>
    </cfRule>
  </conditionalFormatting>
  <conditionalFormatting sqref="I5:I14">
    <cfRule type="dataBar" priority="15">
      <dataBar>
        <cfvo type="num" val="0"/>
        <cfvo type="num" val="100"/>
        <color rgb="FF2E7D32"/>
      </dataBar>
    </cfRule>
  </conditionalFormatting>
  <conditionalFormatting sqref="O5:O14">
    <cfRule type="cellIs" dxfId="64" priority="1" operator="equal">
      <formula>"Conforme"</formula>
    </cfRule>
    <cfRule type="cellIs" dxfId="63" priority="2" operator="equal">
      <formula>"Valide"</formula>
    </cfRule>
    <cfRule type="cellIs" dxfId="62" priority="3" operator="equal">
      <formula>"Actif"</formula>
    </cfRule>
    <cfRule type="cellIs" dxfId="61" priority="4" operator="equal">
      <formula>"Excellent"</formula>
    </cfRule>
    <cfRule type="cellIs" dxfId="60" priority="5" operator="equal">
      <formula>"Acceptable"</formula>
    </cfRule>
    <cfRule type="cellIs" dxfId="59" priority="6" operator="equal">
      <formula>"En attente"</formula>
    </cfRule>
    <cfRule type="cellIs" dxfId="58" priority="7" operator="equal">
      <formula>"En cours"</formula>
    </cfRule>
    <cfRule type="cellIs" dxfId="57" priority="8" operator="equal">
      <formula>"Conditionnel"</formula>
    </cfRule>
    <cfRule type="cellIs" dxfId="56" priority="9" operator="equal">
      <formula>"A ameliorer"</formula>
    </cfRule>
    <cfRule type="cellIs" dxfId="55" priority="10" operator="equal">
      <formula>"Non conforme"</formula>
    </cfRule>
    <cfRule type="cellIs" dxfId="54" priority="11" operator="equal">
      <formula>"Rejete"</formula>
    </cfRule>
    <cfRule type="cellIs" dxfId="53" priority="12" operator="equal">
      <formula>"Critique"</formula>
    </cfRule>
    <cfRule type="cellIs" dxfId="52" priority="13" operator="equal">
      <formula>"Suspendu"</formula>
    </cfRule>
    <cfRule type="cellIs" dxfId="51" priority="14" operator="equal">
      <formula>"Insuffisant"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5C0"/>
  </sheetPr>
  <dimension ref="A1:N12"/>
  <sheetViews>
    <sheetView showGridLines="0" workbookViewId="0">
      <pane ySplit="4" topLeftCell="A6" activePane="bottomLeft" state="frozen"/>
      <selection pane="bottomLeft" sqref="A1:N1"/>
    </sheetView>
  </sheetViews>
  <sheetFormatPr baseColWidth="10" defaultColWidth="9.140625" defaultRowHeight="15" x14ac:dyDescent="0.25"/>
  <cols>
    <col min="1" max="2" width="14" customWidth="1"/>
    <col min="3" max="3" width="28" customWidth="1"/>
    <col min="4" max="4" width="16" customWidth="1"/>
    <col min="5" max="6" width="12" customWidth="1"/>
    <col min="7" max="7" width="14" customWidth="1"/>
    <col min="8" max="8" width="16" customWidth="1"/>
    <col min="9" max="9" width="14" customWidth="1"/>
    <col min="10" max="10" width="36" customWidth="1"/>
    <col min="11" max="11" width="14" customWidth="1"/>
    <col min="12" max="12" width="36" customWidth="1"/>
    <col min="13" max="13" width="20" customWidth="1"/>
    <col min="14" max="14" width="14" customWidth="1"/>
  </cols>
  <sheetData>
    <row r="1" spans="1:14" ht="48" customHeight="1" x14ac:dyDescent="0.25">
      <c r="A1" s="61" t="s">
        <v>614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7.95" customHeight="1" x14ac:dyDescent="0.25">
      <c r="A2" s="54" t="s">
        <v>615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30" customHeight="1" x14ac:dyDescent="0.25">
      <c r="A3" s="62" t="s">
        <v>616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36" customHeight="1" x14ac:dyDescent="0.25">
      <c r="A4" s="1" t="s">
        <v>617</v>
      </c>
      <c r="B4" s="1" t="s">
        <v>618</v>
      </c>
      <c r="C4" s="1" t="s">
        <v>221</v>
      </c>
      <c r="D4" s="1" t="s">
        <v>32</v>
      </c>
      <c r="E4" s="1" t="s">
        <v>619</v>
      </c>
      <c r="F4" s="1" t="s">
        <v>620</v>
      </c>
      <c r="G4" s="1" t="s">
        <v>621</v>
      </c>
      <c r="H4" s="1" t="s">
        <v>622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378</v>
      </c>
      <c r="N4" s="1" t="s">
        <v>627</v>
      </c>
    </row>
    <row r="5" spans="1:14" ht="24" x14ac:dyDescent="0.25">
      <c r="A5" s="2" t="s">
        <v>628</v>
      </c>
      <c r="B5" s="2" t="s">
        <v>629</v>
      </c>
      <c r="C5" s="2" t="s">
        <v>235</v>
      </c>
      <c r="D5" s="2" t="s">
        <v>45</v>
      </c>
      <c r="E5" s="20">
        <f>IFERROR(COUNTIFS('3_CONTROLES'!J$5:J$5000,C5),0)</f>
        <v>5</v>
      </c>
      <c r="F5" s="21">
        <f>IFERROR(COUNTIFS('3_CONTROLES'!J$5:J$5000,C5,'3_CONTROLES'!K$5:K$5000,"Conforme"),0)</f>
        <v>4</v>
      </c>
      <c r="G5" s="22">
        <f>IFERROR(COUNTIFS('3_CONTROLES'!J$5:J$5000,C5,'3_CONTROLES'!K$5:K$5000,"Non conforme"),0)</f>
        <v>1</v>
      </c>
      <c r="H5" s="13">
        <f>IFERROR(F5/COUNTIFS('3_CONTROLES'!J$5:J$5000,C5,'3_CONTROLES'!K$5:K$5000,"&lt;&gt;En attente"),0)</f>
        <v>0.8</v>
      </c>
      <c r="I5" s="12">
        <f>IFERROR(AVERAGEIFS('3_CONTROLES'!L$5:L$5000,'3_CONTROLES'!J$5:J$5000,C5,'3_CONTROLES'!L$5:L$5000,"&gt;0"),0)</f>
        <v>88.4</v>
      </c>
      <c r="J5" s="2" t="s">
        <v>630</v>
      </c>
      <c r="K5" s="2" t="s">
        <v>631</v>
      </c>
      <c r="L5" s="2" t="s">
        <v>632</v>
      </c>
      <c r="M5" s="2" t="s">
        <v>239</v>
      </c>
      <c r="N5" s="2" t="s">
        <v>633</v>
      </c>
    </row>
    <row r="6" spans="1:14" ht="24" x14ac:dyDescent="0.25">
      <c r="A6" s="3" t="s">
        <v>634</v>
      </c>
      <c r="B6" s="3" t="s">
        <v>635</v>
      </c>
      <c r="C6" s="3" t="s">
        <v>235</v>
      </c>
      <c r="D6" s="3" t="s">
        <v>45</v>
      </c>
      <c r="E6" s="23">
        <f>IFERROR(COUNTIFS('3_CONTROLES'!J$5:J$5000,C6),0)</f>
        <v>5</v>
      </c>
      <c r="F6" s="24">
        <f>IFERROR(COUNTIFS('3_CONTROLES'!J$5:J$5000,C6,'3_CONTROLES'!K$5:K$5000,"Conforme"),0)</f>
        <v>4</v>
      </c>
      <c r="G6" s="25">
        <f>IFERROR(COUNTIFS('3_CONTROLES'!J$5:J$5000,C6,'3_CONTROLES'!K$5:K$5000,"Non conforme"),0)</f>
        <v>1</v>
      </c>
      <c r="H6" s="15">
        <f>IFERROR(F6/COUNTIFS('3_CONTROLES'!J$5:J$5000,C6,'3_CONTROLES'!K$5:K$5000,"&lt;&gt;En attente"),0)</f>
        <v>0.8</v>
      </c>
      <c r="I6" s="14">
        <f>IFERROR(AVERAGEIFS('3_CONTROLES'!L$5:L$5000,'3_CONTROLES'!J$5:J$5000,C6,'3_CONTROLES'!L$5:L$5000,"&gt;0"),0)</f>
        <v>88.4</v>
      </c>
      <c r="J6" s="3" t="s">
        <v>636</v>
      </c>
      <c r="K6" s="3" t="s">
        <v>637</v>
      </c>
      <c r="L6" s="3" t="s">
        <v>638</v>
      </c>
      <c r="M6" s="3" t="s">
        <v>239</v>
      </c>
      <c r="N6" s="3" t="s">
        <v>633</v>
      </c>
    </row>
    <row r="7" spans="1:14" ht="24" x14ac:dyDescent="0.25">
      <c r="A7" s="2" t="s">
        <v>639</v>
      </c>
      <c r="B7" s="2" t="s">
        <v>640</v>
      </c>
      <c r="C7" s="2" t="s">
        <v>235</v>
      </c>
      <c r="D7" s="2" t="s">
        <v>45</v>
      </c>
      <c r="E7" s="20">
        <f>IFERROR(COUNTIFS('3_CONTROLES'!J$5:J$5000,C7),0)</f>
        <v>5</v>
      </c>
      <c r="F7" s="21">
        <f>IFERROR(COUNTIFS('3_CONTROLES'!J$5:J$5000,C7,'3_CONTROLES'!K$5:K$5000,"Conforme"),0)</f>
        <v>4</v>
      </c>
      <c r="G7" s="22">
        <f>IFERROR(COUNTIFS('3_CONTROLES'!J$5:J$5000,C7,'3_CONTROLES'!K$5:K$5000,"Non conforme"),0)</f>
        <v>1</v>
      </c>
      <c r="H7" s="13">
        <f>IFERROR(F7/COUNTIFS('3_CONTROLES'!J$5:J$5000,C7,'3_CONTROLES'!K$5:K$5000,"&lt;&gt;En attente"),0)</f>
        <v>0.8</v>
      </c>
      <c r="I7" s="12">
        <f>IFERROR(AVERAGEIFS('3_CONTROLES'!L$5:L$5000,'3_CONTROLES'!J$5:J$5000,C7,'3_CONTROLES'!L$5:L$5000,"&gt;0"),0)</f>
        <v>88.4</v>
      </c>
      <c r="J7" s="2" t="s">
        <v>641</v>
      </c>
      <c r="K7" s="2" t="s">
        <v>631</v>
      </c>
      <c r="L7" s="2" t="s">
        <v>642</v>
      </c>
      <c r="M7" s="2" t="s">
        <v>239</v>
      </c>
      <c r="N7" s="2" t="s">
        <v>633</v>
      </c>
    </row>
    <row r="8" spans="1:14" ht="24" x14ac:dyDescent="0.25">
      <c r="A8" s="3" t="s">
        <v>643</v>
      </c>
      <c r="B8" s="3" t="s">
        <v>629</v>
      </c>
      <c r="C8" s="3" t="s">
        <v>266</v>
      </c>
      <c r="D8" s="3" t="s">
        <v>96</v>
      </c>
      <c r="E8" s="23">
        <f>IFERROR(COUNTIFS('3_CONTROLES'!J$5:J$5000,C8),0)</f>
        <v>3</v>
      </c>
      <c r="F8" s="24">
        <f>IFERROR(COUNTIFS('3_CONTROLES'!J$5:J$5000,C8,'3_CONTROLES'!K$5:K$5000,"Conforme"),0)</f>
        <v>1</v>
      </c>
      <c r="G8" s="25">
        <f>IFERROR(COUNTIFS('3_CONTROLES'!J$5:J$5000,C8,'3_CONTROLES'!K$5:K$5000,"Non conforme"),0)</f>
        <v>0</v>
      </c>
      <c r="H8" s="15">
        <f>IFERROR(F8/COUNTIFS('3_CONTROLES'!J$5:J$5000,C8,'3_CONTROLES'!K$5:K$5000,"&lt;&gt;En attente"),0)</f>
        <v>0.5</v>
      </c>
      <c r="I8" s="14">
        <f>IFERROR(AVERAGEIFS('3_CONTROLES'!L$5:L$5000,'3_CONTROLES'!J$5:J$5000,C8,'3_CONTROLES'!L$5:L$5000,"&gt;0"),0)</f>
        <v>90.5</v>
      </c>
      <c r="J8" s="3" t="s">
        <v>644</v>
      </c>
      <c r="K8" s="3" t="s">
        <v>637</v>
      </c>
      <c r="L8" s="3" t="s">
        <v>645</v>
      </c>
      <c r="M8" s="3" t="s">
        <v>267</v>
      </c>
      <c r="N8" s="3" t="s">
        <v>633</v>
      </c>
    </row>
    <row r="9" spans="1:14" x14ac:dyDescent="0.25">
      <c r="A9" s="2" t="s">
        <v>646</v>
      </c>
      <c r="B9" s="2" t="s">
        <v>635</v>
      </c>
      <c r="C9" s="2" t="s">
        <v>266</v>
      </c>
      <c r="D9" s="2" t="s">
        <v>96</v>
      </c>
      <c r="E9" s="20">
        <f>IFERROR(COUNTIFS('3_CONTROLES'!J$5:J$5000,C9),0)</f>
        <v>3</v>
      </c>
      <c r="F9" s="21">
        <f>IFERROR(COUNTIFS('3_CONTROLES'!J$5:J$5000,C9,'3_CONTROLES'!K$5:K$5000,"Conforme"),0)</f>
        <v>1</v>
      </c>
      <c r="G9" s="22">
        <f>IFERROR(COUNTIFS('3_CONTROLES'!J$5:J$5000,C9,'3_CONTROLES'!K$5:K$5000,"Non conforme"),0)</f>
        <v>0</v>
      </c>
      <c r="H9" s="13">
        <f>IFERROR(F9/COUNTIFS('3_CONTROLES'!J$5:J$5000,C9,'3_CONTROLES'!K$5:K$5000,"&lt;&gt;En attente"),0)</f>
        <v>0.5</v>
      </c>
      <c r="I9" s="12">
        <f>IFERROR(AVERAGEIFS('3_CONTROLES'!L$5:L$5000,'3_CONTROLES'!J$5:J$5000,C9,'3_CONTROLES'!L$5:L$5000,"&gt;0"),0)</f>
        <v>90.5</v>
      </c>
      <c r="J9" s="2" t="s">
        <v>647</v>
      </c>
      <c r="K9" s="2" t="s">
        <v>631</v>
      </c>
      <c r="L9" s="2" t="s">
        <v>648</v>
      </c>
      <c r="M9" s="2" t="s">
        <v>267</v>
      </c>
      <c r="N9" s="2" t="s">
        <v>633</v>
      </c>
    </row>
    <row r="10" spans="1:14" ht="24" x14ac:dyDescent="0.25">
      <c r="A10" s="3" t="s">
        <v>649</v>
      </c>
      <c r="B10" s="3" t="s">
        <v>640</v>
      </c>
      <c r="C10" s="3" t="s">
        <v>266</v>
      </c>
      <c r="D10" s="3" t="s">
        <v>96</v>
      </c>
      <c r="E10" s="23">
        <f>IFERROR(COUNTIFS('3_CONTROLES'!J$5:J$5000,C10),0)</f>
        <v>3</v>
      </c>
      <c r="F10" s="24">
        <f>IFERROR(COUNTIFS('3_CONTROLES'!J$5:J$5000,C10,'3_CONTROLES'!K$5:K$5000,"Conforme"),0)</f>
        <v>1</v>
      </c>
      <c r="G10" s="25">
        <f>IFERROR(COUNTIFS('3_CONTROLES'!J$5:J$5000,C10,'3_CONTROLES'!K$5:K$5000,"Non conforme"),0)</f>
        <v>0</v>
      </c>
      <c r="H10" s="15">
        <f>IFERROR(F10/COUNTIFS('3_CONTROLES'!J$5:J$5000,C10,'3_CONTROLES'!K$5:K$5000,"&lt;&gt;En attente"),0)</f>
        <v>0.5</v>
      </c>
      <c r="I10" s="14">
        <f>IFERROR(AVERAGEIFS('3_CONTROLES'!L$5:L$5000,'3_CONTROLES'!J$5:J$5000,C10,'3_CONTROLES'!L$5:L$5000,"&gt;0"),0)</f>
        <v>90.5</v>
      </c>
      <c r="J10" s="3" t="s">
        <v>647</v>
      </c>
      <c r="K10" s="3" t="s">
        <v>631</v>
      </c>
      <c r="L10" s="3" t="s">
        <v>650</v>
      </c>
      <c r="M10" s="3" t="s">
        <v>267</v>
      </c>
      <c r="N10" s="3" t="s">
        <v>633</v>
      </c>
    </row>
    <row r="11" spans="1:14" ht="24" x14ac:dyDescent="0.25">
      <c r="A11" s="2" t="s">
        <v>651</v>
      </c>
      <c r="B11" s="2" t="s">
        <v>652</v>
      </c>
      <c r="C11" s="2" t="s">
        <v>285</v>
      </c>
      <c r="D11" s="2" t="s">
        <v>126</v>
      </c>
      <c r="E11" s="20">
        <f>IFERROR(COUNTIFS('3_CONTROLES'!J$5:J$5000,C11),0)</f>
        <v>3</v>
      </c>
      <c r="F11" s="21">
        <f>IFERROR(COUNTIFS('3_CONTROLES'!J$5:J$5000,C11,'3_CONTROLES'!K$5:K$5000,"Conforme"),0)</f>
        <v>3</v>
      </c>
      <c r="G11" s="22">
        <f>IFERROR(COUNTIFS('3_CONTROLES'!J$5:J$5000,C11,'3_CONTROLES'!K$5:K$5000,"Non conforme"),0)</f>
        <v>0</v>
      </c>
      <c r="H11" s="13">
        <f>IFERROR(F11/COUNTIFS('3_CONTROLES'!J$5:J$5000,C11,'3_CONTROLES'!K$5:K$5000,"&lt;&gt;En attente"),0)</f>
        <v>1</v>
      </c>
      <c r="I11" s="12">
        <f>IFERROR(AVERAGEIFS('3_CONTROLES'!L$5:L$5000,'3_CONTROLES'!J$5:J$5000,C11,'3_CONTROLES'!L$5:L$5000,"&gt;0"),0)</f>
        <v>96.333333333333329</v>
      </c>
      <c r="J11" s="2" t="s">
        <v>653</v>
      </c>
      <c r="K11" s="2" t="s">
        <v>637</v>
      </c>
      <c r="L11" s="2" t="s">
        <v>654</v>
      </c>
      <c r="M11" s="2" t="s">
        <v>286</v>
      </c>
      <c r="N11" s="2" t="s">
        <v>633</v>
      </c>
    </row>
    <row r="12" spans="1:14" ht="24" x14ac:dyDescent="0.25">
      <c r="A12" s="3" t="s">
        <v>655</v>
      </c>
      <c r="B12" s="3" t="s">
        <v>656</v>
      </c>
      <c r="C12" s="3" t="s">
        <v>303</v>
      </c>
      <c r="D12" s="3" t="s">
        <v>157</v>
      </c>
      <c r="E12" s="23">
        <f>IFERROR(COUNTIFS('3_CONTROLES'!J$5:J$5000,C12),0)</f>
        <v>3</v>
      </c>
      <c r="F12" s="24">
        <f>IFERROR(COUNTIFS('3_CONTROLES'!J$5:J$5000,C12,'3_CONTROLES'!K$5:K$5000,"Conforme"),0)</f>
        <v>1</v>
      </c>
      <c r="G12" s="25">
        <f>IFERROR(COUNTIFS('3_CONTROLES'!J$5:J$5000,C12,'3_CONTROLES'!K$5:K$5000,"Non conforme"),0)</f>
        <v>1</v>
      </c>
      <c r="H12" s="15">
        <f>IFERROR(F12/COUNTIFS('3_CONTROLES'!J$5:J$5000,C12,'3_CONTROLES'!K$5:K$5000,"&lt;&gt;En attente"),0)</f>
        <v>0.33333333333333331</v>
      </c>
      <c r="I12" s="14">
        <f>IFERROR(AVERAGEIFS('3_CONTROLES'!L$5:L$5000,'3_CONTROLES'!J$5:J$5000,C12,'3_CONTROLES'!L$5:L$5000,"&gt;0"),0)</f>
        <v>77</v>
      </c>
      <c r="J12" s="3" t="s">
        <v>657</v>
      </c>
      <c r="K12" s="3" t="s">
        <v>658</v>
      </c>
      <c r="L12" s="3" t="s">
        <v>659</v>
      </c>
      <c r="M12" s="3" t="s">
        <v>304</v>
      </c>
      <c r="N12" s="3" t="s">
        <v>424</v>
      </c>
    </row>
  </sheetData>
  <autoFilter ref="A4:N12" xr:uid="{00000000-0009-0000-0000-000006000000}"/>
  <mergeCells count="3">
    <mergeCell ref="A3:N3"/>
    <mergeCell ref="A2:N2"/>
    <mergeCell ref="A1:N1"/>
  </mergeCells>
  <conditionalFormatting sqref="K5:K12">
    <cfRule type="expression" dxfId="50" priority="15">
      <formula>NOT(ISERROR(SEARCH("Amelioration",K5)))</formula>
    </cfRule>
    <cfRule type="expression" dxfId="49" priority="16">
      <formula>NOT(ISERROR(SEARCH("Degradation",K5)))</formula>
    </cfRule>
  </conditionalFormatting>
  <conditionalFormatting sqref="N5:N12">
    <cfRule type="cellIs" dxfId="48" priority="1" operator="equal">
      <formula>"Conforme"</formula>
    </cfRule>
    <cfRule type="cellIs" dxfId="47" priority="2" operator="equal">
      <formula>"Valide"</formula>
    </cfRule>
    <cfRule type="cellIs" dxfId="46" priority="3" operator="equal">
      <formula>"Actif"</formula>
    </cfRule>
    <cfRule type="cellIs" dxfId="45" priority="4" operator="equal">
      <formula>"Excellent"</formula>
    </cfRule>
    <cfRule type="cellIs" dxfId="44" priority="5" operator="equal">
      <formula>"Acceptable"</formula>
    </cfRule>
    <cfRule type="cellIs" dxfId="43" priority="6" operator="equal">
      <formula>"En attente"</formula>
    </cfRule>
    <cfRule type="cellIs" dxfId="42" priority="7" operator="equal">
      <formula>"En cours"</formula>
    </cfRule>
    <cfRule type="cellIs" dxfId="41" priority="8" operator="equal">
      <formula>"Conditionnel"</formula>
    </cfRule>
    <cfRule type="cellIs" dxfId="40" priority="9" operator="equal">
      <formula>"A ameliorer"</formula>
    </cfRule>
    <cfRule type="cellIs" dxfId="39" priority="10" operator="equal">
      <formula>"Non conforme"</formula>
    </cfRule>
    <cfRule type="cellIs" dxfId="38" priority="11" operator="equal">
      <formula>"Rejete"</formula>
    </cfRule>
    <cfRule type="cellIs" dxfId="37" priority="12" operator="equal">
      <formula>"Critique"</formula>
    </cfRule>
    <cfRule type="cellIs" dxfId="36" priority="13" operator="equal">
      <formula>"Suspendu"</formula>
    </cfRule>
    <cfRule type="cellIs" dxfId="35" priority="14" operator="equal">
      <formula>"Insuffisant"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84C"/>
  </sheetPr>
  <dimension ref="A1:L35"/>
  <sheetViews>
    <sheetView showGridLines="0" workbookViewId="0">
      <pane ySplit="5" topLeftCell="A15" activePane="bottomLeft" state="frozen"/>
      <selection pane="bottomLeft" sqref="A1:L1"/>
    </sheetView>
  </sheetViews>
  <sheetFormatPr baseColWidth="10" defaultColWidth="9.140625" defaultRowHeight="15" x14ac:dyDescent="0.25"/>
  <cols>
    <col min="1" max="1" width="10" customWidth="1"/>
    <col min="2" max="2" width="36" customWidth="1"/>
    <col min="3" max="3" width="16" customWidth="1"/>
    <col min="4" max="4" width="10" customWidth="1"/>
    <col min="5" max="5" width="12" customWidth="1"/>
    <col min="6" max="6" width="16" customWidth="1"/>
    <col min="7" max="8" width="12" customWidth="1"/>
    <col min="9" max="9" width="22" customWidth="1"/>
    <col min="10" max="10" width="14" customWidth="1"/>
    <col min="11" max="11" width="22" customWidth="1"/>
    <col min="12" max="12" width="36" customWidth="1"/>
  </cols>
  <sheetData>
    <row r="1" spans="1:12" ht="48" customHeight="1" x14ac:dyDescent="0.25">
      <c r="A1" s="61" t="s">
        <v>660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7.95" customHeight="1" x14ac:dyDescent="0.25">
      <c r="A2" s="54" t="s">
        <v>661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30" customHeight="1" x14ac:dyDescent="0.25">
      <c r="A4" s="62" t="s">
        <v>662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ht="36" customHeight="1" x14ac:dyDescent="0.25">
      <c r="A5" s="1" t="s">
        <v>663</v>
      </c>
      <c r="B5" s="1" t="s">
        <v>8</v>
      </c>
      <c r="C5" s="1" t="s">
        <v>664</v>
      </c>
      <c r="D5" s="1" t="s">
        <v>10</v>
      </c>
      <c r="E5" s="1" t="s">
        <v>665</v>
      </c>
      <c r="F5" s="1" t="s">
        <v>666</v>
      </c>
      <c r="G5" s="1" t="s">
        <v>667</v>
      </c>
      <c r="H5" s="1" t="s">
        <v>668</v>
      </c>
      <c r="I5" s="1" t="s">
        <v>669</v>
      </c>
      <c r="J5" s="1" t="s">
        <v>670</v>
      </c>
      <c r="K5" s="1" t="s">
        <v>378</v>
      </c>
      <c r="L5" s="1" t="s">
        <v>671</v>
      </c>
    </row>
    <row r="6" spans="1:12" x14ac:dyDescent="0.25">
      <c r="A6" s="2" t="s">
        <v>672</v>
      </c>
      <c r="B6" s="2" t="s">
        <v>673</v>
      </c>
      <c r="C6" s="2" t="s">
        <v>674</v>
      </c>
      <c r="D6" s="2" t="s">
        <v>675</v>
      </c>
      <c r="E6" s="2">
        <v>95</v>
      </c>
      <c r="F6" s="26">
        <f>IFERROR(COUNTIF('3_CONTROLES'!K$5:K$5000,"Conforme")/COUNTIFS('3_CONTROLES'!K$5:K$5000,"&lt;&gt;En attente")*100,0)</f>
        <v>0.18018018018018017</v>
      </c>
      <c r="G6" s="27">
        <f t="shared" ref="G6:G15" si="0">IFERROR(IF(D6="%",IF(E6&gt;F6,F6/E6,(100-F6)/(100-E6)),F6/E6),"-")</f>
        <v>1.896633475580844E-3</v>
      </c>
      <c r="H6" s="2"/>
      <c r="I6" s="2" t="s">
        <v>676</v>
      </c>
      <c r="J6" s="2" t="s">
        <v>677</v>
      </c>
      <c r="K6" s="2" t="s">
        <v>678</v>
      </c>
      <c r="L6" s="2" t="s">
        <v>679</v>
      </c>
    </row>
    <row r="7" spans="1:12" x14ac:dyDescent="0.25">
      <c r="A7" s="3" t="s">
        <v>680</v>
      </c>
      <c r="B7" s="3" t="s">
        <v>462</v>
      </c>
      <c r="C7" s="3" t="s">
        <v>674</v>
      </c>
      <c r="D7" s="3" t="s">
        <v>681</v>
      </c>
      <c r="E7" s="3">
        <v>92</v>
      </c>
      <c r="F7" s="28">
        <f>IFERROR(AVERAGEIF('3_CONTROLES'!L$5:L$5000,"&gt;0"),0)</f>
        <v>87.92307692307692</v>
      </c>
      <c r="G7" s="29">
        <f t="shared" si="0"/>
        <v>0.95568561872909696</v>
      </c>
      <c r="H7" s="3"/>
      <c r="I7" s="3" t="s">
        <v>676</v>
      </c>
      <c r="J7" s="3" t="s">
        <v>677</v>
      </c>
      <c r="K7" s="3" t="s">
        <v>678</v>
      </c>
      <c r="L7" s="3" t="s">
        <v>682</v>
      </c>
    </row>
    <row r="8" spans="1:12" x14ac:dyDescent="0.25">
      <c r="A8" s="2" t="s">
        <v>683</v>
      </c>
      <c r="B8" s="2" t="s">
        <v>684</v>
      </c>
      <c r="C8" s="2" t="s">
        <v>685</v>
      </c>
      <c r="D8" s="2" t="s">
        <v>675</v>
      </c>
      <c r="E8" s="2">
        <v>0</v>
      </c>
      <c r="F8" s="26">
        <f>IFERROR(COUNTIF('4_DEFAUTS'!H$5:H$5000,"Critique")/COUNTA('4_DEFAUTS'!A$5:A$5000)*100,0)</f>
        <v>22.222222222222221</v>
      </c>
      <c r="G8" s="27">
        <f t="shared" si="0"/>
        <v>0.77777777777777768</v>
      </c>
      <c r="H8" s="2"/>
      <c r="I8" s="2" t="s">
        <v>686</v>
      </c>
      <c r="J8" s="2" t="s">
        <v>687</v>
      </c>
      <c r="K8" s="2" t="s">
        <v>678</v>
      </c>
      <c r="L8" s="2" t="s">
        <v>688</v>
      </c>
    </row>
    <row r="9" spans="1:12" x14ac:dyDescent="0.25">
      <c r="A9" s="3" t="s">
        <v>689</v>
      </c>
      <c r="B9" s="3" t="s">
        <v>690</v>
      </c>
      <c r="C9" s="3" t="s">
        <v>691</v>
      </c>
      <c r="D9" s="3" t="s">
        <v>692</v>
      </c>
      <c r="E9" s="3">
        <v>5000</v>
      </c>
      <c r="F9" s="30">
        <f>IFERROR(SUM('4_DEFAUTS'!M$5:M$5000),0)</f>
        <v>17260</v>
      </c>
      <c r="G9" s="29">
        <f t="shared" si="0"/>
        <v>3.452</v>
      </c>
      <c r="H9" s="3"/>
      <c r="I9" s="3" t="s">
        <v>686</v>
      </c>
      <c r="J9" s="3" t="s">
        <v>677</v>
      </c>
      <c r="K9" s="3" t="s">
        <v>693</v>
      </c>
      <c r="L9" s="3" t="s">
        <v>694</v>
      </c>
    </row>
    <row r="10" spans="1:12" x14ac:dyDescent="0.25">
      <c r="A10" s="2" t="s">
        <v>695</v>
      </c>
      <c r="B10" s="2" t="s">
        <v>696</v>
      </c>
      <c r="C10" s="2" t="s">
        <v>697</v>
      </c>
      <c r="D10" s="2" t="s">
        <v>675</v>
      </c>
      <c r="E10" s="2">
        <v>0.5</v>
      </c>
      <c r="F10" s="26"/>
      <c r="G10" s="27">
        <f t="shared" si="0"/>
        <v>0</v>
      </c>
      <c r="H10" s="2"/>
      <c r="I10" s="2" t="s">
        <v>698</v>
      </c>
      <c r="J10" s="2" t="s">
        <v>677</v>
      </c>
      <c r="K10" s="2" t="s">
        <v>699</v>
      </c>
      <c r="L10" s="2" t="s">
        <v>700</v>
      </c>
    </row>
    <row r="11" spans="1:12" x14ac:dyDescent="0.25">
      <c r="A11" s="3" t="s">
        <v>701</v>
      </c>
      <c r="B11" s="3" t="s">
        <v>702</v>
      </c>
      <c r="C11" s="3" t="s">
        <v>703</v>
      </c>
      <c r="D11" s="3" t="s">
        <v>12</v>
      </c>
      <c r="E11" s="3">
        <f>COUNTA('6_ARTISANS'!A$5:A$5000)</f>
        <v>11</v>
      </c>
      <c r="F11" s="28">
        <f>COUNTIF('6_ARTISANS'!H$5:H$5000,"Maitre*")</f>
        <v>3</v>
      </c>
      <c r="G11" s="29">
        <f t="shared" si="0"/>
        <v>0.27272727272727271</v>
      </c>
      <c r="H11" s="3"/>
      <c r="I11" s="3" t="s">
        <v>704</v>
      </c>
      <c r="J11" s="3" t="s">
        <v>705</v>
      </c>
      <c r="K11" s="3" t="s">
        <v>706</v>
      </c>
      <c r="L11" s="3" t="s">
        <v>707</v>
      </c>
    </row>
    <row r="12" spans="1:12" x14ac:dyDescent="0.25">
      <c r="A12" s="2" t="s">
        <v>708</v>
      </c>
      <c r="B12" s="2" t="s">
        <v>709</v>
      </c>
      <c r="C12" s="2" t="s">
        <v>710</v>
      </c>
      <c r="D12" s="2" t="s">
        <v>711</v>
      </c>
      <c r="E12" s="2">
        <v>40</v>
      </c>
      <c r="F12" s="26">
        <f>IFERROR(AVERAGE('6_ARTISANS'!M$5:M$5000),0)</f>
        <v>30.8</v>
      </c>
      <c r="G12" s="27">
        <f t="shared" si="0"/>
        <v>0.77</v>
      </c>
      <c r="H12" s="2"/>
      <c r="I12" s="2" t="s">
        <v>704</v>
      </c>
      <c r="J12" s="2" t="s">
        <v>712</v>
      </c>
      <c r="K12" s="2" t="s">
        <v>713</v>
      </c>
      <c r="L12" s="2" t="s">
        <v>714</v>
      </c>
    </row>
    <row r="13" spans="1:12" x14ac:dyDescent="0.25">
      <c r="A13" s="3" t="s">
        <v>715</v>
      </c>
      <c r="B13" s="3" t="s">
        <v>716</v>
      </c>
      <c r="C13" s="3" t="s">
        <v>717</v>
      </c>
      <c r="D13" s="3" t="s">
        <v>675</v>
      </c>
      <c r="E13" s="3">
        <v>100</v>
      </c>
      <c r="F13" s="28">
        <f>IFERROR(COUNTIF('5_ATELIERS'!M$5:M$5000,"Actif")/COUNTA('5_ATELIERS'!A$5:A$5000)*100,0)</f>
        <v>87.5</v>
      </c>
      <c r="G13" s="29">
        <f t="shared" si="0"/>
        <v>0.875</v>
      </c>
      <c r="H13" s="3"/>
      <c r="I13" s="3" t="s">
        <v>718</v>
      </c>
      <c r="J13" s="3" t="s">
        <v>705</v>
      </c>
      <c r="K13" s="3" t="s">
        <v>678</v>
      </c>
      <c r="L13" s="3" t="s">
        <v>719</v>
      </c>
    </row>
    <row r="14" spans="1:12" x14ac:dyDescent="0.25">
      <c r="A14" s="2" t="s">
        <v>720</v>
      </c>
      <c r="B14" s="2" t="s">
        <v>721</v>
      </c>
      <c r="C14" s="2" t="s">
        <v>722</v>
      </c>
      <c r="D14" s="2" t="s">
        <v>723</v>
      </c>
      <c r="E14" s="2">
        <v>3</v>
      </c>
      <c r="F14" s="26">
        <v>2.5</v>
      </c>
      <c r="G14" s="27">
        <f t="shared" si="0"/>
        <v>0.83333333333333337</v>
      </c>
      <c r="H14" s="2"/>
      <c r="I14" s="2" t="s">
        <v>686</v>
      </c>
      <c r="J14" s="2" t="s">
        <v>677</v>
      </c>
      <c r="K14" s="2" t="s">
        <v>678</v>
      </c>
      <c r="L14" s="2" t="s">
        <v>724</v>
      </c>
    </row>
    <row r="15" spans="1:12" ht="24" x14ac:dyDescent="0.25">
      <c r="A15" s="3" t="s">
        <v>725</v>
      </c>
      <c r="B15" s="3" t="s">
        <v>726</v>
      </c>
      <c r="C15" s="3" t="s">
        <v>727</v>
      </c>
      <c r="D15" s="3" t="s">
        <v>675</v>
      </c>
      <c r="E15" s="3">
        <v>80</v>
      </c>
      <c r="F15" s="28">
        <f>IFERROR(COUNTIF('4_DEFAUTS'!O$5:O$5000,"Resolu")/COUNTA('4_DEFAUTS'!A$5:A$5000)*100,0)</f>
        <v>66.666666666666657</v>
      </c>
      <c r="G15" s="29">
        <f t="shared" si="0"/>
        <v>0.83333333333333326</v>
      </c>
      <c r="H15" s="3"/>
      <c r="I15" s="3" t="s">
        <v>686</v>
      </c>
      <c r="J15" s="3" t="s">
        <v>677</v>
      </c>
      <c r="K15" s="3" t="s">
        <v>728</v>
      </c>
      <c r="L15" s="3" t="s">
        <v>729</v>
      </c>
    </row>
    <row r="19" spans="1:12" ht="30" customHeight="1" x14ac:dyDescent="0.25">
      <c r="A19" s="62" t="s">
        <v>730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</row>
    <row r="20" spans="1:12" ht="36" customHeight="1" x14ac:dyDescent="0.25">
      <c r="A20" s="1" t="s">
        <v>731</v>
      </c>
      <c r="B20" s="1" t="s">
        <v>732</v>
      </c>
      <c r="C20" s="1" t="s">
        <v>733</v>
      </c>
      <c r="D20" s="1" t="s">
        <v>734</v>
      </c>
      <c r="E20" s="1" t="s">
        <v>735</v>
      </c>
      <c r="F20" s="1" t="s">
        <v>736</v>
      </c>
      <c r="G20" s="1" t="s">
        <v>737</v>
      </c>
      <c r="H20" s="1" t="s">
        <v>738</v>
      </c>
      <c r="I20" s="1" t="s">
        <v>739</v>
      </c>
      <c r="J20" s="1" t="s">
        <v>740</v>
      </c>
      <c r="K20" s="1" t="s">
        <v>741</v>
      </c>
      <c r="L20" s="1" t="s">
        <v>467</v>
      </c>
    </row>
    <row r="21" spans="1:12" ht="36" x14ac:dyDescent="0.25">
      <c r="A21" s="2" t="s">
        <v>742</v>
      </c>
      <c r="B21" s="2" t="s">
        <v>743</v>
      </c>
      <c r="C21" s="31">
        <v>220000</v>
      </c>
      <c r="D21" s="31">
        <f>IFERROR(C21*0.3,0)</f>
        <v>66000</v>
      </c>
      <c r="E21" s="32">
        <f t="shared" ref="E21:E26" si="1">C21-D21</f>
        <v>154000</v>
      </c>
      <c r="F21" s="33">
        <f t="shared" ref="F21:F27" si="2">IFERROR(E21/C21,0)</f>
        <v>0.7</v>
      </c>
      <c r="G21" s="2">
        <v>360</v>
      </c>
      <c r="H21" s="2">
        <f>IFERROR(G21*0.3,0)</f>
        <v>108</v>
      </c>
      <c r="I21" s="34">
        <f t="shared" ref="I21:I26" si="3">G21-H21</f>
        <v>252</v>
      </c>
      <c r="J21" s="35">
        <f t="shared" ref="J21:J26" si="4">IFERROR(I21/151.67,0)</f>
        <v>1.6615019450121977</v>
      </c>
      <c r="K21" s="2" t="s">
        <v>744</v>
      </c>
      <c r="L21" s="2" t="s">
        <v>745</v>
      </c>
    </row>
    <row r="22" spans="1:12" ht="36" x14ac:dyDescent="0.25">
      <c r="A22" s="3" t="s">
        <v>746</v>
      </c>
      <c r="B22" s="3" t="s">
        <v>747</v>
      </c>
      <c r="C22" s="36">
        <v>85000</v>
      </c>
      <c r="D22" s="36">
        <f>IFERROR(C22*0.3,0)</f>
        <v>25500</v>
      </c>
      <c r="E22" s="37">
        <f t="shared" si="1"/>
        <v>59500</v>
      </c>
      <c r="F22" s="38">
        <f t="shared" si="2"/>
        <v>0.7</v>
      </c>
      <c r="G22" s="3">
        <v>140</v>
      </c>
      <c r="H22" s="3">
        <f>IFERROR(G22*0.3,0)</f>
        <v>42</v>
      </c>
      <c r="I22" s="39">
        <f t="shared" si="3"/>
        <v>98</v>
      </c>
      <c r="J22" s="40">
        <f t="shared" si="4"/>
        <v>0.64613964528252132</v>
      </c>
      <c r="K22" s="3" t="s">
        <v>748</v>
      </c>
      <c r="L22" s="3" t="s">
        <v>749</v>
      </c>
    </row>
    <row r="23" spans="1:12" ht="48" x14ac:dyDescent="0.25">
      <c r="A23" s="2" t="s">
        <v>750</v>
      </c>
      <c r="B23" s="2" t="s">
        <v>751</v>
      </c>
      <c r="C23" s="31">
        <v>130000</v>
      </c>
      <c r="D23" s="31">
        <f>IFERROR(C23*0.3,0)</f>
        <v>39000</v>
      </c>
      <c r="E23" s="32">
        <f t="shared" si="1"/>
        <v>91000</v>
      </c>
      <c r="F23" s="33">
        <f t="shared" si="2"/>
        <v>0.7</v>
      </c>
      <c r="G23" s="2">
        <v>180</v>
      </c>
      <c r="H23" s="2">
        <f>IFERROR(G23*0.3,0)</f>
        <v>54</v>
      </c>
      <c r="I23" s="34">
        <f t="shared" si="3"/>
        <v>126</v>
      </c>
      <c r="J23" s="35">
        <f t="shared" si="4"/>
        <v>0.83075097250609886</v>
      </c>
      <c r="K23" s="2" t="s">
        <v>748</v>
      </c>
      <c r="L23" s="2" t="s">
        <v>752</v>
      </c>
    </row>
    <row r="24" spans="1:12" ht="36" x14ac:dyDescent="0.25">
      <c r="A24" s="3" t="s">
        <v>753</v>
      </c>
      <c r="B24" s="3" t="s">
        <v>754</v>
      </c>
      <c r="C24" s="36">
        <v>60000</v>
      </c>
      <c r="D24" s="36">
        <f>IFERROR(C24*0.3,0)</f>
        <v>18000</v>
      </c>
      <c r="E24" s="37">
        <f t="shared" si="1"/>
        <v>42000</v>
      </c>
      <c r="F24" s="38">
        <f t="shared" si="2"/>
        <v>0.7</v>
      </c>
      <c r="G24" s="3">
        <v>80</v>
      </c>
      <c r="H24" s="3">
        <f>IFERROR(G24*0.3,0)</f>
        <v>24</v>
      </c>
      <c r="I24" s="39">
        <f t="shared" si="3"/>
        <v>56</v>
      </c>
      <c r="J24" s="40">
        <f t="shared" si="4"/>
        <v>0.36922265444715502</v>
      </c>
      <c r="K24" s="3" t="s">
        <v>755</v>
      </c>
      <c r="L24" s="3" t="s">
        <v>756</v>
      </c>
    </row>
    <row r="25" spans="1:12" ht="48" x14ac:dyDescent="0.25">
      <c r="A25" s="2" t="s">
        <v>757</v>
      </c>
      <c r="B25" s="2" t="s">
        <v>758</v>
      </c>
      <c r="C25" s="31">
        <v>350000</v>
      </c>
      <c r="D25" s="31">
        <f>IFERROR(C25*0.3,0)</f>
        <v>105000</v>
      </c>
      <c r="E25" s="32">
        <f t="shared" si="1"/>
        <v>245000</v>
      </c>
      <c r="F25" s="33">
        <f t="shared" si="2"/>
        <v>0.7</v>
      </c>
      <c r="G25" s="2">
        <v>0</v>
      </c>
      <c r="H25" s="2">
        <v>0</v>
      </c>
      <c r="I25" s="34">
        <f t="shared" si="3"/>
        <v>0</v>
      </c>
      <c r="J25" s="35">
        <f t="shared" si="4"/>
        <v>0</v>
      </c>
      <c r="K25" s="2" t="s">
        <v>759</v>
      </c>
      <c r="L25" s="2" t="s">
        <v>760</v>
      </c>
    </row>
    <row r="26" spans="1:12" ht="24" x14ac:dyDescent="0.25">
      <c r="A26" s="3" t="s">
        <v>761</v>
      </c>
      <c r="B26" s="3" t="s">
        <v>762</v>
      </c>
      <c r="C26" s="36">
        <v>0</v>
      </c>
      <c r="D26" s="36">
        <v>75000</v>
      </c>
      <c r="E26" s="37">
        <f t="shared" si="1"/>
        <v>-75000</v>
      </c>
      <c r="F26" s="38">
        <f t="shared" si="2"/>
        <v>0</v>
      </c>
      <c r="G26" s="3">
        <v>0</v>
      </c>
      <c r="H26" s="3">
        <v>30</v>
      </c>
      <c r="I26" s="39">
        <f t="shared" si="3"/>
        <v>-30</v>
      </c>
      <c r="J26" s="40">
        <f t="shared" si="4"/>
        <v>-0.19779785059669019</v>
      </c>
      <c r="K26" s="3" t="s">
        <v>763</v>
      </c>
      <c r="L26" s="3" t="s">
        <v>764</v>
      </c>
    </row>
    <row r="27" spans="1:12" x14ac:dyDescent="0.25">
      <c r="A27" s="4" t="s">
        <v>765</v>
      </c>
      <c r="B27" s="4"/>
      <c r="C27" s="41">
        <f>SUM(C21:C26)</f>
        <v>845000</v>
      </c>
      <c r="D27" s="41">
        <f>SUM(D21:D26)</f>
        <v>328500</v>
      </c>
      <c r="E27" s="41">
        <f>SUM(E21:E26)</f>
        <v>516500</v>
      </c>
      <c r="F27" s="42">
        <f t="shared" si="2"/>
        <v>0.6112426035502958</v>
      </c>
      <c r="G27" s="5">
        <f>SUM(G21:G26)</f>
        <v>760</v>
      </c>
      <c r="H27" s="5">
        <f>SUM(H21:H26)</f>
        <v>258</v>
      </c>
      <c r="I27" s="5">
        <f>SUM(I21:I26)</f>
        <v>502</v>
      </c>
      <c r="J27" s="43">
        <f>SUM(J21:J26)</f>
        <v>3.3098173666512825</v>
      </c>
      <c r="K27" s="4"/>
      <c r="L27" s="4"/>
    </row>
    <row r="30" spans="1:12" ht="30" customHeight="1" x14ac:dyDescent="0.25">
      <c r="A30" s="70" t="s">
        <v>766</v>
      </c>
      <c r="B30" s="52"/>
      <c r="C30" s="52"/>
      <c r="D30" s="52"/>
      <c r="E30" s="52"/>
      <c r="F30" s="52"/>
    </row>
    <row r="31" spans="1:12" x14ac:dyDescent="0.25">
      <c r="A31" s="64" t="s">
        <v>767</v>
      </c>
      <c r="B31" s="65"/>
      <c r="C31" s="66"/>
      <c r="D31" s="67">
        <f>E27</f>
        <v>516500</v>
      </c>
      <c r="E31" s="65"/>
      <c r="F31" s="66"/>
    </row>
    <row r="32" spans="1:12" x14ac:dyDescent="0.25">
      <c r="A32" s="64" t="s">
        <v>768</v>
      </c>
      <c r="B32" s="65"/>
      <c r="C32" s="66"/>
      <c r="D32" s="68">
        <f>IFERROR(E27/D27,0)</f>
        <v>1.5722983257229832</v>
      </c>
      <c r="E32" s="65"/>
      <c r="F32" s="66"/>
    </row>
    <row r="33" spans="1:6" x14ac:dyDescent="0.25">
      <c r="A33" s="64" t="s">
        <v>769</v>
      </c>
      <c r="B33" s="65"/>
      <c r="C33" s="66"/>
      <c r="D33" s="71">
        <f>I27</f>
        <v>502</v>
      </c>
      <c r="E33" s="65"/>
      <c r="F33" s="66"/>
    </row>
    <row r="34" spans="1:6" x14ac:dyDescent="0.25">
      <c r="A34" s="64" t="s">
        <v>740</v>
      </c>
      <c r="B34" s="65"/>
      <c r="C34" s="66"/>
      <c r="D34" s="72">
        <f>J27</f>
        <v>3.3098173666512825</v>
      </c>
      <c r="E34" s="65"/>
      <c r="F34" s="66"/>
    </row>
    <row r="35" spans="1:6" x14ac:dyDescent="0.25">
      <c r="A35" s="64" t="s">
        <v>770</v>
      </c>
      <c r="B35" s="65"/>
      <c r="C35" s="66"/>
      <c r="D35" s="69">
        <f>IFERROR(D27/(E27/12),0)</f>
        <v>7.6321393998063893</v>
      </c>
      <c r="E35" s="65"/>
      <c r="F35" s="66"/>
    </row>
  </sheetData>
  <mergeCells count="15">
    <mergeCell ref="A1:L1"/>
    <mergeCell ref="D32:F32"/>
    <mergeCell ref="D35:F35"/>
    <mergeCell ref="A34:C34"/>
    <mergeCell ref="A35:C35"/>
    <mergeCell ref="A30:F30"/>
    <mergeCell ref="D33:F33"/>
    <mergeCell ref="D34:F34"/>
    <mergeCell ref="A4:L4"/>
    <mergeCell ref="A2:L2"/>
    <mergeCell ref="A33:C33"/>
    <mergeCell ref="A19:L19"/>
    <mergeCell ref="A32:C32"/>
    <mergeCell ref="D31:F31"/>
    <mergeCell ref="A31:C31"/>
  </mergeCells>
  <conditionalFormatting sqref="G6:G15">
    <cfRule type="cellIs" dxfId="34" priority="1" operator="greaterThanOrEqual">
      <formula>0.9</formula>
    </cfRule>
    <cfRule type="cellIs" dxfId="33" priority="2" operator="between">
      <formula>0.7</formula>
      <formula>0.899</formula>
    </cfRule>
    <cfRule type="cellIs" dxfId="32" priority="3" operator="lessThan">
      <formula>0.7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62828"/>
  </sheetPr>
  <dimension ref="A1:N17"/>
  <sheetViews>
    <sheetView showGridLines="0" workbookViewId="0">
      <pane ySplit="4" topLeftCell="A5" activePane="bottomLeft" state="frozen"/>
      <selection pane="bottomLeft" activeCell="E13" sqref="E13:F13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8" customWidth="1"/>
    <col min="4" max="4" width="22" customWidth="1"/>
    <col min="5" max="5" width="12" customWidth="1"/>
    <col min="6" max="6" width="14" customWidth="1"/>
    <col min="7" max="7" width="22" customWidth="1"/>
    <col min="8" max="8" width="40" customWidth="1"/>
    <col min="9" max="9" width="32" customWidth="1"/>
    <col min="10" max="10" width="36" customWidth="1"/>
    <col min="11" max="11" width="20" customWidth="1"/>
    <col min="12" max="12" width="10" customWidth="1"/>
    <col min="13" max="14" width="12" customWidth="1"/>
  </cols>
  <sheetData>
    <row r="1" spans="1:14" ht="48" customHeight="1" x14ac:dyDescent="0.25">
      <c r="A1" s="61" t="s">
        <v>771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7.95" customHeight="1" x14ac:dyDescent="0.25">
      <c r="A2" s="54" t="s">
        <v>772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30" customHeight="1" x14ac:dyDescent="0.25">
      <c r="A3" s="62" t="s">
        <v>773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36" customHeight="1" x14ac:dyDescent="0.25">
      <c r="A4" s="1" t="s">
        <v>774</v>
      </c>
      <c r="B4" s="1" t="s">
        <v>215</v>
      </c>
      <c r="C4" s="1" t="s">
        <v>216</v>
      </c>
      <c r="D4" s="1" t="s">
        <v>775</v>
      </c>
      <c r="E4" s="1" t="s">
        <v>776</v>
      </c>
      <c r="F4" s="1" t="s">
        <v>32</v>
      </c>
      <c r="G4" s="1" t="s">
        <v>777</v>
      </c>
      <c r="H4" s="1" t="s">
        <v>732</v>
      </c>
      <c r="I4" s="1" t="s">
        <v>778</v>
      </c>
      <c r="J4" s="1" t="s">
        <v>779</v>
      </c>
      <c r="K4" s="1" t="s">
        <v>378</v>
      </c>
      <c r="L4" s="1" t="s">
        <v>780</v>
      </c>
      <c r="M4" s="1" t="s">
        <v>379</v>
      </c>
      <c r="N4" s="1" t="s">
        <v>380</v>
      </c>
    </row>
    <row r="5" spans="1:14" ht="36" x14ac:dyDescent="0.25">
      <c r="A5" s="2" t="s">
        <v>781</v>
      </c>
      <c r="B5" s="2" t="s">
        <v>250</v>
      </c>
      <c r="C5" s="2" t="s">
        <v>782</v>
      </c>
      <c r="D5" s="2" t="s">
        <v>783</v>
      </c>
      <c r="E5" s="2" t="s">
        <v>72</v>
      </c>
      <c r="F5" s="2" t="s">
        <v>45</v>
      </c>
      <c r="G5" s="2" t="s">
        <v>252</v>
      </c>
      <c r="H5" s="2" t="s">
        <v>784</v>
      </c>
      <c r="I5" s="2" t="s">
        <v>785</v>
      </c>
      <c r="J5" s="2" t="s">
        <v>786</v>
      </c>
      <c r="K5" s="2" t="s">
        <v>239</v>
      </c>
      <c r="L5" s="2">
        <v>5</v>
      </c>
      <c r="M5" s="2" t="s">
        <v>390</v>
      </c>
      <c r="N5" s="2" t="s">
        <v>307</v>
      </c>
    </row>
    <row r="6" spans="1:14" ht="36" x14ac:dyDescent="0.25">
      <c r="A6" s="3" t="s">
        <v>787</v>
      </c>
      <c r="B6" s="3" t="s">
        <v>307</v>
      </c>
      <c r="C6" s="3" t="s">
        <v>788</v>
      </c>
      <c r="D6" s="3" t="s">
        <v>789</v>
      </c>
      <c r="E6" s="3" t="s">
        <v>52</v>
      </c>
      <c r="F6" s="3" t="s">
        <v>157</v>
      </c>
      <c r="G6" s="3" t="s">
        <v>790</v>
      </c>
      <c r="H6" s="3" t="s">
        <v>791</v>
      </c>
      <c r="I6" s="3" t="s">
        <v>792</v>
      </c>
      <c r="J6" s="3" t="s">
        <v>793</v>
      </c>
      <c r="K6" s="3" t="s">
        <v>431</v>
      </c>
      <c r="L6" s="3">
        <v>10</v>
      </c>
      <c r="M6" s="3" t="s">
        <v>424</v>
      </c>
      <c r="N6" s="3"/>
    </row>
    <row r="7" spans="1:14" ht="36" x14ac:dyDescent="0.25">
      <c r="A7" s="2" t="s">
        <v>794</v>
      </c>
      <c r="B7" s="2" t="s">
        <v>270</v>
      </c>
      <c r="C7" s="2" t="s">
        <v>795</v>
      </c>
      <c r="D7" s="2" t="s">
        <v>796</v>
      </c>
      <c r="E7" s="2" t="s">
        <v>183</v>
      </c>
      <c r="F7" s="2" t="s">
        <v>96</v>
      </c>
      <c r="G7" s="2" t="s">
        <v>272</v>
      </c>
      <c r="H7" s="2" t="s">
        <v>797</v>
      </c>
      <c r="I7" s="2" t="s">
        <v>798</v>
      </c>
      <c r="J7" s="2" t="s">
        <v>799</v>
      </c>
      <c r="K7" s="2" t="s">
        <v>267</v>
      </c>
      <c r="L7" s="2">
        <v>7</v>
      </c>
      <c r="M7" s="2" t="s">
        <v>390</v>
      </c>
      <c r="N7" s="2" t="s">
        <v>325</v>
      </c>
    </row>
    <row r="8" spans="1:14" ht="36" x14ac:dyDescent="0.25">
      <c r="A8" s="3" t="s">
        <v>800</v>
      </c>
      <c r="B8" s="3" t="s">
        <v>341</v>
      </c>
      <c r="C8" s="3" t="s">
        <v>271</v>
      </c>
      <c r="D8" s="3" t="s">
        <v>801</v>
      </c>
      <c r="E8" s="3" t="s">
        <v>72</v>
      </c>
      <c r="F8" s="3" t="s">
        <v>157</v>
      </c>
      <c r="G8" s="3" t="s">
        <v>802</v>
      </c>
      <c r="H8" s="3" t="s">
        <v>803</v>
      </c>
      <c r="I8" s="3" t="s">
        <v>804</v>
      </c>
      <c r="J8" s="3" t="s">
        <v>805</v>
      </c>
      <c r="K8" s="3" t="s">
        <v>806</v>
      </c>
      <c r="L8" s="3">
        <v>5</v>
      </c>
      <c r="M8" s="3" t="s">
        <v>424</v>
      </c>
      <c r="N8" s="3"/>
    </row>
    <row r="9" spans="1:14" ht="36" x14ac:dyDescent="0.25">
      <c r="A9" s="2" t="s">
        <v>807</v>
      </c>
      <c r="B9" s="2" t="s">
        <v>341</v>
      </c>
      <c r="C9" s="2" t="s">
        <v>261</v>
      </c>
      <c r="D9" s="2" t="s">
        <v>808</v>
      </c>
      <c r="E9" s="2" t="s">
        <v>183</v>
      </c>
      <c r="F9" s="2" t="s">
        <v>157</v>
      </c>
      <c r="G9" s="2" t="s">
        <v>809</v>
      </c>
      <c r="H9" s="2" t="s">
        <v>810</v>
      </c>
      <c r="I9" s="2" t="s">
        <v>811</v>
      </c>
      <c r="J9" s="2" t="s">
        <v>812</v>
      </c>
      <c r="K9" s="2" t="s">
        <v>813</v>
      </c>
      <c r="L9" s="2">
        <v>15</v>
      </c>
      <c r="M9" s="2" t="s">
        <v>424</v>
      </c>
      <c r="N9" s="2"/>
    </row>
    <row r="10" spans="1:14" ht="36" x14ac:dyDescent="0.25">
      <c r="A10" s="3" t="s">
        <v>814</v>
      </c>
      <c r="B10" s="3" t="s">
        <v>351</v>
      </c>
      <c r="C10" s="3" t="s">
        <v>242</v>
      </c>
      <c r="D10" s="3" t="s">
        <v>815</v>
      </c>
      <c r="E10" s="3" t="s">
        <v>816</v>
      </c>
      <c r="F10" s="3" t="s">
        <v>126</v>
      </c>
      <c r="G10" s="3" t="s">
        <v>353</v>
      </c>
      <c r="H10" s="3" t="s">
        <v>817</v>
      </c>
      <c r="I10" s="3" t="s">
        <v>818</v>
      </c>
      <c r="J10" s="3" t="s">
        <v>819</v>
      </c>
      <c r="K10" s="3" t="s">
        <v>286</v>
      </c>
      <c r="L10" s="3">
        <v>30</v>
      </c>
      <c r="M10" s="3" t="s">
        <v>820</v>
      </c>
      <c r="N10" s="3"/>
    </row>
    <row r="12" spans="1:14" ht="30" customHeight="1" x14ac:dyDescent="0.25">
      <c r="A12" s="62" t="s">
        <v>821</v>
      </c>
      <c r="B12" s="52"/>
      <c r="C12" s="52"/>
      <c r="D12" s="52"/>
      <c r="E12" s="52"/>
      <c r="F12" s="52"/>
      <c r="G12" s="52"/>
      <c r="H12" s="52"/>
    </row>
    <row r="13" spans="1:14" x14ac:dyDescent="0.25">
      <c r="A13" s="64" t="s">
        <v>822</v>
      </c>
      <c r="B13" s="52"/>
      <c r="C13" s="52"/>
      <c r="D13" s="52"/>
      <c r="E13" s="73">
        <f>COUNTIFS(E5:E10,"CRITIQUE",M5:M10,"&lt;&gt;Resolu")</f>
        <v>1</v>
      </c>
      <c r="F13" s="52"/>
    </row>
    <row r="14" spans="1:14" x14ac:dyDescent="0.25">
      <c r="A14" s="64" t="s">
        <v>823</v>
      </c>
      <c r="B14" s="52"/>
      <c r="C14" s="52"/>
      <c r="D14" s="52"/>
      <c r="E14" s="73">
        <f>COUNTIFS(E5:E10,"ELEVE",M5:M10,"&lt;&gt;Resolu")</f>
        <v>1</v>
      </c>
      <c r="F14" s="52"/>
    </row>
    <row r="15" spans="1:14" x14ac:dyDescent="0.25">
      <c r="A15" s="64" t="s">
        <v>824</v>
      </c>
      <c r="B15" s="52"/>
      <c r="C15" s="52"/>
      <c r="D15" s="52"/>
      <c r="E15" s="73">
        <f>COUNTIFS(E5:E10,"MOYEN",M5:M10,"&lt;&gt;Resolu")</f>
        <v>1</v>
      </c>
      <c r="F15" s="52"/>
    </row>
    <row r="16" spans="1:14" x14ac:dyDescent="0.25">
      <c r="A16" s="64" t="s">
        <v>825</v>
      </c>
      <c r="B16" s="52"/>
      <c r="C16" s="52"/>
      <c r="D16" s="52"/>
      <c r="E16" s="73">
        <f>COUNTIF(M5:M10,"Resolu")</f>
        <v>2</v>
      </c>
      <c r="F16" s="52"/>
    </row>
    <row r="17" spans="1:6" x14ac:dyDescent="0.25">
      <c r="A17" s="64" t="s">
        <v>826</v>
      </c>
      <c r="B17" s="52"/>
      <c r="C17" s="52"/>
      <c r="D17" s="52"/>
      <c r="E17" s="73">
        <f>COUNTIF(M5:M10,"&lt;&gt;Resolu")</f>
        <v>4</v>
      </c>
      <c r="F17" s="52"/>
    </row>
  </sheetData>
  <autoFilter ref="A4:N10" xr:uid="{00000000-0009-0000-0000-000008000000}"/>
  <mergeCells count="14">
    <mergeCell ref="A1:N1"/>
    <mergeCell ref="A2:N2"/>
    <mergeCell ref="A15:D15"/>
    <mergeCell ref="E13:F13"/>
    <mergeCell ref="E14:F14"/>
    <mergeCell ref="A16:D16"/>
    <mergeCell ref="A13:D13"/>
    <mergeCell ref="A14:D14"/>
    <mergeCell ref="A12:H12"/>
    <mergeCell ref="A17:D17"/>
    <mergeCell ref="A3:N3"/>
    <mergeCell ref="E16:F16"/>
    <mergeCell ref="E15:F15"/>
    <mergeCell ref="E17:F17"/>
  </mergeCells>
  <conditionalFormatting sqref="E5:E10">
    <cfRule type="cellIs" dxfId="31" priority="15" operator="equal">
      <formula>"CRITIQUE"</formula>
    </cfRule>
    <cfRule type="cellIs" dxfId="30" priority="16" operator="equal">
      <formula>"ELEVE"</formula>
    </cfRule>
    <cfRule type="cellIs" dxfId="29" priority="17" operator="equal">
      <formula>"MOYEN"</formula>
    </cfRule>
    <cfRule type="cellIs" dxfId="28" priority="18" operator="equal">
      <formula>"INFO"</formula>
    </cfRule>
  </conditionalFormatting>
  <conditionalFormatting sqref="M5:M10">
    <cfRule type="cellIs" dxfId="27" priority="1" operator="equal">
      <formula>"Conforme"</formula>
    </cfRule>
    <cfRule type="cellIs" dxfId="26" priority="2" operator="equal">
      <formula>"Valide"</formula>
    </cfRule>
    <cfRule type="cellIs" dxfId="25" priority="3" operator="equal">
      <formula>"Actif"</formula>
    </cfRule>
    <cfRule type="cellIs" dxfId="24" priority="4" operator="equal">
      <formula>"Excellent"</formula>
    </cfRule>
    <cfRule type="cellIs" dxfId="23" priority="5" operator="equal">
      <formula>"Acceptable"</formula>
    </cfRule>
    <cfRule type="cellIs" dxfId="22" priority="6" operator="equal">
      <formula>"En attente"</formula>
    </cfRule>
    <cfRule type="cellIs" dxfId="21" priority="7" operator="equal">
      <formula>"En cours"</formula>
    </cfRule>
    <cfRule type="cellIs" dxfId="20" priority="8" operator="equal">
      <formula>"Conditionnel"</formula>
    </cfRule>
    <cfRule type="cellIs" dxfId="19" priority="9" operator="equal">
      <formula>"A ameliorer"</formula>
    </cfRule>
    <cfRule type="cellIs" dxfId="18" priority="10" operator="equal">
      <formula>"Non conforme"</formula>
    </cfRule>
    <cfRule type="cellIs" dxfId="17" priority="11" operator="equal">
      <formula>"Rejete"</formula>
    </cfRule>
    <cfRule type="cellIs" dxfId="16" priority="12" operator="equal">
      <formula>"Critique"</formula>
    </cfRule>
    <cfRule type="cellIs" dxfId="15" priority="13" operator="equal">
      <formula>"Suspendu"</formula>
    </cfRule>
    <cfRule type="cellIs" dxfId="14" priority="14" operator="equal">
      <formula>"Insuffisant"</formula>
    </cfRule>
  </conditionalFormatting>
  <dataValidations count="2">
    <dataValidation type="list" sqref="E5:E5000" xr:uid="{00000000-0002-0000-0800-000000000000}">
      <formula1>"CRITIQUE,ELEVE,MOYEN,FAIBLE,INFO"</formula1>
    </dataValidation>
    <dataValidation type="list" sqref="M5:M5000" xr:uid="{00000000-0002-0000-0800-000001000000}">
      <formula1>"Ouvert,En cours,Resolu,Escalade"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C8C8C"/>
  </sheetPr>
  <dimension ref="A1:H45"/>
  <sheetViews>
    <sheetView showGridLines="0" workbookViewId="0">
      <pane ySplit="4" topLeftCell="A41" activePane="bottomLeft" state="frozen"/>
      <selection pane="bottomLeft" activeCell="F27" sqref="F27"/>
    </sheetView>
  </sheetViews>
  <sheetFormatPr baseColWidth="10" defaultColWidth="9.140625" defaultRowHeight="15" x14ac:dyDescent="0.25"/>
  <cols>
    <col min="1" max="1" width="24" customWidth="1"/>
    <col min="2" max="2" width="32" customWidth="1"/>
    <col min="3" max="3" width="24" customWidth="1"/>
    <col min="4" max="4" width="32" customWidth="1"/>
    <col min="5" max="5" width="16" customWidth="1"/>
    <col min="6" max="6" width="12" customWidth="1"/>
  </cols>
  <sheetData>
    <row r="1" spans="1:8" ht="48" customHeight="1" x14ac:dyDescent="0.25">
      <c r="A1" s="61" t="s">
        <v>827</v>
      </c>
      <c r="B1" s="52"/>
      <c r="C1" s="52"/>
      <c r="D1" s="52"/>
      <c r="E1" s="52"/>
      <c r="F1" s="52"/>
      <c r="G1" s="52"/>
      <c r="H1" s="52"/>
    </row>
    <row r="2" spans="1:8" ht="27.95" customHeight="1" x14ac:dyDescent="0.25">
      <c r="A2" s="54" t="s">
        <v>828</v>
      </c>
      <c r="B2" s="52"/>
      <c r="C2" s="52"/>
      <c r="D2" s="52"/>
      <c r="E2" s="52"/>
      <c r="F2" s="52"/>
      <c r="G2" s="52"/>
      <c r="H2" s="52"/>
    </row>
    <row r="4" spans="1:8" ht="30" customHeight="1" x14ac:dyDescent="0.25">
      <c r="A4" s="62" t="s">
        <v>829</v>
      </c>
      <c r="B4" s="52"/>
      <c r="C4" s="52"/>
      <c r="D4" s="52"/>
    </row>
    <row r="5" spans="1:8" ht="36" customHeight="1" x14ac:dyDescent="0.25">
      <c r="A5" s="1" t="s">
        <v>830</v>
      </c>
      <c r="B5" s="1" t="s">
        <v>372</v>
      </c>
      <c r="C5" s="1" t="s">
        <v>732</v>
      </c>
      <c r="D5" s="1" t="s">
        <v>831</v>
      </c>
    </row>
    <row r="6" spans="1:8" ht="36" x14ac:dyDescent="0.25">
      <c r="A6" s="2" t="s">
        <v>832</v>
      </c>
      <c r="B6" s="2" t="s">
        <v>383</v>
      </c>
      <c r="C6" s="2" t="s">
        <v>833</v>
      </c>
      <c r="D6" s="2" t="s">
        <v>834</v>
      </c>
    </row>
    <row r="7" spans="1:8" ht="24" x14ac:dyDescent="0.25">
      <c r="A7" s="3" t="s">
        <v>835</v>
      </c>
      <c r="B7" s="3" t="s">
        <v>393</v>
      </c>
      <c r="C7" s="3" t="s">
        <v>836</v>
      </c>
      <c r="D7" s="3" t="s">
        <v>837</v>
      </c>
    </row>
    <row r="8" spans="1:8" ht="36" x14ac:dyDescent="0.25">
      <c r="A8" s="2" t="s">
        <v>838</v>
      </c>
      <c r="B8" s="2" t="s">
        <v>839</v>
      </c>
      <c r="C8" s="2" t="s">
        <v>840</v>
      </c>
      <c r="D8" s="2" t="s">
        <v>834</v>
      </c>
    </row>
    <row r="9" spans="1:8" ht="36" x14ac:dyDescent="0.25">
      <c r="A9" s="3" t="s">
        <v>841</v>
      </c>
      <c r="B9" s="3" t="s">
        <v>417</v>
      </c>
      <c r="C9" s="3" t="s">
        <v>842</v>
      </c>
      <c r="D9" s="3" t="s">
        <v>843</v>
      </c>
    </row>
    <row r="10" spans="1:8" ht="24" x14ac:dyDescent="0.25">
      <c r="A10" s="2" t="s">
        <v>844</v>
      </c>
      <c r="B10" s="2" t="s">
        <v>845</v>
      </c>
      <c r="C10" s="2" t="s">
        <v>846</v>
      </c>
      <c r="D10" s="2" t="s">
        <v>837</v>
      </c>
    </row>
    <row r="11" spans="1:8" ht="36" x14ac:dyDescent="0.25">
      <c r="A11" s="3" t="s">
        <v>847</v>
      </c>
      <c r="B11" s="3" t="s">
        <v>848</v>
      </c>
      <c r="C11" s="3" t="s">
        <v>849</v>
      </c>
      <c r="D11" s="3" t="s">
        <v>401</v>
      </c>
    </row>
    <row r="12" spans="1:8" ht="24" x14ac:dyDescent="0.25">
      <c r="A12" s="2" t="s">
        <v>850</v>
      </c>
      <c r="B12" s="2" t="s">
        <v>851</v>
      </c>
      <c r="C12" s="2" t="s">
        <v>852</v>
      </c>
      <c r="D12" s="2" t="s">
        <v>401</v>
      </c>
    </row>
    <row r="13" spans="1:8" ht="24" x14ac:dyDescent="0.25">
      <c r="A13" s="3" t="s">
        <v>853</v>
      </c>
      <c r="B13" s="3" t="s">
        <v>854</v>
      </c>
      <c r="C13" s="3" t="s">
        <v>855</v>
      </c>
      <c r="D13" s="3" t="s">
        <v>837</v>
      </c>
    </row>
    <row r="16" spans="1:8" ht="30" customHeight="1" x14ac:dyDescent="0.25">
      <c r="A16" s="62" t="s">
        <v>856</v>
      </c>
      <c r="B16" s="52"/>
      <c r="C16" s="52"/>
      <c r="D16" s="52"/>
    </row>
    <row r="17" spans="1:6" ht="36" customHeight="1" x14ac:dyDescent="0.25">
      <c r="A17" s="1" t="s">
        <v>857</v>
      </c>
      <c r="B17" s="1" t="s">
        <v>858</v>
      </c>
      <c r="C17" s="1" t="s">
        <v>732</v>
      </c>
      <c r="D17" s="1" t="s">
        <v>859</v>
      </c>
    </row>
    <row r="18" spans="1:6" ht="36" x14ac:dyDescent="0.25">
      <c r="A18" s="2" t="s">
        <v>860</v>
      </c>
      <c r="B18" s="2" t="s">
        <v>861</v>
      </c>
      <c r="C18" s="2" t="s">
        <v>862</v>
      </c>
      <c r="D18" s="2" t="s">
        <v>863</v>
      </c>
    </row>
    <row r="19" spans="1:6" ht="36" x14ac:dyDescent="0.25">
      <c r="A19" s="3" t="s">
        <v>864</v>
      </c>
      <c r="B19" s="3" t="s">
        <v>865</v>
      </c>
      <c r="C19" s="3" t="s">
        <v>866</v>
      </c>
      <c r="D19" s="3" t="s">
        <v>867</v>
      </c>
    </row>
    <row r="20" spans="1:6" ht="24" x14ac:dyDescent="0.25">
      <c r="A20" s="2" t="s">
        <v>556</v>
      </c>
      <c r="B20" s="2" t="s">
        <v>868</v>
      </c>
      <c r="C20" s="2" t="s">
        <v>869</v>
      </c>
      <c r="D20" s="2" t="s">
        <v>870</v>
      </c>
    </row>
    <row r="21" spans="1:6" ht="36" x14ac:dyDescent="0.25">
      <c r="A21" s="3" t="s">
        <v>548</v>
      </c>
      <c r="B21" s="3" t="s">
        <v>871</v>
      </c>
      <c r="C21" s="3" t="s">
        <v>872</v>
      </c>
      <c r="D21" s="3" t="s">
        <v>873</v>
      </c>
    </row>
    <row r="22" spans="1:6" ht="36" x14ac:dyDescent="0.25">
      <c r="A22" s="2" t="s">
        <v>540</v>
      </c>
      <c r="B22" s="2" t="s">
        <v>874</v>
      </c>
      <c r="C22" s="2" t="s">
        <v>875</v>
      </c>
      <c r="D22" s="2" t="s">
        <v>876</v>
      </c>
    </row>
    <row r="25" spans="1:6" ht="30" customHeight="1" x14ac:dyDescent="0.25">
      <c r="A25" s="62" t="s">
        <v>877</v>
      </c>
      <c r="B25" s="52"/>
      <c r="C25" s="52"/>
      <c r="D25" s="52"/>
      <c r="E25" s="52"/>
      <c r="F25" s="52"/>
    </row>
    <row r="26" spans="1:6" ht="36" customHeight="1" x14ac:dyDescent="0.25">
      <c r="A26" s="1" t="s">
        <v>878</v>
      </c>
      <c r="B26" s="1" t="s">
        <v>9</v>
      </c>
      <c r="C26" s="1" t="s">
        <v>10</v>
      </c>
      <c r="D26" s="1" t="s">
        <v>879</v>
      </c>
      <c r="E26" s="1" t="s">
        <v>880</v>
      </c>
      <c r="F26" s="1" t="s">
        <v>732</v>
      </c>
    </row>
    <row r="27" spans="1:6" ht="36" x14ac:dyDescent="0.25">
      <c r="A27" s="2" t="s">
        <v>881</v>
      </c>
      <c r="B27" s="2">
        <v>85</v>
      </c>
      <c r="C27" s="2" t="s">
        <v>681</v>
      </c>
      <c r="D27" s="2">
        <v>80</v>
      </c>
      <c r="E27" s="2">
        <v>95</v>
      </c>
      <c r="F27" s="2" t="s">
        <v>882</v>
      </c>
    </row>
    <row r="28" spans="1:6" ht="36" x14ac:dyDescent="0.25">
      <c r="A28" s="3" t="s">
        <v>883</v>
      </c>
      <c r="B28" s="3">
        <v>90</v>
      </c>
      <c r="C28" s="3" t="s">
        <v>681</v>
      </c>
      <c r="D28" s="3">
        <v>85</v>
      </c>
      <c r="E28" s="3">
        <v>95</v>
      </c>
      <c r="F28" s="3" t="s">
        <v>884</v>
      </c>
    </row>
    <row r="29" spans="1:6" ht="36" x14ac:dyDescent="0.25">
      <c r="A29" s="2" t="s">
        <v>885</v>
      </c>
      <c r="B29" s="2">
        <v>95</v>
      </c>
      <c r="C29" s="2" t="s">
        <v>675</v>
      </c>
      <c r="D29" s="2">
        <v>90</v>
      </c>
      <c r="E29" s="2">
        <v>99</v>
      </c>
      <c r="F29" s="2" t="s">
        <v>886</v>
      </c>
    </row>
    <row r="30" spans="1:6" ht="36" x14ac:dyDescent="0.25">
      <c r="A30" s="3" t="s">
        <v>887</v>
      </c>
      <c r="B30" s="3">
        <v>0</v>
      </c>
      <c r="C30" s="3" t="s">
        <v>675</v>
      </c>
      <c r="D30" s="3">
        <v>0</v>
      </c>
      <c r="E30" s="3">
        <v>1</v>
      </c>
      <c r="F30" s="3" t="s">
        <v>688</v>
      </c>
    </row>
    <row r="31" spans="1:6" ht="36" x14ac:dyDescent="0.25">
      <c r="A31" s="2" t="s">
        <v>888</v>
      </c>
      <c r="B31" s="2">
        <v>48</v>
      </c>
      <c r="C31" s="2" t="s">
        <v>889</v>
      </c>
      <c r="D31" s="2">
        <v>24</v>
      </c>
      <c r="E31" s="2">
        <v>72</v>
      </c>
      <c r="F31" s="2" t="s">
        <v>890</v>
      </c>
    </row>
    <row r="32" spans="1:6" ht="24" x14ac:dyDescent="0.25">
      <c r="A32" s="3" t="s">
        <v>891</v>
      </c>
      <c r="B32" s="3">
        <v>120</v>
      </c>
      <c r="C32" s="3" t="s">
        <v>889</v>
      </c>
      <c r="D32" s="3">
        <v>72</v>
      </c>
      <c r="E32" s="3">
        <v>168</v>
      </c>
      <c r="F32" s="3" t="s">
        <v>892</v>
      </c>
    </row>
    <row r="33" spans="1:6" ht="48" x14ac:dyDescent="0.25">
      <c r="A33" s="2" t="s">
        <v>893</v>
      </c>
      <c r="B33" s="2">
        <v>10</v>
      </c>
      <c r="C33" s="2" t="s">
        <v>12</v>
      </c>
      <c r="D33" s="2">
        <v>5</v>
      </c>
      <c r="E33" s="2">
        <v>20</v>
      </c>
      <c r="F33" s="2" t="s">
        <v>894</v>
      </c>
    </row>
    <row r="34" spans="1:6" ht="24" x14ac:dyDescent="0.25">
      <c r="A34" s="3" t="s">
        <v>895</v>
      </c>
      <c r="B34" s="3">
        <v>40</v>
      </c>
      <c r="C34" s="3" t="s">
        <v>889</v>
      </c>
      <c r="D34" s="3">
        <v>24</v>
      </c>
      <c r="E34" s="3">
        <v>80</v>
      </c>
      <c r="F34" s="3" t="s">
        <v>896</v>
      </c>
    </row>
    <row r="35" spans="1:6" ht="36" x14ac:dyDescent="0.25">
      <c r="A35" s="2" t="s">
        <v>897</v>
      </c>
      <c r="B35" s="2">
        <v>1</v>
      </c>
      <c r="C35" s="2" t="s">
        <v>898</v>
      </c>
      <c r="D35" s="2">
        <v>0.5</v>
      </c>
      <c r="E35" s="2">
        <v>1.5</v>
      </c>
      <c r="F35" s="2" t="s">
        <v>899</v>
      </c>
    </row>
    <row r="36" spans="1:6" ht="36" x14ac:dyDescent="0.25">
      <c r="A36" s="3" t="s">
        <v>900</v>
      </c>
      <c r="B36" s="3">
        <v>1.5</v>
      </c>
      <c r="C36" s="3" t="s">
        <v>898</v>
      </c>
      <c r="D36" s="3">
        <v>1</v>
      </c>
      <c r="E36" s="3">
        <v>2</v>
      </c>
      <c r="F36" s="3" t="s">
        <v>901</v>
      </c>
    </row>
    <row r="37" spans="1:6" ht="24" x14ac:dyDescent="0.25">
      <c r="A37" s="2" t="s">
        <v>902</v>
      </c>
      <c r="B37" s="2" t="s">
        <v>903</v>
      </c>
      <c r="C37" s="2" t="s">
        <v>904</v>
      </c>
      <c r="D37" s="2" t="s">
        <v>904</v>
      </c>
      <c r="E37" s="2" t="s">
        <v>904</v>
      </c>
      <c r="F37" s="2" t="s">
        <v>905</v>
      </c>
    </row>
    <row r="40" spans="1:6" ht="30" customHeight="1" x14ac:dyDescent="0.25">
      <c r="A40" s="62" t="s">
        <v>906</v>
      </c>
      <c r="B40" s="52"/>
      <c r="C40" s="52"/>
      <c r="D40" s="52"/>
      <c r="E40" s="52"/>
      <c r="F40" s="52"/>
    </row>
    <row r="41" spans="1:6" ht="36" customHeight="1" x14ac:dyDescent="0.25">
      <c r="A41" s="1" t="s">
        <v>907</v>
      </c>
      <c r="B41" s="1" t="s">
        <v>908</v>
      </c>
      <c r="C41" s="1" t="s">
        <v>909</v>
      </c>
      <c r="D41" s="1" t="s">
        <v>910</v>
      </c>
      <c r="E41" s="1" t="s">
        <v>911</v>
      </c>
      <c r="F41" s="1" t="s">
        <v>379</v>
      </c>
    </row>
    <row r="42" spans="1:6" ht="24" x14ac:dyDescent="0.25">
      <c r="A42" s="2" t="s">
        <v>912</v>
      </c>
      <c r="B42" s="2" t="s">
        <v>913</v>
      </c>
      <c r="C42" s="2" t="s">
        <v>914</v>
      </c>
      <c r="D42" s="2" t="s">
        <v>915</v>
      </c>
      <c r="E42" s="2" t="s">
        <v>916</v>
      </c>
      <c r="F42" s="2" t="s">
        <v>474</v>
      </c>
    </row>
    <row r="43" spans="1:6" ht="24" x14ac:dyDescent="0.25">
      <c r="A43" s="3" t="s">
        <v>914</v>
      </c>
      <c r="B43" s="3" t="s">
        <v>917</v>
      </c>
      <c r="C43" s="3" t="s">
        <v>912</v>
      </c>
      <c r="D43" s="3" t="s">
        <v>918</v>
      </c>
      <c r="E43" s="3" t="s">
        <v>919</v>
      </c>
      <c r="F43" s="3" t="s">
        <v>474</v>
      </c>
    </row>
    <row r="44" spans="1:6" ht="24" x14ac:dyDescent="0.25">
      <c r="A44" s="2" t="s">
        <v>914</v>
      </c>
      <c r="B44" s="2" t="s">
        <v>920</v>
      </c>
      <c r="C44" s="2" t="s">
        <v>921</v>
      </c>
      <c r="D44" s="2" t="s">
        <v>922</v>
      </c>
      <c r="E44" s="2" t="s">
        <v>687</v>
      </c>
      <c r="F44" s="2" t="s">
        <v>923</v>
      </c>
    </row>
    <row r="45" spans="1:6" ht="24" x14ac:dyDescent="0.25">
      <c r="A45" s="3" t="s">
        <v>914</v>
      </c>
      <c r="B45" s="3" t="s">
        <v>924</v>
      </c>
      <c r="C45" s="3" t="s">
        <v>925</v>
      </c>
      <c r="D45" s="3" t="s">
        <v>926</v>
      </c>
      <c r="E45" s="3" t="s">
        <v>927</v>
      </c>
      <c r="F45" s="3" t="s">
        <v>923</v>
      </c>
    </row>
  </sheetData>
  <sheetProtection password="D199" sheet="1"/>
  <mergeCells count="6">
    <mergeCell ref="A4:D4"/>
    <mergeCell ref="A2:H2"/>
    <mergeCell ref="A40:F40"/>
    <mergeCell ref="A16:D16"/>
    <mergeCell ref="A1:H1"/>
    <mergeCell ref="A25:F25"/>
  </mergeCells>
  <conditionalFormatting sqref="F42:F45">
    <cfRule type="cellIs" dxfId="13" priority="1" operator="equal">
      <formula>"Conforme"</formula>
    </cfRule>
    <cfRule type="cellIs" dxfId="12" priority="2" operator="equal">
      <formula>"Valide"</formula>
    </cfRule>
    <cfRule type="cellIs" dxfId="11" priority="3" operator="equal">
      <formula>"Actif"</formula>
    </cfRule>
    <cfRule type="cellIs" dxfId="10" priority="4" operator="equal">
      <formula>"Excellent"</formula>
    </cfRule>
    <cfRule type="cellIs" dxfId="9" priority="5" operator="equal">
      <formula>"Acceptable"</formula>
    </cfRule>
    <cfRule type="cellIs" dxfId="8" priority="6" operator="equal">
      <formula>"En attente"</formula>
    </cfRule>
    <cfRule type="cellIs" dxfId="7" priority="7" operator="equal">
      <formula>"En cours"</formula>
    </cfRule>
    <cfRule type="cellIs" dxfId="6" priority="8" operator="equal">
      <formula>"Conditionnel"</formula>
    </cfRule>
    <cfRule type="cellIs" dxfId="5" priority="9" operator="equal">
      <formula>"A ameliorer"</formula>
    </cfRule>
    <cfRule type="cellIs" dxfId="4" priority="10" operator="equal">
      <formula>"Non conforme"</formula>
    </cfRule>
    <cfRule type="cellIs" dxfId="3" priority="11" operator="equal">
      <formula>"Rejete"</formula>
    </cfRule>
    <cfRule type="cellIs" dxfId="2" priority="12" operator="equal">
      <formula>"Critique"</formula>
    </cfRule>
    <cfRule type="cellIs" dxfId="1" priority="13" operator="equal">
      <formula>"Suspendu"</formula>
    </cfRule>
    <cfRule type="cellIs" dxfId="0" priority="14" operator="equal">
      <formula>"Insuffisant"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1_DASHBOARD</vt:lpstr>
      <vt:lpstr>2_CRITERES</vt:lpstr>
      <vt:lpstr>3_CONTROLES</vt:lpstr>
      <vt:lpstr>4_DEFAUTS</vt:lpstr>
      <vt:lpstr>5_ATELIERS</vt:lpstr>
      <vt:lpstr>6_ARTISANS</vt:lpstr>
      <vt:lpstr>7_RAPPORTS_QC</vt:lpstr>
      <vt:lpstr>8_KPI_QUALITE</vt:lpstr>
      <vt:lpstr>9_ALERTES</vt:lpstr>
      <vt:lpstr>10_PARAMETRES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Agent ArtisanalQualityAI — Neural Enterprise Framework</dc:title>
  <dc:subject>Qualite Artisanale Luxe — Documentation &amp; Controle</dc:subject>
  <dc:creator>Neural Enterprise — AI Agent Framework</dc:creator>
  <cp:keywords>Luxe, Qualite, Artisanal, Controle, Maroquinerie, Joaillerie, Horlogerie, Pret-a-Porter, MOF, Maitre d'Art, KPI, Neural Enterprise</cp:keywords>
  <dc:description>Agent ArtisanalQualityAI : documentation des criteres de qualite par metier, analyse des rapports de controle qualite, suivi artisans et ateliers, calcul ROI automatise. Version Avril 2026 — Connecte a Agent LuxeTraceability.</dc:description>
  <cp:lastModifiedBy>Ludovic Labeaut</cp:lastModifiedBy>
  <dcterms:created xsi:type="dcterms:W3CDTF">2026-04-01T23:04:06Z</dcterms:created>
  <dcterms:modified xsi:type="dcterms:W3CDTF">2026-04-01T23:40:06Z</dcterms:modified>
  <cp:category>Qualite — Artisanat — Luxe</cp:category>
</cp:coreProperties>
</file>