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PARAMS" sheetId="2" state="visible" r:id="rId2"/>
    <sheet name="2_INPUT_SCENARIOS" sheetId="3" state="visible" r:id="rId3"/>
    <sheet name="3_POLICY_GATES" sheetId="4" state="visible" r:id="rId4"/>
    <sheet name="4_RESTRICTED_SIGNALS" sheetId="5" state="visible" r:id="rId5"/>
    <sheet name="5_SCORING_ENGINE" sheetId="6" state="visible" r:id="rId6"/>
    <sheet name="6_OUTPUT_PACK" sheetId="7" state="visible" r:id="rId7"/>
    <sheet name="7_DASHBOARD" sheetId="8" state="visible" r:id="rId8"/>
    <sheet name="8_TESTSET" sheetId="9" state="visible" r:id="rId9"/>
    <sheet name="9_LEARN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AGBM003Readme" displayName="tblAGBM003Readme" ref="A4:D8" headerRowCount="1">
  <autoFilter ref="A4:D8"/>
  <tableColumns count="4">
    <tableColumn id="1" name="#"/>
    <tableColumn id="2" name="Topic"/>
    <tableColumn id="3" name="Detail"/>
    <tableColumn id="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ramsAGBM003" displayName="tblParamsAGBM003" ref="A4:C11" headerRowCount="1">
  <autoFilter ref="A4:C11"/>
  <tableColumns count="3">
    <tableColumn id="1" name="KEY"/>
    <tableColumn id="2" name="VALUE"/>
    <tableColumn id="3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GBM003Scenarios" displayName="tblAGBM003Scenarios" ref="A4:R7" headerRowCount="1">
  <autoFilter ref="A4:R7"/>
  <tableColumns count="18">
    <tableColumn id="1" name="SCENARIO_ID"/>
    <tableColumn id="2" name="LABEL"/>
    <tableColumn id="3" name="PRODUCT"/>
    <tableColumn id="4" name="CHANNEL"/>
    <tableColumn id="5" name="SEGMENT"/>
    <tableColumn id="6" name="JURISDICTION"/>
    <tableColumn id="7" name="CLEAR_NOT_MISLEADING"/>
    <tableColumn id="8" name="RISK_BALANCED"/>
    <tableColumn id="9" name="SOURCE_ACTIVE"/>
    <tableColumn id="10" name="NUM_VALIDATED"/>
    <tableColumn id="11" name="MIFID_TARGET_MARKET"/>
    <tableColumn id="12" name="PRIIPS_KID_CONSISTENT"/>
    <tableColumn id="13" name="MICA_CRYPTO_MARKETING"/>
    <tableColumn id="14" name="GDPR_CONSENT_PROFILING"/>
    <tableColumn id="15" name="AI_ACT_DISCLOSURE"/>
    <tableColumn id="16" name="HITL_COMPLIANCE"/>
    <tableColumn id="17" name="EXPECTED_VERDICT"/>
    <tableColumn id="1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GBM003Gates" displayName="tblAGBM003Gates" ref="A4:G8" headerRowCount="1">
  <autoFilter ref="A4:G8"/>
  <tableColumns count="7">
    <tableColumn id="1" name="GATE_ID"/>
    <tableColumn id="2" name="LABEL"/>
    <tableColumn id="3" name="SEVERITY"/>
    <tableColumn id="4" name="BLOCKING"/>
    <tableColumn id="5" name="SOURCE_REF"/>
    <tableColumn id="6" name="OWNER"/>
    <tableColumn id="7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GBM003Signals" displayName="tblAGBM003Signals" ref="A4:F8" headerRowCount="1">
  <autoFilter ref="A4:F8"/>
  <tableColumns count="6">
    <tableColumn id="1" name="SIGNAL_ID"/>
    <tableColumn id="2" name="PATTERN"/>
    <tableColumn id="3" name="TYPE"/>
    <tableColumn id="4" name="SEVERITY"/>
    <tableColumn id="5" name="ACTION"/>
    <tableColumn id="6" name="RATIONA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GBM003Scoring" displayName="tblAGBM003Scoring" ref="A4:P7" headerRowCount="1">
  <autoFilter ref="A4:P7"/>
  <tableColumns count="16">
    <tableColumn id="1" name="SCENARIO_ID"/>
    <tableColumn id="2" name="EXPECTED_VERDICT"/>
    <tableColumn id="3" name="G_CLEAR"/>
    <tableColumn id="4" name="G_BALANCE"/>
    <tableColumn id="5" name="G_SOURCE"/>
    <tableColumn id="6" name="G_NUM"/>
    <tableColumn id="7" name="G_MIFID"/>
    <tableColumn id="8" name="G_PRIIPS"/>
    <tableColumn id="9" name="G_MICA"/>
    <tableColumn id="10" name="G_GDPR"/>
    <tableColumn id="11" name="G_AI"/>
    <tableColumn id="12" name="G_HITL"/>
    <tableColumn id="13" name="BLOCK_COUNT"/>
    <tableColumn id="14" name="REVIEW_COUNT"/>
    <tableColumn id="15" name="OBSERVED_DECISION"/>
    <tableColumn id="16" name="PASS_F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AGBM003Outputs" displayName="tblAGBM003Outputs" ref="A4:H7" headerRowCount="1">
  <autoFilter ref="A4:H7"/>
  <tableColumns count="8">
    <tableColumn id="1" name="OUTPUT_ID"/>
    <tableColumn id="2" name="SCENARIO_ID"/>
    <tableColumn id="3" name="PACK_SECTION"/>
    <tableColumn id="4" name="DECISION_REF"/>
    <tableColumn id="5" name="CONTENT"/>
    <tableColumn id="6" name="EXPORT_READY"/>
    <tableColumn id="7" name="REVIEW_OWNER"/>
    <tableColumn id="8" name="HASH_SE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AGBM003Dashboard" displayName="tblAGBM003Dashboard" ref="A4:D9" headerRowCount="1">
  <autoFilter ref="A4:D9"/>
  <tableColumns count="4">
    <tableColumn id="1" name="KPI"/>
    <tableColumn id="2" name="VALUE"/>
    <tableColumn id="3" name="FORMULA_SOURCE"/>
    <tableColumn id="4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AGBM003Testset" displayName="tblAGBM003Testset" ref="A4:E7" headerRowCount="1">
  <autoFilter ref="A4:E7"/>
  <tableColumns count="5">
    <tableColumn id="1" name="SCENARIO_ID"/>
    <tableColumn id="2" name="EXPECTED"/>
    <tableColumn id="3" name="OBSERVED"/>
    <tableColumn id="4" name="PASS_FAIL"/>
    <tableColumn id="5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AGBM003Learnings" displayName="tblAGBM003Learnings" ref="A4:E7" headerRowCount="1">
  <autoFilter ref="A4:E7"/>
  <tableColumns count="5">
    <tableColumn id="1" name="ID"/>
    <tableColumn id="2" name="TOPIC"/>
    <tableColumn id="3" name="LEARNING"/>
    <tableColumn id="4" name="NEXT_STEP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94" customWidth="1" min="3" max="3"/>
    <col width="18" customWidth="1" min="4" max="4"/>
  </cols>
  <sheetData>
    <row r="1" ht="38" customHeight="1">
      <c r="A1" s="1" t="inlineStr">
        <is>
          <t>NEURAL / BANQUE / MARKETING - AG-BM003</t>
        </is>
      </c>
    </row>
    <row r="2" ht="24" customHeight="1">
      <c r="A2" s="2" t="inlineStr">
        <is>
          <t>Adapt bank marketing by segment while preserving consent, fairness and explainability</t>
        </is>
      </c>
    </row>
    <row r="4" ht="32" customHeight="1">
      <c r="A4" s="3" t="inlineStr">
        <is>
          <t>#</t>
        </is>
      </c>
      <c r="B4" s="3" t="inlineStr">
        <is>
          <t>Topic</t>
        </is>
      </c>
      <c r="C4" s="3" t="inlineStr">
        <is>
          <t>Detail</t>
        </is>
      </c>
      <c r="D4" s="3" t="inlineStr">
        <is>
          <t>Status</t>
        </is>
      </c>
    </row>
    <row r="5">
      <c r="A5" s="4" t="n">
        <v>1</v>
      </c>
      <c r="B5" s="4" t="inlineStr">
        <is>
          <t>Agent</t>
        </is>
      </c>
      <c r="C5" s="4" t="inlineStr">
        <is>
          <t>SegmentedBankMarketing (AG-BM003)</t>
        </is>
      </c>
      <c r="D5" s="4" t="inlineStr">
        <is>
          <t>synthetic</t>
        </is>
      </c>
    </row>
    <row r="6">
      <c r="A6" s="5" t="n">
        <v>2</v>
      </c>
      <c r="B6" s="5" t="inlineStr">
        <is>
          <t>Owner</t>
        </is>
      </c>
      <c r="C6" s="5" t="inlineStr">
        <is>
          <t>CRM Marketing + DPO</t>
        </is>
      </c>
      <c r="D6" s="5" t="inlineStr">
        <is>
          <t>synthetic</t>
        </is>
      </c>
    </row>
    <row r="7">
      <c r="A7" s="4" t="n">
        <v>3</v>
      </c>
      <c r="B7" s="4" t="inlineStr">
        <is>
          <t>Mode</t>
        </is>
      </c>
      <c r="C7" s="4" t="inlineStr">
        <is>
          <t>Scenario-id only, portfolio workbook, no production personal data.</t>
        </is>
      </c>
      <c r="D7" s="4" t="inlineStr">
        <is>
          <t>synthetic</t>
        </is>
      </c>
    </row>
    <row r="8">
      <c r="A8" s="5" t="n">
        <v>4</v>
      </c>
      <c r="B8" s="5" t="inlineStr">
        <is>
          <t>Data</t>
        </is>
      </c>
      <c r="C8" s="5" t="inlineStr">
        <is>
          <t>Synthetic recruiter demo as of 2026-04-25.</t>
        </is>
      </c>
      <c r="D8" s="5" t="inlineStr">
        <is>
          <t>synthetic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80" customWidth="1" min="3" max="3"/>
  </cols>
  <sheetData>
    <row r="1" ht="38" customHeight="1">
      <c r="A1" s="1" t="inlineStr">
        <is>
          <t>PARAMS</t>
        </is>
      </c>
    </row>
    <row r="2" ht="24" customHeight="1">
      <c r="A2" s="2" t="inlineStr">
        <is>
          <t>Workbook parameters consumed by later sync/parsers</t>
        </is>
      </c>
    </row>
    <row r="4" ht="32" customHeight="1">
      <c r="A4" s="3" t="inlineStr">
        <is>
          <t>KEY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AGENT_ID</t>
        </is>
      </c>
      <c r="B5" s="4" t="inlineStr">
        <is>
          <t>AG-BM003</t>
        </is>
      </c>
      <c r="C5" s="4" t="inlineStr"/>
    </row>
    <row r="6">
      <c r="A6" s="5" t="inlineStr">
        <is>
          <t>AGENT_NAME</t>
        </is>
      </c>
      <c r="B6" s="5" t="inlineStr">
        <is>
          <t>SegmentedBankMarketing</t>
        </is>
      </c>
      <c r="C6" s="5" t="inlineStr"/>
    </row>
    <row r="7">
      <c r="A7" s="4" t="inlineStr">
        <is>
          <t>OWNER</t>
        </is>
      </c>
      <c r="B7" s="4" t="inlineStr">
        <is>
          <t>CRM Marketing + DPO</t>
        </is>
      </c>
      <c r="C7" s="4" t="inlineStr"/>
    </row>
    <row r="8">
      <c r="A8" s="5" t="inlineStr">
        <is>
          <t>DATA_VERSION</t>
        </is>
      </c>
      <c r="B8" s="5" t="inlineStr">
        <is>
          <t>v2026.04.25</t>
        </is>
      </c>
      <c r="C8" s="5" t="inlineStr"/>
    </row>
    <row r="9">
      <c r="A9" s="4" t="inlineStr">
        <is>
          <t>REFRESH_DATE</t>
        </is>
      </c>
      <c r="B9" s="6" t="n">
        <v>46137</v>
      </c>
      <c r="C9" s="4" t="inlineStr"/>
    </row>
    <row r="10">
      <c r="A10" s="5" t="inlineStr">
        <is>
          <t>INPUT_MODE</t>
        </is>
      </c>
      <c r="B10" s="5" t="inlineStr">
        <is>
          <t>scenario-id-only</t>
        </is>
      </c>
      <c r="C10" s="5" t="inlineStr"/>
    </row>
    <row r="11">
      <c r="A11" s="4" t="inlineStr">
        <is>
          <t>HITL_REQUIRED</t>
        </is>
      </c>
      <c r="B11" s="4" t="inlineStr">
        <is>
          <t>YES</t>
        </is>
      </c>
      <c r="C11" s="4" t="inlineStr">
        <is>
          <t>Compliance, legal or DPO final decision.</t>
        </is>
      </c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8" customWidth="1" min="4" max="4"/>
    <col width="22" customWidth="1" min="5" max="5"/>
    <col width="14" customWidth="1" min="6" max="6"/>
    <col width="22" customWidth="1" min="7" max="7"/>
    <col width="18" customWidth="1" min="8" max="8"/>
    <col width="16" customWidth="1" min="9" max="9"/>
    <col width="16" customWidth="1" min="10" max="10"/>
    <col width="22" customWidth="1" min="11" max="11"/>
    <col width="24" customWidth="1" min="12" max="12"/>
    <col width="24" customWidth="1" min="13" max="13"/>
    <col width="24" customWidth="1" min="14" max="14"/>
    <col width="20" customWidth="1" min="15" max="15"/>
    <col width="20" customWidth="1" min="16" max="16"/>
    <col width="20" customWidth="1" min="17" max="17"/>
    <col width="82" customWidth="1" min="18" max="18"/>
  </cols>
  <sheetData>
    <row r="1" ht="38" customHeight="1">
      <c r="A1" s="1" t="inlineStr">
        <is>
          <t>INPUT SCENARIOS</t>
        </is>
      </c>
    </row>
    <row r="2" ht="24" customHeight="1">
      <c r="A2" s="2" t="inlineStr">
        <is>
          <t>Frozen examples used to exercise PASS / REVIEW / BLOCK decisions</t>
        </is>
      </c>
    </row>
    <row r="4" ht="32" customHeight="1">
      <c r="A4" s="3" t="inlineStr">
        <is>
          <t>SCENARIO_ID</t>
        </is>
      </c>
      <c r="B4" s="3" t="inlineStr">
        <is>
          <t>LABEL</t>
        </is>
      </c>
      <c r="C4" s="3" t="inlineStr">
        <is>
          <t>PRODUCT</t>
        </is>
      </c>
      <c r="D4" s="3" t="inlineStr">
        <is>
          <t>CHANNEL</t>
        </is>
      </c>
      <c r="E4" s="3" t="inlineStr">
        <is>
          <t>SEGMENT</t>
        </is>
      </c>
      <c r="F4" s="3" t="inlineStr">
        <is>
          <t>JURISDICTION</t>
        </is>
      </c>
      <c r="G4" s="3" t="inlineStr">
        <is>
          <t>CLEAR_NOT_MISLEADING</t>
        </is>
      </c>
      <c r="H4" s="3" t="inlineStr">
        <is>
          <t>RISK_BALANCED</t>
        </is>
      </c>
      <c r="I4" s="3" t="inlineStr">
        <is>
          <t>SOURCE_ACTIVE</t>
        </is>
      </c>
      <c r="J4" s="3" t="inlineStr">
        <is>
          <t>NUM_VALIDATED</t>
        </is>
      </c>
      <c r="K4" s="3" t="inlineStr">
        <is>
          <t>MIFID_TARGET_MARKET</t>
        </is>
      </c>
      <c r="L4" s="3" t="inlineStr">
        <is>
          <t>PRIIPS_KID_CONSISTENT</t>
        </is>
      </c>
      <c r="M4" s="3" t="inlineStr">
        <is>
          <t>MICA_CRYPTO_MARKETING</t>
        </is>
      </c>
      <c r="N4" s="3" t="inlineStr">
        <is>
          <t>GDPR_CONSENT_PROFILING</t>
        </is>
      </c>
      <c r="O4" s="3" t="inlineStr">
        <is>
          <t>AI_ACT_DISCLOSURE</t>
        </is>
      </c>
      <c r="P4" s="3" t="inlineStr">
        <is>
          <t>HITL_COMPLIANCE</t>
        </is>
      </c>
      <c r="Q4" s="3" t="inlineStr">
        <is>
          <t>EXPECTED_VERDICT</t>
        </is>
      </c>
      <c r="R4" s="3" t="inlineStr">
        <is>
          <t>NOTE</t>
        </is>
      </c>
    </row>
    <row r="5">
      <c r="A5" s="4" t="inlineStr">
        <is>
          <t>BM003-PASS-APP</t>
        </is>
      </c>
      <c r="B5" s="4" t="inlineStr">
        <is>
          <t>Consented app push for budgeting feature</t>
        </is>
      </c>
      <c r="C5" s="4" t="inlineStr">
        <is>
          <t>Budget app</t>
        </is>
      </c>
      <c r="D5" s="4" t="inlineStr">
        <is>
          <t>APP_PUSH</t>
        </is>
      </c>
      <c r="E5" s="4" t="inlineStr">
        <is>
          <t>Young retail</t>
        </is>
      </c>
      <c r="F5" s="4" t="inlineStr">
        <is>
          <t>FR</t>
        </is>
      </c>
      <c r="G5" s="4" t="inlineStr">
        <is>
          <t>YES</t>
        </is>
      </c>
      <c r="H5" s="4" t="inlineStr">
        <is>
          <t>YES</t>
        </is>
      </c>
      <c r="I5" s="4" t="inlineStr">
        <is>
          <t>YES</t>
        </is>
      </c>
      <c r="J5" s="4" t="inlineStr">
        <is>
          <t>YES</t>
        </is>
      </c>
      <c r="K5" s="4" t="inlineStr">
        <is>
          <t>NA</t>
        </is>
      </c>
      <c r="L5" s="4" t="inlineStr">
        <is>
          <t>NA</t>
        </is>
      </c>
      <c r="M5" s="4" t="inlineStr">
        <is>
          <t>NA</t>
        </is>
      </c>
      <c r="N5" s="4" t="inlineStr">
        <is>
          <t>YES</t>
        </is>
      </c>
      <c r="O5" s="4" t="inlineStr">
        <is>
          <t>YES</t>
        </is>
      </c>
      <c r="P5" s="4" t="inlineStr">
        <is>
          <t>YES</t>
        </is>
      </c>
      <c r="Q5" s="4" t="inlineStr">
        <is>
          <t>PASS</t>
        </is>
      </c>
      <c r="R5" s="4" t="inlineStr">
        <is>
          <t>Consent and AI personalization notice are present.</t>
        </is>
      </c>
    </row>
    <row r="6">
      <c r="A6" s="5" t="inlineStr">
        <is>
          <t>BM003-REVIEW-SENIOR</t>
        </is>
      </c>
      <c r="B6" s="5" t="inlineStr">
        <is>
          <t>Senior email personalization needs readability review</t>
        </is>
      </c>
      <c r="C6" s="5" t="inlineStr">
        <is>
          <t>Savings</t>
        </is>
      </c>
      <c r="D6" s="5" t="inlineStr">
        <is>
          <t>EMAIL</t>
        </is>
      </c>
      <c r="E6" s="5" t="inlineStr">
        <is>
          <t>Senior retail</t>
        </is>
      </c>
      <c r="F6" s="5" t="inlineStr">
        <is>
          <t>FR</t>
        </is>
      </c>
      <c r="G6" s="5" t="inlineStr">
        <is>
          <t>YES</t>
        </is>
      </c>
      <c r="H6" s="5" t="inlineStr">
        <is>
          <t>YES</t>
        </is>
      </c>
      <c r="I6" s="5" t="inlineStr">
        <is>
          <t>YES</t>
        </is>
      </c>
      <c r="J6" s="5" t="inlineStr">
        <is>
          <t>YES</t>
        </is>
      </c>
      <c r="K6" s="5" t="inlineStr">
        <is>
          <t>NA</t>
        </is>
      </c>
      <c r="L6" s="5" t="inlineStr">
        <is>
          <t>NA</t>
        </is>
      </c>
      <c r="M6" s="5" t="inlineStr">
        <is>
          <t>NA</t>
        </is>
      </c>
      <c r="N6" s="5" t="inlineStr">
        <is>
          <t>YES</t>
        </is>
      </c>
      <c r="O6" s="5" t="inlineStr">
        <is>
          <t>REVIEW</t>
        </is>
      </c>
      <c r="P6" s="5" t="inlineStr">
        <is>
          <t>YES</t>
        </is>
      </c>
      <c r="Q6" s="5" t="inlineStr">
        <is>
          <t>PASS_WITH_REVIEW</t>
        </is>
      </c>
      <c r="R6" s="5" t="inlineStr">
        <is>
          <t>Vulnerable segment needs readability and pressure-wording review.</t>
        </is>
      </c>
    </row>
    <row r="7">
      <c r="A7" s="4" t="inlineStr">
        <is>
          <t>BM003-BLOCK-PROFILING</t>
        </is>
      </c>
      <c r="B7" s="4" t="inlineStr">
        <is>
          <t>Crypto landing page retargeted without consent</t>
        </is>
      </c>
      <c r="C7" s="4" t="inlineStr">
        <is>
          <t>Crypto</t>
        </is>
      </c>
      <c r="D7" s="4" t="inlineStr">
        <is>
          <t>LANDING_PAGE</t>
        </is>
      </c>
      <c r="E7" s="4" t="inlineStr">
        <is>
          <t>Crypto interest</t>
        </is>
      </c>
      <c r="F7" s="4" t="inlineStr">
        <is>
          <t>FR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YES</t>
        </is>
      </c>
      <c r="J7" s="4" t="inlineStr">
        <is>
          <t>YES</t>
        </is>
      </c>
      <c r="K7" s="4" t="inlineStr">
        <is>
          <t>NA</t>
        </is>
      </c>
      <c r="L7" s="4" t="inlineStr">
        <is>
          <t>NA</t>
        </is>
      </c>
      <c r="M7" s="4" t="inlineStr">
        <is>
          <t>YES</t>
        </is>
      </c>
      <c r="N7" s="4" t="inlineStr">
        <is>
          <t>NO</t>
        </is>
      </c>
      <c r="O7" s="4" t="inlineStr">
        <is>
          <t>NO</t>
        </is>
      </c>
      <c r="P7" s="4" t="inlineStr">
        <is>
          <t>NO</t>
        </is>
      </c>
      <c r="Q7" s="4" t="inlineStr">
        <is>
          <t>BLOCK</t>
        </is>
      </c>
      <c r="R7" s="4" t="inlineStr">
        <is>
          <t>Consentless profiling and missing AI disclosure block the campaign.</t>
        </is>
      </c>
    </row>
  </sheetData>
  <mergeCells count="2">
    <mergeCell ref="A2:R2"/>
    <mergeCell ref="A1:R1"/>
  </mergeCells>
  <conditionalFormatting sqref="Q5:Q7">
    <cfRule type="cellIs" priority="1" operator="equal" dxfId="0">
      <formula>"PASS"</formula>
    </cfRule>
    <cfRule type="cellIs" priority="2" operator="equal" dxfId="1">
      <formula>"PASS_WITH_REVIEW"</formula>
    </cfRule>
    <cfRule type="cellIs" priority="3" operator="equal" dxfId="2">
      <formula>"BLOCK"</formula>
    </cfRule>
  </conditionalFormatting>
  <dataValidations count="11">
    <dataValidation sqref="G5:G7" showDropDown="0" showInputMessage="0" showErrorMessage="0" allowBlank="1" errorTitle="Invalid entry" error="Value outside list" type="list">
      <formula1>"YES,NO,NA,REVIEW"</formula1>
    </dataValidation>
    <dataValidation sqref="H5:H7" showDropDown="0" showInputMessage="0" showErrorMessage="0" allowBlank="1" errorTitle="Invalid entry" error="Value outside list" type="list">
      <formula1>"YES,NO,NA,REVIEW"</formula1>
    </dataValidation>
    <dataValidation sqref="I5:I7" showDropDown="0" showInputMessage="0" showErrorMessage="0" allowBlank="1" errorTitle="Invalid entry" error="Value outside list" type="list">
      <formula1>"YES,NO,NA,REVIEW"</formula1>
    </dataValidation>
    <dataValidation sqref="J5:J7" showDropDown="0" showInputMessage="0" showErrorMessage="0" allowBlank="1" errorTitle="Invalid entry" error="Value outside list" type="list">
      <formula1>"YES,NO,NA,REVIEW"</formula1>
    </dataValidation>
    <dataValidation sqref="K5:K7" showDropDown="0" showInputMessage="0" showErrorMessage="0" allowBlank="1" errorTitle="Invalid entry" error="Value outside list" type="list">
      <formula1>"YES,NO,NA,REVIEW"</formula1>
    </dataValidation>
    <dataValidation sqref="L5:L7" showDropDown="0" showInputMessage="0" showErrorMessage="0" allowBlank="1" errorTitle="Invalid entry" error="Value outside list" type="list">
      <formula1>"YES,NO,NA,REVIEW"</formula1>
    </dataValidation>
    <dataValidation sqref="M5:M7" showDropDown="0" showInputMessage="0" showErrorMessage="0" allowBlank="1" errorTitle="Invalid entry" error="Value outside list" type="list">
      <formula1>"YES,NO,NA,REVIEW"</formula1>
    </dataValidation>
    <dataValidation sqref="N5:N7" showDropDown="0" showInputMessage="0" showErrorMessage="0" allowBlank="1" errorTitle="Invalid entry" error="Value outside list" type="list">
      <formula1>"YES,NO,NA,REVIEW"</formula1>
    </dataValidation>
    <dataValidation sqref="O5:O7" showDropDown="0" showInputMessage="0" showErrorMessage="0" allowBlank="1" errorTitle="Invalid entry" error="Value outside list" type="list">
      <formula1>"YES,NO,NA,REVIEW"</formula1>
    </dataValidation>
    <dataValidation sqref="P5:P7" showDropDown="0" showInputMessage="0" showErrorMessage="0" allowBlank="1" errorTitle="Invalid entry" error="Value outside list" type="list">
      <formula1>"YES,NO,NA,REVIEW"</formula1>
    </dataValidation>
    <dataValidation sqref="Q5:Q7" showDropDown="0" showInputMessage="0" showErrorMessage="0" allowBlank="1" errorTitle="Invalid entry" error="Value outside list" type="list">
      <formula1>"PASS,PASS_WITH_REVIEW,BLOCK"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4" customWidth="1" min="3" max="3"/>
    <col width="12" customWidth="1" min="4" max="4"/>
    <col width="28" customWidth="1" min="5" max="5"/>
    <col width="24" customWidth="1" min="6" max="6"/>
    <col width="74" customWidth="1" min="7" max="7"/>
  </cols>
  <sheetData>
    <row r="1" ht="38" customHeight="1">
      <c r="A1" s="1" t="inlineStr">
        <is>
          <t>POLICY GATES</t>
        </is>
      </c>
    </row>
    <row r="2" ht="24" customHeight="1">
      <c r="A2" s="2" t="inlineStr">
        <is>
          <t>Deterministic gates that override any LLM output</t>
        </is>
      </c>
    </row>
    <row r="4" ht="32" customHeight="1">
      <c r="A4" s="3" t="inlineStr">
        <is>
          <t>GATE_ID</t>
        </is>
      </c>
      <c r="B4" s="3" t="inlineStr">
        <is>
          <t>LABEL</t>
        </is>
      </c>
      <c r="C4" s="3" t="inlineStr">
        <is>
          <t>SEVERITY</t>
        </is>
      </c>
      <c r="D4" s="3" t="inlineStr">
        <is>
          <t>BLOCKING</t>
        </is>
      </c>
      <c r="E4" s="3" t="inlineStr">
        <is>
          <t>SOURCE_REF</t>
        </is>
      </c>
      <c r="F4" s="3" t="inlineStr">
        <is>
          <t>OWNER</t>
        </is>
      </c>
      <c r="G4" s="3" t="inlineStr">
        <is>
          <t>NOTE</t>
        </is>
      </c>
    </row>
    <row r="5">
      <c r="A5" s="4" t="inlineStr">
        <is>
          <t>GATE-GDPR-CONSENT-PROFILING</t>
        </is>
      </c>
      <c r="B5" s="4" t="inlineStr">
        <is>
          <t>GDPR consent and profiling basis</t>
        </is>
      </c>
      <c r="C5" s="4" t="inlineStr">
        <is>
          <t>CRITICAL</t>
        </is>
      </c>
      <c r="D5" s="4" t="inlineStr">
        <is>
          <t>YES</t>
        </is>
      </c>
      <c r="E5" s="4" t="inlineStr">
        <is>
          <t>SRC-CNIL-PROF-001</t>
        </is>
      </c>
      <c r="F5" s="4" t="inlineStr">
        <is>
          <t>DPO</t>
        </is>
      </c>
      <c r="G5" s="4" t="inlineStr">
        <is>
          <t>Marketing personalization needs legal basis.</t>
        </is>
      </c>
    </row>
    <row r="6">
      <c r="A6" s="5" t="inlineStr">
        <is>
          <t>GATE-AI-ACT-DISCLOSURE</t>
        </is>
      </c>
      <c r="B6" s="5" t="inlineStr">
        <is>
          <t>AI Act transparency disclosure</t>
        </is>
      </c>
      <c r="C6" s="5" t="inlineStr">
        <is>
          <t>HIGH</t>
        </is>
      </c>
      <c r="D6" s="5" t="inlineStr">
        <is>
          <t>YES</t>
        </is>
      </c>
      <c r="E6" s="5" t="inlineStr">
        <is>
          <t>SRC-EU-AIACT-001</t>
        </is>
      </c>
      <c r="F6" s="5" t="inlineStr">
        <is>
          <t>DPO + Marketing</t>
        </is>
      </c>
      <c r="G6" s="5" t="inlineStr">
        <is>
          <t>AI-assisted public personalization needs disclosure when applicable.</t>
        </is>
      </c>
    </row>
    <row r="7">
      <c r="A7" s="4" t="inlineStr">
        <is>
          <t>GATE-AMF-ACPR-CLEAR-NOT-MISLEADING</t>
        </is>
      </c>
      <c r="B7" s="4" t="inlineStr">
        <is>
          <t>Clear and non-misleading segment copy</t>
        </is>
      </c>
      <c r="C7" s="4" t="inlineStr">
        <is>
          <t>CRITICAL</t>
        </is>
      </c>
      <c r="D7" s="4" t="inlineStr">
        <is>
          <t>YES</t>
        </is>
      </c>
      <c r="E7" s="4" t="inlineStr">
        <is>
          <t>SRC-AMF-ACPR-PUB-001</t>
        </is>
      </c>
      <c r="F7" s="4" t="inlineStr">
        <is>
          <t>Marketing Compliance</t>
        </is>
      </c>
      <c r="G7" s="4" t="inlineStr">
        <is>
          <t>Adapted wording cannot remove material risks.</t>
        </is>
      </c>
    </row>
    <row r="8">
      <c r="A8" s="5" t="inlineStr">
        <is>
          <t>GATE-HITL-COMPLIANCE</t>
        </is>
      </c>
      <c r="B8" s="5" t="inlineStr">
        <is>
          <t>Human compliance approval</t>
        </is>
      </c>
      <c r="C8" s="5" t="inlineStr">
        <is>
          <t>CRITICAL</t>
        </is>
      </c>
      <c r="D8" s="5" t="inlineStr">
        <is>
          <t>YES</t>
        </is>
      </c>
      <c r="E8" s="5" t="inlineStr">
        <is>
          <t>internal</t>
        </is>
      </c>
      <c r="F8" s="5" t="inlineStr">
        <is>
          <t>Compliance</t>
        </is>
      </c>
      <c r="G8" s="5" t="inlineStr">
        <is>
          <t>Segmented campaigns require named approval.</t>
        </is>
      </c>
    </row>
  </sheetData>
  <mergeCells count="2">
    <mergeCell ref="A2:G2"/>
    <mergeCell ref="A1:G1"/>
  </mergeCells>
  <dataValidations count="2">
    <dataValidation sqref="C5:C8" showDropDown="0" showInputMessage="0" showErrorMessage="0" allowBlank="1" errorTitle="Invalid entry" error="Value outside list" type="list">
      <formula1>"INFO,LOW,MEDIUM,HIGH,CRITICAL"</formula1>
    </dataValidation>
    <dataValidation sqref="D5:D8" showDropDown="0" showInputMessage="0" showErrorMessage="0" allowBlank="1" errorTitle="Invalid entry" error="Value outside list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0" customWidth="1" min="3" max="3"/>
    <col width="14" customWidth="1" min="4" max="4"/>
    <col width="18" customWidth="1" min="5" max="5"/>
    <col width="86" customWidth="1" min="6" max="6"/>
  </cols>
  <sheetData>
    <row r="1" ht="38" customHeight="1">
      <c r="A1" s="1" t="inlineStr">
        <is>
          <t>RESTRICTED SIGNALS</t>
        </is>
      </c>
    </row>
    <row r="2" ht="24" customHeight="1">
      <c r="A2" s="2" t="inlineStr">
        <is>
          <t>Terms, patterns and situations that trigger review or block</t>
        </is>
      </c>
    </row>
    <row r="4" ht="32" customHeight="1">
      <c r="A4" s="3" t="inlineStr">
        <is>
          <t>SIGNAL_ID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SEVERITY</t>
        </is>
      </c>
      <c r="E4" s="3" t="inlineStr">
        <is>
          <t>ACTION</t>
        </is>
      </c>
      <c r="F4" s="3" t="inlineStr">
        <is>
          <t>RATIONALE</t>
        </is>
      </c>
    </row>
    <row r="5">
      <c r="A5" s="4" t="inlineStr">
        <is>
          <t>BM003-SIG-001</t>
        </is>
      </c>
      <c r="B5" s="4" t="inlineStr">
        <is>
          <t>lookalike crypto audience</t>
        </is>
      </c>
      <c r="C5" s="4" t="inlineStr">
        <is>
          <t>profiling</t>
        </is>
      </c>
      <c r="D5" s="4" t="inlineStr">
        <is>
          <t>CRITICAL</t>
        </is>
      </c>
      <c r="E5" s="4" t="inlineStr">
        <is>
          <t>BLOCK</t>
        </is>
      </c>
      <c r="F5" s="4" t="inlineStr">
        <is>
          <t>High-risk interest inference needs consent and review.</t>
        </is>
      </c>
    </row>
    <row r="6">
      <c r="A6" s="5" t="inlineStr">
        <is>
          <t>BM003-SIG-002</t>
        </is>
      </c>
      <c r="B6" s="5" t="inlineStr">
        <is>
          <t>senior urgency</t>
        </is>
      </c>
      <c r="C6" s="5" t="inlineStr">
        <is>
          <t>vulnerable</t>
        </is>
      </c>
      <c r="D6" s="5" t="inlineStr">
        <is>
          <t>HIGH</t>
        </is>
      </c>
      <c r="E6" s="5" t="inlineStr">
        <is>
          <t>REVIEW</t>
        </is>
      </c>
      <c r="F6" s="5" t="inlineStr">
        <is>
          <t>Avoid pressure tactics for vulnerable clients.</t>
        </is>
      </c>
    </row>
    <row r="7">
      <c r="A7" s="4" t="inlineStr">
        <is>
          <t>BM003-SIG-003</t>
        </is>
      </c>
      <c r="B7" s="4" t="inlineStr">
        <is>
          <t>AI-selected offer</t>
        </is>
      </c>
      <c r="C7" s="4" t="inlineStr">
        <is>
          <t>ai</t>
        </is>
      </c>
      <c r="D7" s="4" t="inlineStr">
        <is>
          <t>HIGH</t>
        </is>
      </c>
      <c r="E7" s="4" t="inlineStr">
        <is>
          <t>REVIEW</t>
        </is>
      </c>
      <c r="F7" s="4" t="inlineStr">
        <is>
          <t>Explain personalization and human support.</t>
        </is>
      </c>
    </row>
    <row r="8">
      <c r="A8" s="5" t="inlineStr">
        <is>
          <t>BM003-SIG-004</t>
        </is>
      </c>
      <c r="B8" s="5" t="inlineStr">
        <is>
          <t>SMS acquisition</t>
        </is>
      </c>
      <c r="C8" s="5" t="inlineStr">
        <is>
          <t>channel</t>
        </is>
      </c>
      <c r="D8" s="5" t="inlineStr">
        <is>
          <t>HIGH</t>
        </is>
      </c>
      <c r="E8" s="5" t="inlineStr">
        <is>
          <t>REVIEW</t>
        </is>
      </c>
      <c r="F8" s="5" t="inlineStr">
        <is>
          <t>Consent and opt-out must be explicit.</t>
        </is>
      </c>
    </row>
  </sheetData>
  <mergeCells count="2">
    <mergeCell ref="A2:F2"/>
    <mergeCell ref="A1:F1"/>
  </mergeCells>
  <dataValidations count="1">
    <dataValidation sqref="D5:D8" showDropDown="0" showInputMessage="0" showErrorMessage="0" allowBlank="1" errorTitle="Invalid entry" error="Value outside list" type="list">
      <formula1>"INFO,LOW,MEDIUM,HIGH,CRITICAL"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0" customWidth="1" min="15" max="15"/>
    <col width="14" customWidth="1" min="16" max="16"/>
  </cols>
  <sheetData>
    <row r="1" ht="38" customHeight="1">
      <c r="A1" s="1" t="inlineStr">
        <is>
          <t>SCORING ENGINE</t>
        </is>
      </c>
    </row>
    <row r="2" ht="24" customHeight="1">
      <c r="A2" s="2" t="inlineStr">
        <is>
          <t>Excel formulas mirror the first deterministic gate implementation</t>
        </is>
      </c>
    </row>
    <row r="4" ht="32" customHeight="1">
      <c r="A4" s="3" t="inlineStr">
        <is>
          <t>SCENARIO_ID</t>
        </is>
      </c>
      <c r="B4" s="3" t="inlineStr">
        <is>
          <t>EXPECTED_VERDICT</t>
        </is>
      </c>
      <c r="C4" s="3" t="inlineStr">
        <is>
          <t>G_CLEAR</t>
        </is>
      </c>
      <c r="D4" s="3" t="inlineStr">
        <is>
          <t>G_BALANCE</t>
        </is>
      </c>
      <c r="E4" s="3" t="inlineStr">
        <is>
          <t>G_SOURCE</t>
        </is>
      </c>
      <c r="F4" s="3" t="inlineStr">
        <is>
          <t>G_NUM</t>
        </is>
      </c>
      <c r="G4" s="3" t="inlineStr">
        <is>
          <t>G_MIFID</t>
        </is>
      </c>
      <c r="H4" s="3" t="inlineStr">
        <is>
          <t>G_PRIIPS</t>
        </is>
      </c>
      <c r="I4" s="3" t="inlineStr">
        <is>
          <t>G_MICA</t>
        </is>
      </c>
      <c r="J4" s="3" t="inlineStr">
        <is>
          <t>G_GDPR</t>
        </is>
      </c>
      <c r="K4" s="3" t="inlineStr">
        <is>
          <t>G_AI</t>
        </is>
      </c>
      <c r="L4" s="3" t="inlineStr">
        <is>
          <t>G_HITL</t>
        </is>
      </c>
      <c r="M4" s="3" t="inlineStr">
        <is>
          <t>BLOCK_COUNT</t>
        </is>
      </c>
      <c r="N4" s="3" t="inlineStr">
        <is>
          <t>REVIEW_COUNT</t>
        </is>
      </c>
      <c r="O4" s="3" t="inlineStr">
        <is>
          <t>OBSERVED_DECISION</t>
        </is>
      </c>
      <c r="P4" s="3" t="inlineStr">
        <is>
          <t>PASS_FAIL</t>
        </is>
      </c>
    </row>
    <row r="5">
      <c r="A5" s="7">
        <f>'2_INPUT_SCENARIOS'!A5</f>
        <v/>
      </c>
      <c r="B5" s="7">
        <f>'2_INPUT_SCENARIOS'!Q5</f>
        <v/>
      </c>
      <c r="C5" s="7">
        <f>IF('2_INPUT_SCENARIOS'!G5="NO","FAIL",IF('2_INPUT_SCENARIOS'!G5="REVIEW","REVIEW","PASS"))</f>
        <v/>
      </c>
      <c r="D5" s="7">
        <f>IF('2_INPUT_SCENARIOS'!H5="NO","FAIL",IF('2_INPUT_SCENARIOS'!H5="REVIEW","REVIEW","PASS"))</f>
        <v/>
      </c>
      <c r="E5" s="7">
        <f>IF('2_INPUT_SCENARIOS'!I5="NO","FAIL",IF('2_INPUT_SCENARIOS'!I5="REVIEW","REVIEW","PASS"))</f>
        <v/>
      </c>
      <c r="F5" s="7">
        <f>IF('2_INPUT_SCENARIOS'!J5="NO","FAIL",IF('2_INPUT_SCENARIOS'!J5="REVIEW","REVIEW","PASS"))</f>
        <v/>
      </c>
      <c r="G5" s="7">
        <f>IF('2_INPUT_SCENARIOS'!K5="NO","FAIL",IF('2_INPUT_SCENARIOS'!K5="REVIEW","REVIEW","PASS"))</f>
        <v/>
      </c>
      <c r="H5" s="7">
        <f>IF('2_INPUT_SCENARIOS'!L5="NO","FAIL",IF('2_INPUT_SCENARIOS'!L5="REVIEW","REVIEW","PASS"))</f>
        <v/>
      </c>
      <c r="I5" s="7">
        <f>IF('2_INPUT_SCENARIOS'!M5="NO","FAIL",IF('2_INPUT_SCENARIOS'!M5="REVIEW","REVIEW","PASS"))</f>
        <v/>
      </c>
      <c r="J5" s="7">
        <f>IF('2_INPUT_SCENARIOS'!N5="NO","FAIL",IF('2_INPUT_SCENARIOS'!N5="REVIEW","REVIEW","PASS"))</f>
        <v/>
      </c>
      <c r="K5" s="7">
        <f>IF('2_INPUT_SCENARIOS'!O5="NO","FAIL",IF('2_INPUT_SCENARIOS'!O5="REVIEW","REVIEW","PASS"))</f>
        <v/>
      </c>
      <c r="L5" s="7">
        <f>IF('2_INPUT_SCENARIOS'!P5="NO","FAIL",IF('2_INPUT_SCENARIOS'!P5="REVIEW","REVIEW","PASS"))</f>
        <v/>
      </c>
      <c r="M5" s="7">
        <f>COUNTIF(C5:L5,"FAIL")</f>
        <v/>
      </c>
      <c r="N5" s="7">
        <f>COUNTIF(C5:L5,"REVIEW")</f>
        <v/>
      </c>
      <c r="O5" s="7">
        <f>IF(M5&gt;0,"BLOCK",IF(N5&gt;0,"PASS_WITH_REVIEW","PASS"))</f>
        <v/>
      </c>
      <c r="P5" s="7">
        <f>IF(O5=B5,"OK","FAIL")</f>
        <v/>
      </c>
    </row>
    <row r="6">
      <c r="A6" s="7">
        <f>'2_INPUT_SCENARIOS'!A6</f>
        <v/>
      </c>
      <c r="B6" s="7">
        <f>'2_INPUT_SCENARIOS'!Q6</f>
        <v/>
      </c>
      <c r="C6" s="7">
        <f>IF('2_INPUT_SCENARIOS'!G6="NO","FAIL",IF('2_INPUT_SCENARIOS'!G6="REVIEW","REVIEW","PASS"))</f>
        <v/>
      </c>
      <c r="D6" s="7">
        <f>IF('2_INPUT_SCENARIOS'!H6="NO","FAIL",IF('2_INPUT_SCENARIOS'!H6="REVIEW","REVIEW","PASS"))</f>
        <v/>
      </c>
      <c r="E6" s="7">
        <f>IF('2_INPUT_SCENARIOS'!I6="NO","FAIL",IF('2_INPUT_SCENARIOS'!I6="REVIEW","REVIEW","PASS"))</f>
        <v/>
      </c>
      <c r="F6" s="7">
        <f>IF('2_INPUT_SCENARIOS'!J6="NO","FAIL",IF('2_INPUT_SCENARIOS'!J6="REVIEW","REVIEW","PASS"))</f>
        <v/>
      </c>
      <c r="G6" s="7">
        <f>IF('2_INPUT_SCENARIOS'!K6="NO","FAIL",IF('2_INPUT_SCENARIOS'!K6="REVIEW","REVIEW","PASS"))</f>
        <v/>
      </c>
      <c r="H6" s="7">
        <f>IF('2_INPUT_SCENARIOS'!L6="NO","FAIL",IF('2_INPUT_SCENARIOS'!L6="REVIEW","REVIEW","PASS"))</f>
        <v/>
      </c>
      <c r="I6" s="7">
        <f>IF('2_INPUT_SCENARIOS'!M6="NO","FAIL",IF('2_INPUT_SCENARIOS'!M6="REVIEW","REVIEW","PASS"))</f>
        <v/>
      </c>
      <c r="J6" s="7">
        <f>IF('2_INPUT_SCENARIOS'!N6="NO","FAIL",IF('2_INPUT_SCENARIOS'!N6="REVIEW","REVIEW","PASS"))</f>
        <v/>
      </c>
      <c r="K6" s="7">
        <f>IF('2_INPUT_SCENARIOS'!O6="NO","FAIL",IF('2_INPUT_SCENARIOS'!O6="REVIEW","REVIEW","PASS"))</f>
        <v/>
      </c>
      <c r="L6" s="7">
        <f>IF('2_INPUT_SCENARIOS'!P6="NO","FAIL",IF('2_INPUT_SCENARIOS'!P6="REVIEW","REVIEW","PASS"))</f>
        <v/>
      </c>
      <c r="M6" s="7">
        <f>COUNTIF(C6:L6,"FAIL")</f>
        <v/>
      </c>
      <c r="N6" s="7">
        <f>COUNTIF(C6:L6,"REVIEW")</f>
        <v/>
      </c>
      <c r="O6" s="7">
        <f>IF(M6&gt;0,"BLOCK",IF(N6&gt;0,"PASS_WITH_REVIEW","PASS"))</f>
        <v/>
      </c>
      <c r="P6" s="7">
        <f>IF(O6=B6,"OK","FAIL")</f>
        <v/>
      </c>
    </row>
    <row r="7">
      <c r="A7" s="7">
        <f>'2_INPUT_SCENARIOS'!A7</f>
        <v/>
      </c>
      <c r="B7" s="7">
        <f>'2_INPUT_SCENARIOS'!Q7</f>
        <v/>
      </c>
      <c r="C7" s="7">
        <f>IF('2_INPUT_SCENARIOS'!G7="NO","FAIL",IF('2_INPUT_SCENARIOS'!G7="REVIEW","REVIEW","PASS"))</f>
        <v/>
      </c>
      <c r="D7" s="7">
        <f>IF('2_INPUT_SCENARIOS'!H7="NO","FAIL",IF('2_INPUT_SCENARIOS'!H7="REVIEW","REVIEW","PASS"))</f>
        <v/>
      </c>
      <c r="E7" s="7">
        <f>IF('2_INPUT_SCENARIOS'!I7="NO","FAIL",IF('2_INPUT_SCENARIOS'!I7="REVIEW","REVIEW","PASS"))</f>
        <v/>
      </c>
      <c r="F7" s="7">
        <f>IF('2_INPUT_SCENARIOS'!J7="NO","FAIL",IF('2_INPUT_SCENARIOS'!J7="REVIEW","REVIEW","PASS"))</f>
        <v/>
      </c>
      <c r="G7" s="7">
        <f>IF('2_INPUT_SCENARIOS'!K7="NO","FAIL",IF('2_INPUT_SCENARIOS'!K7="REVIEW","REVIEW","PASS"))</f>
        <v/>
      </c>
      <c r="H7" s="7">
        <f>IF('2_INPUT_SCENARIOS'!L7="NO","FAIL",IF('2_INPUT_SCENARIOS'!L7="REVIEW","REVIEW","PASS"))</f>
        <v/>
      </c>
      <c r="I7" s="7">
        <f>IF('2_INPUT_SCENARIOS'!M7="NO","FAIL",IF('2_INPUT_SCENARIOS'!M7="REVIEW","REVIEW","PASS"))</f>
        <v/>
      </c>
      <c r="J7" s="7">
        <f>IF('2_INPUT_SCENARIOS'!N7="NO","FAIL",IF('2_INPUT_SCENARIOS'!N7="REVIEW","REVIEW","PASS"))</f>
        <v/>
      </c>
      <c r="K7" s="7">
        <f>IF('2_INPUT_SCENARIOS'!O7="NO","FAIL",IF('2_INPUT_SCENARIOS'!O7="REVIEW","REVIEW","PASS"))</f>
        <v/>
      </c>
      <c r="L7" s="7">
        <f>IF('2_INPUT_SCENARIOS'!P7="NO","FAIL",IF('2_INPUT_SCENARIOS'!P7="REVIEW","REVIEW","PASS"))</f>
        <v/>
      </c>
      <c r="M7" s="7">
        <f>COUNTIF(C7:L7,"FAIL")</f>
        <v/>
      </c>
      <c r="N7" s="7">
        <f>COUNTIF(C7:L7,"REVIEW")</f>
        <v/>
      </c>
      <c r="O7" s="7">
        <f>IF(M7&gt;0,"BLOCK",IF(N7&gt;0,"PASS_WITH_REVIEW","PASS"))</f>
        <v/>
      </c>
      <c r="P7" s="7">
        <f>IF(O7=B7,"OK","FAIL")</f>
        <v/>
      </c>
    </row>
  </sheetData>
  <mergeCells count="2">
    <mergeCell ref="A1:P1"/>
    <mergeCell ref="A2:P2"/>
  </mergeCells>
  <conditionalFormatting sqref="O5:O7">
    <cfRule type="cellIs" priority="1" operator="equal" dxfId="0">
      <formula>"PASS"</formula>
    </cfRule>
    <cfRule type="cellIs" priority="2" operator="equal" dxfId="1">
      <formula>"PASS_WITH_REVIEW"</formula>
    </cfRule>
    <cfRule type="cellIs" priority="3" operator="equal" dxfId="2">
      <formula>"BLOCK"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88" customWidth="1" min="5" max="5"/>
    <col width="14" customWidth="1" min="6" max="6"/>
    <col width="24" customWidth="1" min="7" max="7"/>
    <col width="34" customWidth="1" min="8" max="8"/>
  </cols>
  <sheetData>
    <row r="1" ht="38" customHeight="1">
      <c r="A1" s="1" t="inlineStr">
        <is>
          <t>OUTPUT PACK</t>
        </is>
      </c>
    </row>
    <row r="2" ht="24" customHeight="1">
      <c r="A2" s="2" t="inlineStr">
        <is>
          <t>Portfolio-safe outputs for later site integration</t>
        </is>
      </c>
    </row>
    <row r="4" ht="32" customHeight="1">
      <c r="A4" s="3" t="inlineStr">
        <is>
          <t>OUTPUT_ID</t>
        </is>
      </c>
      <c r="B4" s="3" t="inlineStr">
        <is>
          <t>SCENARIO_ID</t>
        </is>
      </c>
      <c r="C4" s="3" t="inlineStr">
        <is>
          <t>PACK_SECTION</t>
        </is>
      </c>
      <c r="D4" s="3" t="inlineStr">
        <is>
          <t>DECISION_REF</t>
        </is>
      </c>
      <c r="E4" s="3" t="inlineStr">
        <is>
          <t>CONTENT</t>
        </is>
      </c>
      <c r="F4" s="3" t="inlineStr">
        <is>
          <t>EXPORT_READY</t>
        </is>
      </c>
      <c r="G4" s="3" t="inlineStr">
        <is>
          <t>REVIEW_OWNER</t>
        </is>
      </c>
      <c r="H4" s="3" t="inlineStr">
        <is>
          <t>HASH_SEED</t>
        </is>
      </c>
    </row>
    <row r="5">
      <c r="A5" s="4" t="inlineStr">
        <is>
          <t>OUT-BM003-001</t>
        </is>
      </c>
      <c r="B5" s="4" t="inlineStr">
        <is>
          <t>BM003-PASS-APP</t>
        </is>
      </c>
      <c r="C5" s="4" t="inlineStr">
        <is>
          <t>Adapted copy</t>
        </is>
      </c>
      <c r="D5" s="4">
        <f>'5_SCORING_ENGINE'!O5</f>
        <v/>
      </c>
      <c r="E5" s="4" t="inlineStr">
        <is>
          <t>Send concise app push with link to full disclosure and opt-out path.</t>
        </is>
      </c>
      <c r="F5" s="4" t="inlineStr">
        <is>
          <t>YES</t>
        </is>
      </c>
      <c r="G5" s="4" t="inlineStr">
        <is>
          <t>CRM Marketing</t>
        </is>
      </c>
      <c r="H5" s="4" t="inlineStr">
        <is>
          <t>AG-BM003-BM003-PASS-APP-v20260425</t>
        </is>
      </c>
    </row>
    <row r="6">
      <c r="A6" s="5" t="inlineStr">
        <is>
          <t>OUT-BM003-002</t>
        </is>
      </c>
      <c r="B6" s="5" t="inlineStr">
        <is>
          <t>BM003-REVIEW-SENIOR</t>
        </is>
      </c>
      <c r="C6" s="5" t="inlineStr">
        <is>
          <t>Review brief</t>
        </is>
      </c>
      <c r="D6" s="5">
        <f>'5_SCORING_ENGINE'!O6</f>
        <v/>
      </c>
      <c r="E6" s="5" t="inlineStr">
        <is>
          <t>Simplify sentence length and remove urgency before compliance approval.</t>
        </is>
      </c>
      <c r="F6" s="5" t="inlineStr">
        <is>
          <t>YES</t>
        </is>
      </c>
      <c r="G6" s="5" t="inlineStr">
        <is>
          <t>DPO + Compliance</t>
        </is>
      </c>
      <c r="H6" s="5" t="inlineStr">
        <is>
          <t>AG-BM003-BM003-REVIEW-SENIOR-v20260425</t>
        </is>
      </c>
    </row>
    <row r="7">
      <c r="A7" s="4" t="inlineStr">
        <is>
          <t>OUT-BM003-003</t>
        </is>
      </c>
      <c r="B7" s="4" t="inlineStr">
        <is>
          <t>BM003-BLOCK-PROFILING</t>
        </is>
      </c>
      <c r="C7" s="4" t="inlineStr">
        <is>
          <t>Block notice</t>
        </is>
      </c>
      <c r="D7" s="4">
        <f>'5_SCORING_ENGINE'!O7</f>
        <v/>
      </c>
      <c r="E7" s="4" t="inlineStr">
        <is>
          <t>Stop campaign until consent basis, AI disclosure and crypto risk gates are fixed.</t>
        </is>
      </c>
      <c r="F7" s="4" t="inlineStr">
        <is>
          <t>YES</t>
        </is>
      </c>
      <c r="G7" s="4" t="inlineStr">
        <is>
          <t>DPO</t>
        </is>
      </c>
      <c r="H7" s="4" t="inlineStr">
        <is>
          <t>AG-BM003-BM003-BLOCK-PROFILING-v20260425</t>
        </is>
      </c>
    </row>
  </sheetData>
  <mergeCells count="2">
    <mergeCell ref="A2:H2"/>
    <mergeCell ref="A1:H1"/>
  </mergeCells>
  <dataValidations count="1">
    <dataValidation sqref="F5:F7" showDropDown="0" showInputMessage="0" showErrorMessage="0" allowBlank="1" errorTitle="Invalid entry" error="Value outside list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  <col width="18" customWidth="1" min="4" max="4"/>
  </cols>
  <sheetData>
    <row r="1" ht="38" customHeight="1">
      <c r="A1" s="1" t="inlineStr">
        <is>
          <t>DASHBOARD</t>
        </is>
      </c>
    </row>
    <row r="2" ht="24" customHeight="1">
      <c r="A2" s="2" t="inlineStr">
        <is>
          <t>Executive portfolio dashboard</t>
        </is>
      </c>
    </row>
    <row r="4" ht="32" customHeight="1">
      <c r="A4" s="3" t="inlineStr">
        <is>
          <t>KPI</t>
        </is>
      </c>
      <c r="B4" s="3" t="inlineStr">
        <is>
          <t>VALUE</t>
        </is>
      </c>
      <c r="C4" s="3" t="inlineStr">
        <is>
          <t>FORMULA_SOURCE</t>
        </is>
      </c>
      <c r="D4" s="3" t="inlineStr">
        <is>
          <t>STATUS</t>
        </is>
      </c>
    </row>
    <row r="5">
      <c r="A5" s="4" t="inlineStr">
        <is>
          <t>Scenarios</t>
        </is>
      </c>
      <c r="B5" s="4">
        <f>COUNTA('2_INPUT_SCENARIOS'!A5:A50)</f>
        <v/>
      </c>
      <c r="C5" s="4" t="inlineStr">
        <is>
          <t>2_INPUT_SCENARIOS</t>
        </is>
      </c>
      <c r="D5" s="4" t="inlineStr">
        <is>
          <t>OK</t>
        </is>
      </c>
    </row>
    <row r="6">
      <c r="A6" s="5" t="inlineStr">
        <is>
          <t>PASS</t>
        </is>
      </c>
      <c r="B6" s="5">
        <f>COUNTIF('5_SCORING_ENGINE'!O:O,"PASS")</f>
        <v/>
      </c>
      <c r="C6" s="5" t="inlineStr">
        <is>
          <t>5_SCORING_ENGINE</t>
        </is>
      </c>
      <c r="D6" s="5" t="inlineStr">
        <is>
          <t>OK</t>
        </is>
      </c>
    </row>
    <row r="7">
      <c r="A7" s="4" t="inlineStr">
        <is>
          <t>PASS_WITH_REVIEW</t>
        </is>
      </c>
      <c r="B7" s="4">
        <f>COUNTIF('5_SCORING_ENGINE'!O:O,"PASS_WITH_REVIEW")</f>
        <v/>
      </c>
      <c r="C7" s="4" t="inlineStr">
        <is>
          <t>5_SCORING_ENGINE</t>
        </is>
      </c>
      <c r="D7" s="4" t="inlineStr">
        <is>
          <t>OK</t>
        </is>
      </c>
    </row>
    <row r="8">
      <c r="A8" s="5" t="inlineStr">
        <is>
          <t>BLOCK</t>
        </is>
      </c>
      <c r="B8" s="5">
        <f>COUNTIF('5_SCORING_ENGINE'!O:O,"BLOCK")</f>
        <v/>
      </c>
      <c r="C8" s="5" t="inlineStr">
        <is>
          <t>5_SCORING_ENGINE</t>
        </is>
      </c>
      <c r="D8" s="5" t="inlineStr">
        <is>
          <t>OK</t>
        </is>
      </c>
    </row>
    <row r="9">
      <c r="A9" s="4" t="inlineStr">
        <is>
          <t>Formula tests OK</t>
        </is>
      </c>
      <c r="B9" s="4">
        <f>COUNTIF('5_SCORING_ENGINE'!P:P,"OK")</f>
        <v/>
      </c>
      <c r="C9" s="4" t="inlineStr">
        <is>
          <t>5_SCORING_ENGINE</t>
        </is>
      </c>
      <c r="D9" s="4" t="inlineStr">
        <is>
          <t>OK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4" customWidth="1" min="4" max="4"/>
    <col width="74" customWidth="1" min="5" max="5"/>
  </cols>
  <sheetData>
    <row r="1" ht="38" customHeight="1">
      <c r="A1" s="1" t="inlineStr">
        <is>
          <t>TESTSET</t>
        </is>
      </c>
    </row>
    <row r="2" ht="24" customHeight="1">
      <c r="A2" s="2" t="inlineStr">
        <is>
          <t>Expected decisions used by verify_workbooks.py</t>
        </is>
      </c>
    </row>
    <row r="4" ht="32" customHeight="1">
      <c r="A4" s="3" t="inlineStr">
        <is>
          <t>SCENARIO_ID</t>
        </is>
      </c>
      <c r="B4" s="3" t="inlineStr">
        <is>
          <t>EXPECTED</t>
        </is>
      </c>
      <c r="C4" s="3" t="inlineStr">
        <is>
          <t>OBSERVED</t>
        </is>
      </c>
      <c r="D4" s="3" t="inlineStr">
        <is>
          <t>PASS_FAIL</t>
        </is>
      </c>
      <c r="E4" s="3" t="inlineStr">
        <is>
          <t>NOTE</t>
        </is>
      </c>
    </row>
    <row r="5">
      <c r="A5" s="8">
        <f>'2_INPUT_SCENARIOS'!A5</f>
        <v/>
      </c>
      <c r="B5" s="8">
        <f>'2_INPUT_SCENARIOS'!Q5</f>
        <v/>
      </c>
      <c r="C5" s="8">
        <f>'5_SCORING_ENGINE'!O5</f>
        <v/>
      </c>
      <c r="D5" s="8">
        <f>'5_SCORING_ENGINE'!P5</f>
        <v/>
      </c>
      <c r="E5" s="8" t="inlineStr">
        <is>
          <t>Scenario exercises one MVP Banque Marketing gate path.</t>
        </is>
      </c>
    </row>
    <row r="6">
      <c r="A6" s="8">
        <f>'2_INPUT_SCENARIOS'!A6</f>
        <v/>
      </c>
      <c r="B6" s="8">
        <f>'2_INPUT_SCENARIOS'!Q6</f>
        <v/>
      </c>
      <c r="C6" s="8">
        <f>'5_SCORING_ENGINE'!O6</f>
        <v/>
      </c>
      <c r="D6" s="8">
        <f>'5_SCORING_ENGINE'!P6</f>
        <v/>
      </c>
      <c r="E6" s="8" t="inlineStr">
        <is>
          <t>Scenario exercises one MVP Banque Marketing gate path.</t>
        </is>
      </c>
    </row>
    <row r="7">
      <c r="A7" s="8">
        <f>'2_INPUT_SCENARIOS'!A7</f>
        <v/>
      </c>
      <c r="B7" s="8">
        <f>'2_INPUT_SCENARIOS'!Q7</f>
        <v/>
      </c>
      <c r="C7" s="8">
        <f>'5_SCORING_ENGINE'!O7</f>
        <v/>
      </c>
      <c r="D7" s="8">
        <f>'5_SCORING_ENGINE'!P7</f>
        <v/>
      </c>
      <c r="E7" s="8" t="inlineStr">
        <is>
          <t>Scenario exercises one MVP Banque Marketing gate path.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4" customWidth="1" min="3" max="3"/>
    <col width="74" customWidth="1" min="4" max="4"/>
    <col width="16" customWidth="1" min="5" max="5"/>
  </cols>
  <sheetData>
    <row r="1" ht="38" customHeight="1">
      <c r="A1" s="1" t="inlineStr">
        <is>
          <t>LEARNINGS</t>
        </is>
      </c>
    </row>
    <row r="2" ht="24" customHeight="1">
      <c r="A2" s="2" t="inlineStr">
        <is>
          <t>Recruiter-facing implementation notes and next steps</t>
        </is>
      </c>
    </row>
    <row r="4" ht="32" customHeight="1">
      <c r="A4" s="3" t="inlineStr">
        <is>
          <t>ID</t>
        </is>
      </c>
      <c r="B4" s="3" t="inlineStr">
        <is>
          <t>TOPIC</t>
        </is>
      </c>
      <c r="C4" s="3" t="inlineStr">
        <is>
          <t>LEARNING</t>
        </is>
      </c>
      <c r="D4" s="3" t="inlineStr">
        <is>
          <t>NEXT_STEP</t>
        </is>
      </c>
      <c r="E4" s="3" t="inlineStr">
        <is>
          <t>STATUS</t>
        </is>
      </c>
    </row>
    <row r="5">
      <c r="A5" s="4" t="inlineStr">
        <is>
          <t>LRN-001</t>
        </is>
      </c>
      <c r="B5" s="4" t="inlineStr">
        <is>
          <t>Consent</t>
        </is>
      </c>
      <c r="C5" s="4" t="inlineStr">
        <is>
          <t>Segmentation is the place where marketing value and regulatory risk meet.</t>
        </is>
      </c>
      <c r="D5" s="4" t="inlineStr">
        <is>
          <t>Add consent matrix to site demo.</t>
        </is>
      </c>
      <c r="E5" s="4" t="inlineStr">
        <is>
          <t>OPEN</t>
        </is>
      </c>
    </row>
    <row r="6">
      <c r="A6" s="5" t="inlineStr">
        <is>
          <t>LRN-002</t>
        </is>
      </c>
      <c r="B6" s="5" t="inlineStr">
        <is>
          <t>Vulnerable clients</t>
        </is>
      </c>
      <c r="C6" s="5" t="inlineStr">
        <is>
          <t>Senior targeting needs a softer copy and review gate.</t>
        </is>
      </c>
      <c r="D6" s="5" t="inlineStr">
        <is>
          <t>Add pressure-wording classifier later.</t>
        </is>
      </c>
      <c r="E6" s="5" t="inlineStr">
        <is>
          <t>OPEN</t>
        </is>
      </c>
    </row>
    <row r="7">
      <c r="A7" s="4" t="inlineStr">
        <is>
          <t>LRN-003</t>
        </is>
      </c>
      <c r="B7" s="4" t="inlineStr">
        <is>
          <t>AI disclosure</t>
        </is>
      </c>
      <c r="C7" s="4" t="inlineStr">
        <is>
          <t>The August 2026 AI Act milestone should be explicit in portfolio materials.</t>
        </is>
      </c>
      <c r="D7" s="4" t="inlineStr">
        <is>
          <t>Add date-aware gate in V1.</t>
        </is>
      </c>
      <c r="E7" s="4" t="inlineStr">
        <is>
          <t>OPEN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NEURAL</dc:creator>
  <dc:title>NEURAL - SegmentedBankMarketing</dc:title>
  <dc:description>Synthetic portfolio workbook generated for NEURAL Banque Marketing.</dc:description>
  <dc:subject>Adapt bank marketing by segment while preserving consent, fairness and explainability</dc:subject>
  <dcterms:created xsi:type="dcterms:W3CDTF">2026-04-25T15:17:15Z</dcterms:created>
  <dcterms:modified xsi:type="dcterms:W3CDTF">2026-04-25T15:17:15Z</dcterms:modified>
  <cp:category>Banque - Marketing</cp:category>
</cp:coreProperties>
</file>