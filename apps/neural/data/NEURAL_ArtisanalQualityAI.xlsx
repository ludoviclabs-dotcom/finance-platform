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ASHBOARD" sheetId="1" state="visible" r:id="rId1"/>
    <sheet name="2_CRITERES" sheetId="2" state="visible" r:id="rId2"/>
    <sheet name="3_CONTROLES" sheetId="3" state="visible" r:id="rId3"/>
    <sheet name="4_DEFAUTS" sheetId="4" state="visible" r:id="rId4"/>
    <sheet name="5_ATELIERS" sheetId="5" state="visible" r:id="rId5"/>
    <sheet name="6_ARTISANS" sheetId="6" state="visible" r:id="rId6"/>
    <sheet name="7_RAPPORTS_QC" sheetId="7" state="visible" r:id="rId7"/>
    <sheet name="8_KPI_QUALITE" sheetId="8" state="visible" r:id="rId8"/>
  </sheets>
  <definedNames>
    <definedName name="_xlnm._FilterDatabase" localSheetId="1" hidden="1">'2_CRITERES'!$A$4:$N$20</definedName>
    <definedName name="_xlnm._FilterDatabase" localSheetId="2" hidden="1">'3_CONTROLES'!$A$4:$P$18</definedName>
    <definedName name="_xlnm._FilterDatabase" localSheetId="3" hidden="1">'4_DEFAUTS'!$A$4:$P$12</definedName>
    <definedName name="_xlnm._FilterDatabase" localSheetId="4" hidden="1">'5_ATELIERS'!$A$4:$N$11</definedName>
    <definedName name="_xlnm._FilterDatabase" localSheetId="5" hidden="1">'6_ARTISANS'!$A$4:$P$14</definedName>
    <definedName name="_xlnm._FilterDatabase" localSheetId="6" hidden="1">'7_RAPPORTS_QC'!$A$4:$N$12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 €"/>
    <numFmt numFmtId="167" formatCode="0.0&quot; ans&quot;"/>
    <numFmt numFmtId="168" formatCode="0&quot;h&quot;"/>
    <numFmt numFmtId="169" formatCode="#,##0 &quot;EUR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9A84C"/>
      <sz val="10"/>
    </font>
    <font>
      <name val="Calibri"/>
      <i val="1"/>
      <color rgb="008C8C8C"/>
      <sz val="8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9A84C"/>
      <sz val="11"/>
    </font>
    <font>
      <name val="Calibri"/>
      <b val="1"/>
      <color rgb="00FF0000"/>
      <sz val="11"/>
    </font>
    <font>
      <name val="Calibri"/>
      <b val="1"/>
      <color rgb="00C9A84C"/>
      <sz val="10"/>
    </font>
    <font>
      <name val="Calibri"/>
      <color rgb="00006100"/>
      <sz val="9"/>
    </font>
    <font>
      <name val="Calibri"/>
      <color rgb="009C0006"/>
      <sz val="9"/>
    </font>
    <font>
      <name val="Calibri"/>
      <b val="1"/>
      <sz val="10"/>
    </font>
    <font>
      <name val="Calibri"/>
      <b val="1"/>
      <color rgb="00006100"/>
      <sz val="9"/>
    </font>
    <font>
      <name val="Calibri"/>
      <b val="1"/>
      <sz val="11"/>
    </font>
    <font>
      <name val="Calibri"/>
      <b val="1"/>
      <color rgb="00C9A84C"/>
      <sz val="14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9F6F0"/>
        <bgColor rgb="00F9F6F0"/>
      </patternFill>
    </fill>
    <fill>
      <patternFill patternType="solid">
        <fgColor rgb="006B1D2A"/>
        <bgColor rgb="006B1D2A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2" borderId="1" pivotButton="0" quotePrefix="0" xfId="0"/>
    <xf numFmtId="1" fontId="7" fillId="2" borderId="1" applyAlignment="1" pivotButton="0" quotePrefix="0" xfId="0">
      <alignment horizontal="center" vertical="center" wrapText="1"/>
    </xf>
    <xf numFmtId="0" fontId="8" fillId="2" borderId="1" pivotButton="0" quotePrefix="0" xfId="0"/>
    <xf numFmtId="164" fontId="7" fillId="2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7" fillId="2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5" fontId="9" fillId="3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7" fontId="7" fillId="2" borderId="1" applyAlignment="1" pivotButton="0" quotePrefix="0" xfId="0">
      <alignment horizontal="center" vertical="center" wrapText="1"/>
    </xf>
    <xf numFmtId="168" fontId="7" fillId="2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1" fontId="10" fillId="3" borderId="1" applyAlignment="1" pivotButton="0" quotePrefix="0" xfId="0">
      <alignment horizontal="center" vertical="center" wrapText="1"/>
    </xf>
    <xf numFmtId="1" fontId="11" fillId="3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169" fontId="9" fillId="0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center" vertical="center" wrapText="1"/>
    </xf>
    <xf numFmtId="169" fontId="13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2" fontId="6" fillId="3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69" fontId="13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169" fontId="7" fillId="2" borderId="1" applyAlignment="1" pivotButton="0" quotePrefix="0" xfId="0">
      <alignment horizontal="center" vertical="center" wrapText="1"/>
    </xf>
    <xf numFmtId="165" fontId="7" fillId="2" borderId="1" pivotButton="0" quotePrefix="0" xfId="0"/>
    <xf numFmtId="2" fontId="7" fillId="2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14" fillId="0" borderId="1" pivotButton="0" quotePrefix="0" xfId="0"/>
    <xf numFmtId="169" fontId="15" fillId="0" borderId="1" applyAlignment="1" pivotButton="0" quotePrefix="0" xfId="0">
      <alignment horizontal="center" vertical="center" wrapText="1"/>
    </xf>
    <xf numFmtId="165" fontId="15" fillId="0" borderId="1" applyAlignment="1" pivotButton="0" quotePrefix="0" xfId="0">
      <alignment horizontal="center" vertical="center" wrapText="1"/>
    </xf>
    <xf numFmtId="1" fontId="15" fillId="0" borderId="1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FF6600"/>
          <bgColor rgb="00FF6600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1565C0"/>
      </font>
      <fill>
        <patternFill patternType="solid">
          <fgColor rgb="00D6E4F0"/>
          <bgColor rgb="00D6E4F0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8" customHeight="1">
      <c r="A1" s="1" t="inlineStr">
        <is>
          <t>AGENT ARTISANALQUALITYAI — TABLEAU DE BORD QUALITE</t>
        </is>
      </c>
    </row>
    <row r="2" ht="28" customHeight="1">
      <c r="A2" s="2" t="inlineStr">
        <is>
          <t>Neural Enterprise Framework — Qualite Artisanale Luxe — Documentation &amp; Controle — Avril 2026</t>
        </is>
      </c>
    </row>
    <row r="3">
      <c r="A3" s="3" t="inlineStr">
        <is>
          <t>Donnees temps reel | Maroquinerie • Joaillerie • Horlogerie • Pret-a-Porter | Connexion Agent LuxeTraceability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40" customWidth="1" min="5" max="5"/>
    <col width="24" customWidth="1" min="6" max="6"/>
    <col width="20" customWidth="1" min="7" max="7"/>
    <col width="14" customWidth="1" min="8" max="8"/>
    <col width="14" customWidth="1" min="9" max="9"/>
    <col width="10" customWidth="1" min="10" max="10"/>
    <col width="14" customWidth="1" min="11" max="11"/>
    <col width="18" customWidth="1" min="12" max="12"/>
    <col width="30" customWidth="1" min="13" max="13"/>
    <col width="16" customWidth="1" min="14" max="14"/>
  </cols>
  <sheetData>
    <row r="1" ht="48" customHeight="1">
      <c r="A1" s="1" t="inlineStr">
        <is>
          <t>CRITERES DE QUALITE PAR METIER — AGENT ARTISANALQUALITYAI</t>
        </is>
      </c>
    </row>
    <row r="2" ht="28" customHeight="1">
      <c r="A2" s="2" t="inlineStr">
        <is>
          <t>Referentiel qualite artisanale — Tolerances, methodes de mesure, seuils — Par maison et metier — Avril 2026</t>
        </is>
      </c>
    </row>
    <row r="3" ht="30" customHeight="1">
      <c r="A3" s="4" t="inlineStr">
        <is>
          <t>REFERENTIEL DES CRITERES DE QUALITE ARTISANALE</t>
        </is>
      </c>
    </row>
    <row r="4" ht="36" customHeight="1">
      <c r="A4" s="5" t="inlineStr">
        <is>
          <t>ID_Critere</t>
        </is>
      </c>
      <c r="B4" s="5" t="inlineStr">
        <is>
          <t>Metier</t>
        </is>
      </c>
      <c r="C4" s="5" t="inlineStr">
        <is>
          <t>Categorie produit</t>
        </is>
      </c>
      <c r="D4" s="5" t="inlineStr">
        <is>
          <t>Critere qualite</t>
        </is>
      </c>
      <c r="E4" s="5" t="inlineStr">
        <is>
          <t>Description detaillee</t>
        </is>
      </c>
      <c r="F4" s="5" t="inlineStr">
        <is>
          <t>Methode de mesure</t>
        </is>
      </c>
      <c r="G4" s="5" t="inlineStr">
        <is>
          <t>Outil / Instrument</t>
        </is>
      </c>
      <c r="H4" s="5" t="inlineStr">
        <is>
          <t>Tolerance min</t>
        </is>
      </c>
      <c r="I4" s="5" t="inlineStr">
        <is>
          <t>Tolerance max</t>
        </is>
      </c>
      <c r="J4" s="5" t="inlineStr">
        <is>
          <t>Unite</t>
        </is>
      </c>
      <c r="K4" s="5" t="inlineStr">
        <is>
          <t>Niveau criticite</t>
        </is>
      </c>
      <c r="L4" s="5" t="inlineStr">
        <is>
          <t>Reference norme</t>
        </is>
      </c>
      <c r="M4" s="5" t="inlineStr">
        <is>
          <t>Specificite Maison</t>
        </is>
      </c>
      <c r="N4" s="5" t="inlineStr">
        <is>
          <t>Frequence controle</t>
        </is>
      </c>
    </row>
    <row r="5">
      <c r="A5" s="6" t="inlineStr">
        <is>
          <t>CQ-MAR-001</t>
        </is>
      </c>
      <c r="B5" s="6" t="inlineStr">
        <is>
          <t>Maroquinerie</t>
        </is>
      </c>
      <c r="C5" s="6" t="inlineStr">
        <is>
          <t>Sac a main</t>
        </is>
      </c>
      <c r="D5" s="6" t="inlineStr">
        <is>
          <t>Densite de piqure</t>
        </is>
      </c>
      <c r="E5" s="6" t="inlineStr">
        <is>
          <t>Nombre de points par cm sur couture sellier — Regularite absolue exigee — Pas de variation &gt;0.5pt/cm</t>
        </is>
      </c>
      <c r="F5" s="6" t="inlineStr">
        <is>
          <t>Comptage visuel + loupe 10x</t>
        </is>
      </c>
      <c r="G5" s="6" t="inlineStr">
        <is>
          <t>Loupe binoculaire + regle graduee</t>
        </is>
      </c>
      <c r="H5" s="6" t="n">
        <v>5</v>
      </c>
      <c r="I5" s="6" t="n">
        <v>7</v>
      </c>
      <c r="J5" s="6" t="inlineStr">
        <is>
          <t>pts/cm</t>
        </is>
      </c>
      <c r="K5" s="6" t="inlineStr">
        <is>
          <t>CRITIQUE</t>
        </is>
      </c>
      <c r="L5" s="6" t="inlineStr">
        <is>
          <t>Norme interne MQ-001</t>
        </is>
      </c>
      <c r="M5" s="6" t="inlineStr">
        <is>
          <t>Point sellier : 5 pts/cm tradition Hermes — 6 pts/cm standard maison</t>
        </is>
      </c>
      <c r="N5" s="6" t="inlineStr">
        <is>
          <t>100% des pieces</t>
        </is>
      </c>
    </row>
    <row r="6">
      <c r="A6" s="7" t="inlineStr">
        <is>
          <t>CQ-MAR-002</t>
        </is>
      </c>
      <c r="B6" s="7" t="inlineStr">
        <is>
          <t>Maroquinerie</t>
        </is>
      </c>
      <c r="C6" s="7" t="inlineStr">
        <is>
          <t>Sac a main</t>
        </is>
      </c>
      <c r="D6" s="7" t="inlineStr">
        <is>
          <t>Symetrie des coutures</t>
        </is>
      </c>
      <c r="E6" s="7" t="inlineStr">
        <is>
          <t>Ecart maximal entre coutures symetriques gauche/droite — Mesure sur 5 points de reference</t>
        </is>
      </c>
      <c r="F6" s="7" t="inlineStr">
        <is>
          <t>Mesure au pied a coulisse digital</t>
        </is>
      </c>
      <c r="G6" s="7" t="inlineStr">
        <is>
          <t>Pied a coulisse Mitutoyo 0.01mm</t>
        </is>
      </c>
      <c r="H6" s="7" t="n">
        <v>0</v>
      </c>
      <c r="I6" s="7" t="n">
        <v>0.5</v>
      </c>
      <c r="J6" s="7" t="inlineStr">
        <is>
          <t>mm</t>
        </is>
      </c>
      <c r="K6" s="7" t="inlineStr">
        <is>
          <t>CRITIQUE</t>
        </is>
      </c>
      <c r="L6" s="7" t="inlineStr">
        <is>
          <t>Norme interne MQ-002</t>
        </is>
      </c>
      <c r="M6" s="7" t="inlineStr">
        <is>
          <t>Tolerance 0.3mm pour collections Haute Maroquinerie</t>
        </is>
      </c>
      <c r="N6" s="7" t="inlineStr">
        <is>
          <t>100% des pieces</t>
        </is>
      </c>
    </row>
    <row r="7">
      <c r="A7" s="6" t="inlineStr">
        <is>
          <t>CQ-MAR-003</t>
        </is>
      </c>
      <c r="B7" s="6" t="inlineStr">
        <is>
          <t>Maroquinerie</t>
        </is>
      </c>
      <c r="C7" s="6" t="inlineStr">
        <is>
          <t>Sac a main</t>
        </is>
      </c>
      <c r="D7" s="6" t="inlineStr">
        <is>
          <t>Finition des tranches</t>
        </is>
      </c>
      <c r="E7" s="6" t="inlineStr">
        <is>
          <t>Qualite du filetage de tranche — Regularite, brillance, absence de bulles, adherence</t>
        </is>
      </c>
      <c r="F7" s="6" t="inlineStr">
        <is>
          <t>Inspection visuelle + test adherence (flexion 90°)</t>
        </is>
      </c>
      <c r="G7" s="6" t="inlineStr">
        <is>
          <t>Loupe 10x + flexion manuelle</t>
        </is>
      </c>
      <c r="H7" s="6" t="inlineStr">
        <is>
          <t>Regulier</t>
        </is>
      </c>
      <c r="I7" s="6" t="inlineStr">
        <is>
          <t>Parfait</t>
        </is>
      </c>
      <c r="J7" s="6" t="inlineStr">
        <is>
          <t>Qualitatif</t>
        </is>
      </c>
      <c r="K7" s="6" t="inlineStr">
        <is>
          <t>ELEVE</t>
        </is>
      </c>
      <c r="L7" s="6" t="inlineStr">
        <is>
          <t>Norme interne MQ-003</t>
        </is>
      </c>
      <c r="M7" s="6" t="inlineStr">
        <is>
          <t>Tranche teintee a la main — Minimum 4 couches — Polissage buis</t>
        </is>
      </c>
      <c r="N7" s="6" t="inlineStr">
        <is>
          <t>100% des pieces</t>
        </is>
      </c>
    </row>
    <row r="8">
      <c r="A8" s="7" t="inlineStr">
        <is>
          <t>CQ-MAR-004</t>
        </is>
      </c>
      <c r="B8" s="7" t="inlineStr">
        <is>
          <t>Maroquinerie</t>
        </is>
      </c>
      <c r="C8" s="7" t="inlineStr">
        <is>
          <t>Sac a main</t>
        </is>
      </c>
      <c r="D8" s="7" t="inlineStr">
        <is>
          <t>Pose quincaillerie</t>
        </is>
      </c>
      <c r="E8" s="7" t="inlineStr">
        <is>
          <t>Alignement et solidite des fermoirs, boucles, rivets — Test d'arrachement — Positionnement symetrique</t>
        </is>
      </c>
      <c r="F8" s="7" t="inlineStr">
        <is>
          <t>Test dynamometrique + controle visuel</t>
        </is>
      </c>
      <c r="G8" s="7" t="inlineStr">
        <is>
          <t>Dynamometre + gabarit positionnement</t>
        </is>
      </c>
      <c r="H8" s="7" t="n">
        <v>15</v>
      </c>
      <c r="I8" s="7" t="n">
        <v>999</v>
      </c>
      <c r="J8" s="7" t="inlineStr">
        <is>
          <t>kg (arrachement)</t>
        </is>
      </c>
      <c r="K8" s="7" t="inlineStr">
        <is>
          <t>CRITIQUE</t>
        </is>
      </c>
      <c r="L8" s="7" t="inlineStr">
        <is>
          <t>Norme EN 17396</t>
        </is>
      </c>
      <c r="M8" s="7" t="inlineStr">
        <is>
          <t>Quincaillerie palladiee — Force arrachement min 15kg — Alignement ±0.3mm</t>
        </is>
      </c>
      <c r="N8" s="7" t="inlineStr">
        <is>
          <t>100% des pieces</t>
        </is>
      </c>
    </row>
    <row r="9">
      <c r="A9" s="6" t="inlineStr">
        <is>
          <t>CQ-MAR-005</t>
        </is>
      </c>
      <c r="B9" s="6" t="inlineStr">
        <is>
          <t>Maroquinerie</t>
        </is>
      </c>
      <c r="C9" s="6" t="inlineStr">
        <is>
          <t>Petite maroquinerie</t>
        </is>
      </c>
      <c r="D9" s="6" t="inlineStr">
        <is>
          <t>Qualite du cuir</t>
        </is>
      </c>
      <c r="E9" s="6" t="inlineStr">
        <is>
          <t>Absence de defauts visuels sur parement — Griffures, veines marquees, taches, irregularites grain</t>
        </is>
      </c>
      <c r="F9" s="6" t="inlineStr">
        <is>
          <t>Inspection visuelle lumiere rasante 45°</t>
        </is>
      </c>
      <c r="G9" s="6" t="inlineStr">
        <is>
          <t>Table lumineuse + loupe</t>
        </is>
      </c>
      <c r="H9" s="6" t="inlineStr">
        <is>
          <t>Grade A</t>
        </is>
      </c>
      <c r="I9" s="6" t="inlineStr">
        <is>
          <t>Grade A+</t>
        </is>
      </c>
      <c r="J9" s="6" t="inlineStr">
        <is>
          <t>Grade</t>
        </is>
      </c>
      <c r="K9" s="6" t="inlineStr">
        <is>
          <t>CRITIQUE</t>
        </is>
      </c>
      <c r="L9" s="6" t="inlineStr">
        <is>
          <t>Norme ISO 3378</t>
        </is>
      </c>
      <c r="M9" s="6" t="inlineStr">
        <is>
          <t>Selection parements — Cuir pleine fleur uniquement — Taux de chute accepte 40%</t>
        </is>
      </c>
      <c r="N9" s="6" t="inlineStr">
        <is>
          <t>100% peaux</t>
        </is>
      </c>
    </row>
    <row r="10">
      <c r="A10" s="7" t="inlineStr">
        <is>
          <t>CQ-JOA-001</t>
        </is>
      </c>
      <c r="B10" s="7" t="inlineStr">
        <is>
          <t>Joaillerie</t>
        </is>
      </c>
      <c r="C10" s="7" t="inlineStr">
        <is>
          <t>Bague</t>
        </is>
      </c>
      <c r="D10" s="7" t="inlineStr">
        <is>
          <t>Precision du sertissage</t>
        </is>
      </c>
      <c r="E10" s="7" t="inlineStr">
        <is>
          <t>Positionnement pierre dans le serti — Symetrie, hauteur, inclinaison — Pierre ne doit pas bouger sous pression moderee</t>
        </is>
      </c>
      <c r="F10" s="7" t="inlineStr">
        <is>
          <t>Inspection loupe 20x + test pression doigt</t>
        </is>
      </c>
      <c r="G10" s="7" t="inlineStr">
        <is>
          <t>Loupe gemmologique 20x + pince brucelles</t>
        </is>
      </c>
      <c r="H10" s="7" t="n">
        <v>0</v>
      </c>
      <c r="I10" s="7" t="n">
        <v>0.02</v>
      </c>
      <c r="J10" s="7" t="inlineStr">
        <is>
          <t>mm (jeu)</t>
        </is>
      </c>
      <c r="K10" s="7" t="inlineStr">
        <is>
          <t>CRITIQUE</t>
        </is>
      </c>
      <c r="L10" s="7" t="inlineStr">
        <is>
          <t>Norme RJC Standards</t>
        </is>
      </c>
      <c r="M10" s="7" t="inlineStr">
        <is>
          <t>Serti clos : jeu max 0.01mm — Serti griffe : alignement ±0.02mm</t>
        </is>
      </c>
      <c r="N10" s="7" t="inlineStr">
        <is>
          <t>100% des pieces</t>
        </is>
      </c>
    </row>
    <row r="11">
      <c r="A11" s="6" t="inlineStr">
        <is>
          <t>CQ-JOA-002</t>
        </is>
      </c>
      <c r="B11" s="6" t="inlineStr">
        <is>
          <t>Joaillerie</t>
        </is>
      </c>
      <c r="C11" s="6" t="inlineStr">
        <is>
          <t>Bracelet</t>
        </is>
      </c>
      <c r="D11" s="6" t="inlineStr">
        <is>
          <t>Finition de surface metal</t>
        </is>
      </c>
      <c r="E11" s="6" t="inlineStr">
        <is>
          <t>Qualite du polissage — Absence de rayures, marques d'outils, porosites — Brillance miroir (poli) ou satine uniforme</t>
        </is>
      </c>
      <c r="F11" s="6" t="inlineStr">
        <is>
          <t>Inspection visuelle + mesure rugosite</t>
        </is>
      </c>
      <c r="G11" s="6" t="inlineStr">
        <is>
          <t>Rugosimetre Mitutoyo SJ-310 + loupe 20x</t>
        </is>
      </c>
      <c r="H11" s="6" t="inlineStr">
        <is>
          <t>Ra 0.025</t>
        </is>
      </c>
      <c r="I11" s="6" t="inlineStr">
        <is>
          <t>Ra 0.05</t>
        </is>
      </c>
      <c r="J11" s="6" t="inlineStr">
        <is>
          <t>µm (rugosite)</t>
        </is>
      </c>
      <c r="K11" s="6" t="inlineStr">
        <is>
          <t>ELEVE</t>
        </is>
      </c>
      <c r="L11" s="6" t="inlineStr">
        <is>
          <t>Norme ISO 4287</t>
        </is>
      </c>
      <c r="M11" s="6" t="inlineStr">
        <is>
          <t>Polissage main minimum 3 passes — Finition avivage rhodie pour or blanc</t>
        </is>
      </c>
      <c r="N11" s="6" t="inlineStr">
        <is>
          <t>100% des pieces</t>
        </is>
      </c>
    </row>
    <row r="12">
      <c r="A12" s="7" t="inlineStr">
        <is>
          <t>CQ-JOA-003</t>
        </is>
      </c>
      <c r="B12" s="7" t="inlineStr">
        <is>
          <t>Joaillerie</t>
        </is>
      </c>
      <c r="C12" s="7" t="inlineStr">
        <is>
          <t>Collier</t>
        </is>
      </c>
      <c r="D12" s="7" t="inlineStr">
        <is>
          <t>Tolerance poids metal</t>
        </is>
      </c>
      <c r="E12" s="7" t="inlineStr">
        <is>
          <t>Poids de la piece en metal precieux — Tolerance par rapport au poids theorique du dessin technique</t>
        </is>
      </c>
      <c r="F12" s="7" t="inlineStr">
        <is>
          <t>Pesee balance de precision 0.01g</t>
        </is>
      </c>
      <c r="G12" s="7" t="inlineStr">
        <is>
          <t>Balance Mettler Toledo XSR205</t>
        </is>
      </c>
      <c r="H12" s="7" t="n">
        <v>-2</v>
      </c>
      <c r="I12" s="7" t="n">
        <v>2</v>
      </c>
      <c r="J12" s="7" t="inlineStr">
        <is>
          <t>% (ecart)</t>
        </is>
      </c>
      <c r="K12" s="7" t="inlineStr">
        <is>
          <t>ELEVE</t>
        </is>
      </c>
      <c r="L12" s="7" t="inlineStr">
        <is>
          <t>Norme LBMA</t>
        </is>
      </c>
      <c r="M12" s="7" t="inlineStr">
        <is>
          <t>Poincon de garantie verifie — Titre 750‰ confirme par touchau</t>
        </is>
      </c>
      <c r="N12" s="7" t="inlineStr">
        <is>
          <t>100% des pieces</t>
        </is>
      </c>
    </row>
    <row r="13">
      <c r="A13" s="6" t="inlineStr">
        <is>
          <t>CQ-HOR-001</t>
        </is>
      </c>
      <c r="B13" s="6" t="inlineStr">
        <is>
          <t>Horlogerie</t>
        </is>
      </c>
      <c r="C13" s="6" t="inlineStr">
        <is>
          <t>Montre mecanique</t>
        </is>
      </c>
      <c r="D13" s="6" t="inlineStr">
        <is>
          <t>Precision du mouvement</t>
        </is>
      </c>
      <c r="E13" s="6" t="inlineStr">
        <is>
          <t>Ecart de marche journalier — Mesure en 5 positions + 2 temperatures sur 10 jours — Criteres COSC</t>
        </is>
      </c>
      <c r="F13" s="6" t="inlineStr">
        <is>
          <t>Test chronometrique 10 jours</t>
        </is>
      </c>
      <c r="G13" s="6" t="inlineStr">
        <is>
          <t>Witschi Chronoscope + stand 5 positions</t>
        </is>
      </c>
      <c r="H13" s="6" t="n">
        <v>-4</v>
      </c>
      <c r="I13" s="6" t="n">
        <v>6</v>
      </c>
      <c r="J13" s="6" t="inlineStr">
        <is>
          <t>sec/jour</t>
        </is>
      </c>
      <c r="K13" s="6" t="inlineStr">
        <is>
          <t>CRITIQUE</t>
        </is>
      </c>
      <c r="L13" s="6" t="inlineStr">
        <is>
          <t>COSC ISO 3159</t>
        </is>
      </c>
      <c r="M13" s="6" t="inlineStr">
        <is>
          <t>Critere COSC standard — Maison exige -2/+4 sec/jour pour Haute Horlogerie</t>
        </is>
      </c>
      <c r="N13" s="6" t="inlineStr">
        <is>
          <t>100% mouvements</t>
        </is>
      </c>
    </row>
    <row r="14">
      <c r="A14" s="7" t="inlineStr">
        <is>
          <t>CQ-HOR-002</t>
        </is>
      </c>
      <c r="B14" s="7" t="inlineStr">
        <is>
          <t>Horlogerie</t>
        </is>
      </c>
      <c r="C14" s="7" t="inlineStr">
        <is>
          <t>Montre</t>
        </is>
      </c>
      <c r="D14" s="7" t="inlineStr">
        <is>
          <t>Etancheite</t>
        </is>
      </c>
      <c r="E14" s="7" t="inlineStr">
        <is>
          <t>Resistance a la pression d'eau — Test de pression selon profondeur annoncee + marge 25%</t>
        </is>
      </c>
      <c r="F14" s="7" t="inlineStr">
        <is>
          <t>Test pression eau/air</t>
        </is>
      </c>
      <c r="G14" s="7" t="inlineStr">
        <is>
          <t>Appareil Witschi Proofmaster + chambre pression</t>
        </is>
      </c>
      <c r="H14" s="7" t="n">
        <v>0</v>
      </c>
      <c r="I14" s="7" t="n">
        <v>0</v>
      </c>
      <c r="J14" s="7" t="inlineStr">
        <is>
          <t>bar (fuite)</t>
        </is>
      </c>
      <c r="K14" s="7" t="inlineStr">
        <is>
          <t>CRITIQUE</t>
        </is>
      </c>
      <c r="L14" s="7" t="inlineStr">
        <is>
          <t>ISO 22810</t>
        </is>
      </c>
      <c r="M14" s="7" t="inlineStr">
        <is>
          <t>Test a 125% de la pression annoncee — 3 cycles — Fuite = 0 tolere</t>
        </is>
      </c>
      <c r="N14" s="7" t="inlineStr">
        <is>
          <t>100% boitiers</t>
        </is>
      </c>
    </row>
    <row r="15">
      <c r="A15" s="6" t="inlineStr">
        <is>
          <t>CQ-HOR-003</t>
        </is>
      </c>
      <c r="B15" s="6" t="inlineStr">
        <is>
          <t>Horlogerie</t>
        </is>
      </c>
      <c r="C15" s="6" t="inlineStr">
        <is>
          <t>Montre</t>
        </is>
      </c>
      <c r="D15" s="6" t="inlineStr">
        <is>
          <t>Finition du mouvement</t>
        </is>
      </c>
      <c r="E15" s="6" t="inlineStr">
        <is>
          <t>Qualite des decorations : cotes de Geneve, perlage, anglage, polissage — Evaluation sur 8 criteres</t>
        </is>
      </c>
      <c r="F15" s="6" t="inlineStr">
        <is>
          <t>Inspection loupe binoculaire 40x</t>
        </is>
      </c>
      <c r="G15" s="6" t="inlineStr">
        <is>
          <t>Loupe Leica M205 + eclairage rasant</t>
        </is>
      </c>
      <c r="H15" s="6" t="inlineStr">
        <is>
          <t>Bon</t>
        </is>
      </c>
      <c r="I15" s="6" t="inlineStr">
        <is>
          <t>Excellent</t>
        </is>
      </c>
      <c r="J15" s="6" t="inlineStr">
        <is>
          <t>Qualitatif (8 criteres)</t>
        </is>
      </c>
      <c r="K15" s="6" t="inlineStr">
        <is>
          <t>ELEVE</t>
        </is>
      </c>
      <c r="L15" s="6" t="inlineStr">
        <is>
          <t>Poincon de Geneve / Qualite Fleurier</t>
        </is>
      </c>
      <c r="M15" s="6" t="inlineStr">
        <is>
          <t>Anglage interne obligatoire — Cotes de Geneve sur ponts — Polissage speculaire vis</t>
        </is>
      </c>
      <c r="N15" s="6" t="inlineStr">
        <is>
          <t>100% mouvements</t>
        </is>
      </c>
    </row>
    <row r="16">
      <c r="A16" s="7" t="inlineStr">
        <is>
          <t>CQ-PAP-001</t>
        </is>
      </c>
      <c r="B16" s="7" t="inlineStr">
        <is>
          <t>Pret-a-Porter</t>
        </is>
      </c>
      <c r="C16" s="7" t="inlineStr">
        <is>
          <t>Veste / Blazer</t>
        </is>
      </c>
      <c r="D16" s="7" t="inlineStr">
        <is>
          <t>Solidite des coutures</t>
        </is>
      </c>
      <c r="E16" s="7" t="inlineStr">
        <is>
          <t>Resistance a la traction des coutures — Test normalise sur eprouvette — Mesure force de rupture</t>
        </is>
      </c>
      <c r="F16" s="7" t="inlineStr">
        <is>
          <t>Test dynamometrique sur eprouvette</t>
        </is>
      </c>
      <c r="G16" s="7" t="inlineStr">
        <is>
          <t>Dynamometre Instron 5944 + machoires tissu</t>
        </is>
      </c>
      <c r="H16" s="7" t="n">
        <v>80</v>
      </c>
      <c r="I16" s="7" t="n">
        <v>999</v>
      </c>
      <c r="J16" s="7" t="inlineStr">
        <is>
          <t>N (resistance)</t>
        </is>
      </c>
      <c r="K16" s="7" t="inlineStr">
        <is>
          <t>ELEVE</t>
        </is>
      </c>
      <c r="L16" s="7" t="inlineStr">
        <is>
          <t>ISO 13935-1</t>
        </is>
      </c>
      <c r="M16" s="7" t="inlineStr">
        <is>
          <t>Resistance min 80N couture principale — 60N couture decorative</t>
        </is>
      </c>
      <c r="N16" s="7" t="inlineStr">
        <is>
          <t>Par lot (5 pieces)</t>
        </is>
      </c>
    </row>
    <row r="17">
      <c r="A17" s="6" t="inlineStr">
        <is>
          <t>CQ-PAP-002</t>
        </is>
      </c>
      <c r="B17" s="6" t="inlineStr">
        <is>
          <t>Pret-a-Porter</t>
        </is>
      </c>
      <c r="C17" s="6" t="inlineStr">
        <is>
          <t>Robe</t>
        </is>
      </c>
      <c r="D17" s="6" t="inlineStr">
        <is>
          <t>Alignement droit-fil</t>
        </is>
      </c>
      <c r="E17" s="6" t="inlineStr">
        <is>
          <t>Ecart du droit-fil tissu par rapport a l'axe de symetrie du vetement — Mesure sur patron et piece finie</t>
        </is>
      </c>
      <c r="F17" s="6" t="inlineStr">
        <is>
          <t>Mesure au rapporteur + laser</t>
        </is>
      </c>
      <c r="G17" s="6" t="inlineStr">
        <is>
          <t>Laser d'alignement + rapporteur gradue</t>
        </is>
      </c>
      <c r="H17" s="6" t="n">
        <v>0</v>
      </c>
      <c r="I17" s="6" t="n">
        <v>1</v>
      </c>
      <c r="J17" s="6" t="inlineStr">
        <is>
          <t>° (degres)</t>
        </is>
      </c>
      <c r="K17" s="6" t="inlineStr">
        <is>
          <t>ELEVE</t>
        </is>
      </c>
      <c r="L17" s="6" t="inlineStr">
        <is>
          <t>Norme interne PAP-002</t>
        </is>
      </c>
      <c r="M17" s="6" t="inlineStr">
        <is>
          <t>Tolerance 0.5° pour soie — 1° pour laine — Tissus imprimes : raccord motif obligatoire</t>
        </is>
      </c>
      <c r="N17" s="6" t="inlineStr">
        <is>
          <t>100% des pieces</t>
        </is>
      </c>
    </row>
    <row r="18">
      <c r="A18" s="7" t="inlineStr">
        <is>
          <t>CQ-PAP-003</t>
        </is>
      </c>
      <c r="B18" s="7" t="inlineStr">
        <is>
          <t>Pret-a-Porter</t>
        </is>
      </c>
      <c r="C18" s="7" t="inlineStr">
        <is>
          <t>Chemise</t>
        </is>
      </c>
      <c r="D18" s="7" t="inlineStr">
        <is>
          <t>Regularite des boutonnieres</t>
        </is>
      </c>
      <c r="E18" s="7" t="inlineStr">
        <is>
          <t>Taille, positionnement et finition des boutonnieres — Regularite de l'espacement — Solidite de la bride</t>
        </is>
      </c>
      <c r="F18" s="7" t="inlineStr">
        <is>
          <t>Mesure pied a coulisse + test boutonnage 50 cycles</t>
        </is>
      </c>
      <c r="G18" s="7" t="inlineStr">
        <is>
          <t>Pied a coulisse + mannequin d'essai</t>
        </is>
      </c>
      <c r="H18" s="7" t="n">
        <v>0</v>
      </c>
      <c r="I18" s="7" t="n">
        <v>0.5</v>
      </c>
      <c r="J18" s="7" t="inlineStr">
        <is>
          <t>mm (ecart taille)</t>
        </is>
      </c>
      <c r="K18" s="7" t="inlineStr">
        <is>
          <t>MOYEN</t>
        </is>
      </c>
      <c r="L18" s="7" t="inlineStr">
        <is>
          <t>Norme interne PAP-003</t>
        </is>
      </c>
      <c r="M18" s="7" t="inlineStr">
        <is>
          <t>Boutonniere a la main pour Haute Couture — Machine pour PAP standard — Points de renfort</t>
        </is>
      </c>
      <c r="N18" s="7" t="inlineStr">
        <is>
          <t>100% pieces HC / lot PAP</t>
        </is>
      </c>
    </row>
    <row r="19">
      <c r="A19" s="6" t="inlineStr">
        <is>
          <t>CQ-GEN-001</t>
        </is>
      </c>
      <c r="B19" s="6" t="inlineStr">
        <is>
          <t>Tous metiers</t>
        </is>
      </c>
      <c r="C19" s="6" t="inlineStr">
        <is>
          <t>Tous produits</t>
        </is>
      </c>
      <c r="D19" s="6" t="inlineStr">
        <is>
          <t>Conformite colorimetrique</t>
        </is>
      </c>
      <c r="E19" s="6" t="inlineStr">
        <is>
          <t>Coherence couleur entre pieces d'un meme lot et par rapport au standard colorimetrique — ΔE* ≤ 1.5</t>
        </is>
      </c>
      <c r="F19" s="6" t="inlineStr">
        <is>
          <t>Spectrophotometre</t>
        </is>
      </c>
      <c r="G19" s="6" t="inlineStr">
        <is>
          <t>X-Rite Ci7800 + cabine lumiere D65</t>
        </is>
      </c>
      <c r="H19" s="6" t="n">
        <v>0</v>
      </c>
      <c r="I19" s="6" t="n">
        <v>1.5</v>
      </c>
      <c r="J19" s="6" t="inlineStr">
        <is>
          <t>ΔE* (ecart)</t>
        </is>
      </c>
      <c r="K19" s="6" t="inlineStr">
        <is>
          <t>ELEVE</t>
        </is>
      </c>
      <c r="L19" s="6" t="inlineStr">
        <is>
          <t>ISO 105-J03</t>
        </is>
      </c>
      <c r="M19" s="6" t="inlineStr">
        <is>
          <t>ΔE* ≤ 1.0 pour cuir — ΔE* ≤ 1.5 pour textile — Validation sous D65 + TL84</t>
        </is>
      </c>
      <c r="N19" s="6" t="inlineStr">
        <is>
          <t>Par lot + standard</t>
        </is>
      </c>
    </row>
    <row r="20">
      <c r="A20" s="7" t="inlineStr">
        <is>
          <t>CQ-GEN-002</t>
        </is>
      </c>
      <c r="B20" s="7" t="inlineStr">
        <is>
          <t>Tous metiers</t>
        </is>
      </c>
      <c r="C20" s="7" t="inlineStr">
        <is>
          <t>Tous produits</t>
        </is>
      </c>
      <c r="D20" s="7" t="inlineStr">
        <is>
          <t>Test de solidite des teintures</t>
        </is>
      </c>
      <c r="E20" s="7" t="inlineStr">
        <is>
          <t>Resistance de la teinture au frottement sec et humide — a la lumiere — a la transpiration</t>
        </is>
      </c>
      <c r="F20" s="7" t="inlineStr">
        <is>
          <t>Test Crockmeter (frottement) + test lumiere xenon</t>
        </is>
      </c>
      <c r="G20" s="7" t="inlineStr">
        <is>
          <t>Crockmeter James Heal + Xenotest</t>
        </is>
      </c>
      <c r="H20" s="7" t="n">
        <v>4</v>
      </c>
      <c r="I20" s="7" t="n">
        <v>5</v>
      </c>
      <c r="J20" s="7" t="inlineStr">
        <is>
          <t>Niveau (echelle 1-5)</t>
        </is>
      </c>
      <c r="K20" s="7" t="inlineStr">
        <is>
          <t>ELEVE</t>
        </is>
      </c>
      <c r="L20" s="7" t="inlineStr">
        <is>
          <t>ISO 105-X12 / ISO 105-B02</t>
        </is>
      </c>
      <c r="M20" s="7" t="inlineStr">
        <is>
          <t>Note min 4 frottement sec — Note min 3-4 frottement humide — 6 lumiere</t>
        </is>
      </c>
      <c r="N20" s="7" t="inlineStr">
        <is>
          <t>Par lot (3 eprouvettes)</t>
        </is>
      </c>
    </row>
    <row r="21">
      <c r="A21" s="8" t="inlineStr">
        <is>
          <t>SYNTHESE CRITERES</t>
        </is>
      </c>
      <c r="B21" s="8" t="inlineStr">
        <is>
          <t>Total criteres :</t>
        </is>
      </c>
      <c r="C21" s="9">
        <f>COUNTA(A5:A20)</f>
        <v/>
      </c>
      <c r="D21" s="8" t="n"/>
      <c r="E21" s="8" t="inlineStr">
        <is>
          <t>CRITIQUES :</t>
        </is>
      </c>
      <c r="F21" s="9">
        <f>COUNTIF(K5:K20,"CRITIQUE")</f>
        <v/>
      </c>
      <c r="G21" s="8" t="inlineStr">
        <is>
          <t>ELEVES :</t>
        </is>
      </c>
      <c r="H21" s="9">
        <f>COUNTIF(K5:K20,"ELEVE")</f>
        <v/>
      </c>
      <c r="I21" s="8" t="n"/>
      <c r="J21" s="8" t="n"/>
      <c r="K21" s="8" t="n"/>
      <c r="L21" s="8" t="n"/>
      <c r="M21" s="8" t="n"/>
      <c r="N21" s="8" t="n"/>
    </row>
  </sheetData>
  <autoFilter ref="A4:N20"/>
  <mergeCells count="3">
    <mergeCell ref="A3:N3"/>
    <mergeCell ref="A2:N2"/>
    <mergeCell ref="A1:N1"/>
  </mergeCells>
  <conditionalFormatting sqref="K5:K20">
    <cfRule type="cellIs" priority="1" operator="equal" dxfId="0">
      <formula>"Conforme"</formula>
    </cfRule>
    <cfRule type="cellIs" priority="2" operator="equal" dxfId="0">
      <formula>"Valide"</formula>
    </cfRule>
    <cfRule type="cellIs" priority="3" operator="equal" dxfId="0">
      <formula>"Actif"</formula>
    </cfRule>
    <cfRule type="cellIs" priority="4" operator="equal" dxfId="0">
      <formula>"Excellent"</formula>
    </cfRule>
    <cfRule type="cellIs" priority="5" operator="equal" dxfId="0">
      <formula>"Acceptable"</formula>
    </cfRule>
    <cfRule type="cellIs" priority="6" operator="equal" dxfId="1">
      <formula>"En attente"</formula>
    </cfRule>
    <cfRule type="cellIs" priority="7" operator="equal" dxfId="1">
      <formula>"En cours"</formula>
    </cfRule>
    <cfRule type="cellIs" priority="8" operator="equal" dxfId="1">
      <formula>"Conditionnel"</formula>
    </cfRule>
    <cfRule type="cellIs" priority="9" operator="equal" dxfId="1">
      <formula>"A ameliorer"</formula>
    </cfRule>
    <cfRule type="cellIs" priority="10" operator="equal" dxfId="2">
      <formula>"Non conforme"</formula>
    </cfRule>
    <cfRule type="cellIs" priority="11" operator="equal" dxfId="2">
      <formula>"Rejete"</formula>
    </cfRule>
    <cfRule type="cellIs" priority="12" operator="equal" dxfId="2">
      <formula>"Critique"</formula>
    </cfRule>
    <cfRule type="cellIs" priority="13" operator="equal" dxfId="2">
      <formula>"Suspendu"</formula>
    </cfRule>
    <cfRule type="cellIs" priority="14" operator="equal" dxfId="2">
      <formula>"Insuffisant"</formula>
    </cfRule>
    <cfRule type="cellIs" priority="15" operator="equal" dxfId="3">
      <formula>"CRITIQUE"</formula>
    </cfRule>
    <cfRule type="cellIs" priority="16" operator="equal" dxfId="4">
      <formula>"ELEVE"</formula>
    </cfRule>
    <cfRule type="cellIs" priority="17" operator="equal" dxfId="5">
      <formula>"MOYEN"</formula>
    </cfRule>
  </conditionalFormatting>
  <dataValidations count="1">
    <dataValidation sqref="K5:K5000" showDropDown="0" showInputMessage="0" showErrorMessage="0" allowBlank="0" type="list">
      <formula1>"CRITIQUE,ELEVE,MOYEN,FAIBLE"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P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6" customWidth="1" min="4" max="4"/>
    <col width="18" customWidth="1" min="5" max="5"/>
    <col width="20" customWidth="1" min="6" max="6"/>
    <col width="22" customWidth="1" min="7" max="7"/>
    <col width="24" customWidth="1" min="8" max="8"/>
    <col width="20" customWidth="1" min="9" max="9"/>
    <col width="20" customWidth="1" min="10" max="10"/>
    <col width="14" customWidth="1" min="11" max="11"/>
    <col width="12" customWidth="1" min="12" max="12"/>
    <col width="30" customWidth="1" min="13" max="13"/>
    <col width="28" customWidth="1" min="14" max="14"/>
    <col width="18" customWidth="1" min="15" max="15"/>
    <col width="34" customWidth="1" min="16" max="16"/>
  </cols>
  <sheetData>
    <row r="1" ht="48" customHeight="1">
      <c r="A1" s="1" t="inlineStr">
        <is>
          <t>CONTROLES QUALITE — AGENT ARTISANALQUALITYAI</t>
        </is>
      </c>
    </row>
    <row r="2" ht="28" customHeight="1">
      <c r="A2" s="2" t="inlineStr">
        <is>
          <t>Registre des inspections et resultats — Tracabilite piece par piece — Avril 2026</t>
        </is>
      </c>
    </row>
    <row r="3" ht="30" customHeight="1">
      <c r="A3" s="4" t="inlineStr">
        <is>
          <t>REGISTRE DES CONTROLES QUALITE</t>
        </is>
      </c>
    </row>
    <row r="4" ht="36" customHeight="1">
      <c r="A4" s="5" t="inlineStr">
        <is>
          <t>ID_Controle</t>
        </is>
      </c>
      <c r="B4" s="5" t="inlineStr">
        <is>
          <t>Date</t>
        </is>
      </c>
      <c r="C4" s="5" t="inlineStr">
        <is>
          <t>Heure</t>
        </is>
      </c>
      <c r="D4" s="5" t="inlineStr">
        <is>
          <t>Metier</t>
        </is>
      </c>
      <c r="E4" s="5" t="inlineStr">
        <is>
          <t>Categorie produit</t>
        </is>
      </c>
      <c r="F4" s="5" t="inlineStr">
        <is>
          <t>Ref. produit / Lot</t>
        </is>
      </c>
      <c r="G4" s="5" t="inlineStr">
        <is>
          <t>Lot tracabilite (LuxeTrace)</t>
        </is>
      </c>
      <c r="H4" s="5" t="inlineStr">
        <is>
          <t>Critere(s) controle(s)</t>
        </is>
      </c>
      <c r="I4" s="5" t="inlineStr">
        <is>
          <t>Artisan</t>
        </is>
      </c>
      <c r="J4" s="5" t="inlineStr">
        <is>
          <t>Atelier</t>
        </is>
      </c>
      <c r="K4" s="5" t="inlineStr">
        <is>
          <t>Resultat</t>
        </is>
      </c>
      <c r="L4" s="5" t="inlineStr">
        <is>
          <t>Score (/100)</t>
        </is>
      </c>
      <c r="M4" s="5" t="inlineStr">
        <is>
          <t>Defauts constates</t>
        </is>
      </c>
      <c r="N4" s="5" t="inlineStr">
        <is>
          <t>Action corrective</t>
        </is>
      </c>
      <c r="O4" s="5" t="inlineStr">
        <is>
          <t>Controleur</t>
        </is>
      </c>
      <c r="P4" s="5" t="inlineStr">
        <is>
          <t>Observations</t>
        </is>
      </c>
    </row>
    <row r="5">
      <c r="A5" s="6" t="inlineStr">
        <is>
          <t>CTL-2026-0001</t>
        </is>
      </c>
      <c r="B5" s="6" t="inlineStr">
        <is>
          <t>2026-04-01</t>
        </is>
      </c>
      <c r="C5" s="6" t="inlineStr">
        <is>
          <t>09:15</t>
        </is>
      </c>
      <c r="D5" s="6" t="inlineStr">
        <is>
          <t>Maroquinerie</t>
        </is>
      </c>
      <c r="E5" s="6" t="inlineStr">
        <is>
          <t>Sac a main</t>
        </is>
      </c>
      <c r="F5" s="6" t="inlineStr">
        <is>
          <t>SAC-KE-35-NOIR-001</t>
        </is>
      </c>
      <c r="G5" s="6" t="inlineStr">
        <is>
          <t>LOT-2026-0001</t>
        </is>
      </c>
      <c r="H5" s="6" t="inlineStr">
        <is>
          <t>CQ-MAR-001 + CQ-MAR-002 + CQ-MAR-003</t>
        </is>
      </c>
      <c r="I5" s="6" t="inlineStr">
        <is>
          <t>Jean-Pierre Moreau</t>
        </is>
      </c>
      <c r="J5" s="6" t="inlineStr">
        <is>
          <t>Atelier Maroquinerie Paris</t>
        </is>
      </c>
      <c r="K5" s="6" t="inlineStr">
        <is>
          <t>Conforme</t>
        </is>
      </c>
      <c r="L5" s="6" t="n">
        <v>97</v>
      </c>
      <c r="M5" s="6" t="inlineStr">
        <is>
          <t>Aucun</t>
        </is>
      </c>
      <c r="N5" s="6" t="inlineStr">
        <is>
          <t>N/A</t>
        </is>
      </c>
      <c r="O5" s="6" t="inlineStr">
        <is>
          <t>Sophie Laurent</t>
        </is>
      </c>
      <c r="P5" s="6" t="inlineStr">
        <is>
          <t>Piece d'exception — Point sellier 5.5pts/cm — Symetrie parfaite</t>
        </is>
      </c>
    </row>
    <row r="6">
      <c r="A6" s="7" t="inlineStr">
        <is>
          <t>CTL-2026-0002</t>
        </is>
      </c>
      <c r="B6" s="7" t="inlineStr">
        <is>
          <t>2026-04-01</t>
        </is>
      </c>
      <c r="C6" s="7" t="inlineStr">
        <is>
          <t>10:30</t>
        </is>
      </c>
      <c r="D6" s="7" t="inlineStr">
        <is>
          <t>Maroquinerie</t>
        </is>
      </c>
      <c r="E6" s="7" t="inlineStr">
        <is>
          <t>Sac a main</t>
        </is>
      </c>
      <c r="F6" s="7" t="inlineStr">
        <is>
          <t>SAC-KE-35-GOLD-002</t>
        </is>
      </c>
      <c r="G6" s="7" t="inlineStr">
        <is>
          <t>LOT-2026-0001</t>
        </is>
      </c>
      <c r="H6" s="7" t="inlineStr">
        <is>
          <t>CQ-MAR-001 + CQ-MAR-002 + CQ-MAR-004</t>
        </is>
      </c>
      <c r="I6" s="7" t="inlineStr">
        <is>
          <t>Marie Dubois</t>
        </is>
      </c>
      <c r="J6" s="7" t="inlineStr">
        <is>
          <t>Atelier Maroquinerie Paris</t>
        </is>
      </c>
      <c r="K6" s="7" t="inlineStr">
        <is>
          <t>Conforme</t>
        </is>
      </c>
      <c r="L6" s="7" t="n">
        <v>94</v>
      </c>
      <c r="M6" s="7" t="inlineStr">
        <is>
          <t>Obs. mineure : legere irregularite tranche coin superieur droit</t>
        </is>
      </c>
      <c r="N6" s="7" t="inlineStr">
        <is>
          <t>Reprise finition tranche — Couche supplementaire</t>
        </is>
      </c>
      <c r="O6" s="7" t="inlineStr">
        <is>
          <t>Sophie Laurent</t>
        </is>
      </c>
      <c r="P6" s="7" t="inlineStr">
        <is>
          <t>Piece validee apres reprise — Score releve de 91 a 94</t>
        </is>
      </c>
    </row>
    <row r="7">
      <c r="A7" s="6" t="inlineStr">
        <is>
          <t>CTL-2026-0003</t>
        </is>
      </c>
      <c r="B7" s="6" t="inlineStr">
        <is>
          <t>2026-04-02</t>
        </is>
      </c>
      <c r="C7" s="6" t="inlineStr">
        <is>
          <t>08:45</t>
        </is>
      </c>
      <c r="D7" s="6" t="inlineStr">
        <is>
          <t>Maroquinerie</t>
        </is>
      </c>
      <c r="E7" s="6" t="inlineStr">
        <is>
          <t>Sac a main</t>
        </is>
      </c>
      <c r="F7" s="6" t="inlineStr">
        <is>
          <t>SAC-BI-28-CAMEL-003</t>
        </is>
      </c>
      <c r="G7" s="6" t="inlineStr">
        <is>
          <t>LOT-2026-0002</t>
        </is>
      </c>
      <c r="H7" s="6" t="inlineStr">
        <is>
          <t>CQ-MAR-001 + CQ-MAR-005</t>
        </is>
      </c>
      <c r="I7" s="6" t="inlineStr">
        <is>
          <t>Antoine Lefevre</t>
        </is>
      </c>
      <c r="J7" s="6" t="inlineStr">
        <is>
          <t>Atelier Maroquinerie Paris</t>
        </is>
      </c>
      <c r="K7" s="6" t="inlineStr">
        <is>
          <t>Non conforme</t>
        </is>
      </c>
      <c r="L7" s="6" t="n">
        <v>62</v>
      </c>
      <c r="M7" s="6" t="inlineStr">
        <is>
          <t>Defaut cuir : griffure 8mm visible sur parement avant — Densite piqure irreguliere (4.2 a 5.8 pts/cm)</t>
        </is>
      </c>
      <c r="N7" s="6" t="inlineStr">
        <is>
          <t>Remplacement parement + reprise couture complete</t>
        </is>
      </c>
      <c r="O7" s="6" t="inlineStr">
        <is>
          <t>Sophie Laurent</t>
        </is>
      </c>
      <c r="P7" s="6" t="inlineStr">
        <is>
          <t>Rejet initial — Cuir retourne au tri — Nouveau parement selectionne</t>
        </is>
      </c>
    </row>
    <row r="8">
      <c r="A8" s="7" t="inlineStr">
        <is>
          <t>CTL-2026-0004</t>
        </is>
      </c>
      <c r="B8" s="7" t="inlineStr">
        <is>
          <t>2026-04-02</t>
        </is>
      </c>
      <c r="C8" s="7" t="inlineStr">
        <is>
          <t>14:00</t>
        </is>
      </c>
      <c r="D8" s="7" t="inlineStr">
        <is>
          <t>Joaillerie</t>
        </is>
      </c>
      <c r="E8" s="7" t="inlineStr">
        <is>
          <t>Bague</t>
        </is>
      </c>
      <c r="F8" s="7" t="inlineStr">
        <is>
          <t>BAG-SOL-OR18-DIA-001</t>
        </is>
      </c>
      <c r="G8" s="7" t="inlineStr">
        <is>
          <t>LOT-2026-0004</t>
        </is>
      </c>
      <c r="H8" s="7" t="inlineStr">
        <is>
          <t>CQ-JOA-001 + CQ-JOA-002 + CQ-JOA-003</t>
        </is>
      </c>
      <c r="I8" s="7" t="inlineStr">
        <is>
          <t>Maitre Francois Petit</t>
        </is>
      </c>
      <c r="J8" s="7" t="inlineStr">
        <is>
          <t>Atelier Haute Joaillerie Vendome</t>
        </is>
      </c>
      <c r="K8" s="7" t="inlineStr">
        <is>
          <t>Conforme</t>
        </is>
      </c>
      <c r="L8" s="7" t="n">
        <v>99</v>
      </c>
      <c r="M8" s="7" t="inlineStr">
        <is>
          <t>Aucun</t>
        </is>
      </c>
      <c r="N8" s="7" t="inlineStr">
        <is>
          <t>N/A</t>
        </is>
      </c>
      <c r="O8" s="7" t="inlineStr">
        <is>
          <t>Alain Mercier</t>
        </is>
      </c>
      <c r="P8" s="7" t="inlineStr">
        <is>
          <t>Piece Haute Joaillerie — Sertissage diamant 1.52ct D/IF impeccable — Polissage miroir parfait</t>
        </is>
      </c>
    </row>
    <row r="9">
      <c r="A9" s="6" t="inlineStr">
        <is>
          <t>CTL-2026-0005</t>
        </is>
      </c>
      <c r="B9" s="6" t="inlineStr">
        <is>
          <t>2026-04-03</t>
        </is>
      </c>
      <c r="C9" s="6" t="inlineStr">
        <is>
          <t>09:00</t>
        </is>
      </c>
      <c r="D9" s="6" t="inlineStr">
        <is>
          <t>Joaillerie</t>
        </is>
      </c>
      <c r="E9" s="6" t="inlineStr">
        <is>
          <t>Bracelet</t>
        </is>
      </c>
      <c r="F9" s="6" t="inlineStr">
        <is>
          <t>BRA-MAN-OR18-007</t>
        </is>
      </c>
      <c r="G9" s="6" t="inlineStr">
        <is>
          <t>LOT-2026-0004</t>
        </is>
      </c>
      <c r="H9" s="6" t="inlineStr">
        <is>
          <t>CQ-JOA-002 + CQ-JOA-003</t>
        </is>
      </c>
      <c r="I9" s="6" t="inlineStr">
        <is>
          <t>Elise Durand</t>
        </is>
      </c>
      <c r="J9" s="6" t="inlineStr">
        <is>
          <t>Atelier Haute Joaillerie Vendome</t>
        </is>
      </c>
      <c r="K9" s="6" t="inlineStr">
        <is>
          <t>Conditionnel</t>
        </is>
      </c>
      <c r="L9" s="6" t="n">
        <v>82</v>
      </c>
      <c r="M9" s="6" t="inlineStr">
        <is>
          <t>Micro-rayure outil visible sur interieur maille — Poids -2.3% vs theorique</t>
        </is>
      </c>
      <c r="N9" s="6" t="inlineStr">
        <is>
          <t>Re-polissage interieur maillon — Validation poids dans tolerance</t>
        </is>
      </c>
      <c r="O9" s="6" t="inlineStr">
        <is>
          <t>Alain Mercier</t>
        </is>
      </c>
      <c r="P9" s="6" t="inlineStr">
        <is>
          <t>Conditionnel : re-polissage suffisant — Poids dans tolerance (-2.3% &lt; -2% frontiere)</t>
        </is>
      </c>
    </row>
    <row r="10">
      <c r="A10" s="7" t="inlineStr">
        <is>
          <t>CTL-2026-0006</t>
        </is>
      </c>
      <c r="B10" s="7" t="inlineStr">
        <is>
          <t>2026-04-03</t>
        </is>
      </c>
      <c r="C10" s="7" t="inlineStr">
        <is>
          <t>11:30</t>
        </is>
      </c>
      <c r="D10" s="7" t="inlineStr">
        <is>
          <t>Horlogerie</t>
        </is>
      </c>
      <c r="E10" s="7" t="inlineStr">
        <is>
          <t>Montre mecanique</t>
        </is>
      </c>
      <c r="F10" s="7" t="inlineStr">
        <is>
          <t>MON-ETER-AUTO-001</t>
        </is>
      </c>
      <c r="G10" s="7" t="inlineStr">
        <is>
          <t>N/A (mouvement manufacture)</t>
        </is>
      </c>
      <c r="H10" s="7" t="inlineStr">
        <is>
          <t>CQ-HOR-001 + CQ-HOR-002</t>
        </is>
      </c>
      <c r="I10" s="7" t="inlineStr">
        <is>
          <t>Maitre Claude Bonnard</t>
        </is>
      </c>
      <c r="J10" s="7" t="inlineStr">
        <is>
          <t>Atelier Horlogerie Geneve</t>
        </is>
      </c>
      <c r="K10" s="7" t="inlineStr">
        <is>
          <t>Conforme</t>
        </is>
      </c>
      <c r="L10" s="7" t="n">
        <v>98</v>
      </c>
      <c r="M10" s="7" t="inlineStr">
        <is>
          <t>Aucun</t>
        </is>
      </c>
      <c r="N10" s="7" t="inlineStr">
        <is>
          <t>N/A</t>
        </is>
      </c>
      <c r="O10" s="7" t="inlineStr">
        <is>
          <t>Pierre Fontaine</t>
        </is>
      </c>
      <c r="P10" s="7" t="inlineStr">
        <is>
          <t>Mouvement manufacture — Marche -1.8s/j (cible -2/+4) — Etancheite 10 bar confirmee</t>
        </is>
      </c>
    </row>
    <row r="11">
      <c r="A11" s="6" t="inlineStr">
        <is>
          <t>CTL-2026-0007</t>
        </is>
      </c>
      <c r="B11" s="6" t="inlineStr">
        <is>
          <t>2026-04-04</t>
        </is>
      </c>
      <c r="C11" s="6" t="inlineStr">
        <is>
          <t>08:30</t>
        </is>
      </c>
      <c r="D11" s="6" t="inlineStr">
        <is>
          <t>Horlogerie</t>
        </is>
      </c>
      <c r="E11" s="6" t="inlineStr">
        <is>
          <t>Montre</t>
        </is>
      </c>
      <c r="F11" s="6" t="inlineStr">
        <is>
          <t>MON-CLAS-QTZ-015</t>
        </is>
      </c>
      <c r="G11" s="6" t="inlineStr">
        <is>
          <t>N/A</t>
        </is>
      </c>
      <c r="H11" s="6" t="inlineStr">
        <is>
          <t>CQ-HOR-002 + CQ-HOR-003</t>
        </is>
      </c>
      <c r="I11" s="6" t="inlineStr">
        <is>
          <t>Isabelle Martin</t>
        </is>
      </c>
      <c r="J11" s="6" t="inlineStr">
        <is>
          <t>Atelier Horlogerie Geneve</t>
        </is>
      </c>
      <c r="K11" s="6" t="inlineStr">
        <is>
          <t>Conforme</t>
        </is>
      </c>
      <c r="L11" s="6" t="n">
        <v>91</v>
      </c>
      <c r="M11" s="6" t="inlineStr">
        <is>
          <t>Obs. mineure : perlage pont legerement irregulier zone 3 — Dans tolerance</t>
        </is>
      </c>
      <c r="N11" s="6" t="inlineStr">
        <is>
          <t>N/A — Observation documentee</t>
        </is>
      </c>
      <c r="O11" s="6" t="inlineStr">
        <is>
          <t>Pierre Fontaine</t>
        </is>
      </c>
      <c r="P11" s="6" t="inlineStr">
        <is>
          <t>Perlage acceptable selon grille — Etancheite 5 bar OK — Mouvement quartz conforme</t>
        </is>
      </c>
    </row>
    <row r="12">
      <c r="A12" s="7" t="inlineStr">
        <is>
          <t>CTL-2026-0008</t>
        </is>
      </c>
      <c r="B12" s="7" t="inlineStr">
        <is>
          <t>2026-04-04</t>
        </is>
      </c>
      <c r="C12" s="7" t="inlineStr">
        <is>
          <t>14:15</t>
        </is>
      </c>
      <c r="D12" s="7" t="inlineStr">
        <is>
          <t>Pret-a-Porter</t>
        </is>
      </c>
      <c r="E12" s="7" t="inlineStr">
        <is>
          <t>Veste / Blazer</t>
        </is>
      </c>
      <c r="F12" s="7" t="inlineStr">
        <is>
          <t>VES-SM-CASH-NAVY-001</t>
        </is>
      </c>
      <c r="G12" s="7" t="inlineStr">
        <is>
          <t>LOT-2026-0007</t>
        </is>
      </c>
      <c r="H12" s="7" t="inlineStr">
        <is>
          <t>CQ-PAP-001 + CQ-PAP-002 + CQ-GEN-001</t>
        </is>
      </c>
      <c r="I12" s="7" t="inlineStr">
        <is>
          <t>Nathalie Bernard</t>
        </is>
      </c>
      <c r="J12" s="7" t="inlineStr">
        <is>
          <t>Atelier PAP Milan</t>
        </is>
      </c>
      <c r="K12" s="7" t="inlineStr">
        <is>
          <t>Conforme</t>
        </is>
      </c>
      <c r="L12" s="7" t="n">
        <v>95</v>
      </c>
      <c r="M12" s="7" t="inlineStr">
        <is>
          <t>Aucun</t>
        </is>
      </c>
      <c r="N12" s="7" t="inlineStr">
        <is>
          <t>N/A</t>
        </is>
      </c>
      <c r="O12" s="7" t="inlineStr">
        <is>
          <t>Marco Ricci</t>
        </is>
      </c>
      <c r="P12" s="7" t="inlineStr">
        <is>
          <t>Cachemire Gobi — Coutures 120N — Droit-fil 0.3° — ΔE* 0.8 vs standard — Excellent</t>
        </is>
      </c>
    </row>
    <row r="13">
      <c r="A13" s="6" t="inlineStr">
        <is>
          <t>CTL-2026-0009</t>
        </is>
      </c>
      <c r="B13" s="6" t="inlineStr">
        <is>
          <t>2026-04-05</t>
        </is>
      </c>
      <c r="C13" s="6" t="inlineStr">
        <is>
          <t>09:45</t>
        </is>
      </c>
      <c r="D13" s="6" t="inlineStr">
        <is>
          <t>Pret-a-Porter</t>
        </is>
      </c>
      <c r="E13" s="6" t="inlineStr">
        <is>
          <t>Robe</t>
        </is>
      </c>
      <c r="F13" s="6" t="inlineStr">
        <is>
          <t>ROB-SOI-IMP-FLOR-003</t>
        </is>
      </c>
      <c r="G13" s="6" t="inlineStr">
        <is>
          <t>LOT-2026-0009</t>
        </is>
      </c>
      <c r="H13" s="6" t="inlineStr">
        <is>
          <t>CQ-PAP-002 + CQ-GEN-001 + CQ-GEN-002</t>
        </is>
      </c>
      <c r="I13" s="6" t="inlineStr">
        <is>
          <t>Catherine Moreau</t>
        </is>
      </c>
      <c r="J13" s="6" t="inlineStr">
        <is>
          <t>Atelier PAP Milan</t>
        </is>
      </c>
      <c r="K13" s="6" t="inlineStr">
        <is>
          <t>Non conforme</t>
        </is>
      </c>
      <c r="L13" s="6" t="n">
        <v>58</v>
      </c>
      <c r="M13" s="6" t="inlineStr">
        <is>
          <t>Raccord motif imprime decale 3mm dos — ΔE* 2.1 (&gt; seuil 1.5) — Solidite frottement humide : 2/5</t>
        </is>
      </c>
      <c r="N13" s="6" t="inlineStr">
        <is>
          <t>Recoupe panneaux dos — Reteinture lot tissu — Lot bloque</t>
        </is>
      </c>
      <c r="O13" s="6" t="inlineStr">
        <is>
          <t>Marco Ricci</t>
        </is>
      </c>
      <c r="P13" s="6" t="inlineStr">
        <is>
          <t>Triple non-conformite — Lot soie bloque — Alerte qualite fournisseur Seteria Bianchi</t>
        </is>
      </c>
    </row>
    <row r="14">
      <c r="A14" s="7" t="inlineStr">
        <is>
          <t>CTL-2026-0010</t>
        </is>
      </c>
      <c r="B14" s="7" t="inlineStr">
        <is>
          <t>2026-04-07</t>
        </is>
      </c>
      <c r="C14" s="7" t="inlineStr">
        <is>
          <t>10:00</t>
        </is>
      </c>
      <c r="D14" s="7" t="inlineStr">
        <is>
          <t>Maroquinerie</t>
        </is>
      </c>
      <c r="E14" s="7" t="inlineStr">
        <is>
          <t>Petite maroquinerie</t>
        </is>
      </c>
      <c r="F14" s="7" t="inlineStr">
        <is>
          <t>PLM-ZIP-CUI-BURG-012</t>
        </is>
      </c>
      <c r="G14" s="7" t="inlineStr">
        <is>
          <t>LOT-2026-0001</t>
        </is>
      </c>
      <c r="H14" s="7" t="inlineStr">
        <is>
          <t>CQ-MAR-005 + CQ-MAR-003 + CQ-GEN-001</t>
        </is>
      </c>
      <c r="I14" s="7" t="inlineStr">
        <is>
          <t>Jean-Pierre Moreau</t>
        </is>
      </c>
      <c r="J14" s="7" t="inlineStr">
        <is>
          <t>Atelier Maroquinerie Paris</t>
        </is>
      </c>
      <c r="K14" s="7" t="inlineStr">
        <is>
          <t>Conforme</t>
        </is>
      </c>
      <c r="L14" s="7" t="n">
        <v>93</v>
      </c>
      <c r="M14" s="7" t="inlineStr">
        <is>
          <t>Obs. mineure : legere variation teinte cuir entre 2 panneaux (ΔE* 1.1 — dans tolerance)</t>
        </is>
      </c>
      <c r="N14" s="7" t="inlineStr">
        <is>
          <t>N/A — Variation naturelle cuir documentee</t>
        </is>
      </c>
      <c r="O14" s="7" t="inlineStr">
        <is>
          <t>Sophie Laurent</t>
        </is>
      </c>
      <c r="P14" s="7" t="inlineStr">
        <is>
          <t>Variation chromatique naturelle du cuir pleine fleur — Dans tolerance maison (ΔE* ≤ 1.0 cuir strict)</t>
        </is>
      </c>
    </row>
    <row r="15">
      <c r="A15" s="6" t="inlineStr">
        <is>
          <t>CTL-2026-0011</t>
        </is>
      </c>
      <c r="B15" s="6" t="inlineStr">
        <is>
          <t>2026-04-08</t>
        </is>
      </c>
      <c r="C15" s="6" t="inlineStr">
        <is>
          <t>11:00</t>
        </is>
      </c>
      <c r="D15" s="6" t="inlineStr">
        <is>
          <t>Joaillerie</t>
        </is>
      </c>
      <c r="E15" s="6" t="inlineStr">
        <is>
          <t>Collier</t>
        </is>
      </c>
      <c r="F15" s="6" t="inlineStr">
        <is>
          <t>COL-RIV-OR-SAP-001</t>
        </is>
      </c>
      <c r="G15" s="6" t="inlineStr">
        <is>
          <t>LOT-2026-0005</t>
        </is>
      </c>
      <c r="H15" s="6" t="inlineStr">
        <is>
          <t>CQ-JOA-001 + CQ-JOA-002</t>
        </is>
      </c>
      <c r="I15" s="6" t="inlineStr">
        <is>
          <t>Maitre Francois Petit</t>
        </is>
      </c>
      <c r="J15" s="6" t="inlineStr">
        <is>
          <t>Atelier Haute Joaillerie Vendome</t>
        </is>
      </c>
      <c r="K15" s="6" t="inlineStr">
        <is>
          <t>En attente</t>
        </is>
      </c>
      <c r="L15" s="6" t="n">
        <v>0</v>
      </c>
      <c r="M15" s="6" t="inlineStr">
        <is>
          <t>Controle en cours — Sertissage 47 saphirs en riviere — Etape 32/47</t>
        </is>
      </c>
      <c r="N15" s="6" t="inlineStr">
        <is>
          <t>N/A — Controle non finalise</t>
        </is>
      </c>
      <c r="O15" s="6" t="inlineStr">
        <is>
          <t>Alain Mercier</t>
        </is>
      </c>
      <c r="P15" s="6" t="inlineStr">
        <is>
          <t>Piece Haute Joaillerie complexe — Controle pierre par pierre — Fin estimee 12/04</t>
        </is>
      </c>
    </row>
    <row r="16">
      <c r="A16" s="7" t="inlineStr">
        <is>
          <t>CTL-2026-0012</t>
        </is>
      </c>
      <c r="B16" s="7" t="inlineStr">
        <is>
          <t>2026-04-09</t>
        </is>
      </c>
      <c r="C16" s="7" t="inlineStr">
        <is>
          <t>09:00</t>
        </is>
      </c>
      <c r="D16" s="7" t="inlineStr">
        <is>
          <t>Maroquinerie</t>
        </is>
      </c>
      <c r="E16" s="7" t="inlineStr">
        <is>
          <t>Sac a main</t>
        </is>
      </c>
      <c r="F16" s="7" t="inlineStr">
        <is>
          <t>SAC-KE-35-CROC-001</t>
        </is>
      </c>
      <c r="G16" s="7" t="inlineStr">
        <is>
          <t>LOT-2026-0008</t>
        </is>
      </c>
      <c r="H16" s="7" t="inlineStr">
        <is>
          <t>CQ-MAR-001 + CQ-MAR-002 + CQ-MAR-003 + CQ-MAR-004 + CQ-MAR-005</t>
        </is>
      </c>
      <c r="I16" s="7" t="inlineStr">
        <is>
          <t>Marie Dubois</t>
        </is>
      </c>
      <c r="J16" s="7" t="inlineStr">
        <is>
          <t>Atelier Maroquinerie Paris</t>
        </is>
      </c>
      <c r="K16" s="7" t="inlineStr">
        <is>
          <t>Conforme</t>
        </is>
      </c>
      <c r="L16" s="7" t="n">
        <v>96</v>
      </c>
      <c r="M16" s="7" t="inlineStr">
        <is>
          <t>Aucun</t>
        </is>
      </c>
      <c r="N16" s="7" t="inlineStr">
        <is>
          <t>N/A</t>
        </is>
      </c>
      <c r="O16" s="7" t="inlineStr">
        <is>
          <t>Sophie Laurent</t>
        </is>
      </c>
      <c r="P16" s="7" t="inlineStr">
        <is>
          <t>Piece crocodile — Controle exhaustif 5 criteres — Excellence — Ecailles symetriques validees</t>
        </is>
      </c>
    </row>
    <row r="17">
      <c r="A17" s="6" t="inlineStr">
        <is>
          <t>CTL-2026-0013</t>
        </is>
      </c>
      <c r="B17" s="6" t="inlineStr">
        <is>
          <t>2026-04-10</t>
        </is>
      </c>
      <c r="C17" s="6" t="inlineStr">
        <is>
          <t>15:00</t>
        </is>
      </c>
      <c r="D17" s="6" t="inlineStr">
        <is>
          <t>Pret-a-Porter</t>
        </is>
      </c>
      <c r="E17" s="6" t="inlineStr">
        <is>
          <t>Chemise</t>
        </is>
      </c>
      <c r="F17" s="6" t="inlineStr">
        <is>
          <t>CHE-COT-BLA-SLIM-LOT15</t>
        </is>
      </c>
      <c r="G17" s="6" t="inlineStr">
        <is>
          <t>N/A (coton japonais)</t>
        </is>
      </c>
      <c r="H17" s="6" t="inlineStr">
        <is>
          <t>CQ-PAP-003 + CQ-GEN-002</t>
        </is>
      </c>
      <c r="I17" s="6" t="inlineStr">
        <is>
          <t>Lot de 15 pieces</t>
        </is>
      </c>
      <c r="J17" s="6" t="inlineStr">
        <is>
          <t>Atelier PAP Milan</t>
        </is>
      </c>
      <c r="K17" s="6" t="inlineStr">
        <is>
          <t>Conditionnel</t>
        </is>
      </c>
      <c r="L17" s="6" t="n">
        <v>78</v>
      </c>
      <c r="M17" s="6" t="inlineStr">
        <is>
          <t>2 pieces sur 15 : boutonniere #3 irreguliere (ecart 0.7mm &gt; 0.5mm tolerance) — Solidite teinture OK</t>
        </is>
      </c>
      <c r="N17" s="6" t="inlineStr">
        <is>
          <t>Reprise boutonniere pieces #7 et #12 — Re-controle apres</t>
        </is>
      </c>
      <c r="O17" s="6" t="inlineStr">
        <is>
          <t>Marco Ricci</t>
        </is>
      </c>
      <c r="P17" s="6" t="inlineStr">
        <is>
          <t>13/15 conformes — 2 pieces en reprise — Lot conditionnel</t>
        </is>
      </c>
    </row>
    <row r="18">
      <c r="A18" s="7" t="inlineStr">
        <is>
          <t>CTL-2026-0014</t>
        </is>
      </c>
      <c r="B18" s="7" t="inlineStr">
        <is>
          <t>2026-04-11</t>
        </is>
      </c>
      <c r="C18" s="7" t="inlineStr">
        <is>
          <t>08:00</t>
        </is>
      </c>
      <c r="D18" s="7" t="inlineStr">
        <is>
          <t>Horlogerie</t>
        </is>
      </c>
      <c r="E18" s="7" t="inlineStr">
        <is>
          <t>Montre mecanique</t>
        </is>
      </c>
      <c r="F18" s="7" t="inlineStr">
        <is>
          <t>MON-TOUR-CHRONO-001</t>
        </is>
      </c>
      <c r="G18" s="7" t="inlineStr">
        <is>
          <t>N/A (mouvement complication)</t>
        </is>
      </c>
      <c r="H18" s="7" t="inlineStr">
        <is>
          <t>CQ-HOR-001 + CQ-HOR-002 + CQ-HOR-003</t>
        </is>
      </c>
      <c r="I18" s="7" t="inlineStr">
        <is>
          <t>Maitre Claude Bonnard</t>
        </is>
      </c>
      <c r="J18" s="7" t="inlineStr">
        <is>
          <t>Atelier Horlogerie Geneve</t>
        </is>
      </c>
      <c r="K18" s="7" t="inlineStr">
        <is>
          <t>Conforme</t>
        </is>
      </c>
      <c r="L18" s="7" t="n">
        <v>100</v>
      </c>
      <c r="M18" s="7" t="inlineStr">
        <is>
          <t>Aucun — Piece exceptionnelle</t>
        </is>
      </c>
      <c r="N18" s="7" t="inlineStr">
        <is>
          <t>N/A</t>
        </is>
      </c>
      <c r="O18" s="7" t="inlineStr">
        <is>
          <t>Pierre Fontaine</t>
        </is>
      </c>
      <c r="P18" s="7" t="inlineStr">
        <is>
          <t>Score 100/100 — Tourbillon — Marche +0.2s/j — Finition Poincon de Geneve — Chef-d'oeuvre</t>
        </is>
      </c>
    </row>
    <row r="19">
      <c r="A19" s="8" t="inlineStr">
        <is>
          <t>SYNTHESE CONTROLES</t>
        </is>
      </c>
      <c r="B19" s="8" t="inlineStr">
        <is>
          <t>Total :</t>
        </is>
      </c>
      <c r="C19" s="9">
        <f>COUNTA(A5:A18)</f>
        <v/>
      </c>
      <c r="D19" s="8" t="n"/>
      <c r="E19" s="8" t="inlineStr">
        <is>
          <t>Conformes :</t>
        </is>
      </c>
      <c r="F19" s="9">
        <f>COUNTIF(K5:K18,"Conforme")</f>
        <v/>
      </c>
      <c r="G19" s="8" t="inlineStr">
        <is>
          <t>Non conformes :</t>
        </is>
      </c>
      <c r="H19" s="10">
        <f>COUNTIF(K5:K18,"Non conforme")</f>
        <v/>
      </c>
      <c r="I19" s="8" t="inlineStr">
        <is>
          <t>Score moyen :</t>
        </is>
      </c>
      <c r="J19" s="11">
        <f>IFERROR(AVERAGEIF(L5:L18,"&gt;0"),0)</f>
        <v/>
      </c>
      <c r="K19" s="8" t="n"/>
      <c r="L19" s="8" t="n"/>
      <c r="M19" s="8" t="n"/>
      <c r="N19" s="8" t="n"/>
      <c r="O19" s="8" t="n"/>
      <c r="P19" s="8" t="n"/>
    </row>
    <row r="20">
      <c r="B20" t="inlineStr">
        <is>
          <t>First Pass Yield :</t>
        </is>
      </c>
      <c r="C20" s="12">
        <f>IFERROR(COUNTIF(K5:K18,"Conforme")/COUNTIFS(K5:K18,"&lt;&gt;En attente"),0)</f>
        <v/>
      </c>
      <c r="E20" t="inlineStr">
        <is>
          <t>Taux rejet :</t>
        </is>
      </c>
      <c r="F20" s="12">
        <f>IFERROR(COUNTIF(K5:K18,"Non conforme")/COUNTIFS(K5:K18,"&lt;&gt;En attente"),0)</f>
        <v/>
      </c>
    </row>
  </sheetData>
  <autoFilter ref="A4:P18"/>
  <mergeCells count="3">
    <mergeCell ref="A1:P1"/>
    <mergeCell ref="A3:P3"/>
    <mergeCell ref="A2:P2"/>
  </mergeCells>
  <conditionalFormatting sqref="K5:K18">
    <cfRule type="cellIs" priority="1" operator="equal" dxfId="0">
      <formula>"Conforme"</formula>
    </cfRule>
    <cfRule type="cellIs" priority="2" operator="equal" dxfId="0">
      <formula>"Valide"</formula>
    </cfRule>
    <cfRule type="cellIs" priority="3" operator="equal" dxfId="0">
      <formula>"Actif"</formula>
    </cfRule>
    <cfRule type="cellIs" priority="4" operator="equal" dxfId="0">
      <formula>"Excellent"</formula>
    </cfRule>
    <cfRule type="cellIs" priority="5" operator="equal" dxfId="0">
      <formula>"Acceptable"</formula>
    </cfRule>
    <cfRule type="cellIs" priority="6" operator="equal" dxfId="1">
      <formula>"En attente"</formula>
    </cfRule>
    <cfRule type="cellIs" priority="7" operator="equal" dxfId="1">
      <formula>"En cours"</formula>
    </cfRule>
    <cfRule type="cellIs" priority="8" operator="equal" dxfId="1">
      <formula>"Conditionnel"</formula>
    </cfRule>
    <cfRule type="cellIs" priority="9" operator="equal" dxfId="1">
      <formula>"A ameliorer"</formula>
    </cfRule>
    <cfRule type="cellIs" priority="10" operator="equal" dxfId="2">
      <formula>"Non conforme"</formula>
    </cfRule>
    <cfRule type="cellIs" priority="11" operator="equal" dxfId="2">
      <formula>"Rejete"</formula>
    </cfRule>
    <cfRule type="cellIs" priority="12" operator="equal" dxfId="2">
      <formula>"Critique"</formula>
    </cfRule>
    <cfRule type="cellIs" priority="13" operator="equal" dxfId="2">
      <formula>"Suspendu"</formula>
    </cfRule>
    <cfRule type="cellIs" priority="14" operator="equal" dxfId="2">
      <formula>"Insuffisant"</formula>
    </cfRule>
  </conditionalFormatting>
  <conditionalFormatting sqref="L5:L18">
    <cfRule type="dataBar" priority="15">
      <dataBar>
        <cfvo type="num" val="0"/>
        <cfvo type="num" val="100"/>
        <color rgb="002E7D32"/>
      </dataBar>
    </cfRule>
  </conditionalFormatting>
  <dataValidations count="1">
    <dataValidation sqref="K5:K5000" showDropDown="0" showInputMessage="0" showErrorMessage="0" allowBlank="0" type="list">
      <formula1>"Conforme,Non conforme,Conditionnel,En attente"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2828"/>
    <outlinePr summaryBelow="1" summaryRight="1"/>
    <pageSetUpPr/>
  </sheetPr>
  <dimension ref="A1: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22" customWidth="1" min="5" max="5"/>
    <col width="22" customWidth="1" min="6" max="6"/>
    <col width="16" customWidth="1" min="7" max="7"/>
    <col width="12" customWidth="1" min="8" max="8"/>
    <col width="40" customWidth="1" min="9" max="9"/>
    <col width="34" customWidth="1" min="10" max="10"/>
    <col width="34" customWidth="1" min="11" max="11"/>
    <col width="34" customWidth="1" min="12" max="12"/>
    <col width="14" customWidth="1" min="13" max="13"/>
    <col width="18" customWidth="1" min="14" max="14"/>
    <col width="12" customWidth="1" min="15" max="15"/>
    <col width="12" customWidth="1" min="16" max="16"/>
  </cols>
  <sheetData>
    <row r="1" ht="48" customHeight="1">
      <c r="A1" s="1" t="inlineStr">
        <is>
          <t>REGISTRE DES DEFAUTS — AGENT ARTISANALQUALITYAI</t>
        </is>
      </c>
    </row>
    <row r="2" ht="28" customHeight="1">
      <c r="A2" s="2" t="inlineStr">
        <is>
          <t>Classification, analyse causale, actions correctives — Amelioration continue — Avril 2026</t>
        </is>
      </c>
    </row>
    <row r="3" ht="30" customHeight="1">
      <c r="A3" s="4" t="inlineStr">
        <is>
          <t>REGISTRE DEFAUTS QUALITE ARTISANALE</t>
        </is>
      </c>
    </row>
    <row r="4" ht="36" customHeight="1">
      <c r="A4" s="5" t="inlineStr">
        <is>
          <t>ID_Defaut</t>
        </is>
      </c>
      <c r="B4" s="5" t="inlineStr">
        <is>
          <t>Date detection</t>
        </is>
      </c>
      <c r="C4" s="5" t="inlineStr">
        <is>
          <t>Controle source</t>
        </is>
      </c>
      <c r="D4" s="5" t="inlineStr">
        <is>
          <t>Metier</t>
        </is>
      </c>
      <c r="E4" s="5" t="inlineStr">
        <is>
          <t>Produit / Lot</t>
        </is>
      </c>
      <c r="F4" s="5" t="inlineStr">
        <is>
          <t>Type de defaut</t>
        </is>
      </c>
      <c r="G4" s="5" t="inlineStr">
        <is>
          <t>Classification</t>
        </is>
      </c>
      <c r="H4" s="5" t="inlineStr">
        <is>
          <t>Severite</t>
        </is>
      </c>
      <c r="I4" s="5" t="inlineStr">
        <is>
          <t>Description detaillee</t>
        </is>
      </c>
      <c r="J4" s="5" t="inlineStr">
        <is>
          <t>Cause racine identifiee</t>
        </is>
      </c>
      <c r="K4" s="5" t="inlineStr">
        <is>
          <t>Action corrective</t>
        </is>
      </c>
      <c r="L4" s="5" t="inlineStr">
        <is>
          <t>Action preventive</t>
        </is>
      </c>
      <c r="M4" s="5" t="inlineStr">
        <is>
          <t>Cout impact (€)</t>
        </is>
      </c>
      <c r="N4" s="5" t="inlineStr">
        <is>
          <t>Responsable</t>
        </is>
      </c>
      <c r="O4" s="5" t="inlineStr">
        <is>
          <t>Statut</t>
        </is>
      </c>
      <c r="P4" s="5" t="inlineStr">
        <is>
          <t>Date cloture</t>
        </is>
      </c>
    </row>
    <row r="5">
      <c r="A5" s="6" t="inlineStr">
        <is>
          <t>DEF-2026-001</t>
        </is>
      </c>
      <c r="B5" s="6" t="inlineStr">
        <is>
          <t>2026-04-02</t>
        </is>
      </c>
      <c r="C5" s="6" t="inlineStr">
        <is>
          <t>CTL-2026-0003</t>
        </is>
      </c>
      <c r="D5" s="6" t="inlineStr">
        <is>
          <t>Maroquinerie</t>
        </is>
      </c>
      <c r="E5" s="6" t="inlineStr">
        <is>
          <t>SAC-BI-28-CAMEL-003</t>
        </is>
      </c>
      <c r="F5" s="6" t="inlineStr">
        <is>
          <t>Defaut matiere — Griffure cuir</t>
        </is>
      </c>
      <c r="G5" s="6" t="inlineStr">
        <is>
          <t>Esthetique</t>
        </is>
      </c>
      <c r="H5" s="6" t="inlineStr">
        <is>
          <t>Majeur</t>
        </is>
      </c>
      <c r="I5" s="6" t="inlineStr">
        <is>
          <t>Griffure lineaire 8mm sur parement avant cuir veau — Visible a l'oeil nu — Origine : selection cuir insuffisante</t>
        </is>
      </c>
      <c r="J5" s="6" t="inlineStr">
        <is>
          <t>Peau presentant un defaut en zone B non detecte lors du tri initial — Eclairage poste de tri insuffisant</t>
        </is>
      </c>
      <c r="K5" s="6" t="inlineStr">
        <is>
          <t>Remplacement parement complet — Selection nouvelle peau Grade A+</t>
        </is>
      </c>
      <c r="L5" s="6" t="inlineStr">
        <is>
          <t>Installation lampe LED lumiere rasante au poste de tri cuir — Formation operateur tri</t>
        </is>
      </c>
      <c r="M5" s="13" t="n">
        <v>450</v>
      </c>
      <c r="N5" s="6" t="inlineStr">
        <is>
          <t>Resp. Atelier Maroquinerie</t>
        </is>
      </c>
      <c r="O5" s="6" t="inlineStr">
        <is>
          <t>Resolu</t>
        </is>
      </c>
      <c r="P5" s="6" t="inlineStr">
        <is>
          <t>2026-04-04</t>
        </is>
      </c>
    </row>
    <row r="6">
      <c r="A6" s="7" t="inlineStr">
        <is>
          <t>DEF-2026-002</t>
        </is>
      </c>
      <c r="B6" s="7" t="inlineStr">
        <is>
          <t>2026-04-02</t>
        </is>
      </c>
      <c r="C6" s="7" t="inlineStr">
        <is>
          <t>CTL-2026-0003</t>
        </is>
      </c>
      <c r="D6" s="7" t="inlineStr">
        <is>
          <t>Maroquinerie</t>
        </is>
      </c>
      <c r="E6" s="7" t="inlineStr">
        <is>
          <t>SAC-BI-28-CAMEL-003</t>
        </is>
      </c>
      <c r="F6" s="7" t="inlineStr">
        <is>
          <t>Defaut piqure — Densite irreguliere</t>
        </is>
      </c>
      <c r="G6" s="7" t="inlineStr">
        <is>
          <t>Fonctionnel</t>
        </is>
      </c>
      <c r="H6" s="7" t="inlineStr">
        <is>
          <t>Majeur</t>
        </is>
      </c>
      <c r="I6" s="7" t="inlineStr">
        <is>
          <t>Variation densite piqure de 4.2 a 5.8 pts/cm sur couture principale — Norme 5-7 pts/cm mais variation &gt;0.5pt/cm</t>
        </is>
      </c>
      <c r="J6" s="7" t="inlineStr">
        <is>
          <t>Tension fil machine mal reglee — Usure guide-fil detectee — Artisan fatigue (heure tardive)</t>
        </is>
      </c>
      <c r="K6" s="7" t="inlineStr">
        <is>
          <t>Decousage + reprise couture integrale — Reglage machine — Verification guide-fil</t>
        </is>
      </c>
      <c r="L6" s="7" t="inlineStr">
        <is>
          <t>Procedure de verification tension fil toutes les 2h — Rotation artisans en fin de journee</t>
        </is>
      </c>
      <c r="M6" s="14" t="n">
        <v>380</v>
      </c>
      <c r="N6" s="7" t="inlineStr">
        <is>
          <t>Jean-Pierre Moreau (artisan)</t>
        </is>
      </c>
      <c r="O6" s="7" t="inlineStr">
        <is>
          <t>Resolu</t>
        </is>
      </c>
      <c r="P6" s="7" t="inlineStr">
        <is>
          <t>2026-04-05</t>
        </is>
      </c>
    </row>
    <row r="7">
      <c r="A7" s="6" t="inlineStr">
        <is>
          <t>DEF-2026-003</t>
        </is>
      </c>
      <c r="B7" s="6" t="inlineStr">
        <is>
          <t>2026-04-03</t>
        </is>
      </c>
      <c r="C7" s="6" t="inlineStr">
        <is>
          <t>CTL-2026-0005</t>
        </is>
      </c>
      <c r="D7" s="6" t="inlineStr">
        <is>
          <t>Joaillerie</t>
        </is>
      </c>
      <c r="E7" s="6" t="inlineStr">
        <is>
          <t>BRA-MAN-OR18-007</t>
        </is>
      </c>
      <c r="F7" s="6" t="inlineStr">
        <is>
          <t>Defaut finition — Micro-rayure</t>
        </is>
      </c>
      <c r="G7" s="6" t="inlineStr">
        <is>
          <t>Esthetique</t>
        </is>
      </c>
      <c r="H7" s="6" t="inlineStr">
        <is>
          <t>Mineur</t>
        </is>
      </c>
      <c r="I7" s="6" t="inlineStr">
        <is>
          <t>Micro-rayure outil 2mm sur face interieure maillon bracelet or 18K — Non visible porte — Detectable loupe 20x</t>
        </is>
      </c>
      <c r="J7" s="6" t="inlineStr">
        <is>
          <t>Contact accidentel outil gravure lors de manipulation piece voisine — Poste de travail encombre</t>
        </is>
      </c>
      <c r="K7" s="6" t="inlineStr">
        <is>
          <t>Re-polissage localise — Avivage rhodie zone impactee</t>
        </is>
      </c>
      <c r="L7" s="6" t="inlineStr">
        <is>
          <t>Reorganisation poste travail — Separation physique pieces en cours — Protocole manipulation</t>
        </is>
      </c>
      <c r="M7" s="13" t="n">
        <v>120</v>
      </c>
      <c r="N7" s="6" t="inlineStr">
        <is>
          <t>Elise Durand (artisan)</t>
        </is>
      </c>
      <c r="O7" s="6" t="inlineStr">
        <is>
          <t>Resolu</t>
        </is>
      </c>
      <c r="P7" s="6" t="inlineStr">
        <is>
          <t>2026-04-04</t>
        </is>
      </c>
    </row>
    <row r="8">
      <c r="A8" s="7" t="inlineStr">
        <is>
          <t>DEF-2026-004</t>
        </is>
      </c>
      <c r="B8" s="7" t="inlineStr">
        <is>
          <t>2026-04-05</t>
        </is>
      </c>
      <c r="C8" s="7" t="inlineStr">
        <is>
          <t>CTL-2026-0009</t>
        </is>
      </c>
      <c r="D8" s="7" t="inlineStr">
        <is>
          <t>Pret-a-Porter</t>
        </is>
      </c>
      <c r="E8" s="7" t="inlineStr">
        <is>
          <t>ROB-SOI-IMP-FLOR-003</t>
        </is>
      </c>
      <c r="F8" s="7" t="inlineStr">
        <is>
          <t>Defaut matiere — Raccord motif</t>
        </is>
      </c>
      <c r="G8" s="7" t="inlineStr">
        <is>
          <t>Esthetique</t>
        </is>
      </c>
      <c r="H8" s="7" t="inlineStr">
        <is>
          <t>Majeur</t>
        </is>
      </c>
      <c r="I8" s="7" t="inlineStr">
        <is>
          <t>Decalage raccord motif imprime floral 3mm sur couture dos — Visible a 1m — Inacceptable pour piece de collection</t>
        </is>
      </c>
      <c r="J8" s="7" t="inlineStr">
        <is>
          <t>Erreur placement patron sur tissu imprime — Operateur coupe n'a pas aligne reperes motif</t>
        </is>
      </c>
      <c r="K8" s="7" t="inlineStr">
        <is>
          <t>Recoupe panneaux dos avec raccord correct — Piece recoupee dans nouveau metrage</t>
        </is>
      </c>
      <c r="L8" s="7" t="inlineStr">
        <is>
          <t>Formation placement patron sur imprimes — Gabarit de raccord obligatoire — Double validation avant coupe</t>
        </is>
      </c>
      <c r="M8" s="14" t="n">
        <v>580</v>
      </c>
      <c r="N8" s="7" t="inlineStr">
        <is>
          <t>Resp. Atelier PAP Milan</t>
        </is>
      </c>
      <c r="O8" s="7" t="inlineStr">
        <is>
          <t>Resolu</t>
        </is>
      </c>
      <c r="P8" s="7" t="inlineStr">
        <is>
          <t>2026-04-08</t>
        </is>
      </c>
    </row>
    <row r="9">
      <c r="A9" s="6" t="inlineStr">
        <is>
          <t>DEF-2026-005</t>
        </is>
      </c>
      <c r="B9" s="6" t="inlineStr">
        <is>
          <t>2026-04-05</t>
        </is>
      </c>
      <c r="C9" s="6" t="inlineStr">
        <is>
          <t>CTL-2026-0009</t>
        </is>
      </c>
      <c r="D9" s="6" t="inlineStr">
        <is>
          <t>Pret-a-Porter</t>
        </is>
      </c>
      <c r="E9" s="6" t="inlineStr">
        <is>
          <t>ROB-SOI-IMP-FLOR-003 (lot tissu)</t>
        </is>
      </c>
      <c r="F9" s="6" t="inlineStr">
        <is>
          <t>Defaut teinture — ΔE* hors tolerance</t>
        </is>
      </c>
      <c r="G9" s="6" t="inlineStr">
        <is>
          <t>Matiere premiere</t>
        </is>
      </c>
      <c r="H9" s="6" t="inlineStr">
        <is>
          <t>Critique</t>
        </is>
      </c>
      <c r="I9" s="6" t="inlineStr">
        <is>
          <t>ΔE* de 2.1 entre tissu livre et standard colorimetrique — Seuil 1.5 — Lot soie entier potentiellement impacte</t>
        </is>
      </c>
      <c r="J9" s="6" t="inlineStr">
        <is>
          <t>Derive bain de teinture chez fournisseur Seteria Bianchi — Lot de teinture #SB-2026-T089</t>
        </is>
      </c>
      <c r="K9" s="6" t="inlineStr">
        <is>
          <t>Lot soie bloque — Retour fournisseur pour reteinture — Alerte qualite emise vers fournisseur</t>
        </is>
      </c>
      <c r="L9" s="6" t="inlineStr">
        <is>
          <t>Audit teinture chez Seteria Bianchi — Exigence certificat colorimerique par lot — Controle reception systematique</t>
        </is>
      </c>
      <c r="M9" s="13" t="n">
        <v>2800</v>
      </c>
      <c r="N9" s="6" t="inlineStr">
        <is>
          <t>Dir. Qualite + Seteria Bianchi</t>
        </is>
      </c>
      <c r="O9" s="6" t="inlineStr">
        <is>
          <t>En cours</t>
        </is>
      </c>
      <c r="P9" s="6" t="n"/>
    </row>
    <row r="10">
      <c r="A10" s="7" t="inlineStr">
        <is>
          <t>DEF-2026-006</t>
        </is>
      </c>
      <c r="B10" s="7" t="inlineStr">
        <is>
          <t>2026-04-05</t>
        </is>
      </c>
      <c r="C10" s="7" t="inlineStr">
        <is>
          <t>CTL-2026-0009</t>
        </is>
      </c>
      <c r="D10" s="7" t="inlineStr">
        <is>
          <t>Pret-a-Porter</t>
        </is>
      </c>
      <c r="E10" s="7" t="inlineStr">
        <is>
          <t>ROB-SOI-IMP-FLOR-003 (lot tissu)</t>
        </is>
      </c>
      <c r="F10" s="7" t="inlineStr">
        <is>
          <t>Defaut teinture — Solidite insuffisante</t>
        </is>
      </c>
      <c r="G10" s="7" t="inlineStr">
        <is>
          <t>Fonctionnel</t>
        </is>
      </c>
      <c r="H10" s="7" t="inlineStr">
        <is>
          <t>Critique</t>
        </is>
      </c>
      <c r="I10" s="7" t="inlineStr">
        <is>
          <t>Solidite frottement humide 2/5 (min 3-4 requis) — Risque decoloration au porte — Lot impropre a la commercialisation</t>
        </is>
      </c>
      <c r="J10" s="7" t="inlineStr">
        <is>
          <t>Meme cause que DEF-005 — Fixation colorant insuffisante lot teinture #SB-2026-T089</t>
        </is>
      </c>
      <c r="K10" s="7" t="inlineStr">
        <is>
          <t>Lot bloque — Impossibilite de reprise — Remplacement lot complet par Seteria Bianchi</t>
        </is>
      </c>
      <c r="L10" s="7" t="inlineStr">
        <is>
          <t>Renforcement cahier des charges teinture — Clause penale fournisseur — Controle solidite reception</t>
        </is>
      </c>
      <c r="M10" s="14" t="n">
        <v>4200</v>
      </c>
      <c r="N10" s="7" t="inlineStr">
        <is>
          <t>Dir. Qualite + Dir. Achats</t>
        </is>
      </c>
      <c r="O10" s="7" t="inlineStr">
        <is>
          <t>En cours</t>
        </is>
      </c>
      <c r="P10" s="7" t="n"/>
    </row>
    <row r="11">
      <c r="A11" s="6" t="inlineStr">
        <is>
          <t>DEF-2026-007</t>
        </is>
      </c>
      <c r="B11" s="6" t="inlineStr">
        <is>
          <t>2026-04-10</t>
        </is>
      </c>
      <c r="C11" s="6" t="inlineStr">
        <is>
          <t>CTL-2026-0013</t>
        </is>
      </c>
      <c r="D11" s="6" t="inlineStr">
        <is>
          <t>Pret-a-Porter</t>
        </is>
      </c>
      <c r="E11" s="6" t="inlineStr">
        <is>
          <t>CHE-COT-BLA-SLIM #7 et #12</t>
        </is>
      </c>
      <c r="F11" s="6" t="inlineStr">
        <is>
          <t>Defaut confection — Boutonniere irreguliere</t>
        </is>
      </c>
      <c r="G11" s="6" t="inlineStr">
        <is>
          <t>Esthetique</t>
        </is>
      </c>
      <c r="H11" s="6" t="inlineStr">
        <is>
          <t>Mineur</t>
        </is>
      </c>
      <c r="I11" s="6" t="inlineStr">
        <is>
          <t>Boutonniere #3 sur 2 pieces (sur 15) : ecart taille 0.7mm vs 0.5mm tolerance — Legere irregularite visuelle</t>
        </is>
      </c>
      <c r="J11" s="6" t="inlineStr">
        <is>
          <t>Reglage machine boutonniere legerement decale — Maintenance preventive retardee de 3 jours</t>
        </is>
      </c>
      <c r="K11" s="6" t="inlineStr">
        <is>
          <t>Reprise manuelle boutonnieres pieces #7 et #12 — Reglage machine effectue</t>
        </is>
      </c>
      <c r="L11" s="6" t="inlineStr">
        <is>
          <t>Maintenance preventive machine boutonniere strictement toutes les 200 pieces — Check-list pre-production</t>
        </is>
      </c>
      <c r="M11" s="13" t="n">
        <v>60</v>
      </c>
      <c r="N11" s="6" t="inlineStr">
        <is>
          <t>Catherine Moreau (operateur)</t>
        </is>
      </c>
      <c r="O11" s="6" t="inlineStr">
        <is>
          <t>Resolu</t>
        </is>
      </c>
      <c r="P11" s="6" t="inlineStr">
        <is>
          <t>2026-04-11</t>
        </is>
      </c>
    </row>
    <row r="12">
      <c r="A12" s="7" t="inlineStr">
        <is>
          <t>DEF-2026-008</t>
        </is>
      </c>
      <c r="B12" s="7" t="inlineStr">
        <is>
          <t>2026-04-01</t>
        </is>
      </c>
      <c r="C12" s="7" t="inlineStr">
        <is>
          <t>CTL-2026-0002</t>
        </is>
      </c>
      <c r="D12" s="7" t="inlineStr">
        <is>
          <t>Maroquinerie</t>
        </is>
      </c>
      <c r="E12" s="7" t="inlineStr">
        <is>
          <t>SAC-KE-35-GOLD-002</t>
        </is>
      </c>
      <c r="F12" s="7" t="inlineStr">
        <is>
          <t>Defaut finition — Tranche irreguliere</t>
        </is>
      </c>
      <c r="G12" s="7" t="inlineStr">
        <is>
          <t>Esthetique</t>
        </is>
      </c>
      <c r="H12" s="7" t="inlineStr">
        <is>
          <t>Mineur</t>
        </is>
      </c>
      <c r="I12" s="7" t="inlineStr">
        <is>
          <t>Legere irregularite finition tranche coin superieur droit — Visible loupe 10x uniquement — Reprise simple</t>
        </is>
      </c>
      <c r="J12" s="7" t="inlineStr">
        <is>
          <t>Application de peinture de tranche legerement inegale — 3eme couche trop rapide (sechage incomplet)</t>
        </is>
      </c>
      <c r="K12" s="7" t="inlineStr">
        <is>
          <t>Poncage leger + application couche supplementaire — Polissage buis final</t>
        </is>
      </c>
      <c r="L12" s="7" t="inlineStr">
        <is>
          <t>Rappel temps de sechage inter-couches minimum 45min — Fiche de suivi sechage au poste</t>
        </is>
      </c>
      <c r="M12" s="14" t="n">
        <v>40</v>
      </c>
      <c r="N12" s="7" t="inlineStr">
        <is>
          <t>Marie Dubois (artisan)</t>
        </is>
      </c>
      <c r="O12" s="7" t="inlineStr">
        <is>
          <t>Resolu</t>
        </is>
      </c>
      <c r="P12" s="7" t="inlineStr">
        <is>
          <t>2026-04-01</t>
        </is>
      </c>
    </row>
    <row r="13">
      <c r="A13" s="8" t="inlineStr">
        <is>
          <t>SYNTHESE DEFAUTS</t>
        </is>
      </c>
      <c r="B13" s="8" t="inlineStr">
        <is>
          <t>Total defauts :</t>
        </is>
      </c>
      <c r="C13" s="9">
        <f>COUNTA(A5:A12)</f>
        <v/>
      </c>
      <c r="D13" s="8" t="n"/>
      <c r="E13" s="8" t="inlineStr">
        <is>
          <t>Critiques :</t>
        </is>
      </c>
      <c r="F13" s="10">
        <f>COUNTIF(H5:H12,"Critique")</f>
        <v/>
      </c>
      <c r="G13" s="8" t="inlineStr">
        <is>
          <t>Ouverts :</t>
        </is>
      </c>
      <c r="H13" s="9">
        <f>COUNTIF(O5:O12,"En cours")</f>
        <v/>
      </c>
      <c r="I13" s="8" t="n"/>
      <c r="J13" s="8" t="n"/>
      <c r="K13" s="8" t="n"/>
      <c r="L13" s="8" t="inlineStr">
        <is>
          <t>Cout total :</t>
        </is>
      </c>
      <c r="M13" s="15">
        <f>SUM(M5:M12)</f>
        <v/>
      </c>
      <c r="N13" s="8" t="n"/>
      <c r="O13" s="8" t="n"/>
      <c r="P13" s="8" t="n"/>
    </row>
  </sheetData>
  <autoFilter ref="A4:P12"/>
  <mergeCells count="3">
    <mergeCell ref="A1:P1"/>
    <mergeCell ref="A3:P3"/>
    <mergeCell ref="A2:P2"/>
  </mergeCells>
  <conditionalFormatting sqref="O5:O12">
    <cfRule type="cellIs" priority="1" operator="equal" dxfId="0">
      <formula>"Conforme"</formula>
    </cfRule>
    <cfRule type="cellIs" priority="2" operator="equal" dxfId="0">
      <formula>"Valide"</formula>
    </cfRule>
    <cfRule type="cellIs" priority="3" operator="equal" dxfId="0">
      <formula>"Actif"</formula>
    </cfRule>
    <cfRule type="cellIs" priority="4" operator="equal" dxfId="0">
      <formula>"Excellent"</formula>
    </cfRule>
    <cfRule type="cellIs" priority="5" operator="equal" dxfId="0">
      <formula>"Acceptable"</formula>
    </cfRule>
    <cfRule type="cellIs" priority="6" operator="equal" dxfId="1">
      <formula>"En attente"</formula>
    </cfRule>
    <cfRule type="cellIs" priority="7" operator="equal" dxfId="1">
      <formula>"En cours"</formula>
    </cfRule>
    <cfRule type="cellIs" priority="8" operator="equal" dxfId="1">
      <formula>"Conditionnel"</formula>
    </cfRule>
    <cfRule type="cellIs" priority="9" operator="equal" dxfId="1">
      <formula>"A ameliorer"</formula>
    </cfRule>
    <cfRule type="cellIs" priority="10" operator="equal" dxfId="2">
      <formula>"Non conforme"</formula>
    </cfRule>
    <cfRule type="cellIs" priority="11" operator="equal" dxfId="2">
      <formula>"Rejete"</formula>
    </cfRule>
    <cfRule type="cellIs" priority="12" operator="equal" dxfId="2">
      <formula>"Critique"</formula>
    </cfRule>
    <cfRule type="cellIs" priority="13" operator="equal" dxfId="2">
      <formula>"Suspendu"</formula>
    </cfRule>
    <cfRule type="cellIs" priority="14" operator="equal" dxfId="2">
      <formula>"Insuffisant"</formula>
    </cfRule>
  </conditionalFormatting>
  <conditionalFormatting sqref="H5:H12">
    <cfRule type="cellIs" priority="15" operator="equal" dxfId="3">
      <formula>"Critique"</formula>
    </cfRule>
    <cfRule type="cellIs" priority="16" operator="equal" dxfId="4">
      <formula>"Majeur"</formula>
    </cfRule>
    <cfRule type="cellIs" priority="17" operator="equal" dxfId="5">
      <formula>"Mineur"</formula>
    </cfRule>
  </conditionalFormatting>
  <dataValidations count="2">
    <dataValidation sqref="H5:H5000" showDropDown="0" showInputMessage="0" showErrorMessage="0" allowBlank="0" type="list">
      <formula1>"Critique,Majeur,Mineur,Observation"</formula1>
    </dataValidation>
    <dataValidation sqref="O5:O5000" showDropDown="0" showInputMessage="0" showErrorMessage="0" allowBlank="0" type="list">
      <formula1>"En cours,Resolu,Escalade,Accepte en letat"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84C"/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2" customWidth="1" min="4" max="4"/>
    <col width="18" customWidth="1" min="5" max="5"/>
    <col width="24" customWidth="1" min="6" max="6"/>
    <col width="12" customWidth="1" min="7" max="7"/>
    <col width="16" customWidth="1" min="8" max="8"/>
    <col width="16" customWidth="1" min="9" max="9"/>
    <col width="28" customWidth="1" min="10" max="10"/>
    <col width="16" customWidth="1" min="11" max="11"/>
    <col width="14" customWidth="1" min="12" max="12"/>
    <col width="12" customWidth="1" min="13" max="13"/>
    <col width="36" customWidth="1" min="14" max="14"/>
  </cols>
  <sheetData>
    <row r="1" ht="48" customHeight="1">
      <c r="A1" s="1" t="inlineStr">
        <is>
          <t>REGISTRE DES ATELIERS — AGENT ARTISANALQUALITYAI</t>
        </is>
      </c>
    </row>
    <row r="2" ht="28" customHeight="1">
      <c r="A2" s="2" t="inlineStr">
        <is>
          <t>Ateliers de fabrication — Capacites, certifications, scores qualite — Avril 2026</t>
        </is>
      </c>
    </row>
    <row r="3" ht="30" customHeight="1">
      <c r="A3" s="4" t="inlineStr">
        <is>
          <t>BASE DES ATELIERS DE FABRICATION</t>
        </is>
      </c>
    </row>
    <row r="4" ht="36" customHeight="1">
      <c r="A4" s="5" t="inlineStr">
        <is>
          <t>ID_Atelier</t>
        </is>
      </c>
      <c r="B4" s="5" t="inlineStr">
        <is>
          <t>Nom de l'atelier</t>
        </is>
      </c>
      <c r="C4" s="5" t="inlineStr">
        <is>
          <t>Ville</t>
        </is>
      </c>
      <c r="D4" s="5" t="inlineStr">
        <is>
          <t>Pays</t>
        </is>
      </c>
      <c r="E4" s="5" t="inlineStr">
        <is>
          <t>Metier principal</t>
        </is>
      </c>
      <c r="F4" s="5" t="inlineStr">
        <is>
          <t>Specialite</t>
        </is>
      </c>
      <c r="G4" s="5" t="inlineStr">
        <is>
          <t>Nb artisans</t>
        </is>
      </c>
      <c r="H4" s="5" t="inlineStr">
        <is>
          <t>Score qualite moyen</t>
        </is>
      </c>
      <c r="I4" s="5" t="inlineStr">
        <is>
          <t>Taux First Pass Yield</t>
        </is>
      </c>
      <c r="J4" s="5" t="inlineStr">
        <is>
          <t>Certifications atelier</t>
        </is>
      </c>
      <c r="K4" s="5" t="inlineStr">
        <is>
          <t>Date dernier audit qualite</t>
        </is>
      </c>
      <c r="L4" s="5" t="inlineStr">
        <is>
          <t>Resultat audit</t>
        </is>
      </c>
      <c r="M4" s="5" t="inlineStr">
        <is>
          <t>Statut</t>
        </is>
      </c>
      <c r="N4" s="5" t="inlineStr">
        <is>
          <t>Notes</t>
        </is>
      </c>
    </row>
    <row r="5">
      <c r="A5" s="6" t="inlineStr">
        <is>
          <t>ATL-001</t>
        </is>
      </c>
      <c r="B5" s="6" t="inlineStr">
        <is>
          <t>Atelier Maroquinerie Paris</t>
        </is>
      </c>
      <c r="C5" s="6" t="inlineStr">
        <is>
          <t>Paris 3e</t>
        </is>
      </c>
      <c r="D5" s="6" t="inlineStr">
        <is>
          <t>France</t>
        </is>
      </c>
      <c r="E5" s="6" t="inlineStr">
        <is>
          <t>Maroquinerie</t>
        </is>
      </c>
      <c r="F5" s="6" t="inlineStr">
        <is>
          <t>Sacs a main — Point sellier — Cuirs exotiques</t>
        </is>
      </c>
      <c r="G5" s="6" t="n">
        <v>12</v>
      </c>
      <c r="H5" s="16">
        <f>IFERROR(AVERAGEIFS('3_CONTROLES'!L$5:L$5000,'3_CONTROLES'!J$5:J$5000,B5,'3_CONTROLES'!L$5:L$5000,"&gt;0"),"-")</f>
        <v/>
      </c>
      <c r="I5" s="17">
        <f>IFERROR(COUNTIFS('3_CONTROLES'!J$5:J$5000,B5,'3_CONTROLES'!K$5:K$5000,"Conforme")/COUNTIFS('3_CONTROLES'!J$5:J$5000,B5,'3_CONTROLES'!K$5:K$5000,"&lt;&gt;En attente"),"-")</f>
        <v/>
      </c>
      <c r="J5" s="6" t="inlineStr">
        <is>
          <t>ISO 9001 + Label EPV (Entreprise du Patrimoine Vivant)</t>
        </is>
      </c>
      <c r="K5" s="6" t="inlineStr">
        <is>
          <t>2026-03-15</t>
        </is>
      </c>
      <c r="L5" s="6" t="inlineStr">
        <is>
          <t>Conforme</t>
        </is>
      </c>
      <c r="M5" s="6" t="inlineStr">
        <is>
          <t>Actif</t>
        </is>
      </c>
      <c r="N5" s="6" t="inlineStr">
        <is>
          <t>Atelier historique — Excellence artisanale — Formation compagnonnage — Maitre d'art resident</t>
        </is>
      </c>
    </row>
    <row r="6">
      <c r="A6" s="7" t="inlineStr">
        <is>
          <t>ATL-002</t>
        </is>
      </c>
      <c r="B6" s="7" t="inlineStr">
        <is>
          <t>Atelier Haute Joaillerie Vendome</t>
        </is>
      </c>
      <c r="C6" s="7" t="inlineStr">
        <is>
          <t>Paris 1er</t>
        </is>
      </c>
      <c r="D6" s="7" t="inlineStr">
        <is>
          <t>France</t>
        </is>
      </c>
      <c r="E6" s="7" t="inlineStr">
        <is>
          <t>Joaillerie</t>
        </is>
      </c>
      <c r="F6" s="7" t="inlineStr">
        <is>
          <t>Haute Joaillerie — Sertissage — Polissage — Gravure</t>
        </is>
      </c>
      <c r="G6" s="7" t="n">
        <v>8</v>
      </c>
      <c r="H6" s="18">
        <f>IFERROR(AVERAGEIFS('3_CONTROLES'!L$5:L$5000,'3_CONTROLES'!J$5:J$5000,B6,'3_CONTROLES'!L$5:L$5000,"&gt;0"),"-")</f>
        <v/>
      </c>
      <c r="I6" s="19">
        <f>IFERROR(COUNTIFS('3_CONTROLES'!J$5:J$5000,B6,'3_CONTROLES'!K$5:K$5000,"Conforme")/COUNTIFS('3_CONTROLES'!J$5:J$5000,B6,'3_CONTROLES'!K$5:K$5000,"&lt;&gt;En attente"),"-")</f>
        <v/>
      </c>
      <c r="J6" s="7" t="inlineStr">
        <is>
          <t>RJC CoP + Label EPV + Poincon de maitre</t>
        </is>
      </c>
      <c r="K6" s="7" t="inlineStr">
        <is>
          <t>2026-02-28</t>
        </is>
      </c>
      <c r="L6" s="7" t="inlineStr">
        <is>
          <t>Conforme</t>
        </is>
      </c>
      <c r="M6" s="7" t="inlineStr">
        <is>
          <t>Actif</t>
        </is>
      </c>
      <c r="N6" s="7" t="inlineStr">
        <is>
          <t>Place Vendome — Maitres joailliers — Pieces uniques et haute joaillerie — Coffre-fort classe 6</t>
        </is>
      </c>
    </row>
    <row r="7">
      <c r="A7" s="6" t="inlineStr">
        <is>
          <t>ATL-003</t>
        </is>
      </c>
      <c r="B7" s="6" t="inlineStr">
        <is>
          <t>Atelier Horlogerie Geneve</t>
        </is>
      </c>
      <c r="C7" s="6" t="inlineStr">
        <is>
          <t>Geneve</t>
        </is>
      </c>
      <c r="D7" s="6" t="inlineStr">
        <is>
          <t>Suisse</t>
        </is>
      </c>
      <c r="E7" s="6" t="inlineStr">
        <is>
          <t>Horlogerie</t>
        </is>
      </c>
      <c r="F7" s="6" t="inlineStr">
        <is>
          <t>Mouvements manufacture — Complications — Habillage</t>
        </is>
      </c>
      <c r="G7" s="6" t="n">
        <v>6</v>
      </c>
      <c r="H7" s="16">
        <f>IFERROR(AVERAGEIFS('3_CONTROLES'!L$5:L$5000,'3_CONTROLES'!J$5:J$5000,B7,'3_CONTROLES'!L$5:L$5000,"&gt;0"),"-")</f>
        <v/>
      </c>
      <c r="I7" s="17">
        <f>IFERROR(COUNTIFS('3_CONTROLES'!J$5:J$5000,B7,'3_CONTROLES'!K$5:K$5000,"Conforme")/COUNTIFS('3_CONTROLES'!J$5:J$5000,B7,'3_CONTROLES'!K$5:K$5000,"&lt;&gt;En attente"),"-")</f>
        <v/>
      </c>
      <c r="J7" s="6" t="inlineStr">
        <is>
          <t>Poincon de Geneve + COSC + ISO 9001</t>
        </is>
      </c>
      <c r="K7" s="6" t="inlineStr">
        <is>
          <t>2026-01-20</t>
        </is>
      </c>
      <c r="L7" s="6" t="inlineStr">
        <is>
          <t>Conforme</t>
        </is>
      </c>
      <c r="M7" s="6" t="inlineStr">
        <is>
          <t>Actif</t>
        </is>
      </c>
      <c r="N7" s="6" t="inlineStr">
        <is>
          <t>Manufacture horlogere — Poincon de Geneve — Tourbillons et complications</t>
        </is>
      </c>
    </row>
    <row r="8">
      <c r="A8" s="7" t="inlineStr">
        <is>
          <t>ATL-004</t>
        </is>
      </c>
      <c r="B8" s="7" t="inlineStr">
        <is>
          <t>Atelier PAP Milan</t>
        </is>
      </c>
      <c r="C8" s="7" t="inlineStr">
        <is>
          <t>Milan</t>
        </is>
      </c>
      <c r="D8" s="7" t="inlineStr">
        <is>
          <t>Italie</t>
        </is>
      </c>
      <c r="E8" s="7" t="inlineStr">
        <is>
          <t>Pret-a-Porter</t>
        </is>
      </c>
      <c r="F8" s="7" t="inlineStr">
        <is>
          <t>Confection Femme — Tailleur — Couture flou</t>
        </is>
      </c>
      <c r="G8" s="7" t="n">
        <v>18</v>
      </c>
      <c r="H8" s="18">
        <f>IFERROR(AVERAGEIFS('3_CONTROLES'!L$5:L$5000,'3_CONTROLES'!J$5:J$5000,B8,'3_CONTROLES'!L$5:L$5000,"&gt;0"),"-")</f>
        <v/>
      </c>
      <c r="I8" s="19">
        <f>IFERROR(COUNTIFS('3_CONTROLES'!J$5:J$5000,B8,'3_CONTROLES'!K$5:K$5000,"Conforme")/COUNTIFS('3_CONTROLES'!J$5:J$5000,B8,'3_CONTROLES'!K$5:K$5000,"&lt;&gt;En attente"),"-")</f>
        <v/>
      </c>
      <c r="J8" s="7" t="inlineStr">
        <is>
          <t>ISO 9001 + Camera Nazionale della Moda</t>
        </is>
      </c>
      <c r="K8" s="7" t="inlineStr">
        <is>
          <t>2026-03-01</t>
        </is>
      </c>
      <c r="L8" s="7" t="inlineStr">
        <is>
          <t>Conforme</t>
        </is>
      </c>
      <c r="M8" s="7" t="inlineStr">
        <is>
          <t>Actif</t>
        </is>
      </c>
      <c r="N8" s="7" t="inlineStr">
        <is>
          <t>Atelier italien — Couture et tailleur — Expertise textiles nobles — 2 modelistes seniors</t>
        </is>
      </c>
    </row>
    <row r="9">
      <c r="A9" s="6" t="inlineStr">
        <is>
          <t>ATL-005</t>
        </is>
      </c>
      <c r="B9" s="6" t="inlineStr">
        <is>
          <t>Atelier Haute Couture Paris</t>
        </is>
      </c>
      <c r="C9" s="6" t="inlineStr">
        <is>
          <t>Paris 8e</t>
        </is>
      </c>
      <c r="D9" s="6" t="inlineStr">
        <is>
          <t>France</t>
        </is>
      </c>
      <c r="E9" s="6" t="inlineStr">
        <is>
          <t>Haute Couture</t>
        </is>
      </c>
      <c r="F9" s="6" t="inlineStr">
        <is>
          <t>Flou — Tailleur — Broderie — Plissage</t>
        </is>
      </c>
      <c r="G9" s="6" t="n">
        <v>22</v>
      </c>
      <c r="H9" s="16">
        <f>IFERROR(AVERAGEIFS('3_CONTROLES'!L$5:L$5000,'3_CONTROLES'!J$5:J$5000,B9,'3_CONTROLES'!L$5:L$5000,"&gt;0"),"-")</f>
        <v/>
      </c>
      <c r="I9" s="17">
        <f>IFERROR(COUNTIFS('3_CONTROLES'!J$5:J$5000,B9,'3_CONTROLES'!K$5:K$5000,"Conforme")/COUNTIFS('3_CONTROLES'!J$5:J$5000,B9,'3_CONTROLES'!K$5:K$5000,"&lt;&gt;En attente"),"-")</f>
        <v/>
      </c>
      <c r="J9" s="6" t="inlineStr">
        <is>
          <t>Label Haute Couture (Federation) + EPV</t>
        </is>
      </c>
      <c r="K9" s="6" t="inlineStr">
        <is>
          <t>2026-02-15</t>
        </is>
      </c>
      <c r="L9" s="6" t="inlineStr">
        <is>
          <t>Conforme</t>
        </is>
      </c>
      <c r="M9" s="6" t="inlineStr">
        <is>
          <t>Actif</t>
        </is>
      </c>
      <c r="N9" s="6" t="inlineStr">
        <is>
          <t>Maison membre Chambre Syndicale Haute Couture — Ateliers flou et tailleur separes</t>
        </is>
      </c>
    </row>
    <row r="10">
      <c r="A10" s="7" t="inlineStr">
        <is>
          <t>ATL-006</t>
        </is>
      </c>
      <c r="B10" s="7" t="inlineStr">
        <is>
          <t>Atelier Ganterie Millau</t>
        </is>
      </c>
      <c r="C10" s="7" t="inlineStr">
        <is>
          <t>Millau</t>
        </is>
      </c>
      <c r="D10" s="7" t="inlineStr">
        <is>
          <t>France</t>
        </is>
      </c>
      <c r="E10" s="7" t="inlineStr">
        <is>
          <t>Maroquinerie</t>
        </is>
      </c>
      <c r="F10" s="7" t="inlineStr">
        <is>
          <t>Gants de luxe — Coupe, couture, finition</t>
        </is>
      </c>
      <c r="G10" s="7" t="n">
        <v>5</v>
      </c>
      <c r="H10" s="18">
        <f>IFERROR(AVERAGEIFS('3_CONTROLES'!L$5:L$5000,'3_CONTROLES'!J$5:J$5000,B10,'3_CONTROLES'!L$5:L$5000,"&gt;0"),"-")</f>
        <v/>
      </c>
      <c r="I10" s="19">
        <f>IFERROR(COUNTIFS('3_CONTROLES'!J$5:J$5000,B10,'3_CONTROLES'!K$5:K$5000,"Conforme")/COUNTIFS('3_CONTROLES'!J$5:J$5000,B10,'3_CONTROLES'!K$5:K$5000,"&lt;&gt;En attente"),"-")</f>
        <v/>
      </c>
      <c r="J10" s="7" t="inlineStr">
        <is>
          <t>Label EPV + IGP Gant de Millau</t>
        </is>
      </c>
      <c r="K10" s="7" t="inlineStr">
        <is>
          <t>2025-11-15</t>
        </is>
      </c>
      <c r="L10" s="7" t="inlineStr">
        <is>
          <t>Conforme</t>
        </is>
      </c>
      <c r="M10" s="7" t="inlineStr">
        <is>
          <t>Actif</t>
        </is>
      </c>
      <c r="N10" s="7" t="inlineStr">
        <is>
          <t>Savoir-faire centenaire — Coupe a la main — Derniere ganterie de tradition en France</t>
        </is>
      </c>
    </row>
    <row r="11">
      <c r="A11" s="6" t="inlineStr">
        <is>
          <t>ATL-007</t>
        </is>
      </c>
      <c r="B11" s="6" t="inlineStr">
        <is>
          <t>Atelier Souliers Florence</t>
        </is>
      </c>
      <c r="C11" s="6" t="inlineStr">
        <is>
          <t>Florence</t>
        </is>
      </c>
      <c r="D11" s="6" t="inlineStr">
        <is>
          <t>Italie</t>
        </is>
      </c>
      <c r="E11" s="6" t="inlineStr">
        <is>
          <t>Maroquinerie</t>
        </is>
      </c>
      <c r="F11" s="6" t="inlineStr">
        <is>
          <t>Chaussures homme/femme — Cousu Blake — Cousu Goodyear</t>
        </is>
      </c>
      <c r="G11" s="6" t="n">
        <v>10</v>
      </c>
      <c r="H11" s="16">
        <f>IFERROR(AVERAGEIFS('3_CONTROLES'!L$5:L$5000,'3_CONTROLES'!J$5:J$5000,B11,'3_CONTROLES'!L$5:L$5000,"&gt;0"),"-")</f>
        <v/>
      </c>
      <c r="I11" s="17">
        <f>IFERROR(COUNTIFS('3_CONTROLES'!J$5:J$5000,B11,'3_CONTROLES'!K$5:K$5000,"Conforme")/COUNTIFS('3_CONTROLES'!J$5:J$5000,B11,'3_CONTROLES'!K$5:K$5000,"&lt;&gt;En attente"),"-")</f>
        <v/>
      </c>
      <c r="J11" s="6" t="inlineStr">
        <is>
          <t>ISO 9001 + Consorzio Vera Pelle Italiana</t>
        </is>
      </c>
      <c r="K11" s="6" t="inlineStr">
        <is>
          <t>2026-01-10</t>
        </is>
      </c>
      <c r="L11" s="6" t="inlineStr">
        <is>
          <t>Conforme</t>
        </is>
      </c>
      <c r="M11" s="6" t="inlineStr">
        <is>
          <t>Actif</t>
        </is>
      </c>
      <c r="N11" s="6" t="inlineStr">
        <is>
          <t>Bottier florentin — Blake et Goodyear — Formes sur mesure disponibles</t>
        </is>
      </c>
    </row>
    <row r="12">
      <c r="A12" s="8" t="inlineStr">
        <is>
          <t>SYNTHESE ATELIERS</t>
        </is>
      </c>
      <c r="B12" s="8" t="inlineStr">
        <is>
          <t>Total ateliers :</t>
        </is>
      </c>
      <c r="C12" s="9">
        <f>COUNTA(A5:A11)</f>
        <v/>
      </c>
      <c r="D12" s="8" t="n"/>
      <c r="E12" s="8" t="n"/>
      <c r="F12" s="8" t="inlineStr">
        <is>
          <t>Total artisans :</t>
        </is>
      </c>
      <c r="G12" s="9">
        <f>SUM(G5:G11)</f>
        <v/>
      </c>
      <c r="H12" s="8" t="inlineStr">
        <is>
          <t>Score global :</t>
        </is>
      </c>
      <c r="I12" s="11">
        <f>IFERROR(AVERAGE(H5:H11),0)</f>
        <v/>
      </c>
      <c r="J12" s="8" t="n"/>
      <c r="K12" s="8" t="n"/>
      <c r="L12" s="8" t="n"/>
      <c r="M12" s="8" t="n"/>
      <c r="N12" s="8" t="n"/>
    </row>
  </sheetData>
  <autoFilter ref="A4:N11"/>
  <mergeCells count="3">
    <mergeCell ref="A3:N3"/>
    <mergeCell ref="A2:N2"/>
    <mergeCell ref="A1:N1"/>
  </mergeCells>
  <conditionalFormatting sqref="L5:L11">
    <cfRule type="cellIs" priority="1" operator="equal" dxfId="0">
      <formula>"Conforme"</formula>
    </cfRule>
    <cfRule type="cellIs" priority="2" operator="equal" dxfId="0">
      <formula>"Valide"</formula>
    </cfRule>
    <cfRule type="cellIs" priority="3" operator="equal" dxfId="0">
      <formula>"Actif"</formula>
    </cfRule>
    <cfRule type="cellIs" priority="4" operator="equal" dxfId="0">
      <formula>"Excellent"</formula>
    </cfRule>
    <cfRule type="cellIs" priority="5" operator="equal" dxfId="0">
      <formula>"Acceptable"</formula>
    </cfRule>
    <cfRule type="cellIs" priority="6" operator="equal" dxfId="1">
      <formula>"En attente"</formula>
    </cfRule>
    <cfRule type="cellIs" priority="7" operator="equal" dxfId="1">
      <formula>"En cours"</formula>
    </cfRule>
    <cfRule type="cellIs" priority="8" operator="equal" dxfId="1">
      <formula>"Conditionnel"</formula>
    </cfRule>
    <cfRule type="cellIs" priority="9" operator="equal" dxfId="1">
      <formula>"A ameliorer"</formula>
    </cfRule>
    <cfRule type="cellIs" priority="10" operator="equal" dxfId="2">
      <formula>"Non conforme"</formula>
    </cfRule>
    <cfRule type="cellIs" priority="11" operator="equal" dxfId="2">
      <formula>"Rejete"</formula>
    </cfRule>
    <cfRule type="cellIs" priority="12" operator="equal" dxfId="2">
      <formula>"Critique"</formula>
    </cfRule>
    <cfRule type="cellIs" priority="13" operator="equal" dxfId="2">
      <formula>"Suspendu"</formula>
    </cfRule>
    <cfRule type="cellIs" priority="14" operator="equal" dxfId="2">
      <formula>"Insuffisant"</formula>
    </cfRule>
  </conditionalFormatting>
  <conditionalFormatting sqref="M5:M11">
    <cfRule type="cellIs" priority="15" operator="equal" dxfId="0">
      <formula>"Conforme"</formula>
    </cfRule>
    <cfRule type="cellIs" priority="16" operator="equal" dxfId="0">
      <formula>"Valide"</formula>
    </cfRule>
    <cfRule type="cellIs" priority="17" operator="equal" dxfId="0">
      <formula>"Actif"</formula>
    </cfRule>
    <cfRule type="cellIs" priority="18" operator="equal" dxfId="0">
      <formula>"Excellent"</formula>
    </cfRule>
    <cfRule type="cellIs" priority="19" operator="equal" dxfId="0">
      <formula>"Acceptable"</formula>
    </cfRule>
    <cfRule type="cellIs" priority="20" operator="equal" dxfId="1">
      <formula>"En attente"</formula>
    </cfRule>
    <cfRule type="cellIs" priority="21" operator="equal" dxfId="1">
      <formula>"En cours"</formula>
    </cfRule>
    <cfRule type="cellIs" priority="22" operator="equal" dxfId="1">
      <formula>"Conditionnel"</formula>
    </cfRule>
    <cfRule type="cellIs" priority="23" operator="equal" dxfId="1">
      <formula>"A ameliorer"</formula>
    </cfRule>
    <cfRule type="cellIs" priority="24" operator="equal" dxfId="2">
      <formula>"Non conforme"</formula>
    </cfRule>
    <cfRule type="cellIs" priority="25" operator="equal" dxfId="2">
      <formula>"Rejete"</formula>
    </cfRule>
    <cfRule type="cellIs" priority="26" operator="equal" dxfId="2">
      <formula>"Critique"</formula>
    </cfRule>
    <cfRule type="cellIs" priority="27" operator="equal" dxfId="2">
      <formula>"Suspendu"</formula>
    </cfRule>
    <cfRule type="cellIs" priority="28" operator="equal" dxfId="2">
      <formula>"Insuffisant"</formula>
    </cfRule>
  </conditionalFormatting>
  <conditionalFormatting sqref="H5:H11">
    <cfRule type="dataBar" priority="29">
      <dataBar>
        <cfvo type="num" val="0"/>
        <cfvo type="num" val="100"/>
        <color rgb="002E7D32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84C"/>
    <outlinePr summaryBelow="1" summaryRight="1"/>
    <pageSetUpPr/>
  </sheetPr>
  <dimension ref="A1:P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8" customWidth="1" min="4" max="4"/>
    <col width="16" customWidth="1" min="5" max="5"/>
    <col width="26" customWidth="1" min="6" max="6"/>
    <col width="12" customWidth="1" min="7" max="7"/>
    <col width="14" customWidth="1" min="8" max="8"/>
    <col width="14" customWidth="1" min="9" max="9"/>
    <col width="12" customWidth="1" min="10" max="10"/>
    <col width="30" customWidth="1" min="11" max="11"/>
    <col width="14" customWidth="1" min="12" max="12"/>
    <col width="14" customWidth="1" min="13" max="13"/>
    <col width="30" customWidth="1" min="14" max="14"/>
    <col width="12" customWidth="1" min="15" max="15"/>
    <col width="34" customWidth="1" min="16" max="16"/>
  </cols>
  <sheetData>
    <row r="1" ht="48" customHeight="1">
      <c r="A1" s="1" t="inlineStr">
        <is>
          <t>REGISTRE DES ARTISANS — AGENT ARTISANALQUALITYAI</t>
        </is>
      </c>
    </row>
    <row r="2" ht="28" customHeight="1">
      <c r="A2" s="2" t="inlineStr">
        <is>
          <t>Competences, certifications, evaluations qualite, formation — Capital humain artisanal — Avril 2026</t>
        </is>
      </c>
    </row>
    <row r="3" ht="30" customHeight="1">
      <c r="A3" s="4" t="inlineStr">
        <is>
          <t>BASE DES ARTISANS ET COMPETENCES</t>
        </is>
      </c>
    </row>
    <row r="4" ht="36" customHeight="1">
      <c r="A4" s="5" t="inlineStr">
        <is>
          <t>ID_Artisan</t>
        </is>
      </c>
      <c r="B4" s="5" t="inlineStr">
        <is>
          <t>Nom</t>
        </is>
      </c>
      <c r="C4" s="5" t="inlineStr">
        <is>
          <t>Prenom</t>
        </is>
      </c>
      <c r="D4" s="5" t="inlineStr">
        <is>
          <t>Atelier</t>
        </is>
      </c>
      <c r="E4" s="5" t="inlineStr">
        <is>
          <t>Metier</t>
        </is>
      </c>
      <c r="F4" s="5" t="inlineStr">
        <is>
          <t>Specialite principale</t>
        </is>
      </c>
      <c r="G4" s="5" t="inlineStr">
        <is>
          <t>Annees experience</t>
        </is>
      </c>
      <c r="H4" s="5" t="inlineStr">
        <is>
          <t>Niveau maitrise</t>
        </is>
      </c>
      <c r="I4" s="5" t="inlineStr">
        <is>
          <t>Score qualite moyen</t>
        </is>
      </c>
      <c r="J4" s="5" t="inlineStr">
        <is>
          <t>Taux defaut (%)</t>
        </is>
      </c>
      <c r="K4" s="5" t="inlineStr">
        <is>
          <t>Certifications / Distinctions</t>
        </is>
      </c>
      <c r="L4" s="5" t="inlineStr">
        <is>
          <t>Derniere evaluation</t>
        </is>
      </c>
      <c r="M4" s="5" t="inlineStr">
        <is>
          <t>Heures formation (12 mois)</t>
        </is>
      </c>
      <c r="N4" s="5" t="inlineStr">
        <is>
          <t>Besoins formation identifies</t>
        </is>
      </c>
      <c r="O4" s="5" t="inlineStr">
        <is>
          <t>Statut</t>
        </is>
      </c>
      <c r="P4" s="5" t="inlineStr">
        <is>
          <t>Notes</t>
        </is>
      </c>
    </row>
    <row r="5">
      <c r="A5" s="6" t="inlineStr">
        <is>
          <t>ART-001</t>
        </is>
      </c>
      <c r="B5" s="6" t="inlineStr">
        <is>
          <t>Moreau</t>
        </is>
      </c>
      <c r="C5" s="6" t="inlineStr">
        <is>
          <t>Jean-Pierre</t>
        </is>
      </c>
      <c r="D5" s="6" t="inlineStr">
        <is>
          <t>Atelier Maroquinerie Paris</t>
        </is>
      </c>
      <c r="E5" s="6" t="inlineStr">
        <is>
          <t>Maroquinerie</t>
        </is>
      </c>
      <c r="F5" s="6" t="inlineStr">
        <is>
          <t>Point sellier — Sacs structures — Cuirs exotiques</t>
        </is>
      </c>
      <c r="G5" s="6" t="n">
        <v>28</v>
      </c>
      <c r="H5" s="6" t="inlineStr">
        <is>
          <t>Maitre d'art</t>
        </is>
      </c>
      <c r="I5" s="16">
        <f>IFERROR(AVERAGEIFS('3_CONTROLES'!L$5:L$5000,'3_CONTROLES'!I$5:I$5000,"*"&amp;C5&amp;"*",'3_CONTROLES'!L$5:L$5000,"&gt;0"),"-")</f>
        <v/>
      </c>
      <c r="J5" s="20">
        <f>IFERROR(COUNTIFS('4_DEFAUTS'!N$5:N$5000,"*"&amp;C5&amp;"*")/COUNTIFS('3_CONTROLES'!I$5:I$5000,"*"&amp;C5&amp;"*",'3_CONTROLES'!K$5:K$5000,"&lt;&gt;En attente")*100,0)</f>
        <v/>
      </c>
      <c r="K5" s="6" t="inlineStr">
        <is>
          <t>Maitre d'Art (2019) + MOF Maroquinier (2015) + EPV</t>
        </is>
      </c>
      <c r="L5" s="6" t="inlineStr">
        <is>
          <t>2026-03-15</t>
        </is>
      </c>
      <c r="M5" s="6" t="n">
        <v>24</v>
      </c>
      <c r="N5" s="6" t="inlineStr">
        <is>
          <t>Formation nouvelles colles ecologiques — Cuirs alternatifs</t>
        </is>
      </c>
      <c r="O5" s="6" t="inlineStr">
        <is>
          <t>Actif</t>
        </is>
      </c>
      <c r="P5" s="6" t="inlineStr">
        <is>
          <t>Maitre d'art — Formateur compagnons — 28 ans de maison — Referent cuirs exotiques</t>
        </is>
      </c>
    </row>
    <row r="6">
      <c r="A6" s="7" t="inlineStr">
        <is>
          <t>ART-002</t>
        </is>
      </c>
      <c r="B6" s="7" t="inlineStr">
        <is>
          <t>Dubois</t>
        </is>
      </c>
      <c r="C6" s="7" t="inlineStr">
        <is>
          <t>Marie</t>
        </is>
      </c>
      <c r="D6" s="7" t="inlineStr">
        <is>
          <t>Atelier Maroquinerie Paris</t>
        </is>
      </c>
      <c r="E6" s="7" t="inlineStr">
        <is>
          <t>Maroquinerie</t>
        </is>
      </c>
      <c r="F6" s="7" t="inlineStr">
        <is>
          <t>Couture sellier — Petite maroquinerie — Finition tranches</t>
        </is>
      </c>
      <c r="G6" s="7" t="n">
        <v>15</v>
      </c>
      <c r="H6" s="7" t="inlineStr">
        <is>
          <t>Expert</t>
        </is>
      </c>
      <c r="I6" s="18">
        <f>IFERROR(AVERAGEIFS('3_CONTROLES'!L$5:L$5000,'3_CONTROLES'!I$5:I$5000,"*"&amp;C6&amp;"*",'3_CONTROLES'!L$5:L$5000,"&gt;0"),"-")</f>
        <v/>
      </c>
      <c r="J6" s="21">
        <f>IFERROR(COUNTIFS('4_DEFAUTS'!N$5:N$5000,"*"&amp;C6&amp;"*")/COUNTIFS('3_CONTROLES'!I$5:I$5000,"*"&amp;C6&amp;"*",'3_CONTROLES'!K$5:K$5000,"&lt;&gt;En attente")*100,0)</f>
        <v/>
      </c>
      <c r="K6" s="7" t="inlineStr">
        <is>
          <t>MOF Maroquinier candidat 2027 + CQP Maroquinerie Luxe</t>
        </is>
      </c>
      <c r="L6" s="7" t="inlineStr">
        <is>
          <t>2026-03-15</t>
        </is>
      </c>
      <c r="M6" s="7" t="n">
        <v>32</v>
      </c>
      <c r="N6" s="7" t="inlineStr">
        <is>
          <t>Perfectionnement cuirs exotiques — Preparation MOF 2027</t>
        </is>
      </c>
      <c r="O6" s="7" t="inlineStr">
        <is>
          <t>Actif</t>
        </is>
      </c>
      <c r="P6" s="7" t="inlineStr">
        <is>
          <t>Candidate MOF 2027 — Excellente — En progression rapide sur exotiques</t>
        </is>
      </c>
    </row>
    <row r="7">
      <c r="A7" s="6" t="inlineStr">
        <is>
          <t>ART-003</t>
        </is>
      </c>
      <c r="B7" s="6" t="inlineStr">
        <is>
          <t>Lefevre</t>
        </is>
      </c>
      <c r="C7" s="6" t="inlineStr">
        <is>
          <t>Antoine</t>
        </is>
      </c>
      <c r="D7" s="6" t="inlineStr">
        <is>
          <t>Atelier Maroquinerie Paris</t>
        </is>
      </c>
      <c r="E7" s="6" t="inlineStr">
        <is>
          <t>Maroquinerie</t>
        </is>
      </c>
      <c r="F7" s="6" t="inlineStr">
        <is>
          <t>Coupe — Patronage — Sacs souples</t>
        </is>
      </c>
      <c r="G7" s="6" t="n">
        <v>8</v>
      </c>
      <c r="H7" s="6" t="inlineStr">
        <is>
          <t>Confirme</t>
        </is>
      </c>
      <c r="I7" s="16">
        <f>IFERROR(AVERAGEIFS('3_CONTROLES'!L$5:L$5000,'3_CONTROLES'!I$5:I$5000,"*"&amp;C7&amp;"*",'3_CONTROLES'!L$5:L$5000,"&gt;0"),"-")</f>
        <v/>
      </c>
      <c r="J7" s="20">
        <f>IFERROR(COUNTIFS('4_DEFAUTS'!N$5:N$5000,"*"&amp;C7&amp;"*")/COUNTIFS('3_CONTROLES'!I$5:I$5000,"*"&amp;C7&amp;"*",'3_CONTROLES'!K$5:K$5000,"&lt;&gt;En attente")*100,0)</f>
        <v/>
      </c>
      <c r="K7" s="6" t="inlineStr">
        <is>
          <t>CQP Maroquinerie Luxe + Formation interne avancee</t>
        </is>
      </c>
      <c r="L7" s="6" t="inlineStr">
        <is>
          <t>2026-03-15</t>
        </is>
      </c>
      <c r="M7" s="6" t="n">
        <v>48</v>
      </c>
      <c r="N7" s="6" t="inlineStr">
        <is>
          <t>Renforcement controle visuel cuir — Regularite piqure</t>
        </is>
      </c>
      <c r="O7" s="6" t="inlineStr">
        <is>
          <t>Actif</t>
        </is>
      </c>
      <c r="P7" s="6" t="inlineStr">
        <is>
          <t>Defauts DEF-001/002 — Plan amelioration en cours — Formation renforcee tri cuir</t>
        </is>
      </c>
    </row>
    <row r="8">
      <c r="A8" s="7" t="inlineStr">
        <is>
          <t>ART-004</t>
        </is>
      </c>
      <c r="B8" s="7" t="inlineStr">
        <is>
          <t>Petit</t>
        </is>
      </c>
      <c r="C8" s="7" t="inlineStr">
        <is>
          <t>Francois</t>
        </is>
      </c>
      <c r="D8" s="7" t="inlineStr">
        <is>
          <t>Atelier Haute Joaillerie Vendome</t>
        </is>
      </c>
      <c r="E8" s="7" t="inlineStr">
        <is>
          <t>Joaillerie</t>
        </is>
      </c>
      <c r="F8" s="7" t="inlineStr">
        <is>
          <t>Sertissage — Haute Joaillerie — Pierres de centre</t>
        </is>
      </c>
      <c r="G8" s="7" t="n">
        <v>32</v>
      </c>
      <c r="H8" s="7" t="inlineStr">
        <is>
          <t>Maitre joaillier</t>
        </is>
      </c>
      <c r="I8" s="18">
        <f>IFERROR(AVERAGEIFS('3_CONTROLES'!L$5:L$5000,'3_CONTROLES'!I$5:I$5000,"*"&amp;C8&amp;"*",'3_CONTROLES'!L$5:L$5000,"&gt;0"),"-")</f>
        <v/>
      </c>
      <c r="J8" s="21">
        <f>IFERROR(COUNTIFS('4_DEFAUTS'!N$5:N$5000,"*"&amp;C8&amp;"*")/COUNTIFS('3_CONTROLES'!I$5:I$5000,"*"&amp;C8&amp;"*",'3_CONTROLES'!K$5:K$5000,"&lt;&gt;En attente")*100,0)</f>
        <v/>
      </c>
      <c r="K8" s="7" t="inlineStr">
        <is>
          <t>Maitre d'Art (2017) + MOF Joaillier (2011) + Poincon de maitre</t>
        </is>
      </c>
      <c r="L8" s="7" t="inlineStr">
        <is>
          <t>2026-02-28</t>
        </is>
      </c>
      <c r="M8" s="7" t="n">
        <v>16</v>
      </c>
      <c r="N8" s="7" t="inlineStr">
        <is>
          <t>Nouvelles techniques CAO 3D — Impression cire perdue avancee</t>
        </is>
      </c>
      <c r="O8" s="7" t="inlineStr">
        <is>
          <t>Actif</t>
        </is>
      </c>
      <c r="P8" s="7" t="inlineStr">
        <is>
          <t>Plus haut niveau expertise — Pieces de Haute Joaillerie exclusivement — Mentor 2 apprentis</t>
        </is>
      </c>
    </row>
    <row r="9">
      <c r="A9" s="6" t="inlineStr">
        <is>
          <t>ART-005</t>
        </is>
      </c>
      <c r="B9" s="6" t="inlineStr">
        <is>
          <t>Durand</t>
        </is>
      </c>
      <c r="C9" s="6" t="inlineStr">
        <is>
          <t>Elise</t>
        </is>
      </c>
      <c r="D9" s="6" t="inlineStr">
        <is>
          <t>Atelier Haute Joaillerie Vendome</t>
        </is>
      </c>
      <c r="E9" s="6" t="inlineStr">
        <is>
          <t>Joaillerie</t>
        </is>
      </c>
      <c r="F9" s="6" t="inlineStr">
        <is>
          <t>Polissage — Finition — Rhodiage</t>
        </is>
      </c>
      <c r="G9" s="6" t="n">
        <v>12</v>
      </c>
      <c r="H9" s="6" t="inlineStr">
        <is>
          <t>Expert</t>
        </is>
      </c>
      <c r="I9" s="16">
        <f>IFERROR(AVERAGEIFS('3_CONTROLES'!L$5:L$5000,'3_CONTROLES'!I$5:I$5000,"*"&amp;C9&amp;"*",'3_CONTROLES'!L$5:L$5000,"&gt;0"),"-")</f>
        <v/>
      </c>
      <c r="J9" s="20">
        <f>IFERROR(COUNTIFS('4_DEFAUTS'!N$5:N$5000,"*"&amp;C9&amp;"*")/COUNTIFS('3_CONTROLES'!I$5:I$5000,"*"&amp;C9&amp;"*",'3_CONTROLES'!K$5:K$5000,"&lt;&gt;En attente")*100,0)</f>
        <v/>
      </c>
      <c r="K9" s="6" t="inlineStr">
        <is>
          <t>CQP Joaillerie Luxe + Formation Cartier Academy</t>
        </is>
      </c>
      <c r="L9" s="6" t="inlineStr">
        <is>
          <t>2026-02-28</t>
        </is>
      </c>
      <c r="M9" s="6" t="n">
        <v>28</v>
      </c>
      <c r="N9" s="6" t="inlineStr">
        <is>
          <t>Perfectionnement finitions pierres de couleur — Techniques laser</t>
        </is>
      </c>
      <c r="O9" s="6" t="inlineStr">
        <is>
          <t>Actif</t>
        </is>
      </c>
      <c r="P9" s="6" t="inlineStr">
        <is>
          <t>Excellente polisseuse — Obs. mineure DEF-003 — Plan attention renforce manipulation</t>
        </is>
      </c>
    </row>
    <row r="10">
      <c r="A10" s="7" t="inlineStr">
        <is>
          <t>ART-006</t>
        </is>
      </c>
      <c r="B10" s="7" t="inlineStr">
        <is>
          <t>Bonnard</t>
        </is>
      </c>
      <c r="C10" s="7" t="inlineStr">
        <is>
          <t>Claude</t>
        </is>
      </c>
      <c r="D10" s="7" t="inlineStr">
        <is>
          <t>Atelier Horlogerie Geneve</t>
        </is>
      </c>
      <c r="E10" s="7" t="inlineStr">
        <is>
          <t>Horlogerie</t>
        </is>
      </c>
      <c r="F10" s="7" t="inlineStr">
        <is>
          <t>Assemblage mouvements — Complications — Tourbillons</t>
        </is>
      </c>
      <c r="G10" s="7" t="n">
        <v>35</v>
      </c>
      <c r="H10" s="7" t="inlineStr">
        <is>
          <t>Maitre horloger</t>
        </is>
      </c>
      <c r="I10" s="18">
        <f>IFERROR(AVERAGEIFS('3_CONTROLES'!L$5:L$5000,'3_CONTROLES'!I$5:I$5000,"*"&amp;C10&amp;"*",'3_CONTROLES'!L$5:L$5000,"&gt;0"),"-")</f>
        <v/>
      </c>
      <c r="J10" s="21">
        <f>IFERROR(COUNTIFS('4_DEFAUTS'!N$5:N$5000,"*"&amp;C10&amp;"*")/COUNTIFS('3_CONTROLES'!I$5:I$5000,"*"&amp;C10&amp;"*",'3_CONTROLES'!K$5:K$5000,"&lt;&gt;En attente")*100,0)</f>
        <v/>
      </c>
      <c r="K10" s="7" t="inlineStr">
        <is>
          <t>Maitre Horloger WOSTEP + Poincon de Geneve + Brevet federal CH</t>
        </is>
      </c>
      <c r="L10" s="7" t="inlineStr">
        <is>
          <t>2026-01-20</t>
        </is>
      </c>
      <c r="M10" s="7" t="n">
        <v>12</v>
      </c>
      <c r="N10" s="7" t="inlineStr">
        <is>
          <t>Nouvelles certifications silicium — Composants haute frequence</t>
        </is>
      </c>
      <c r="O10" s="7" t="inlineStr">
        <is>
          <t>Actif</t>
        </is>
      </c>
      <c r="P10" s="7" t="inlineStr">
        <is>
          <t>Maitre horloger referent — Score 100/100 sur tourbillon — 35 ans d'excellence</t>
        </is>
      </c>
    </row>
    <row r="11">
      <c r="A11" s="6" t="inlineStr">
        <is>
          <t>ART-007</t>
        </is>
      </c>
      <c r="B11" s="6" t="inlineStr">
        <is>
          <t>Martin</t>
        </is>
      </c>
      <c r="C11" s="6" t="inlineStr">
        <is>
          <t>Isabelle</t>
        </is>
      </c>
      <c r="D11" s="6" t="inlineStr">
        <is>
          <t>Atelier Horlogerie Geneve</t>
        </is>
      </c>
      <c r="E11" s="6" t="inlineStr">
        <is>
          <t>Horlogerie</t>
        </is>
      </c>
      <c r="F11" s="6" t="inlineStr">
        <is>
          <t>Habillage — Decoration — Finition mouvements</t>
        </is>
      </c>
      <c r="G11" s="6" t="n">
        <v>10</v>
      </c>
      <c r="H11" s="6" t="inlineStr">
        <is>
          <t>Confirme</t>
        </is>
      </c>
      <c r="I11" s="16">
        <f>IFERROR(AVERAGEIFS('3_CONTROLES'!L$5:L$5000,'3_CONTROLES'!I$5:I$5000,"*"&amp;C11&amp;"*",'3_CONTROLES'!L$5:L$5000,"&gt;0"),"-")</f>
        <v/>
      </c>
      <c r="J11" s="20">
        <f>IFERROR(COUNTIFS('4_DEFAUTS'!N$5:N$5000,"*"&amp;C11&amp;"*")/COUNTIFS('3_CONTROLES'!I$5:I$5000,"*"&amp;C11&amp;"*",'3_CONTROLES'!K$5:K$5000,"&lt;&gt;En attente")*100,0)</f>
        <v/>
      </c>
      <c r="K11" s="6" t="inlineStr">
        <is>
          <t>CFC Horlogere + Formation Geneve Watchmaking School</t>
        </is>
      </c>
      <c r="L11" s="6" t="inlineStr">
        <is>
          <t>2026-01-20</t>
        </is>
      </c>
      <c r="M11" s="6" t="n">
        <v>40</v>
      </c>
      <c r="N11" s="6" t="inlineStr">
        <is>
          <t>Anglage avance — Perlage haute precision — Preparation Poincon de Geneve</t>
        </is>
      </c>
      <c r="O11" s="6" t="inlineStr">
        <is>
          <t>Actif</t>
        </is>
      </c>
      <c r="P11" s="6" t="inlineStr">
        <is>
          <t>En progression — Observation perlage (CTL-007) — Formation anglage en cours</t>
        </is>
      </c>
    </row>
    <row r="12">
      <c r="A12" s="7" t="inlineStr">
        <is>
          <t>ART-008</t>
        </is>
      </c>
      <c r="B12" s="7" t="inlineStr">
        <is>
          <t>Bernard</t>
        </is>
      </c>
      <c r="C12" s="7" t="inlineStr">
        <is>
          <t>Nathalie</t>
        </is>
      </c>
      <c r="D12" s="7" t="inlineStr">
        <is>
          <t>Atelier PAP Milan</t>
        </is>
      </c>
      <c r="E12" s="7" t="inlineStr">
        <is>
          <t>Pret-a-Porter</t>
        </is>
      </c>
      <c r="F12" s="7" t="inlineStr">
        <is>
          <t>Tailleur femme — Cachemire — Couture structuree</t>
        </is>
      </c>
      <c r="G12" s="7" t="n">
        <v>20</v>
      </c>
      <c r="H12" s="7" t="inlineStr">
        <is>
          <t>Expert</t>
        </is>
      </c>
      <c r="I12" s="18">
        <f>IFERROR(AVERAGEIFS('3_CONTROLES'!L$5:L$5000,'3_CONTROLES'!I$5:I$5000,"*"&amp;C12&amp;"*",'3_CONTROLES'!L$5:L$5000,"&gt;0"),"-")</f>
        <v/>
      </c>
      <c r="J12" s="21">
        <f>IFERROR(COUNTIFS('4_DEFAUTS'!N$5:N$5000,"*"&amp;C12&amp;"*")/COUNTIFS('3_CONTROLES'!I$5:I$5000,"*"&amp;C12&amp;"*",'3_CONTROLES'!K$5:K$5000,"&lt;&gt;En attente")*100,0)</f>
        <v/>
      </c>
      <c r="K12" s="7" t="inlineStr">
        <is>
          <t>Diploma Accademia del Lusso + Maestro Sartoriale</t>
        </is>
      </c>
      <c r="L12" s="7" t="inlineStr">
        <is>
          <t>2026-03-01</t>
        </is>
      </c>
      <c r="M12" s="7" t="n">
        <v>20</v>
      </c>
      <c r="N12" s="7" t="inlineStr">
        <is>
          <t>Nouveaux textiles techniques — Couture collee — Hybrides</t>
        </is>
      </c>
      <c r="O12" s="7" t="inlineStr">
        <is>
          <t>Actif</t>
        </is>
      </c>
      <c r="P12" s="7" t="inlineStr">
        <is>
          <t>Experte tailleur italien — Specialiste cachemire — Resultats excellents</t>
        </is>
      </c>
    </row>
    <row r="13">
      <c r="A13" s="6" t="inlineStr">
        <is>
          <t>ART-009</t>
        </is>
      </c>
      <c r="B13" s="6" t="inlineStr">
        <is>
          <t>Moreau</t>
        </is>
      </c>
      <c r="C13" s="6" t="inlineStr">
        <is>
          <t>Catherine</t>
        </is>
      </c>
      <c r="D13" s="6" t="inlineStr">
        <is>
          <t>Atelier PAP Milan</t>
        </is>
      </c>
      <c r="E13" s="6" t="inlineStr">
        <is>
          <t>Pret-a-Porter</t>
        </is>
      </c>
      <c r="F13" s="6" t="inlineStr">
        <is>
          <t>Couture flou — Soie — Imprimes — Boutonnieres</t>
        </is>
      </c>
      <c r="G13" s="6" t="n">
        <v>7</v>
      </c>
      <c r="H13" s="6" t="inlineStr">
        <is>
          <t>Confirme</t>
        </is>
      </c>
      <c r="I13" s="16">
        <f>IFERROR(AVERAGEIFS('3_CONTROLES'!L$5:L$5000,'3_CONTROLES'!I$5:I$5000,"*"&amp;C13&amp;"*",'3_CONTROLES'!L$5:L$5000,"&gt;0"),"-")</f>
        <v/>
      </c>
      <c r="J13" s="20">
        <f>IFERROR(COUNTIFS('4_DEFAUTS'!N$5:N$5000,"*"&amp;C13&amp;"*")/COUNTIFS('3_CONTROLES'!I$5:I$5000,"*"&amp;C13&amp;"*",'3_CONTROLES'!K$5:K$5000,"&lt;&gt;En attente")*100,0)</f>
        <v/>
      </c>
      <c r="K13" s="6" t="inlineStr">
        <is>
          <t>CAP Couture + Formation interne avancee soie</t>
        </is>
      </c>
      <c r="L13" s="6" t="inlineStr">
        <is>
          <t>2026-03-01</t>
        </is>
      </c>
      <c r="M13" s="6" t="n">
        <v>52</v>
      </c>
      <c r="N13" s="6" t="inlineStr">
        <is>
          <t>Perfectionnement placement patron imprimes — Maintenance machine</t>
        </is>
      </c>
      <c r="O13" s="6" t="inlineStr">
        <is>
          <t>Actif</t>
        </is>
      </c>
      <c r="P13" s="6" t="inlineStr">
        <is>
          <t>Defauts DEF-004 + DEF-007 — Plan formation renforce — Progression attendue</t>
        </is>
      </c>
    </row>
    <row r="14">
      <c r="A14" s="7" t="inlineStr">
        <is>
          <t>ART-010</t>
        </is>
      </c>
      <c r="B14" s="7" t="inlineStr">
        <is>
          <t>Ricci</t>
        </is>
      </c>
      <c r="C14" s="7" t="inlineStr">
        <is>
          <t>Marco</t>
        </is>
      </c>
      <c r="D14" s="7" t="inlineStr">
        <is>
          <t>Atelier PAP Milan</t>
        </is>
      </c>
      <c r="E14" s="7" t="inlineStr">
        <is>
          <t>Pret-a-Porter</t>
        </is>
      </c>
      <c r="F14" s="7" t="inlineStr">
        <is>
          <t>Controle qualite — Chef d'atelier adjoint</t>
        </is>
      </c>
      <c r="G14" s="7" t="n">
        <v>18</v>
      </c>
      <c r="H14" s="7" t="inlineStr">
        <is>
          <t>Expert</t>
        </is>
      </c>
      <c r="I14" s="18">
        <f>IFERROR(AVERAGEIFS('3_CONTROLES'!L$5:L$5000,'3_CONTROLES'!I$5:I$5000,"*"&amp;C14&amp;"*",'3_CONTROLES'!L$5:L$5000,"&gt;0"),"-")</f>
        <v/>
      </c>
      <c r="J14" s="21">
        <f>IFERROR(COUNTIFS('4_DEFAUTS'!N$5:N$5000,"*"&amp;C14&amp;"*")/COUNTIFS('3_CONTROLES'!I$5:I$5000,"*"&amp;C14&amp;"*",'3_CONTROLES'!K$5:K$5000,"&lt;&gt;En attente")*100,0)</f>
        <v/>
      </c>
      <c r="K14" s="7" t="inlineStr">
        <is>
          <t>CQP Industrie Mode Luxe + Formation AFNOR Qualite</t>
        </is>
      </c>
      <c r="L14" s="7" t="inlineStr">
        <is>
          <t>2026-03-01</t>
        </is>
      </c>
      <c r="M14" s="7" t="n">
        <v>36</v>
      </c>
      <c r="N14" s="7" t="inlineStr">
        <is>
          <t>Formation auditeur interne ISO 9001 — Lean Manufacturing luxe</t>
        </is>
      </c>
      <c r="O14" s="7" t="inlineStr">
        <is>
          <t>Actif</t>
        </is>
      </c>
      <c r="P14" s="7" t="inlineStr">
        <is>
          <t>Controleur qualite principal Milan — Fiable et rigoureux — Candidat chef d'atelier</t>
        </is>
      </c>
    </row>
    <row r="15">
      <c r="A15" s="8" t="inlineStr">
        <is>
          <t>SYNTHESE ARTISANS</t>
        </is>
      </c>
      <c r="B15" s="8" t="inlineStr">
        <is>
          <t>Total artisans :</t>
        </is>
      </c>
      <c r="C15" s="9">
        <f>COUNTA(A5:A14)</f>
        <v/>
      </c>
      <c r="D15" s="8" t="n"/>
      <c r="E15" s="8" t="n"/>
      <c r="F15" s="8" t="inlineStr">
        <is>
          <t>Maitres d'art :</t>
        </is>
      </c>
      <c r="G15" s="9">
        <f>COUNTIF(H5:H14,"Maitre*")</f>
        <v/>
      </c>
      <c r="H15" s="8" t="inlineStr">
        <is>
          <t>Exp. moyenne :</t>
        </is>
      </c>
      <c r="I15" s="22">
        <f>IFERROR(AVERAGE(G5:G14),0)</f>
        <v/>
      </c>
      <c r="J15" s="8" t="n"/>
      <c r="K15" s="8" t="n"/>
      <c r="L15" s="8" t="inlineStr">
        <is>
          <t>Formation moy. :</t>
        </is>
      </c>
      <c r="M15" s="23">
        <f>IFERROR(AVERAGE(M5:M14),0)</f>
        <v/>
      </c>
      <c r="N15" s="8" t="n"/>
      <c r="O15" s="8" t="n"/>
      <c r="P15" s="8" t="n"/>
    </row>
  </sheetData>
  <autoFilter ref="A4:P14"/>
  <mergeCells count="3">
    <mergeCell ref="A1:P1"/>
    <mergeCell ref="A3:P3"/>
    <mergeCell ref="A2:P2"/>
  </mergeCells>
  <conditionalFormatting sqref="O5:O14">
    <cfRule type="cellIs" priority="1" operator="equal" dxfId="0">
      <formula>"Conforme"</formula>
    </cfRule>
    <cfRule type="cellIs" priority="2" operator="equal" dxfId="0">
      <formula>"Valide"</formula>
    </cfRule>
    <cfRule type="cellIs" priority="3" operator="equal" dxfId="0">
      <formula>"Actif"</formula>
    </cfRule>
    <cfRule type="cellIs" priority="4" operator="equal" dxfId="0">
      <formula>"Excellent"</formula>
    </cfRule>
    <cfRule type="cellIs" priority="5" operator="equal" dxfId="0">
      <formula>"Acceptable"</formula>
    </cfRule>
    <cfRule type="cellIs" priority="6" operator="equal" dxfId="1">
      <formula>"En attente"</formula>
    </cfRule>
    <cfRule type="cellIs" priority="7" operator="equal" dxfId="1">
      <formula>"En cours"</formula>
    </cfRule>
    <cfRule type="cellIs" priority="8" operator="equal" dxfId="1">
      <formula>"Conditionnel"</formula>
    </cfRule>
    <cfRule type="cellIs" priority="9" operator="equal" dxfId="1">
      <formula>"A ameliorer"</formula>
    </cfRule>
    <cfRule type="cellIs" priority="10" operator="equal" dxfId="2">
      <formula>"Non conforme"</formula>
    </cfRule>
    <cfRule type="cellIs" priority="11" operator="equal" dxfId="2">
      <formula>"Rejete"</formula>
    </cfRule>
    <cfRule type="cellIs" priority="12" operator="equal" dxfId="2">
      <formula>"Critique"</formula>
    </cfRule>
    <cfRule type="cellIs" priority="13" operator="equal" dxfId="2">
      <formula>"Suspendu"</formula>
    </cfRule>
    <cfRule type="cellIs" priority="14" operator="equal" dxfId="2">
      <formula>"Insuffisant"</formula>
    </cfRule>
  </conditionalFormatting>
  <conditionalFormatting sqref="I5:I14">
    <cfRule type="dataBar" priority="15">
      <dataBar>
        <cfvo type="num" val="0"/>
        <cfvo type="num" val="100"/>
        <color rgb="002E7D32"/>
      </dataBar>
    </cfRule>
  </conditionalFormatting>
  <conditionalFormatting sqref="H5:H14">
    <cfRule type="cellIs" priority="16" operator="equal" dxfId="0">
      <formula>"Maitre d'art"</formula>
    </cfRule>
    <cfRule type="cellIs" priority="17" operator="equal" dxfId="0">
      <formula>"Maitre joaillier"</formula>
    </cfRule>
    <cfRule type="cellIs" priority="18" operator="equal" dxfId="0">
      <formula>"Maitre horloger"</formula>
    </cfRule>
    <cfRule type="cellIs" priority="19" operator="equal" dxfId="6">
      <formula>"Expert"</formula>
    </cfRule>
    <cfRule type="cellIs" priority="20" operator="equal" dxfId="1">
      <formula>"Confirme"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6" customWidth="1" min="4" max="4"/>
    <col width="12" customWidth="1" min="5" max="5"/>
    <col width="12" customWidth="1" min="6" max="6"/>
    <col width="14" customWidth="1" min="7" max="7"/>
    <col width="16" customWidth="1" min="8" max="8"/>
    <col width="14" customWidth="1" min="9" max="9"/>
    <col width="36" customWidth="1" min="10" max="10"/>
    <col width="14" customWidth="1" min="11" max="11"/>
    <col width="36" customWidth="1" min="12" max="12"/>
    <col width="20" customWidth="1" min="13" max="13"/>
    <col width="14" customWidth="1" min="14" max="14"/>
  </cols>
  <sheetData>
    <row r="1" ht="48" customHeight="1">
      <c r="A1" s="1" t="inlineStr">
        <is>
          <t>RAPPORTS QUALITE AGREGES — AGENT ARTISANALQUALITYAI</t>
        </is>
      </c>
    </row>
    <row r="2" ht="28" customHeight="1">
      <c r="A2" s="2" t="inlineStr">
        <is>
          <t>Synthese mensuelle par atelier et metier — Tendances et analyse — Avril 2026</t>
        </is>
      </c>
    </row>
    <row r="3" ht="30" customHeight="1">
      <c r="A3" s="4" t="inlineStr">
        <is>
          <t>RAPPORTS QUALITE MENSUELS — PERIODE : Q1-Q2 2026</t>
        </is>
      </c>
    </row>
    <row r="4" ht="36" customHeight="1">
      <c r="A4" s="5" t="inlineStr">
        <is>
          <t>ID_Rapport</t>
        </is>
      </c>
      <c r="B4" s="5" t="inlineStr">
        <is>
          <t>Periode</t>
        </is>
      </c>
      <c r="C4" s="5" t="inlineStr">
        <is>
          <t>Atelier</t>
        </is>
      </c>
      <c r="D4" s="5" t="inlineStr">
        <is>
          <t>Metier</t>
        </is>
      </c>
      <c r="E4" s="5" t="inlineStr">
        <is>
          <t>Nb controles</t>
        </is>
      </c>
      <c r="F4" s="5" t="inlineStr">
        <is>
          <t>Nb conformes</t>
        </is>
      </c>
      <c r="G4" s="5" t="inlineStr">
        <is>
          <t>Nb non conformes</t>
        </is>
      </c>
      <c r="H4" s="5" t="inlineStr">
        <is>
          <t>First Pass Yield (%)</t>
        </is>
      </c>
      <c r="I4" s="5" t="inlineStr">
        <is>
          <t>Score moyen (/100)</t>
        </is>
      </c>
      <c r="J4" s="5" t="inlineStr">
        <is>
          <t>Top 3 defauts</t>
        </is>
      </c>
      <c r="K4" s="5" t="inlineStr">
        <is>
          <t>Tendance vs M-1</t>
        </is>
      </c>
      <c r="L4" s="5" t="inlineStr">
        <is>
          <t>Actions prioritaires</t>
        </is>
      </c>
      <c r="M4" s="5" t="inlineStr">
        <is>
          <t>Responsable</t>
        </is>
      </c>
      <c r="N4" s="5" t="inlineStr">
        <is>
          <t>Statut rapport</t>
        </is>
      </c>
    </row>
    <row r="5">
      <c r="A5" s="6" t="inlineStr">
        <is>
          <t>RPT-2026-Q1-001</t>
        </is>
      </c>
      <c r="B5" s="6" t="inlineStr">
        <is>
          <t>Janvier 2026</t>
        </is>
      </c>
      <c r="C5" s="6" t="inlineStr">
        <is>
          <t>Atelier Maroquinerie Paris</t>
        </is>
      </c>
      <c r="D5" s="6" t="inlineStr">
        <is>
          <t>Maroquinerie</t>
        </is>
      </c>
      <c r="E5" s="24">
        <f>IFERROR(COUNTIFS('3_CONTROLES'!J$5:J$5000,C5),0)</f>
        <v/>
      </c>
      <c r="F5" s="25">
        <f>IFERROR(COUNTIFS('3_CONTROLES'!J$5:J$5000,C5,'3_CONTROLES'!K$5:K$5000,"Conforme"),0)</f>
        <v/>
      </c>
      <c r="G5" s="26">
        <f>IFERROR(COUNTIFS('3_CONTROLES'!J$5:J$5000,C5,'3_CONTROLES'!K$5:K$5000,"Non conforme"),0)</f>
        <v/>
      </c>
      <c r="H5" s="17">
        <f>IFERROR(F5/COUNTIFS('3_CONTROLES'!J$5:J$5000,C5,'3_CONTROLES'!K$5:K$5000,"&lt;&gt;En attente"),0)</f>
        <v/>
      </c>
      <c r="I5" s="16">
        <f>IFERROR(AVERAGEIFS('3_CONTROLES'!L$5:L$5000,'3_CONTROLES'!J$5:J$5000,C5,'3_CONTROLES'!L$5:L$5000,"&gt;0"),0)</f>
        <v/>
      </c>
      <c r="J5" s="6" t="inlineStr">
        <is>
          <t>1. Finition tranche (3) 2. Symetrie couture (2) 3. Qualite cuir (1)</t>
        </is>
      </c>
      <c r="K5" s="6" t="inlineStr">
        <is>
          <t>Amelioration</t>
        </is>
      </c>
      <c r="L5" s="6" t="inlineStr">
        <is>
          <t>Renforcement controle tri cuir — Formation finition tranche</t>
        </is>
      </c>
      <c r="M5" s="6" t="inlineStr">
        <is>
          <t>Sophie Laurent</t>
        </is>
      </c>
      <c r="N5" s="6" t="inlineStr">
        <is>
          <t>Valide</t>
        </is>
      </c>
    </row>
    <row r="6">
      <c r="A6" s="7" t="inlineStr">
        <is>
          <t>RPT-2026-Q1-002</t>
        </is>
      </c>
      <c r="B6" s="7" t="inlineStr">
        <is>
          <t>Fevrier 2026</t>
        </is>
      </c>
      <c r="C6" s="7" t="inlineStr">
        <is>
          <t>Atelier Maroquinerie Paris</t>
        </is>
      </c>
      <c r="D6" s="7" t="inlineStr">
        <is>
          <t>Maroquinerie</t>
        </is>
      </c>
      <c r="E6" s="27">
        <f>IFERROR(COUNTIFS('3_CONTROLES'!J$5:J$5000,C6),0)</f>
        <v/>
      </c>
      <c r="F6" s="28">
        <f>IFERROR(COUNTIFS('3_CONTROLES'!J$5:J$5000,C6,'3_CONTROLES'!K$5:K$5000,"Conforme"),0)</f>
        <v/>
      </c>
      <c r="G6" s="29">
        <f>IFERROR(COUNTIFS('3_CONTROLES'!J$5:J$5000,C6,'3_CONTROLES'!K$5:K$5000,"Non conforme"),0)</f>
        <v/>
      </c>
      <c r="H6" s="19">
        <f>IFERROR(F6/COUNTIFS('3_CONTROLES'!J$5:J$5000,C6,'3_CONTROLES'!K$5:K$5000,"&lt;&gt;En attente"),0)</f>
        <v/>
      </c>
      <c r="I6" s="18">
        <f>IFERROR(AVERAGEIFS('3_CONTROLES'!L$5:L$5000,'3_CONTROLES'!J$5:J$5000,C6,'3_CONTROLES'!L$5:L$5000,"&gt;0"),0)</f>
        <v/>
      </c>
      <c r="J6" s="7" t="inlineStr">
        <is>
          <t>1. Qualite cuir (2) 2. Finition tranche (2) 3. Quincaillerie (1)</t>
        </is>
      </c>
      <c r="K6" s="7" t="inlineStr">
        <is>
          <t>Stable</t>
        </is>
      </c>
      <c r="L6" s="7" t="inlineStr">
        <is>
          <t>Installation eclairage LED poste tri — Suivi plan tranche</t>
        </is>
      </c>
      <c r="M6" s="7" t="inlineStr">
        <is>
          <t>Sophie Laurent</t>
        </is>
      </c>
      <c r="N6" s="7" t="inlineStr">
        <is>
          <t>Valide</t>
        </is>
      </c>
    </row>
    <row r="7">
      <c r="A7" s="6" t="inlineStr">
        <is>
          <t>RPT-2026-Q1-003</t>
        </is>
      </c>
      <c r="B7" s="6" t="inlineStr">
        <is>
          <t>Mars 2026</t>
        </is>
      </c>
      <c r="C7" s="6" t="inlineStr">
        <is>
          <t>Atelier Maroquinerie Paris</t>
        </is>
      </c>
      <c r="D7" s="6" t="inlineStr">
        <is>
          <t>Maroquinerie</t>
        </is>
      </c>
      <c r="E7" s="24">
        <f>IFERROR(COUNTIFS('3_CONTROLES'!J$5:J$5000,C7),0)</f>
        <v/>
      </c>
      <c r="F7" s="25">
        <f>IFERROR(COUNTIFS('3_CONTROLES'!J$5:J$5000,C7,'3_CONTROLES'!K$5:K$5000,"Conforme"),0)</f>
        <v/>
      </c>
      <c r="G7" s="26">
        <f>IFERROR(COUNTIFS('3_CONTROLES'!J$5:J$5000,C7,'3_CONTROLES'!K$5:K$5000,"Non conforme"),0)</f>
        <v/>
      </c>
      <c r="H7" s="17">
        <f>IFERROR(F7/COUNTIFS('3_CONTROLES'!J$5:J$5000,C7,'3_CONTROLES'!K$5:K$5000,"&lt;&gt;En attente"),0)</f>
        <v/>
      </c>
      <c r="I7" s="16">
        <f>IFERROR(AVERAGEIFS('3_CONTROLES'!L$5:L$5000,'3_CONTROLES'!J$5:J$5000,C7,'3_CONTROLES'!L$5:L$5000,"&gt;0"),0)</f>
        <v/>
      </c>
      <c r="J7" s="6" t="inlineStr">
        <is>
          <t>1. Piqure irreguliere (1) 2. Griffure cuir (1)</t>
        </is>
      </c>
      <c r="K7" s="6" t="inlineStr">
        <is>
          <t>Amelioration</t>
        </is>
      </c>
      <c r="L7" s="6" t="inlineStr">
        <is>
          <t>Plan d'action eclairage deploye — Resultats positifs observes</t>
        </is>
      </c>
      <c r="M7" s="6" t="inlineStr">
        <is>
          <t>Sophie Laurent</t>
        </is>
      </c>
      <c r="N7" s="6" t="inlineStr">
        <is>
          <t>Valide</t>
        </is>
      </c>
    </row>
    <row r="8">
      <c r="A8" s="7" t="inlineStr">
        <is>
          <t>RPT-2026-Q1-004</t>
        </is>
      </c>
      <c r="B8" s="7" t="inlineStr">
        <is>
          <t>Janvier 2026</t>
        </is>
      </c>
      <c r="C8" s="7" t="inlineStr">
        <is>
          <t>Atelier Haute Joaillerie Vendome</t>
        </is>
      </c>
      <c r="D8" s="7" t="inlineStr">
        <is>
          <t>Joaillerie</t>
        </is>
      </c>
      <c r="E8" s="27">
        <f>IFERROR(COUNTIFS('3_CONTROLES'!J$5:J$5000,C8),0)</f>
        <v/>
      </c>
      <c r="F8" s="28">
        <f>IFERROR(COUNTIFS('3_CONTROLES'!J$5:J$5000,C8,'3_CONTROLES'!K$5:K$5000,"Conforme"),0)</f>
        <v/>
      </c>
      <c r="G8" s="29">
        <f>IFERROR(COUNTIFS('3_CONTROLES'!J$5:J$5000,C8,'3_CONTROLES'!K$5:K$5000,"Non conforme"),0)</f>
        <v/>
      </c>
      <c r="H8" s="19">
        <f>IFERROR(F8/COUNTIFS('3_CONTROLES'!J$5:J$5000,C8,'3_CONTROLES'!K$5:K$5000,"&lt;&gt;En attente"),0)</f>
        <v/>
      </c>
      <c r="I8" s="18">
        <f>IFERROR(AVERAGEIFS('3_CONTROLES'!L$5:L$5000,'3_CONTROLES'!J$5:J$5000,C8,'3_CONTROLES'!L$5:L$5000,"&gt;0"),0)</f>
        <v/>
      </c>
      <c r="J8" s="7" t="inlineStr">
        <is>
          <t>1. Micro-rayure polissage (1)</t>
        </is>
      </c>
      <c r="K8" s="7" t="inlineStr">
        <is>
          <t>Stable</t>
        </is>
      </c>
      <c r="L8" s="7" t="inlineStr">
        <is>
          <t>Reorganisation postes de travail — Separation pieces en cours</t>
        </is>
      </c>
      <c r="M8" s="7" t="inlineStr">
        <is>
          <t>Alain Mercier</t>
        </is>
      </c>
      <c r="N8" s="7" t="inlineStr">
        <is>
          <t>Valide</t>
        </is>
      </c>
    </row>
    <row r="9">
      <c r="A9" s="6" t="inlineStr">
        <is>
          <t>RPT-2026-Q1-005</t>
        </is>
      </c>
      <c r="B9" s="6" t="inlineStr">
        <is>
          <t>Fevrier 2026</t>
        </is>
      </c>
      <c r="C9" s="6" t="inlineStr">
        <is>
          <t>Atelier Haute Joaillerie Vendome</t>
        </is>
      </c>
      <c r="D9" s="6" t="inlineStr">
        <is>
          <t>Joaillerie</t>
        </is>
      </c>
      <c r="E9" s="24">
        <f>IFERROR(COUNTIFS('3_CONTROLES'!J$5:J$5000,C9),0)</f>
        <v/>
      </c>
      <c r="F9" s="25">
        <f>IFERROR(COUNTIFS('3_CONTROLES'!J$5:J$5000,C9,'3_CONTROLES'!K$5:K$5000,"Conforme"),0)</f>
        <v/>
      </c>
      <c r="G9" s="26">
        <f>IFERROR(COUNTIFS('3_CONTROLES'!J$5:J$5000,C9,'3_CONTROLES'!K$5:K$5000,"Non conforme"),0)</f>
        <v/>
      </c>
      <c r="H9" s="17">
        <f>IFERROR(F9/COUNTIFS('3_CONTROLES'!J$5:J$5000,C9,'3_CONTROLES'!K$5:K$5000,"&lt;&gt;En attente"),0)</f>
        <v/>
      </c>
      <c r="I9" s="16">
        <f>IFERROR(AVERAGEIFS('3_CONTROLES'!L$5:L$5000,'3_CONTROLES'!J$5:J$5000,C9,'3_CONTROLES'!L$5:L$5000,"&gt;0"),0)</f>
        <v/>
      </c>
      <c r="J9" s="6" t="inlineStr">
        <is>
          <t>Aucun defaut</t>
        </is>
      </c>
      <c r="K9" s="6" t="inlineStr">
        <is>
          <t>Amelioration</t>
        </is>
      </c>
      <c r="L9" s="6" t="inlineStr">
        <is>
          <t>RAS — Excellence maintenue</t>
        </is>
      </c>
      <c r="M9" s="6" t="inlineStr">
        <is>
          <t>Alain Mercier</t>
        </is>
      </c>
      <c r="N9" s="6" t="inlineStr">
        <is>
          <t>Valide</t>
        </is>
      </c>
    </row>
    <row r="10">
      <c r="A10" s="7" t="inlineStr">
        <is>
          <t>RPT-2026-Q1-006</t>
        </is>
      </c>
      <c r="B10" s="7" t="inlineStr">
        <is>
          <t>Mars 2026</t>
        </is>
      </c>
      <c r="C10" s="7" t="inlineStr">
        <is>
          <t>Atelier Haute Joaillerie Vendome</t>
        </is>
      </c>
      <c r="D10" s="7" t="inlineStr">
        <is>
          <t>Joaillerie</t>
        </is>
      </c>
      <c r="E10" s="27">
        <f>IFERROR(COUNTIFS('3_CONTROLES'!J$5:J$5000,C10),0)</f>
        <v/>
      </c>
      <c r="F10" s="28">
        <f>IFERROR(COUNTIFS('3_CONTROLES'!J$5:J$5000,C10,'3_CONTROLES'!K$5:K$5000,"Conforme"),0)</f>
        <v/>
      </c>
      <c r="G10" s="29">
        <f>IFERROR(COUNTIFS('3_CONTROLES'!J$5:J$5000,C10,'3_CONTROLES'!K$5:K$5000,"Non conforme"),0)</f>
        <v/>
      </c>
      <c r="H10" s="19">
        <f>IFERROR(F10/COUNTIFS('3_CONTROLES'!J$5:J$5000,C10,'3_CONTROLES'!K$5:K$5000,"&lt;&gt;En attente"),0)</f>
        <v/>
      </c>
      <c r="I10" s="18">
        <f>IFERROR(AVERAGEIFS('3_CONTROLES'!L$5:L$5000,'3_CONTROLES'!J$5:J$5000,C10,'3_CONTROLES'!L$5:L$5000,"&gt;0"),0)</f>
        <v/>
      </c>
      <c r="J10" s="7" t="inlineStr">
        <is>
          <t>Aucun defaut</t>
        </is>
      </c>
      <c r="K10" s="7" t="inlineStr">
        <is>
          <t>Amelioration</t>
        </is>
      </c>
      <c r="L10" s="7" t="inlineStr">
        <is>
          <t>RAS — Preparation piece Haute Joaillerie complexe (47 saphirs)</t>
        </is>
      </c>
      <c r="M10" s="7" t="inlineStr">
        <is>
          <t>Alain Mercier</t>
        </is>
      </c>
      <c r="N10" s="7" t="inlineStr">
        <is>
          <t>Valide</t>
        </is>
      </c>
    </row>
    <row r="11">
      <c r="A11" s="6" t="inlineStr">
        <is>
          <t>RPT-2026-Q1-007</t>
        </is>
      </c>
      <c r="B11" s="6" t="inlineStr">
        <is>
          <t>Q1 2026</t>
        </is>
      </c>
      <c r="C11" s="6" t="inlineStr">
        <is>
          <t>Atelier Horlogerie Geneve</t>
        </is>
      </c>
      <c r="D11" s="6" t="inlineStr">
        <is>
          <t>Horlogerie</t>
        </is>
      </c>
      <c r="E11" s="24">
        <f>IFERROR(COUNTIFS('3_CONTROLES'!J$5:J$5000,C11),0)</f>
        <v/>
      </c>
      <c r="F11" s="25">
        <f>IFERROR(COUNTIFS('3_CONTROLES'!J$5:J$5000,C11,'3_CONTROLES'!K$5:K$5000,"Conforme"),0)</f>
        <v/>
      </c>
      <c r="G11" s="26">
        <f>IFERROR(COUNTIFS('3_CONTROLES'!J$5:J$5000,C11,'3_CONTROLES'!K$5:K$5000,"Non conforme"),0)</f>
        <v/>
      </c>
      <c r="H11" s="17">
        <f>IFERROR(F11/COUNTIFS('3_CONTROLES'!J$5:J$5000,C11,'3_CONTROLES'!K$5:K$5000,"&lt;&gt;En attente"),0)</f>
        <v/>
      </c>
      <c r="I11" s="16">
        <f>IFERROR(AVERAGEIFS('3_CONTROLES'!L$5:L$5000,'3_CONTROLES'!J$5:J$5000,C11,'3_CONTROLES'!L$5:L$5000,"&gt;0"),0)</f>
        <v/>
      </c>
      <c r="J11" s="6" t="inlineStr">
        <is>
          <t>1. Perlage irregulier (1 obs.)</t>
        </is>
      </c>
      <c r="K11" s="6" t="inlineStr">
        <is>
          <t>Stable</t>
        </is>
      </c>
      <c r="L11" s="6" t="inlineStr">
        <is>
          <t>Formation perlage Isabelle Martin — Preparation Poincon de Geneve</t>
        </is>
      </c>
      <c r="M11" s="6" t="inlineStr">
        <is>
          <t>Pierre Fontaine</t>
        </is>
      </c>
      <c r="N11" s="6" t="inlineStr">
        <is>
          <t>Valide</t>
        </is>
      </c>
    </row>
    <row r="12">
      <c r="A12" s="7" t="inlineStr">
        <is>
          <t>RPT-2026-Q2-008</t>
        </is>
      </c>
      <c r="B12" s="7" t="inlineStr">
        <is>
          <t>Avril 2026 (partiel)</t>
        </is>
      </c>
      <c r="C12" s="7" t="inlineStr">
        <is>
          <t>Atelier PAP Milan</t>
        </is>
      </c>
      <c r="D12" s="7" t="inlineStr">
        <is>
          <t>Pret-a-Porter</t>
        </is>
      </c>
      <c r="E12" s="27">
        <f>IFERROR(COUNTIFS('3_CONTROLES'!J$5:J$5000,C12),0)</f>
        <v/>
      </c>
      <c r="F12" s="28">
        <f>IFERROR(COUNTIFS('3_CONTROLES'!J$5:J$5000,C12,'3_CONTROLES'!K$5:K$5000,"Conforme"),0)</f>
        <v/>
      </c>
      <c r="G12" s="29">
        <f>IFERROR(COUNTIFS('3_CONTROLES'!J$5:J$5000,C12,'3_CONTROLES'!K$5:K$5000,"Non conforme"),0)</f>
        <v/>
      </c>
      <c r="H12" s="19">
        <f>IFERROR(F12/COUNTIFS('3_CONTROLES'!J$5:J$5000,C12,'3_CONTROLES'!K$5:K$5000,"&lt;&gt;En attente"),0)</f>
        <v/>
      </c>
      <c r="I12" s="18">
        <f>IFERROR(AVERAGEIFS('3_CONTROLES'!L$5:L$5000,'3_CONTROLES'!J$5:J$5000,C12,'3_CONTROLES'!L$5:L$5000,"&gt;0"),0)</f>
        <v/>
      </c>
      <c r="J12" s="7" t="inlineStr">
        <is>
          <t>1. Solidite teinture soie (2 CRIT) 2. Raccord motif (1) 3. Boutonniere (1)</t>
        </is>
      </c>
      <c r="K12" s="7" t="inlineStr">
        <is>
          <t>Degradation</t>
        </is>
      </c>
      <c r="L12" s="7" t="inlineStr">
        <is>
          <t>ALERTE — Probleme fournisseur Seteria Bianchi — Audit urgent teinture</t>
        </is>
      </c>
      <c r="M12" s="7" t="inlineStr">
        <is>
          <t>Marco Ricci</t>
        </is>
      </c>
      <c r="N12" s="7" t="inlineStr">
        <is>
          <t>En cours</t>
        </is>
      </c>
    </row>
  </sheetData>
  <autoFilter ref="A4:N12"/>
  <mergeCells count="3">
    <mergeCell ref="A3:N3"/>
    <mergeCell ref="A2:N2"/>
    <mergeCell ref="A1:N1"/>
  </mergeCells>
  <conditionalFormatting sqref="N5:N12">
    <cfRule type="cellIs" priority="1" operator="equal" dxfId="0">
      <formula>"Conforme"</formula>
    </cfRule>
    <cfRule type="cellIs" priority="2" operator="equal" dxfId="0">
      <formula>"Valide"</formula>
    </cfRule>
    <cfRule type="cellIs" priority="3" operator="equal" dxfId="0">
      <formula>"Actif"</formula>
    </cfRule>
    <cfRule type="cellIs" priority="4" operator="equal" dxfId="0">
      <formula>"Excellent"</formula>
    </cfRule>
    <cfRule type="cellIs" priority="5" operator="equal" dxfId="0">
      <formula>"Acceptable"</formula>
    </cfRule>
    <cfRule type="cellIs" priority="6" operator="equal" dxfId="1">
      <formula>"En attente"</formula>
    </cfRule>
    <cfRule type="cellIs" priority="7" operator="equal" dxfId="1">
      <formula>"En cours"</formula>
    </cfRule>
    <cfRule type="cellIs" priority="8" operator="equal" dxfId="1">
      <formula>"Conditionnel"</formula>
    </cfRule>
    <cfRule type="cellIs" priority="9" operator="equal" dxfId="1">
      <formula>"A ameliorer"</formula>
    </cfRule>
    <cfRule type="cellIs" priority="10" operator="equal" dxfId="2">
      <formula>"Non conforme"</formula>
    </cfRule>
    <cfRule type="cellIs" priority="11" operator="equal" dxfId="2">
      <formula>"Rejete"</formula>
    </cfRule>
    <cfRule type="cellIs" priority="12" operator="equal" dxfId="2">
      <formula>"Critique"</formula>
    </cfRule>
    <cfRule type="cellIs" priority="13" operator="equal" dxfId="2">
      <formula>"Suspendu"</formula>
    </cfRule>
    <cfRule type="cellIs" priority="14" operator="equal" dxfId="2">
      <formula>"Insuffisant"</formula>
    </cfRule>
  </conditionalFormatting>
  <conditionalFormatting sqref="K5:K12">
    <cfRule type="expression" priority="15" dxfId="7">
      <formula>NOT(ISERROR(SEARCH("Amelioration",K5)))</formula>
    </cfRule>
    <cfRule type="expression" priority="16" dxfId="8">
      <formula>NOT(ISERROR(SEARCH("Degradation",K5)))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A84C"/>
    <outlinePr summaryBelow="1" summaryRight="1"/>
    <pageSetUpPr/>
  </sheetPr>
  <dimension ref="A1:L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0" customWidth="1" min="4" max="4"/>
    <col width="12" customWidth="1" min="5" max="5"/>
    <col width="16" customWidth="1" min="6" max="6"/>
    <col width="12" customWidth="1" min="7" max="7"/>
    <col width="12" customWidth="1" min="8" max="8"/>
    <col width="22" customWidth="1" min="9" max="9"/>
    <col width="14" customWidth="1" min="10" max="10"/>
    <col width="22" customWidth="1" min="11" max="11"/>
    <col width="36" customWidth="1" min="12" max="12"/>
  </cols>
  <sheetData>
    <row r="1" ht="48" customHeight="1">
      <c r="A1" s="1" t="inlineStr">
        <is>
          <t>KPI QUALITE &amp; ROI — AGENT ARTISANALQUALITYAI</t>
        </is>
      </c>
    </row>
    <row r="2" ht="28" customHeight="1">
      <c r="A2" s="2" t="inlineStr">
        <is>
          <t>Indicateurs de performance qualite artisanale — Calcul ROI automatise — Avril 2026</t>
        </is>
      </c>
    </row>
    <row r="4" ht="30" customHeight="1">
      <c r="A4" s="4" t="inlineStr">
        <is>
          <t>SECTION A — KPIs QUALITE ARTISANALE</t>
        </is>
      </c>
    </row>
    <row r="5" ht="36" customHeight="1">
      <c r="A5" s="5" t="inlineStr">
        <is>
          <t>ID_KPI</t>
        </is>
      </c>
      <c r="B5" s="5" t="inlineStr">
        <is>
          <t>Indicateur</t>
        </is>
      </c>
      <c r="C5" s="5" t="inlineStr">
        <is>
          <t>Categorie</t>
        </is>
      </c>
      <c r="D5" s="5" t="inlineStr">
        <is>
          <t>Unite</t>
        </is>
      </c>
      <c r="E5" s="5" t="inlineStr">
        <is>
          <t>Cible</t>
        </is>
      </c>
      <c r="F5" s="5" t="inlineStr">
        <is>
          <t>Valeur actuelle</t>
        </is>
      </c>
      <c r="G5" s="5" t="inlineStr">
        <is>
          <t>% Atteinte</t>
        </is>
      </c>
      <c r="H5" s="5" t="inlineStr">
        <is>
          <t>Tendance</t>
        </is>
      </c>
      <c r="I5" s="5" t="inlineStr">
        <is>
          <t>Source donnees</t>
        </is>
      </c>
      <c r="J5" s="5" t="inlineStr">
        <is>
          <t>Frequence</t>
        </is>
      </c>
      <c r="K5" s="5" t="inlineStr">
        <is>
          <t>Responsable</t>
        </is>
      </c>
      <c r="L5" s="5" t="inlineStr">
        <is>
          <t>Commentaire</t>
        </is>
      </c>
    </row>
    <row r="6">
      <c r="A6" s="6" t="inlineStr">
        <is>
          <t>KQ-001</t>
        </is>
      </c>
      <c r="B6" s="6" t="inlineStr">
        <is>
          <t>First Pass Yield global</t>
        </is>
      </c>
      <c r="C6" s="6" t="inlineStr">
        <is>
          <t>Performance</t>
        </is>
      </c>
      <c r="D6" s="6" t="inlineStr">
        <is>
          <t>%</t>
        </is>
      </c>
      <c r="E6" s="6" t="n">
        <v>95</v>
      </c>
      <c r="F6" s="30">
        <f>IFERROR(COUNTIF('3_CONTROLES'!K$5:K$5000,"Conforme")/COUNTIFS('3_CONTROLES'!K$5:K$5000,"&lt;&gt;En attente")*100,0)</f>
        <v/>
      </c>
      <c r="G6" s="31">
        <f>IFERROR(IF(D6="%",IF(E6&gt;F6,F6/E6,(100-F6)/(100-E6)),F6/E6),"-")</f>
        <v/>
      </c>
      <c r="H6" s="6" t="n"/>
      <c r="I6" s="6" t="inlineStr">
        <is>
          <t>3_CONTROLES</t>
        </is>
      </c>
      <c r="J6" s="6" t="inlineStr">
        <is>
          <t>Mensuel</t>
        </is>
      </c>
      <c r="K6" s="6" t="inlineStr">
        <is>
          <t>Dir. Qualite</t>
        </is>
      </c>
      <c r="L6" s="6" t="inlineStr">
        <is>
          <t>% pieces conformes des le 1er controle</t>
        </is>
      </c>
    </row>
    <row r="7">
      <c r="A7" s="7" t="inlineStr">
        <is>
          <t>KQ-002</t>
        </is>
      </c>
      <c r="B7" s="7" t="inlineStr">
        <is>
          <t>Score qualite moyen</t>
        </is>
      </c>
      <c r="C7" s="7" t="inlineStr">
        <is>
          <t>Performance</t>
        </is>
      </c>
      <c r="D7" s="7" t="inlineStr">
        <is>
          <t>/100</t>
        </is>
      </c>
      <c r="E7" s="7" t="n">
        <v>92</v>
      </c>
      <c r="F7" s="32">
        <f>IFERROR(AVERAGEIF('3_CONTROLES'!L$5:L$5000,"&gt;0"),0)</f>
        <v/>
      </c>
      <c r="G7" s="33">
        <f>IFERROR(IF(D7="%",IF(E7&gt;F7,F7/E7,(100-F7)/(100-E7)),F7/E7),"-")</f>
        <v/>
      </c>
      <c r="H7" s="7" t="n"/>
      <c r="I7" s="7" t="inlineStr">
        <is>
          <t>3_CONTROLES</t>
        </is>
      </c>
      <c r="J7" s="7" t="inlineStr">
        <is>
          <t>Mensuel</t>
        </is>
      </c>
      <c r="K7" s="7" t="inlineStr">
        <is>
          <t>Dir. Qualite</t>
        </is>
      </c>
      <c r="L7" s="7" t="inlineStr">
        <is>
          <t>Moyenne ponderee tous ateliers</t>
        </is>
      </c>
    </row>
    <row r="8">
      <c r="A8" s="6" t="inlineStr">
        <is>
          <t>KQ-003</t>
        </is>
      </c>
      <c r="B8" s="6" t="inlineStr">
        <is>
          <t>Taux de defauts critiques</t>
        </is>
      </c>
      <c r="C8" s="6" t="inlineStr">
        <is>
          <t>Defauts</t>
        </is>
      </c>
      <c r="D8" s="6" t="inlineStr">
        <is>
          <t>%</t>
        </is>
      </c>
      <c r="E8" s="6" t="n">
        <v>0</v>
      </c>
      <c r="F8" s="30">
        <f>IFERROR(COUNTIF('4_DEFAUTS'!H$5:H$5000,"Critique")/COUNTA('4_DEFAUTS'!A$5:A$5000)*100,0)</f>
        <v/>
      </c>
      <c r="G8" s="31">
        <f>IFERROR(IF(D8="%",IF(E8&gt;F8,F8/E8,(100-F8)/(100-E8)),F8/E8),"-")</f>
        <v/>
      </c>
      <c r="H8" s="6" t="n"/>
      <c r="I8" s="6" t="inlineStr">
        <is>
          <t>4_DEFAUTS</t>
        </is>
      </c>
      <c r="J8" s="6" t="inlineStr">
        <is>
          <t>Hebdomadaire</t>
        </is>
      </c>
      <c r="K8" s="6" t="inlineStr">
        <is>
          <t>Dir. Qualite</t>
        </is>
      </c>
      <c r="L8" s="6" t="inlineStr">
        <is>
          <t>Objectif zero defaut critique</t>
        </is>
      </c>
    </row>
    <row r="9">
      <c r="A9" s="7" t="inlineStr">
        <is>
          <t>KQ-004</t>
        </is>
      </c>
      <c r="B9" s="7" t="inlineStr">
        <is>
          <t>Cout total non-qualite</t>
        </is>
      </c>
      <c r="C9" s="7" t="inlineStr">
        <is>
          <t>Financier</t>
        </is>
      </c>
      <c r="D9" s="7" t="inlineStr">
        <is>
          <t>EUR/mois</t>
        </is>
      </c>
      <c r="E9" s="7" t="n">
        <v>5000</v>
      </c>
      <c r="F9" s="34">
        <f>IFERROR(SUM('4_DEFAUTS'!M$5:M$5000),0)</f>
        <v/>
      </c>
      <c r="G9" s="33">
        <f>IFERROR(IF(D9="%",IF(E9&gt;F9,F9/E9,(100-F9)/(100-E9)),F9/E9),"-")</f>
        <v/>
      </c>
      <c r="H9" s="7" t="n"/>
      <c r="I9" s="7" t="inlineStr">
        <is>
          <t>4_DEFAUTS</t>
        </is>
      </c>
      <c r="J9" s="7" t="inlineStr">
        <is>
          <t>Mensuel</t>
        </is>
      </c>
      <c r="K9" s="7" t="inlineStr">
        <is>
          <t>Dir. Finance</t>
        </is>
      </c>
      <c r="L9" s="7" t="inlineStr">
        <is>
          <t>Couts reprises + rebuts + retours</t>
        </is>
      </c>
    </row>
    <row r="10">
      <c r="A10" s="6" t="inlineStr">
        <is>
          <t>KQ-005</t>
        </is>
      </c>
      <c r="B10" s="6" t="inlineStr">
        <is>
          <t>Taux de retour client</t>
        </is>
      </c>
      <c r="C10" s="6" t="inlineStr">
        <is>
          <t>Client</t>
        </is>
      </c>
      <c r="D10" s="6" t="inlineStr">
        <is>
          <t>%</t>
        </is>
      </c>
      <c r="E10" s="6" t="n">
        <v>0.5</v>
      </c>
      <c r="F10" s="30" t="n"/>
      <c r="G10" s="31">
        <f>IFERROR(IF(D10="%",IF(E10&gt;F10,F10/E10,(100-F10)/(100-E10)),F10/E10),"-")</f>
        <v/>
      </c>
      <c r="H10" s="6" t="n"/>
      <c r="I10" s="6" t="inlineStr">
        <is>
          <t>Donnees SAV (ext.)</t>
        </is>
      </c>
      <c r="J10" s="6" t="inlineStr">
        <is>
          <t>Mensuel</t>
        </is>
      </c>
      <c r="K10" s="6" t="inlineStr">
        <is>
          <t>Dir. Commercial</t>
        </is>
      </c>
      <c r="L10" s="6" t="inlineStr">
        <is>
          <t>Retours lies a un defaut qualite</t>
        </is>
      </c>
    </row>
    <row r="11">
      <c r="A11" s="7" t="inlineStr">
        <is>
          <t>KQ-006</t>
        </is>
      </c>
      <c r="B11" s="7" t="inlineStr">
        <is>
          <t>Nb artisans Maitre d'Art / MOF</t>
        </is>
      </c>
      <c r="C11" s="7" t="inlineStr">
        <is>
          <t>Capital humain</t>
        </is>
      </c>
      <c r="D11" s="7" t="inlineStr">
        <is>
          <t>Nb</t>
        </is>
      </c>
      <c r="E11" s="7">
        <f>COUNTA('6_ARTISANS'!A$5:A$5000)</f>
        <v/>
      </c>
      <c r="F11" s="32">
        <f>COUNTIF('6_ARTISANS'!H$5:H$5000,"Maitre*")</f>
        <v/>
      </c>
      <c r="G11" s="33">
        <f>IFERROR(IF(D11="%",IF(E11&gt;F11,F11/E11,(100-F11)/(100-E11)),F11/E11),"-")</f>
        <v/>
      </c>
      <c r="H11" s="7" t="n"/>
      <c r="I11" s="7" t="inlineStr">
        <is>
          <t>6_ARTISANS</t>
        </is>
      </c>
      <c r="J11" s="7" t="inlineStr">
        <is>
          <t>Annuel</t>
        </is>
      </c>
      <c r="K11" s="7" t="inlineStr">
        <is>
          <t>Dir. RH</t>
        </is>
      </c>
      <c r="L11" s="7" t="inlineStr">
        <is>
          <t>Indicateur excellence savoir-faire</t>
        </is>
      </c>
    </row>
    <row r="12">
      <c r="A12" s="6" t="inlineStr">
        <is>
          <t>KQ-007</t>
        </is>
      </c>
      <c r="B12" s="6" t="inlineStr">
        <is>
          <t>Heures formation qualite / artisan / an</t>
        </is>
      </c>
      <c r="C12" s="6" t="inlineStr">
        <is>
          <t>Formation</t>
        </is>
      </c>
      <c r="D12" s="6" t="inlineStr">
        <is>
          <t>h</t>
        </is>
      </c>
      <c r="E12" s="6" t="n">
        <v>40</v>
      </c>
      <c r="F12" s="30">
        <f>IFERROR(AVERAGE('6_ARTISANS'!M$5:M$5000),0)</f>
        <v/>
      </c>
      <c r="G12" s="31">
        <f>IFERROR(IF(D12="%",IF(E12&gt;F12,F12/E12,(100-F12)/(100-E12)),F12/E12),"-")</f>
        <v/>
      </c>
      <c r="H12" s="6" t="n"/>
      <c r="I12" s="6" t="inlineStr">
        <is>
          <t>6_ARTISANS</t>
        </is>
      </c>
      <c r="J12" s="6" t="inlineStr">
        <is>
          <t>Trimestriel</t>
        </is>
      </c>
      <c r="K12" s="6" t="inlineStr">
        <is>
          <t>Dir. RH + Qualite</t>
        </is>
      </c>
      <c r="L12" s="6" t="inlineStr">
        <is>
          <t>Minimum 40h/an pour maintien excellence</t>
        </is>
      </c>
    </row>
    <row r="13">
      <c r="A13" s="7" t="inlineStr">
        <is>
          <t>KQ-008</t>
        </is>
      </c>
      <c r="B13" s="7" t="inlineStr">
        <is>
          <t>Taux de certification ateliers</t>
        </is>
      </c>
      <c r="C13" s="7" t="inlineStr">
        <is>
          <t>Certification</t>
        </is>
      </c>
      <c r="D13" s="7" t="inlineStr">
        <is>
          <t>%</t>
        </is>
      </c>
      <c r="E13" s="7" t="n">
        <v>100</v>
      </c>
      <c r="F13" s="32">
        <f>IFERROR(COUNTIF('5_ATELIERS'!M$5:M$5000,"Actif")/COUNTA('5_ATELIERS'!A$5:A$5000)*100,0)</f>
        <v/>
      </c>
      <c r="G13" s="33">
        <f>IFERROR(IF(D13="%",IF(E13&gt;F13,F13/E13,(100-F13)/(100-E13)),F13/E13),"-")</f>
        <v/>
      </c>
      <c r="H13" s="7" t="n"/>
      <c r="I13" s="7" t="inlineStr">
        <is>
          <t>5_ATELIERS</t>
        </is>
      </c>
      <c r="J13" s="7" t="inlineStr">
        <is>
          <t>Annuel</t>
        </is>
      </c>
      <c r="K13" s="7" t="inlineStr">
        <is>
          <t>Dir. Qualite</t>
        </is>
      </c>
      <c r="L13" s="7" t="inlineStr">
        <is>
          <t>Tous ateliers ISO 9001 ou equivalent</t>
        </is>
      </c>
    </row>
    <row r="14">
      <c r="A14" s="6" t="inlineStr">
        <is>
          <t>KQ-009</t>
        </is>
      </c>
      <c r="B14" s="6" t="inlineStr">
        <is>
          <t>Delai moyen resolution defaut</t>
        </is>
      </c>
      <c r="C14" s="6" t="inlineStr">
        <is>
          <t>Reactivite</t>
        </is>
      </c>
      <c r="D14" s="6" t="inlineStr">
        <is>
          <t>jours</t>
        </is>
      </c>
      <c r="E14" s="6" t="n">
        <v>3</v>
      </c>
      <c r="F14" s="30" t="n">
        <v>2.5</v>
      </c>
      <c r="G14" s="31">
        <f>IFERROR(IF(D14="%",IF(E14&gt;F14,F14/E14,(100-F14)/(100-E14)),F14/E14),"-")</f>
        <v/>
      </c>
      <c r="H14" s="6" t="n"/>
      <c r="I14" s="6" t="inlineStr">
        <is>
          <t>4_DEFAUTS</t>
        </is>
      </c>
      <c r="J14" s="6" t="inlineStr">
        <is>
          <t>Mensuel</t>
        </is>
      </c>
      <c r="K14" s="6" t="inlineStr">
        <is>
          <t>Dir. Qualite</t>
        </is>
      </c>
      <c r="L14" s="6" t="inlineStr">
        <is>
          <t>De detection a resolution complete</t>
        </is>
      </c>
    </row>
    <row r="15">
      <c r="A15" s="7" t="inlineStr">
        <is>
          <t>KQ-010</t>
        </is>
      </c>
      <c r="B15" s="7" t="inlineStr">
        <is>
          <t>Taux de reprise vs rejet</t>
        </is>
      </c>
      <c r="C15" s="7" t="inlineStr">
        <is>
          <t>Economie</t>
        </is>
      </c>
      <c r="D15" s="7" t="inlineStr">
        <is>
          <t>%</t>
        </is>
      </c>
      <c r="E15" s="7" t="n">
        <v>80</v>
      </c>
      <c r="F15" s="32">
        <f>IFERROR(COUNTIF('4_DEFAUTS'!O$5:O$5000,"Resolu")/COUNTA('4_DEFAUTS'!A$5:A$5000)*100,0)</f>
        <v/>
      </c>
      <c r="G15" s="33">
        <f>IFERROR(IF(D15="%",IF(E15&gt;F15,F15/E15,(100-F15)/(100-E15)),F15/E15),"-")</f>
        <v/>
      </c>
      <c r="H15" s="7" t="n"/>
      <c r="I15" s="7" t="inlineStr">
        <is>
          <t>4_DEFAUTS</t>
        </is>
      </c>
      <c r="J15" s="7" t="inlineStr">
        <is>
          <t>Mensuel</t>
        </is>
      </c>
      <c r="K15" s="7" t="inlineStr">
        <is>
          <t>Dir. Production</t>
        </is>
      </c>
      <c r="L15" s="7" t="inlineStr">
        <is>
          <t>% defauts resolus par reprise (vs rejet piece)</t>
        </is>
      </c>
    </row>
    <row r="19" ht="30" customHeight="1">
      <c r="A19" s="4" t="inlineStr">
        <is>
          <t>SECTION B — CALCUL ROI AGENT ARTISANALQUALITYAI</t>
        </is>
      </c>
    </row>
    <row r="20" ht="36" customHeight="1">
      <c r="A20" s="5" t="inlineStr">
        <is>
          <t>Poste</t>
        </is>
      </c>
      <c r="B20" s="5" t="inlineStr">
        <is>
          <t>Description</t>
        </is>
      </c>
      <c r="C20" s="5" t="inlineStr">
        <is>
          <t>Avant Agent (EUR/an)</t>
        </is>
      </c>
      <c r="D20" s="5" t="inlineStr">
        <is>
          <t>Apres Agent (EUR/an)</t>
        </is>
      </c>
      <c r="E20" s="5" t="inlineStr">
        <is>
          <t>Economie (EUR/an)</t>
        </is>
      </c>
      <c r="F20" s="5" t="inlineStr">
        <is>
          <t>% Reduction</t>
        </is>
      </c>
      <c r="G20" s="5" t="inlineStr">
        <is>
          <t>Temps avant (h/mois)</t>
        </is>
      </c>
      <c r="H20" s="5" t="inlineStr">
        <is>
          <t>Temps apres (h/mois)</t>
        </is>
      </c>
      <c r="I20" s="5" t="inlineStr">
        <is>
          <t>Heures gagnees</t>
        </is>
      </c>
      <c r="J20" s="5" t="inlineStr">
        <is>
          <t>ETP liberes</t>
        </is>
      </c>
      <c r="K20" s="5" t="inlineStr">
        <is>
          <t>Source</t>
        </is>
      </c>
      <c r="L20" s="5" t="inlineStr">
        <is>
          <t>Notes</t>
        </is>
      </c>
    </row>
    <row r="21">
      <c r="A21" s="6" t="inlineStr">
        <is>
          <t>Inspection qualite manuelle</t>
        </is>
      </c>
      <c r="B21" s="6" t="inlineStr">
        <is>
          <t>Temps inspecteurs sur controles visuels et mesures</t>
        </is>
      </c>
      <c r="C21" s="35" t="n">
        <v>220000</v>
      </c>
      <c r="D21" s="35">
        <f>IFERROR(C21*0.30,0)</f>
        <v/>
      </c>
      <c r="E21" s="36">
        <f>C21-D21</f>
        <v/>
      </c>
      <c r="F21" s="37">
        <f>IFERROR(E21/C21,0)</f>
        <v/>
      </c>
      <c r="G21" s="6" t="n">
        <v>360</v>
      </c>
      <c r="H21" s="6">
        <f>IFERROR(G21*0.30,0)</f>
        <v/>
      </c>
      <c r="I21" s="38">
        <f>G21-H21</f>
        <v/>
      </c>
      <c r="J21" s="39">
        <f>IFERROR(I21/151.67,0)</f>
        <v/>
      </c>
      <c r="K21" s="6" t="inlineStr">
        <is>
          <t>Benchmark KPMG 2026</t>
        </is>
      </c>
      <c r="L21" s="6" t="inlineStr">
        <is>
          <t>Automatisation partielle par vision IA</t>
        </is>
      </c>
    </row>
    <row r="22">
      <c r="A22" s="7" t="inlineStr">
        <is>
          <t>Documentation qualite</t>
        </is>
      </c>
      <c r="B22" s="7" t="inlineStr">
        <is>
          <t>Redaction rapports, fiches controle, archivage</t>
        </is>
      </c>
      <c r="C22" s="40" t="n">
        <v>85000</v>
      </c>
      <c r="D22" s="40">
        <f>IFERROR(C22*0.30,0)</f>
        <v/>
      </c>
      <c r="E22" s="41">
        <f>C22-D22</f>
        <v/>
      </c>
      <c r="F22" s="42">
        <f>IFERROR(E22/C22,0)</f>
        <v/>
      </c>
      <c r="G22" s="7" t="n">
        <v>140</v>
      </c>
      <c r="H22" s="7">
        <f>IFERROR(G22*0.30,0)</f>
        <v/>
      </c>
      <c r="I22" s="43">
        <f>G22-H22</f>
        <v/>
      </c>
      <c r="J22" s="44">
        <f>IFERROR(I22/151.67,0)</f>
        <v/>
      </c>
      <c r="K22" s="7" t="inlineStr">
        <is>
          <t>Interne</t>
        </is>
      </c>
      <c r="L22" s="7" t="inlineStr">
        <is>
          <t>Generation automatique rapports QC</t>
        </is>
      </c>
    </row>
    <row r="23">
      <c r="A23" s="6" t="inlineStr">
        <is>
          <t>Gestion des non-conformites</t>
        </is>
      </c>
      <c r="B23" s="6" t="inlineStr">
        <is>
          <t>Detection, investigation, traitement, suivi</t>
        </is>
      </c>
      <c r="C23" s="35" t="n">
        <v>130000</v>
      </c>
      <c r="D23" s="35">
        <f>IFERROR(C23*0.30,0)</f>
        <v/>
      </c>
      <c r="E23" s="36">
        <f>C23-D23</f>
        <v/>
      </c>
      <c r="F23" s="37">
        <f>IFERROR(E23/C23,0)</f>
        <v/>
      </c>
      <c r="G23" s="6" t="n">
        <v>180</v>
      </c>
      <c r="H23" s="6">
        <f>IFERROR(G23*0.30,0)</f>
        <v/>
      </c>
      <c r="I23" s="38">
        <f>G23-H23</f>
        <v/>
      </c>
      <c r="J23" s="39">
        <f>IFERROR(I23/151.67,0)</f>
        <v/>
      </c>
      <c r="K23" s="6" t="inlineStr">
        <is>
          <t>Interne</t>
        </is>
      </c>
      <c r="L23" s="6" t="inlineStr">
        <is>
          <t>Workflow automatise + alertes proactives</t>
        </is>
      </c>
    </row>
    <row r="24">
      <c r="A24" s="7" t="inlineStr">
        <is>
          <t>Formation et evaluation</t>
        </is>
      </c>
      <c r="B24" s="7" t="inlineStr">
        <is>
          <t>Suivi competences, plans formation, evaluations</t>
        </is>
      </c>
      <c r="C24" s="40" t="n">
        <v>60000</v>
      </c>
      <c r="D24" s="40">
        <f>IFERROR(C24*0.30,0)</f>
        <v/>
      </c>
      <c r="E24" s="41">
        <f>C24-D24</f>
        <v/>
      </c>
      <c r="F24" s="42">
        <f>IFERROR(E24/C24,0)</f>
        <v/>
      </c>
      <c r="G24" s="7" t="n">
        <v>80</v>
      </c>
      <c r="H24" s="7">
        <f>IFERROR(G24*0.30,0)</f>
        <v/>
      </c>
      <c r="I24" s="43">
        <f>G24-H24</f>
        <v/>
      </c>
      <c r="J24" s="44">
        <f>IFERROR(I24/151.67,0)</f>
        <v/>
      </c>
      <c r="K24" s="7" t="inlineStr">
        <is>
          <t>DRH</t>
        </is>
      </c>
      <c r="L24" s="7" t="inlineStr">
        <is>
          <t>Tableaux de bord competences automatises</t>
        </is>
      </c>
    </row>
    <row r="25">
      <c r="A25" s="6" t="inlineStr">
        <is>
          <t>Couts de non-qualite evites</t>
        </is>
      </c>
      <c r="B25" s="6" t="inlineStr">
        <is>
          <t>Reprises, rebuts, retours clients reduits</t>
        </is>
      </c>
      <c r="C25" s="35" t="n">
        <v>350000</v>
      </c>
      <c r="D25" s="35">
        <f>IFERROR(C25*0.30,0)</f>
        <v/>
      </c>
      <c r="E25" s="36">
        <f>C25-D25</f>
        <v/>
      </c>
      <c r="F25" s="37">
        <f>IFERROR(E25/C25,0)</f>
        <v/>
      </c>
      <c r="G25" s="6" t="n">
        <v>0</v>
      </c>
      <c r="H25" s="6" t="n">
        <v>0</v>
      </c>
      <c r="I25" s="38">
        <f>G25-H25</f>
        <v/>
      </c>
      <c r="J25" s="39">
        <f>IFERROR(I25/151.67,0)</f>
        <v/>
      </c>
      <c r="K25" s="6" t="inlineStr">
        <is>
          <t>Qualite</t>
        </is>
      </c>
      <c r="L25" s="6" t="inlineStr">
        <is>
          <t>Reduction estimee 45% des couts non-qualite</t>
        </is>
      </c>
    </row>
    <row r="26">
      <c r="A26" s="7" t="inlineStr">
        <is>
          <t>Cout Agent IA</t>
        </is>
      </c>
      <c r="B26" s="7" t="inlineStr">
        <is>
          <t>Licence, maintenance, formation utilisateurs</t>
        </is>
      </c>
      <c r="C26" s="40" t="n">
        <v>0</v>
      </c>
      <c r="D26" s="40" t="n">
        <v>75000</v>
      </c>
      <c r="E26" s="41">
        <f>C26-D26</f>
        <v/>
      </c>
      <c r="F26" s="42">
        <f>IFERROR(E26/C26,0)</f>
        <v/>
      </c>
      <c r="G26" s="7" t="n">
        <v>0</v>
      </c>
      <c r="H26" s="7" t="n">
        <v>30</v>
      </c>
      <c r="I26" s="43">
        <f>G26-H26</f>
        <v/>
      </c>
      <c r="J26" s="44">
        <f>IFERROR(I26/151.67,0)</f>
        <v/>
      </c>
      <c r="K26" s="7" t="inlineStr">
        <is>
          <t>Devis Neural Enterprise</t>
        </is>
      </c>
      <c r="L26" s="7" t="inlineStr">
        <is>
          <t>Cout annuel tout compris</t>
        </is>
      </c>
    </row>
    <row r="27">
      <c r="A27" s="8" t="inlineStr">
        <is>
          <t>TOTAL ROI</t>
        </is>
      </c>
      <c r="B27" s="8" t="n"/>
      <c r="C27" s="45">
        <f>SUM(C21:C26)</f>
        <v/>
      </c>
      <c r="D27" s="45">
        <f>SUM(D21:D26)</f>
        <v/>
      </c>
      <c r="E27" s="45">
        <f>SUM(E21:E26)</f>
        <v/>
      </c>
      <c r="F27" s="46">
        <f>IFERROR(E27/C27,0)</f>
        <v/>
      </c>
      <c r="G27" s="9">
        <f>SUM(G21:G26)</f>
        <v/>
      </c>
      <c r="H27" s="9">
        <f>SUM(H21:H26)</f>
        <v/>
      </c>
      <c r="I27" s="9">
        <f>SUM(I21:I26)</f>
        <v/>
      </c>
      <c r="J27" s="47">
        <f>SUM(J21:J26)</f>
        <v/>
      </c>
      <c r="K27" s="8" t="n"/>
      <c r="L27" s="8" t="n"/>
    </row>
    <row r="30" ht="30" customHeight="1">
      <c r="A30" s="48" t="inlineStr">
        <is>
          <t>SYNTHESE ROI</t>
        </is>
      </c>
    </row>
    <row r="31">
      <c r="A31" s="49" t="inlineStr">
        <is>
          <t>ROI annuel net</t>
        </is>
      </c>
      <c r="D31" s="50">
        <f>E27</f>
        <v/>
      </c>
    </row>
    <row r="32">
      <c r="A32" s="49" t="inlineStr">
        <is>
          <t>ROI en %</t>
        </is>
      </c>
      <c r="D32" s="51">
        <f>IFERROR(E27/D27,0)</f>
        <v/>
      </c>
    </row>
    <row r="33">
      <c r="A33" s="49" t="inlineStr">
        <is>
          <t>Heures economisees / mois</t>
        </is>
      </c>
      <c r="D33" s="52">
        <f>I27</f>
        <v/>
      </c>
    </row>
    <row r="34">
      <c r="A34" s="49" t="inlineStr">
        <is>
          <t>ETP liberes</t>
        </is>
      </c>
      <c r="D34" s="53">
        <f>J27</f>
        <v/>
      </c>
    </row>
    <row r="35">
      <c r="A35" s="49" t="inlineStr">
        <is>
          <t>Payback (mois)</t>
        </is>
      </c>
      <c r="D35" s="54">
        <f>IFERROR(D27/(E27/12),0)</f>
        <v/>
      </c>
    </row>
  </sheetData>
  <mergeCells count="15">
    <mergeCell ref="A2:L2"/>
    <mergeCell ref="A33:C33"/>
    <mergeCell ref="A19:L19"/>
    <mergeCell ref="A32:C32"/>
    <mergeCell ref="D31:F31"/>
    <mergeCell ref="A31:C31"/>
    <mergeCell ref="A1:L1"/>
    <mergeCell ref="D32:F32"/>
    <mergeCell ref="D35:F35"/>
    <mergeCell ref="A34:C34"/>
    <mergeCell ref="A35:C35"/>
    <mergeCell ref="A30:F30"/>
    <mergeCell ref="D33:F33"/>
    <mergeCell ref="D34:F34"/>
    <mergeCell ref="A4:L4"/>
  </mergeCells>
  <conditionalFormatting sqref="G6:G15">
    <cfRule type="cellIs" priority="1" operator="greaterThanOrEqual" dxfId="0">
      <formula>0.9</formula>
    </cfRule>
    <cfRule type="cellIs" priority="2" operator="between" dxfId="5">
      <formula>0.7</formula>
      <formula>0.899</formula>
    </cfRule>
    <cfRule type="cellIs" priority="3" operator="lessThan" dxfId="8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2026-04-01T23:04:06Z</dcterms:created>
  <dcterms:modified xsi:type="dcterms:W3CDTF">2026-04-01T23:04:06Z</dcterms:modified>
</cp:coreProperties>
</file>