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o\finance-platform\apps\neural\data\"/>
    </mc:Choice>
  </mc:AlternateContent>
  <xr:revisionPtr revIDLastSave="0" documentId="13_ncr:1_{72AB86B8-6DD8-40BB-BC26-2B17BEF0379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laude Log" sheetId="19" r:id="rId1"/>
    <sheet name="01_PARAMETRES" sheetId="1" r:id="rId2"/>
    <sheet name="02_REF_COMPETENCES" sheetId="2" r:id="rId3"/>
    <sheet name="03_ANNUAIRE" sheetId="3" r:id="rId4"/>
    <sheet name="04_MATRICE_SKILLS" sheetId="4" r:id="rId5"/>
    <sheet name="05_GAP_ANALYSIS" sheetId="5" r:id="rId6"/>
    <sheet name="06_SUCCESSION" sheetId="6" r:id="rId7"/>
    <sheet name="07_PLAN_FORMATION" sheetId="7" r:id="rId8"/>
    <sheet name="08_BUDGET" sheetId="8" r:id="rId9"/>
    <sheet name="09_HISTORIQUE" sheetId="9" r:id="rId10"/>
    <sheet name="10_DASHBOARD_KPI" sheetId="10" r:id="rId11"/>
    <sheet name="11_CONTROLES" sheetId="11" r:id="rId12"/>
    <sheet name="12_NOTES_REGLEMENTAIRES" sheetId="12" r:id="rId13"/>
    <sheet name="13_EXPORT_RAPPORT" sheetId="13" r:id="rId14"/>
    <sheet name="14_MATRICE_RISQUES" sheetId="14" r:id="rId15"/>
    <sheet name="15_SIMULATION_DEPARTS" sheetId="15" r:id="rId16"/>
    <sheet name="16_CALENDRIER_CONSOLIDE" sheetId="16" r:id="rId17"/>
    <sheet name="17_BENCHMARK_SITES" sheetId="17" r:id="rId18"/>
    <sheet name="18_GENERATEUR_NOTIF" sheetId="18" r:id="rId19"/>
  </sheets>
  <definedNames>
    <definedName name="_xlnm._FilterDatabase" localSheetId="2" hidden="1">'02_REF_COMPETENCES'!$A$4:$X$34</definedName>
    <definedName name="_xlnm._FilterDatabase" localSheetId="3" hidden="1">'03_ANNUAIRE'!$A$4:$R$64</definedName>
    <definedName name="_xlnm._FilterDatabase" localSheetId="4" hidden="1">'04_MATRICE_SKILLS'!$A$4:$O$432</definedName>
    <definedName name="_xlnm._FilterDatabase" localSheetId="5" hidden="1">'05_GAP_ANALYSIS'!$A$4:$L$310</definedName>
    <definedName name="_xlnm._FilterDatabase" localSheetId="6" hidden="1">'06_SUCCESSION'!$A$4:$M$24</definedName>
    <definedName name="_xlnm._FilterDatabase" localSheetId="7" hidden="1">'07_PLAN_FORMATION'!$A$4:$S$56</definedName>
    <definedName name="_xlnm._FilterDatabase" localSheetId="8" hidden="1">'08_BUDGET'!$A$4:$H$14</definedName>
    <definedName name="_xlnm._FilterDatabase" localSheetId="9" hidden="1">'09_HISTORIQUE'!$A$4:$F$9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0" l="1" a="1"/>
  <c r="A28" i="10" s="1"/>
  <c r="B28" i="10" a="1"/>
  <c r="B28" i="10" s="1"/>
  <c r="C28" i="10" s="1"/>
  <c r="A29" i="10" a="1"/>
  <c r="A29" i="10" s="1"/>
  <c r="B29" i="10" a="1"/>
  <c r="B29" i="10" s="1"/>
  <c r="C29" i="10" s="1"/>
  <c r="A30" i="10" a="1"/>
  <c r="A30" i="10"/>
  <c r="B30" i="10" a="1"/>
  <c r="B30" i="10" s="1"/>
  <c r="C30" i="10" s="1"/>
  <c r="A31" i="10" a="1"/>
  <c r="A31" i="10" s="1"/>
  <c r="B31" i="10" a="1"/>
  <c r="B31" i="10"/>
  <c r="C31" i="10"/>
  <c r="A32" i="10" a="1"/>
  <c r="A32" i="10" s="1"/>
  <c r="B32" i="10" a="1"/>
  <c r="B32" i="10"/>
  <c r="C32" i="10" s="1"/>
  <c r="A33" i="10" a="1"/>
  <c r="A33" i="10"/>
  <c r="B33" i="10" a="1"/>
  <c r="B33" i="10" s="1"/>
  <c r="C33" i="10" s="1"/>
  <c r="A34" i="10" a="1"/>
  <c r="A34" i="10"/>
  <c r="B34" i="10" a="1"/>
  <c r="B34" i="10" s="1"/>
  <c r="C34" i="10" s="1"/>
  <c r="A35" i="10" a="1"/>
  <c r="A35" i="10" s="1"/>
  <c r="B35" i="10" a="1"/>
  <c r="B35" i="10"/>
  <c r="C35" i="10"/>
  <c r="A36" i="10" a="1"/>
  <c r="A36" i="10" s="1"/>
  <c r="B36" i="10" a="1"/>
  <c r="B36" i="10"/>
  <c r="C36" i="10" s="1"/>
  <c r="A37" i="10" a="1"/>
  <c r="A37" i="10"/>
  <c r="B37" i="10" a="1"/>
  <c r="B37" i="10" s="1"/>
  <c r="C37" i="10" s="1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Q64" i="3"/>
  <c r="Q63" i="3"/>
  <c r="Q62" i="3"/>
  <c r="Q61" i="3"/>
  <c r="O61" i="3" s="1"/>
  <c r="Q60" i="3"/>
  <c r="Q59" i="3"/>
  <c r="Q58" i="3"/>
  <c r="Q57" i="3"/>
  <c r="Q56" i="3"/>
  <c r="Q55" i="3"/>
  <c r="Q54" i="3"/>
  <c r="Q53" i="3"/>
  <c r="O53" i="3" s="1"/>
  <c r="Q52" i="3"/>
  <c r="Q51" i="3"/>
  <c r="Q50" i="3"/>
  <c r="Q49" i="3"/>
  <c r="Q48" i="3"/>
  <c r="Q47" i="3"/>
  <c r="Q46" i="3"/>
  <c r="Q45" i="3"/>
  <c r="O45" i="3" s="1"/>
  <c r="Q44" i="3"/>
  <c r="Q43" i="3"/>
  <c r="Q42" i="3"/>
  <c r="Q41" i="3"/>
  <c r="Q40" i="3"/>
  <c r="Q39" i="3"/>
  <c r="Q38" i="3"/>
  <c r="Q37" i="3"/>
  <c r="O37" i="3" s="1"/>
  <c r="Q36" i="3"/>
  <c r="Q35" i="3"/>
  <c r="Q34" i="3"/>
  <c r="Q33" i="3"/>
  <c r="Q32" i="3"/>
  <c r="Q31" i="3"/>
  <c r="Q30" i="3"/>
  <c r="Q29" i="3"/>
  <c r="O29" i="3" s="1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E7" i="18"/>
  <c r="F6" i="17"/>
  <c r="E6" i="17"/>
  <c r="D6" i="17"/>
  <c r="C6" i="17"/>
  <c r="B6" i="17"/>
  <c r="H6" i="17" s="1"/>
  <c r="F5" i="17"/>
  <c r="E5" i="17"/>
  <c r="D5" i="17"/>
  <c r="C5" i="17"/>
  <c r="G5" i="17" s="1"/>
  <c r="B5" i="17"/>
  <c r="H5" i="17" s="1"/>
  <c r="G34" i="16"/>
  <c r="F34" i="16"/>
  <c r="E34" i="16"/>
  <c r="D34" i="16"/>
  <c r="C34" i="16"/>
  <c r="A34" i="16"/>
  <c r="G33" i="16"/>
  <c r="F33" i="16"/>
  <c r="E33" i="16"/>
  <c r="D33" i="16"/>
  <c r="C33" i="16"/>
  <c r="A33" i="16"/>
  <c r="G32" i="16"/>
  <c r="F32" i="16"/>
  <c r="E32" i="16"/>
  <c r="D32" i="16"/>
  <c r="C32" i="16"/>
  <c r="A32" i="16"/>
  <c r="G31" i="16"/>
  <c r="F31" i="16"/>
  <c r="E31" i="16"/>
  <c r="D31" i="16"/>
  <c r="C31" i="16"/>
  <c r="A31" i="16"/>
  <c r="G30" i="16"/>
  <c r="F30" i="16"/>
  <c r="E30" i="16"/>
  <c r="D30" i="16"/>
  <c r="C30" i="16"/>
  <c r="A30" i="16"/>
  <c r="G29" i="16"/>
  <c r="F29" i="16"/>
  <c r="E29" i="16"/>
  <c r="D29" i="16"/>
  <c r="C29" i="16"/>
  <c r="A29" i="16"/>
  <c r="G28" i="16"/>
  <c r="F28" i="16"/>
  <c r="E28" i="16"/>
  <c r="D28" i="16"/>
  <c r="C28" i="16"/>
  <c r="A28" i="16"/>
  <c r="G27" i="16"/>
  <c r="F27" i="16"/>
  <c r="E27" i="16"/>
  <c r="D27" i="16"/>
  <c r="C27" i="16"/>
  <c r="A27" i="16"/>
  <c r="G26" i="16"/>
  <c r="F26" i="16"/>
  <c r="E26" i="16"/>
  <c r="D26" i="16"/>
  <c r="C26" i="16"/>
  <c r="A26" i="16"/>
  <c r="G25" i="16"/>
  <c r="F25" i="16"/>
  <c r="E25" i="16"/>
  <c r="D25" i="16"/>
  <c r="C25" i="16"/>
  <c r="A25" i="16"/>
  <c r="G24" i="16"/>
  <c r="F24" i="16"/>
  <c r="E24" i="16"/>
  <c r="D24" i="16"/>
  <c r="C24" i="16"/>
  <c r="A24" i="16"/>
  <c r="G23" i="16"/>
  <c r="F23" i="16"/>
  <c r="E23" i="16"/>
  <c r="D23" i="16"/>
  <c r="C23" i="16"/>
  <c r="A23" i="16"/>
  <c r="G22" i="16"/>
  <c r="F22" i="16"/>
  <c r="E22" i="16"/>
  <c r="D22" i="16"/>
  <c r="C22" i="16"/>
  <c r="A22" i="16"/>
  <c r="G21" i="16"/>
  <c r="F21" i="16"/>
  <c r="E21" i="16"/>
  <c r="D21" i="16"/>
  <c r="C21" i="16"/>
  <c r="A21" i="16"/>
  <c r="G20" i="16"/>
  <c r="F20" i="16"/>
  <c r="E20" i="16"/>
  <c r="D20" i="16"/>
  <c r="C20" i="16"/>
  <c r="A20" i="16"/>
  <c r="G19" i="16"/>
  <c r="F19" i="16"/>
  <c r="E19" i="16"/>
  <c r="D19" i="16"/>
  <c r="C19" i="16"/>
  <c r="A19" i="16"/>
  <c r="G18" i="16"/>
  <c r="F18" i="16"/>
  <c r="E18" i="16"/>
  <c r="D18" i="16"/>
  <c r="C18" i="16"/>
  <c r="A18" i="16"/>
  <c r="G17" i="16"/>
  <c r="F17" i="16"/>
  <c r="E17" i="16"/>
  <c r="D17" i="16"/>
  <c r="C17" i="16"/>
  <c r="A17" i="16"/>
  <c r="G16" i="16"/>
  <c r="F16" i="16"/>
  <c r="E16" i="16"/>
  <c r="D16" i="16"/>
  <c r="C16" i="16"/>
  <c r="A16" i="16"/>
  <c r="G15" i="16"/>
  <c r="F15" i="16"/>
  <c r="E15" i="16"/>
  <c r="D15" i="16"/>
  <c r="C15" i="16"/>
  <c r="A15" i="16"/>
  <c r="G14" i="16"/>
  <c r="F14" i="16"/>
  <c r="E14" i="16"/>
  <c r="D14" i="16"/>
  <c r="C14" i="16"/>
  <c r="A14" i="16"/>
  <c r="G13" i="16"/>
  <c r="F13" i="16"/>
  <c r="E13" i="16"/>
  <c r="D13" i="16"/>
  <c r="C13" i="16"/>
  <c r="A13" i="16"/>
  <c r="G12" i="16"/>
  <c r="F12" i="16"/>
  <c r="E12" i="16"/>
  <c r="D12" i="16"/>
  <c r="C12" i="16"/>
  <c r="A12" i="16"/>
  <c r="G11" i="16"/>
  <c r="F11" i="16"/>
  <c r="E11" i="16"/>
  <c r="D11" i="16"/>
  <c r="C11" i="16"/>
  <c r="A11" i="16"/>
  <c r="G10" i="16"/>
  <c r="F10" i="16"/>
  <c r="E10" i="16"/>
  <c r="D10" i="16"/>
  <c r="C10" i="16"/>
  <c r="A10" i="16"/>
  <c r="G9" i="16"/>
  <c r="F9" i="16"/>
  <c r="E9" i="16"/>
  <c r="D9" i="16"/>
  <c r="C9" i="16"/>
  <c r="A9" i="16"/>
  <c r="G8" i="16"/>
  <c r="F8" i="16"/>
  <c r="E8" i="16"/>
  <c r="D8" i="16"/>
  <c r="C8" i="16"/>
  <c r="A8" i="16"/>
  <c r="G7" i="16"/>
  <c r="F7" i="16"/>
  <c r="E7" i="16"/>
  <c r="D7" i="16"/>
  <c r="C7" i="16"/>
  <c r="A7" i="16"/>
  <c r="G6" i="16"/>
  <c r="F6" i="16"/>
  <c r="E6" i="16"/>
  <c r="D6" i="16"/>
  <c r="C6" i="16"/>
  <c r="A6" i="16"/>
  <c r="G5" i="16"/>
  <c r="F5" i="16"/>
  <c r="E5" i="16"/>
  <c r="D5" i="16"/>
  <c r="C5" i="16"/>
  <c r="A5" i="16"/>
  <c r="H9" i="15"/>
  <c r="F9" i="15"/>
  <c r="I9" i="15" s="1"/>
  <c r="E9" i="15"/>
  <c r="D9" i="15"/>
  <c r="C9" i="15"/>
  <c r="B9" i="15"/>
  <c r="I8" i="15"/>
  <c r="H8" i="15"/>
  <c r="F8" i="15"/>
  <c r="E8" i="15"/>
  <c r="D8" i="15"/>
  <c r="C8" i="15"/>
  <c r="B8" i="15"/>
  <c r="I7" i="15"/>
  <c r="H7" i="15"/>
  <c r="F7" i="15"/>
  <c r="E7" i="15"/>
  <c r="D7" i="15"/>
  <c r="C7" i="15"/>
  <c r="B7" i="15"/>
  <c r="I6" i="15"/>
  <c r="H6" i="15"/>
  <c r="F6" i="15"/>
  <c r="E6" i="15"/>
  <c r="D6" i="15"/>
  <c r="C6" i="15"/>
  <c r="B6" i="15"/>
  <c r="I5" i="15"/>
  <c r="C16" i="15" s="1"/>
  <c r="H5" i="15"/>
  <c r="C15" i="15" s="1"/>
  <c r="F5" i="15"/>
  <c r="E5" i="15"/>
  <c r="C13" i="15" s="1"/>
  <c r="D5" i="15"/>
  <c r="C5" i="15"/>
  <c r="B5" i="15"/>
  <c r="D24" i="14"/>
  <c r="I24" i="14" s="1"/>
  <c r="C24" i="14"/>
  <c r="B24" i="14"/>
  <c r="K24" i="14" s="1"/>
  <c r="A24" i="14"/>
  <c r="D23" i="14"/>
  <c r="B23" i="14"/>
  <c r="K23" i="14" s="1"/>
  <c r="A23" i="14"/>
  <c r="D22" i="14"/>
  <c r="C22" i="14"/>
  <c r="B22" i="14"/>
  <c r="K22" i="14" s="1"/>
  <c r="A22" i="14"/>
  <c r="D21" i="14"/>
  <c r="I21" i="14" s="1"/>
  <c r="B21" i="14"/>
  <c r="K21" i="14" s="1"/>
  <c r="A21" i="14"/>
  <c r="D20" i="14"/>
  <c r="I20" i="14" s="1"/>
  <c r="C20" i="14"/>
  <c r="B20" i="14"/>
  <c r="K20" i="14" s="1"/>
  <c r="A20" i="14"/>
  <c r="D19" i="14"/>
  <c r="B19" i="14"/>
  <c r="K19" i="14" s="1"/>
  <c r="A19" i="14"/>
  <c r="D18" i="14"/>
  <c r="I18" i="14" s="1"/>
  <c r="C18" i="14"/>
  <c r="B18" i="14"/>
  <c r="K18" i="14" s="1"/>
  <c r="A18" i="14"/>
  <c r="D17" i="14"/>
  <c r="I17" i="14" s="1"/>
  <c r="B17" i="14"/>
  <c r="K17" i="14" s="1"/>
  <c r="A17" i="14"/>
  <c r="D16" i="14"/>
  <c r="I16" i="14" s="1"/>
  <c r="C16" i="14"/>
  <c r="B16" i="14"/>
  <c r="K16" i="14" s="1"/>
  <c r="A16" i="14"/>
  <c r="D15" i="14"/>
  <c r="B15" i="14"/>
  <c r="K15" i="14" s="1"/>
  <c r="A15" i="14"/>
  <c r="D14" i="14"/>
  <c r="C14" i="14"/>
  <c r="B14" i="14"/>
  <c r="K14" i="14" s="1"/>
  <c r="A14" i="14"/>
  <c r="D13" i="14"/>
  <c r="I13" i="14" s="1"/>
  <c r="B13" i="14"/>
  <c r="K13" i="14" s="1"/>
  <c r="A13" i="14"/>
  <c r="D12" i="14"/>
  <c r="I12" i="14" s="1"/>
  <c r="C12" i="14"/>
  <c r="B12" i="14"/>
  <c r="K12" i="14" s="1"/>
  <c r="A12" i="14"/>
  <c r="D11" i="14"/>
  <c r="I11" i="14" s="1"/>
  <c r="B11" i="14"/>
  <c r="K11" i="14" s="1"/>
  <c r="A11" i="14"/>
  <c r="D10" i="14"/>
  <c r="C10" i="14"/>
  <c r="B10" i="14"/>
  <c r="K10" i="14" s="1"/>
  <c r="A10" i="14"/>
  <c r="D9" i="14"/>
  <c r="B9" i="14"/>
  <c r="K9" i="14" s="1"/>
  <c r="A9" i="14"/>
  <c r="D8" i="14"/>
  <c r="I8" i="14" s="1"/>
  <c r="C8" i="14"/>
  <c r="B8" i="14"/>
  <c r="K8" i="14" s="1"/>
  <c r="A8" i="14"/>
  <c r="D7" i="14"/>
  <c r="B7" i="14"/>
  <c r="K7" i="14" s="1"/>
  <c r="A7" i="14"/>
  <c r="D6" i="14"/>
  <c r="C6" i="14"/>
  <c r="B6" i="14"/>
  <c r="K6" i="14" s="1"/>
  <c r="A6" i="14"/>
  <c r="D5" i="14"/>
  <c r="I5" i="14" s="1"/>
  <c r="B5" i="14"/>
  <c r="K5" i="14" s="1"/>
  <c r="A5" i="14"/>
  <c r="D6" i="13"/>
  <c r="E27" i="11"/>
  <c r="F27" i="11" s="1"/>
  <c r="F26" i="11"/>
  <c r="E26" i="11"/>
  <c r="F25" i="11"/>
  <c r="E25" i="11"/>
  <c r="F24" i="11"/>
  <c r="E24" i="11"/>
  <c r="E23" i="11"/>
  <c r="F23" i="11" s="1"/>
  <c r="E22" i="11"/>
  <c r="F22" i="11" s="1"/>
  <c r="F15" i="11"/>
  <c r="E15" i="11"/>
  <c r="F10" i="11"/>
  <c r="E10" i="11"/>
  <c r="F9" i="11"/>
  <c r="E9" i="11"/>
  <c r="F8" i="11"/>
  <c r="E8" i="11"/>
  <c r="E7" i="11"/>
  <c r="F7" i="11" s="1"/>
  <c r="F6" i="11"/>
  <c r="E6" i="11"/>
  <c r="E5" i="11"/>
  <c r="F5" i="11" s="1"/>
  <c r="C23" i="10"/>
  <c r="B23" i="10"/>
  <c r="C22" i="10"/>
  <c r="B22" i="10"/>
  <c r="C21" i="10"/>
  <c r="B21" i="10"/>
  <c r="C20" i="10"/>
  <c r="B20" i="10"/>
  <c r="C19" i="10"/>
  <c r="B19" i="10"/>
  <c r="B12" i="10"/>
  <c r="D12" i="10" s="1"/>
  <c r="D10" i="10"/>
  <c r="B10" i="10"/>
  <c r="B9" i="10"/>
  <c r="D9" i="10" s="1"/>
  <c r="G14" i="8"/>
  <c r="F14" i="8"/>
  <c r="H14" i="8" s="1"/>
  <c r="E14" i="8"/>
  <c r="D14" i="8"/>
  <c r="C14" i="8"/>
  <c r="G13" i="8"/>
  <c r="D13" i="8"/>
  <c r="C13" i="8"/>
  <c r="G12" i="8"/>
  <c r="F12" i="8"/>
  <c r="H12" i="8" s="1"/>
  <c r="E12" i="8"/>
  <c r="D12" i="8"/>
  <c r="C12" i="8"/>
  <c r="G11" i="8"/>
  <c r="E11" i="8"/>
  <c r="D11" i="8"/>
  <c r="F11" i="8" s="1"/>
  <c r="H11" i="8" s="1"/>
  <c r="C11" i="8"/>
  <c r="G10" i="8"/>
  <c r="F10" i="8"/>
  <c r="H10" i="8" s="1"/>
  <c r="E10" i="8"/>
  <c r="D10" i="8"/>
  <c r="C10" i="8"/>
  <c r="G9" i="8"/>
  <c r="C9" i="8"/>
  <c r="G8" i="8"/>
  <c r="C8" i="8"/>
  <c r="G7" i="8"/>
  <c r="C7" i="8"/>
  <c r="G6" i="8"/>
  <c r="C6" i="8"/>
  <c r="G5" i="8"/>
  <c r="C5" i="8"/>
  <c r="R56" i="7"/>
  <c r="Q56" i="7"/>
  <c r="P56" i="7"/>
  <c r="O56" i="7"/>
  <c r="N56" i="7"/>
  <c r="R55" i="7"/>
  <c r="Q55" i="7"/>
  <c r="P55" i="7"/>
  <c r="O55" i="7"/>
  <c r="N55" i="7"/>
  <c r="R54" i="7"/>
  <c r="Q54" i="7"/>
  <c r="P54" i="7"/>
  <c r="O54" i="7"/>
  <c r="N54" i="7"/>
  <c r="R53" i="7"/>
  <c r="Q53" i="7"/>
  <c r="P53" i="7"/>
  <c r="O53" i="7"/>
  <c r="N53" i="7"/>
  <c r="R52" i="7"/>
  <c r="Q52" i="7"/>
  <c r="P52" i="7"/>
  <c r="O52" i="7"/>
  <c r="N52" i="7"/>
  <c r="R51" i="7"/>
  <c r="Q51" i="7"/>
  <c r="P51" i="7"/>
  <c r="O51" i="7"/>
  <c r="N51" i="7"/>
  <c r="R50" i="7"/>
  <c r="Q50" i="7"/>
  <c r="P50" i="7"/>
  <c r="O50" i="7"/>
  <c r="N50" i="7"/>
  <c r="R49" i="7"/>
  <c r="Q49" i="7"/>
  <c r="P49" i="7"/>
  <c r="O49" i="7"/>
  <c r="N49" i="7"/>
  <c r="R48" i="7"/>
  <c r="Q48" i="7"/>
  <c r="P48" i="7"/>
  <c r="O48" i="7"/>
  <c r="N48" i="7"/>
  <c r="R47" i="7"/>
  <c r="Q47" i="7"/>
  <c r="P47" i="7"/>
  <c r="O47" i="7"/>
  <c r="N47" i="7"/>
  <c r="R46" i="7"/>
  <c r="Q46" i="7"/>
  <c r="P46" i="7"/>
  <c r="O46" i="7"/>
  <c r="N46" i="7"/>
  <c r="R45" i="7"/>
  <c r="Q45" i="7"/>
  <c r="P45" i="7"/>
  <c r="O45" i="7"/>
  <c r="N45" i="7"/>
  <c r="R44" i="7"/>
  <c r="Q44" i="7"/>
  <c r="P44" i="7"/>
  <c r="O44" i="7"/>
  <c r="N44" i="7"/>
  <c r="R43" i="7"/>
  <c r="Q43" i="7"/>
  <c r="P43" i="7"/>
  <c r="O43" i="7"/>
  <c r="N43" i="7"/>
  <c r="R42" i="7"/>
  <c r="Q42" i="7"/>
  <c r="P42" i="7"/>
  <c r="O42" i="7"/>
  <c r="N42" i="7"/>
  <c r="R41" i="7"/>
  <c r="Q41" i="7"/>
  <c r="P41" i="7"/>
  <c r="O41" i="7"/>
  <c r="N41" i="7"/>
  <c r="R40" i="7"/>
  <c r="Q40" i="7"/>
  <c r="P40" i="7"/>
  <c r="O40" i="7"/>
  <c r="N40" i="7"/>
  <c r="R39" i="7"/>
  <c r="Q39" i="7"/>
  <c r="P39" i="7"/>
  <c r="O39" i="7"/>
  <c r="N39" i="7"/>
  <c r="R38" i="7"/>
  <c r="Q38" i="7"/>
  <c r="P38" i="7"/>
  <c r="O38" i="7"/>
  <c r="N38" i="7"/>
  <c r="R37" i="7"/>
  <c r="Q37" i="7"/>
  <c r="P37" i="7"/>
  <c r="O37" i="7"/>
  <c r="N37" i="7"/>
  <c r="R36" i="7"/>
  <c r="Q36" i="7"/>
  <c r="P36" i="7"/>
  <c r="O36" i="7"/>
  <c r="N36" i="7"/>
  <c r="R35" i="7"/>
  <c r="Q35" i="7"/>
  <c r="P35" i="7"/>
  <c r="O35" i="7"/>
  <c r="N35" i="7"/>
  <c r="R34" i="7"/>
  <c r="Q34" i="7"/>
  <c r="P34" i="7"/>
  <c r="O34" i="7"/>
  <c r="N34" i="7"/>
  <c r="R33" i="7"/>
  <c r="Q33" i="7"/>
  <c r="P33" i="7"/>
  <c r="O33" i="7"/>
  <c r="N33" i="7"/>
  <c r="R32" i="7"/>
  <c r="Q32" i="7"/>
  <c r="P32" i="7"/>
  <c r="O32" i="7"/>
  <c r="N32" i="7"/>
  <c r="R31" i="7"/>
  <c r="Q31" i="7"/>
  <c r="P31" i="7"/>
  <c r="O31" i="7"/>
  <c r="N31" i="7"/>
  <c r="R30" i="7"/>
  <c r="Q30" i="7"/>
  <c r="P30" i="7"/>
  <c r="O30" i="7"/>
  <c r="N30" i="7"/>
  <c r="R29" i="7"/>
  <c r="Q29" i="7"/>
  <c r="P29" i="7"/>
  <c r="O29" i="7"/>
  <c r="N29" i="7"/>
  <c r="R28" i="7"/>
  <c r="Q28" i="7"/>
  <c r="P28" i="7"/>
  <c r="O28" i="7"/>
  <c r="N28" i="7"/>
  <c r="R27" i="7"/>
  <c r="Q27" i="7"/>
  <c r="P27" i="7"/>
  <c r="O27" i="7"/>
  <c r="N27" i="7"/>
  <c r="R26" i="7"/>
  <c r="Q26" i="7"/>
  <c r="P26" i="7"/>
  <c r="O26" i="7"/>
  <c r="N26" i="7"/>
  <c r="R25" i="7"/>
  <c r="Q25" i="7"/>
  <c r="P25" i="7"/>
  <c r="O25" i="7"/>
  <c r="N25" i="7"/>
  <c r="R24" i="7"/>
  <c r="Q24" i="7"/>
  <c r="P24" i="7"/>
  <c r="O24" i="7"/>
  <c r="N24" i="7"/>
  <c r="R23" i="7"/>
  <c r="Q23" i="7"/>
  <c r="P23" i="7"/>
  <c r="O23" i="7"/>
  <c r="N23" i="7"/>
  <c r="R22" i="7"/>
  <c r="Q22" i="7"/>
  <c r="P22" i="7"/>
  <c r="O22" i="7"/>
  <c r="N22" i="7"/>
  <c r="R21" i="7"/>
  <c r="Q21" i="7"/>
  <c r="P21" i="7"/>
  <c r="O21" i="7"/>
  <c r="N21" i="7"/>
  <c r="R20" i="7"/>
  <c r="Q20" i="7"/>
  <c r="P20" i="7"/>
  <c r="O20" i="7"/>
  <c r="N20" i="7"/>
  <c r="R19" i="7"/>
  <c r="Q19" i="7"/>
  <c r="P19" i="7"/>
  <c r="O19" i="7"/>
  <c r="N19" i="7"/>
  <c r="R18" i="7"/>
  <c r="Q18" i="7"/>
  <c r="P18" i="7"/>
  <c r="O18" i="7"/>
  <c r="N18" i="7"/>
  <c r="R17" i="7"/>
  <c r="Q17" i="7"/>
  <c r="P17" i="7"/>
  <c r="O17" i="7"/>
  <c r="N17" i="7"/>
  <c r="R16" i="7"/>
  <c r="Q16" i="7"/>
  <c r="P16" i="7"/>
  <c r="O16" i="7"/>
  <c r="N16" i="7"/>
  <c r="R15" i="7"/>
  <c r="Q15" i="7"/>
  <c r="P15" i="7"/>
  <c r="O15" i="7"/>
  <c r="N15" i="7"/>
  <c r="D9" i="8" s="1"/>
  <c r="R14" i="7"/>
  <c r="Q14" i="7"/>
  <c r="P14" i="7"/>
  <c r="O14" i="7"/>
  <c r="N14" i="7"/>
  <c r="R13" i="7"/>
  <c r="Q13" i="7"/>
  <c r="P13" i="7"/>
  <c r="O13" i="7"/>
  <c r="N13" i="7"/>
  <c r="R12" i="7"/>
  <c r="Q12" i="7"/>
  <c r="P12" i="7"/>
  <c r="O12" i="7"/>
  <c r="N12" i="7"/>
  <c r="R11" i="7"/>
  <c r="Q11" i="7"/>
  <c r="P11" i="7"/>
  <c r="O11" i="7"/>
  <c r="N11" i="7"/>
  <c r="R10" i="7"/>
  <c r="Q10" i="7"/>
  <c r="P10" i="7"/>
  <c r="O10" i="7"/>
  <c r="N10" i="7"/>
  <c r="D8" i="8" s="1"/>
  <c r="R9" i="7"/>
  <c r="Q9" i="7"/>
  <c r="P9" i="7"/>
  <c r="O9" i="7"/>
  <c r="N9" i="7"/>
  <c r="R8" i="7"/>
  <c r="Q8" i="7"/>
  <c r="P8" i="7"/>
  <c r="O8" i="7"/>
  <c r="N8" i="7"/>
  <c r="R7" i="7"/>
  <c r="Q7" i="7"/>
  <c r="P7" i="7"/>
  <c r="O7" i="7"/>
  <c r="N7" i="7"/>
  <c r="R6" i="7"/>
  <c r="Q6" i="7"/>
  <c r="P6" i="7"/>
  <c r="O6" i="7"/>
  <c r="N6" i="7"/>
  <c r="D5" i="8" s="1"/>
  <c r="R5" i="7"/>
  <c r="Q5" i="7"/>
  <c r="P5" i="7"/>
  <c r="O5" i="7"/>
  <c r="N5" i="7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K310" i="5"/>
  <c r="J310" i="5"/>
  <c r="I310" i="5"/>
  <c r="H310" i="5"/>
  <c r="L310" i="5" s="1"/>
  <c r="L309" i="5"/>
  <c r="K309" i="5"/>
  <c r="J309" i="5"/>
  <c r="H309" i="5"/>
  <c r="I309" i="5" s="1"/>
  <c r="L308" i="5"/>
  <c r="K308" i="5"/>
  <c r="I308" i="5"/>
  <c r="H308" i="5"/>
  <c r="J308" i="5" s="1"/>
  <c r="L307" i="5"/>
  <c r="J307" i="5"/>
  <c r="I307" i="5"/>
  <c r="H307" i="5"/>
  <c r="K307" i="5" s="1"/>
  <c r="K306" i="5"/>
  <c r="J306" i="5"/>
  <c r="I306" i="5"/>
  <c r="H306" i="5"/>
  <c r="L306" i="5" s="1"/>
  <c r="L305" i="5"/>
  <c r="K305" i="5"/>
  <c r="J305" i="5"/>
  <c r="H305" i="5"/>
  <c r="I305" i="5" s="1"/>
  <c r="L304" i="5"/>
  <c r="K304" i="5"/>
  <c r="I304" i="5"/>
  <c r="H304" i="5"/>
  <c r="J304" i="5" s="1"/>
  <c r="L303" i="5"/>
  <c r="J303" i="5"/>
  <c r="I303" i="5"/>
  <c r="H303" i="5"/>
  <c r="K303" i="5" s="1"/>
  <c r="K302" i="5"/>
  <c r="J302" i="5"/>
  <c r="I302" i="5"/>
  <c r="H302" i="5"/>
  <c r="L302" i="5" s="1"/>
  <c r="L301" i="5"/>
  <c r="K301" i="5"/>
  <c r="J301" i="5"/>
  <c r="H301" i="5"/>
  <c r="I301" i="5" s="1"/>
  <c r="L300" i="5"/>
  <c r="K300" i="5"/>
  <c r="I300" i="5"/>
  <c r="H300" i="5"/>
  <c r="J300" i="5" s="1"/>
  <c r="L299" i="5"/>
  <c r="J299" i="5"/>
  <c r="I299" i="5"/>
  <c r="H299" i="5"/>
  <c r="K299" i="5" s="1"/>
  <c r="K298" i="5"/>
  <c r="J298" i="5"/>
  <c r="I298" i="5"/>
  <c r="H298" i="5"/>
  <c r="L298" i="5" s="1"/>
  <c r="L297" i="5"/>
  <c r="K297" i="5"/>
  <c r="J297" i="5"/>
  <c r="H297" i="5"/>
  <c r="I297" i="5" s="1"/>
  <c r="L296" i="5"/>
  <c r="K296" i="5"/>
  <c r="I296" i="5"/>
  <c r="H296" i="5"/>
  <c r="J296" i="5" s="1"/>
  <c r="L295" i="5"/>
  <c r="J295" i="5"/>
  <c r="I295" i="5"/>
  <c r="H295" i="5"/>
  <c r="K295" i="5" s="1"/>
  <c r="K294" i="5"/>
  <c r="J294" i="5"/>
  <c r="I294" i="5"/>
  <c r="H294" i="5"/>
  <c r="L294" i="5" s="1"/>
  <c r="L293" i="5"/>
  <c r="K293" i="5"/>
  <c r="J293" i="5"/>
  <c r="H293" i="5"/>
  <c r="I293" i="5" s="1"/>
  <c r="L292" i="5"/>
  <c r="K292" i="5"/>
  <c r="I292" i="5"/>
  <c r="H292" i="5"/>
  <c r="J292" i="5" s="1"/>
  <c r="L291" i="5"/>
  <c r="J291" i="5"/>
  <c r="I291" i="5"/>
  <c r="H291" i="5"/>
  <c r="K291" i="5" s="1"/>
  <c r="K290" i="5"/>
  <c r="J290" i="5"/>
  <c r="I290" i="5"/>
  <c r="H290" i="5"/>
  <c r="L290" i="5" s="1"/>
  <c r="L289" i="5"/>
  <c r="K289" i="5"/>
  <c r="J289" i="5"/>
  <c r="H289" i="5"/>
  <c r="I289" i="5" s="1"/>
  <c r="L288" i="5"/>
  <c r="K288" i="5"/>
  <c r="I288" i="5"/>
  <c r="H288" i="5"/>
  <c r="J288" i="5" s="1"/>
  <c r="L287" i="5"/>
  <c r="J287" i="5"/>
  <c r="I287" i="5"/>
  <c r="H287" i="5"/>
  <c r="K287" i="5" s="1"/>
  <c r="K286" i="5"/>
  <c r="J286" i="5"/>
  <c r="I286" i="5"/>
  <c r="H286" i="5"/>
  <c r="L286" i="5" s="1"/>
  <c r="H285" i="5"/>
  <c r="K284" i="5"/>
  <c r="I284" i="5"/>
  <c r="H284" i="5"/>
  <c r="J283" i="5"/>
  <c r="I283" i="5"/>
  <c r="H283" i="5"/>
  <c r="K282" i="5"/>
  <c r="J282" i="5"/>
  <c r="I282" i="5"/>
  <c r="H282" i="5"/>
  <c r="L282" i="5" s="1"/>
  <c r="H281" i="5"/>
  <c r="K280" i="5"/>
  <c r="H280" i="5"/>
  <c r="J279" i="5"/>
  <c r="I279" i="5"/>
  <c r="H279" i="5"/>
  <c r="K278" i="5"/>
  <c r="J278" i="5"/>
  <c r="I278" i="5"/>
  <c r="H278" i="5"/>
  <c r="L278" i="5" s="1"/>
  <c r="H277" i="5"/>
  <c r="K277" i="5" s="1"/>
  <c r="I276" i="5"/>
  <c r="H276" i="5"/>
  <c r="H275" i="5"/>
  <c r="K274" i="5"/>
  <c r="J274" i="5"/>
  <c r="I274" i="5"/>
  <c r="H274" i="5"/>
  <c r="L274" i="5" s="1"/>
  <c r="K273" i="5"/>
  <c r="J273" i="5"/>
  <c r="H273" i="5"/>
  <c r="K272" i="5"/>
  <c r="I272" i="5"/>
  <c r="H272" i="5"/>
  <c r="H271" i="5"/>
  <c r="K270" i="5"/>
  <c r="J270" i="5"/>
  <c r="I270" i="5"/>
  <c r="H270" i="5"/>
  <c r="L270" i="5" s="1"/>
  <c r="K269" i="5"/>
  <c r="H269" i="5"/>
  <c r="K268" i="5"/>
  <c r="I268" i="5"/>
  <c r="H268" i="5"/>
  <c r="H267" i="5"/>
  <c r="J267" i="5" s="1"/>
  <c r="K266" i="5"/>
  <c r="J266" i="5"/>
  <c r="I266" i="5"/>
  <c r="H266" i="5"/>
  <c r="L266" i="5" s="1"/>
  <c r="J265" i="5"/>
  <c r="H265" i="5"/>
  <c r="H264" i="5"/>
  <c r="J263" i="5"/>
  <c r="I263" i="5"/>
  <c r="H263" i="5"/>
  <c r="K262" i="5"/>
  <c r="J262" i="5"/>
  <c r="I262" i="5"/>
  <c r="H262" i="5"/>
  <c r="L262" i="5" s="1"/>
  <c r="K261" i="5"/>
  <c r="J261" i="5"/>
  <c r="H261" i="5"/>
  <c r="H260" i="5"/>
  <c r="J259" i="5"/>
  <c r="H259" i="5"/>
  <c r="K258" i="5"/>
  <c r="J258" i="5"/>
  <c r="I258" i="5"/>
  <c r="H258" i="5"/>
  <c r="L258" i="5" s="1"/>
  <c r="K257" i="5"/>
  <c r="J257" i="5"/>
  <c r="H257" i="5"/>
  <c r="H256" i="5"/>
  <c r="I255" i="5"/>
  <c r="H255" i="5"/>
  <c r="K254" i="5"/>
  <c r="J254" i="5"/>
  <c r="I254" i="5"/>
  <c r="H254" i="5"/>
  <c r="L254" i="5" s="1"/>
  <c r="H253" i="5"/>
  <c r="K252" i="5"/>
  <c r="I252" i="5"/>
  <c r="H252" i="5"/>
  <c r="J251" i="5"/>
  <c r="I251" i="5"/>
  <c r="H251" i="5"/>
  <c r="K250" i="5"/>
  <c r="J250" i="5"/>
  <c r="I250" i="5"/>
  <c r="H250" i="5"/>
  <c r="L250" i="5" s="1"/>
  <c r="H249" i="5"/>
  <c r="K248" i="5"/>
  <c r="H248" i="5"/>
  <c r="J247" i="5"/>
  <c r="I247" i="5"/>
  <c r="H247" i="5"/>
  <c r="K246" i="5"/>
  <c r="J246" i="5"/>
  <c r="I246" i="5"/>
  <c r="H246" i="5"/>
  <c r="L246" i="5" s="1"/>
  <c r="H245" i="5"/>
  <c r="I244" i="5"/>
  <c r="H244" i="5"/>
  <c r="K243" i="5"/>
  <c r="J243" i="5"/>
  <c r="I243" i="5"/>
  <c r="H243" i="5"/>
  <c r="L243" i="5" s="1"/>
  <c r="J242" i="5"/>
  <c r="H242" i="5"/>
  <c r="H241" i="5"/>
  <c r="L240" i="5"/>
  <c r="I240" i="5"/>
  <c r="H240" i="5"/>
  <c r="K239" i="5"/>
  <c r="J239" i="5"/>
  <c r="I239" i="5"/>
  <c r="H239" i="5"/>
  <c r="L239" i="5" s="1"/>
  <c r="L238" i="5"/>
  <c r="J238" i="5"/>
  <c r="H238" i="5"/>
  <c r="I237" i="5"/>
  <c r="H237" i="5"/>
  <c r="H236" i="5"/>
  <c r="K235" i="5"/>
  <c r="J235" i="5"/>
  <c r="I235" i="5"/>
  <c r="H235" i="5"/>
  <c r="L235" i="5" s="1"/>
  <c r="L234" i="5"/>
  <c r="J234" i="5"/>
  <c r="H234" i="5"/>
  <c r="L233" i="5"/>
  <c r="I233" i="5"/>
  <c r="H233" i="5"/>
  <c r="I232" i="5"/>
  <c r="H232" i="5"/>
  <c r="K231" i="5"/>
  <c r="J231" i="5"/>
  <c r="I231" i="5"/>
  <c r="H231" i="5"/>
  <c r="L231" i="5" s="1"/>
  <c r="H230" i="5"/>
  <c r="L229" i="5"/>
  <c r="I229" i="5"/>
  <c r="H229" i="5"/>
  <c r="L228" i="5"/>
  <c r="I228" i="5"/>
  <c r="H228" i="5"/>
  <c r="K227" i="5"/>
  <c r="J227" i="5"/>
  <c r="I227" i="5"/>
  <c r="H227" i="5"/>
  <c r="L227" i="5" s="1"/>
  <c r="J226" i="5"/>
  <c r="H226" i="5"/>
  <c r="H225" i="5"/>
  <c r="L224" i="5"/>
  <c r="I224" i="5"/>
  <c r="H224" i="5"/>
  <c r="K223" i="5"/>
  <c r="J223" i="5"/>
  <c r="I223" i="5"/>
  <c r="H223" i="5"/>
  <c r="L223" i="5" s="1"/>
  <c r="L222" i="5"/>
  <c r="J222" i="5"/>
  <c r="H222" i="5"/>
  <c r="H221" i="5"/>
  <c r="I221" i="5" s="1"/>
  <c r="H220" i="5"/>
  <c r="K219" i="5"/>
  <c r="J219" i="5"/>
  <c r="I219" i="5"/>
  <c r="H219" i="5"/>
  <c r="L219" i="5" s="1"/>
  <c r="L218" i="5"/>
  <c r="J218" i="5"/>
  <c r="H218" i="5"/>
  <c r="L217" i="5"/>
  <c r="I217" i="5"/>
  <c r="H217" i="5"/>
  <c r="H216" i="5"/>
  <c r="K215" i="5"/>
  <c r="J215" i="5"/>
  <c r="I215" i="5"/>
  <c r="H215" i="5"/>
  <c r="L215" i="5" s="1"/>
  <c r="H214" i="5"/>
  <c r="L213" i="5"/>
  <c r="I213" i="5"/>
  <c r="H213" i="5"/>
  <c r="L212" i="5"/>
  <c r="I212" i="5"/>
  <c r="H212" i="5"/>
  <c r="K211" i="5"/>
  <c r="J211" i="5"/>
  <c r="I211" i="5"/>
  <c r="H211" i="5"/>
  <c r="L211" i="5" s="1"/>
  <c r="H210" i="5"/>
  <c r="H209" i="5"/>
  <c r="L208" i="5"/>
  <c r="I208" i="5"/>
  <c r="H208" i="5"/>
  <c r="K207" i="5"/>
  <c r="J207" i="5"/>
  <c r="I207" i="5"/>
  <c r="H207" i="5"/>
  <c r="L207" i="5" s="1"/>
  <c r="L206" i="5"/>
  <c r="J206" i="5"/>
  <c r="H206" i="5"/>
  <c r="I205" i="5"/>
  <c r="H205" i="5"/>
  <c r="H204" i="5"/>
  <c r="K203" i="5"/>
  <c r="J203" i="5"/>
  <c r="I203" i="5"/>
  <c r="H203" i="5"/>
  <c r="L203" i="5" s="1"/>
  <c r="L202" i="5"/>
  <c r="J202" i="5"/>
  <c r="H202" i="5"/>
  <c r="L201" i="5"/>
  <c r="I201" i="5"/>
  <c r="H201" i="5"/>
  <c r="H200" i="5"/>
  <c r="I200" i="5" s="1"/>
  <c r="K199" i="5"/>
  <c r="J199" i="5"/>
  <c r="I199" i="5"/>
  <c r="H199" i="5"/>
  <c r="L199" i="5" s="1"/>
  <c r="H198" i="5"/>
  <c r="L197" i="5"/>
  <c r="I197" i="5"/>
  <c r="H197" i="5"/>
  <c r="L196" i="5"/>
  <c r="I196" i="5"/>
  <c r="H196" i="5"/>
  <c r="K195" i="5"/>
  <c r="J195" i="5"/>
  <c r="I195" i="5"/>
  <c r="H195" i="5"/>
  <c r="L195" i="5" s="1"/>
  <c r="H194" i="5"/>
  <c r="H193" i="5"/>
  <c r="L192" i="5"/>
  <c r="I192" i="5"/>
  <c r="H192" i="5"/>
  <c r="K191" i="5"/>
  <c r="J191" i="5"/>
  <c r="I191" i="5"/>
  <c r="H191" i="5"/>
  <c r="L191" i="5" s="1"/>
  <c r="L190" i="5"/>
  <c r="J190" i="5"/>
  <c r="H190" i="5"/>
  <c r="H189" i="5"/>
  <c r="H188" i="5"/>
  <c r="K187" i="5"/>
  <c r="J187" i="5"/>
  <c r="I187" i="5"/>
  <c r="H187" i="5"/>
  <c r="L187" i="5" s="1"/>
  <c r="L186" i="5"/>
  <c r="J186" i="5"/>
  <c r="H186" i="5"/>
  <c r="L185" i="5"/>
  <c r="I185" i="5"/>
  <c r="H185" i="5"/>
  <c r="I184" i="5"/>
  <c r="H184" i="5"/>
  <c r="K183" i="5"/>
  <c r="J183" i="5"/>
  <c r="I183" i="5"/>
  <c r="H183" i="5"/>
  <c r="L183" i="5" s="1"/>
  <c r="H182" i="5"/>
  <c r="L181" i="5"/>
  <c r="I181" i="5"/>
  <c r="H181" i="5"/>
  <c r="L180" i="5"/>
  <c r="I180" i="5"/>
  <c r="H180" i="5"/>
  <c r="K179" i="5"/>
  <c r="J179" i="5"/>
  <c r="I179" i="5"/>
  <c r="H179" i="5"/>
  <c r="L179" i="5" s="1"/>
  <c r="H178" i="5"/>
  <c r="J178" i="5" s="1"/>
  <c r="H177" i="5"/>
  <c r="L176" i="5"/>
  <c r="I176" i="5"/>
  <c r="H176" i="5"/>
  <c r="K175" i="5"/>
  <c r="J175" i="5"/>
  <c r="I175" i="5"/>
  <c r="H175" i="5"/>
  <c r="L175" i="5" s="1"/>
  <c r="L174" i="5"/>
  <c r="J174" i="5"/>
  <c r="H174" i="5"/>
  <c r="H173" i="5"/>
  <c r="H172" i="5"/>
  <c r="K171" i="5"/>
  <c r="J171" i="5"/>
  <c r="I171" i="5"/>
  <c r="H171" i="5"/>
  <c r="L171" i="5" s="1"/>
  <c r="L170" i="5"/>
  <c r="J170" i="5"/>
  <c r="H170" i="5"/>
  <c r="L169" i="5"/>
  <c r="I169" i="5"/>
  <c r="H169" i="5"/>
  <c r="H168" i="5"/>
  <c r="K167" i="5"/>
  <c r="J167" i="5"/>
  <c r="I167" i="5"/>
  <c r="H167" i="5"/>
  <c r="L167" i="5" s="1"/>
  <c r="H166" i="5"/>
  <c r="L165" i="5"/>
  <c r="I165" i="5"/>
  <c r="H165" i="5"/>
  <c r="L164" i="5"/>
  <c r="I164" i="5"/>
  <c r="H164" i="5"/>
  <c r="K163" i="5"/>
  <c r="J163" i="5"/>
  <c r="I163" i="5"/>
  <c r="H163" i="5"/>
  <c r="L163" i="5" s="1"/>
  <c r="J162" i="5"/>
  <c r="H162" i="5"/>
  <c r="H161" i="5"/>
  <c r="H160" i="5"/>
  <c r="K159" i="5"/>
  <c r="J159" i="5"/>
  <c r="I159" i="5"/>
  <c r="H159" i="5"/>
  <c r="L159" i="5" s="1"/>
  <c r="H158" i="5"/>
  <c r="L158" i="5" s="1"/>
  <c r="H157" i="5"/>
  <c r="H156" i="5"/>
  <c r="L156" i="5" s="1"/>
  <c r="K155" i="5"/>
  <c r="J155" i="5"/>
  <c r="I155" i="5"/>
  <c r="H155" i="5"/>
  <c r="L155" i="5" s="1"/>
  <c r="L154" i="5"/>
  <c r="H154" i="5"/>
  <c r="H153" i="5"/>
  <c r="L153" i="5" s="1"/>
  <c r="L152" i="5"/>
  <c r="H152" i="5"/>
  <c r="K151" i="5"/>
  <c r="J151" i="5"/>
  <c r="I151" i="5"/>
  <c r="H151" i="5"/>
  <c r="L151" i="5" s="1"/>
  <c r="H150" i="5"/>
  <c r="L150" i="5" s="1"/>
  <c r="L149" i="5"/>
  <c r="H149" i="5"/>
  <c r="H148" i="5"/>
  <c r="L148" i="5" s="1"/>
  <c r="K147" i="5"/>
  <c r="J147" i="5"/>
  <c r="I147" i="5"/>
  <c r="H147" i="5"/>
  <c r="L147" i="5" s="1"/>
  <c r="L146" i="5"/>
  <c r="H146" i="5"/>
  <c r="H145" i="5"/>
  <c r="L145" i="5" s="1"/>
  <c r="L144" i="5"/>
  <c r="H144" i="5"/>
  <c r="K143" i="5"/>
  <c r="J143" i="5"/>
  <c r="I143" i="5"/>
  <c r="H143" i="5"/>
  <c r="L143" i="5" s="1"/>
  <c r="H142" i="5"/>
  <c r="L142" i="5" s="1"/>
  <c r="L141" i="5"/>
  <c r="H141" i="5"/>
  <c r="H140" i="5"/>
  <c r="L140" i="5" s="1"/>
  <c r="K139" i="5"/>
  <c r="J139" i="5"/>
  <c r="I139" i="5"/>
  <c r="H139" i="5"/>
  <c r="L139" i="5" s="1"/>
  <c r="L138" i="5"/>
  <c r="H138" i="5"/>
  <c r="H137" i="5"/>
  <c r="L137" i="5" s="1"/>
  <c r="L136" i="5"/>
  <c r="H136" i="5"/>
  <c r="K135" i="5"/>
  <c r="J135" i="5"/>
  <c r="I135" i="5"/>
  <c r="H135" i="5"/>
  <c r="L135" i="5" s="1"/>
  <c r="H134" i="5"/>
  <c r="L134" i="5" s="1"/>
  <c r="L133" i="5"/>
  <c r="H133" i="5"/>
  <c r="H132" i="5"/>
  <c r="L132" i="5" s="1"/>
  <c r="K131" i="5"/>
  <c r="J131" i="5"/>
  <c r="I131" i="5"/>
  <c r="H131" i="5"/>
  <c r="L131" i="5" s="1"/>
  <c r="L130" i="5"/>
  <c r="H130" i="5"/>
  <c r="H129" i="5"/>
  <c r="L129" i="5" s="1"/>
  <c r="L128" i="5"/>
  <c r="H128" i="5"/>
  <c r="K127" i="5"/>
  <c r="J127" i="5"/>
  <c r="I127" i="5"/>
  <c r="H127" i="5"/>
  <c r="L127" i="5" s="1"/>
  <c r="H126" i="5"/>
  <c r="L126" i="5" s="1"/>
  <c r="L125" i="5"/>
  <c r="H125" i="5"/>
  <c r="H124" i="5"/>
  <c r="L124" i="5" s="1"/>
  <c r="L123" i="5"/>
  <c r="I123" i="5"/>
  <c r="H123" i="5"/>
  <c r="J122" i="5"/>
  <c r="I122" i="5"/>
  <c r="H122" i="5"/>
  <c r="K122" i="5" s="1"/>
  <c r="K121" i="5"/>
  <c r="J121" i="5"/>
  <c r="I121" i="5"/>
  <c r="H121" i="5"/>
  <c r="L121" i="5" s="1"/>
  <c r="H120" i="5"/>
  <c r="L120" i="5" s="1"/>
  <c r="L119" i="5"/>
  <c r="H119" i="5"/>
  <c r="I119" i="5" s="1"/>
  <c r="J118" i="5"/>
  <c r="I118" i="5"/>
  <c r="H118" i="5"/>
  <c r="K118" i="5" s="1"/>
  <c r="K117" i="5"/>
  <c r="J117" i="5"/>
  <c r="I117" i="5"/>
  <c r="H117" i="5"/>
  <c r="L117" i="5" s="1"/>
  <c r="K116" i="5"/>
  <c r="H116" i="5"/>
  <c r="H115" i="5"/>
  <c r="L115" i="5" s="1"/>
  <c r="J114" i="5"/>
  <c r="I114" i="5"/>
  <c r="H114" i="5"/>
  <c r="K114" i="5" s="1"/>
  <c r="K113" i="5"/>
  <c r="J113" i="5"/>
  <c r="I113" i="5"/>
  <c r="H113" i="5"/>
  <c r="L113" i="5" s="1"/>
  <c r="L112" i="5"/>
  <c r="K112" i="5"/>
  <c r="H112" i="5"/>
  <c r="I111" i="5"/>
  <c r="H111" i="5"/>
  <c r="J110" i="5"/>
  <c r="I110" i="5"/>
  <c r="H110" i="5"/>
  <c r="K110" i="5" s="1"/>
  <c r="K109" i="5"/>
  <c r="J109" i="5"/>
  <c r="I109" i="5"/>
  <c r="H109" i="5"/>
  <c r="L109" i="5" s="1"/>
  <c r="L108" i="5"/>
  <c r="H108" i="5"/>
  <c r="K108" i="5" s="1"/>
  <c r="L107" i="5"/>
  <c r="I107" i="5"/>
  <c r="H107" i="5"/>
  <c r="J106" i="5"/>
  <c r="I106" i="5"/>
  <c r="H106" i="5"/>
  <c r="K106" i="5" s="1"/>
  <c r="K105" i="5"/>
  <c r="J105" i="5"/>
  <c r="I105" i="5"/>
  <c r="H105" i="5"/>
  <c r="L105" i="5" s="1"/>
  <c r="H104" i="5"/>
  <c r="L104" i="5" s="1"/>
  <c r="L103" i="5"/>
  <c r="H103" i="5"/>
  <c r="I103" i="5" s="1"/>
  <c r="J102" i="5"/>
  <c r="I102" i="5"/>
  <c r="H102" i="5"/>
  <c r="K102" i="5" s="1"/>
  <c r="K101" i="5"/>
  <c r="J101" i="5"/>
  <c r="I101" i="5"/>
  <c r="H101" i="5"/>
  <c r="L101" i="5" s="1"/>
  <c r="H100" i="5"/>
  <c r="H99" i="5"/>
  <c r="L99" i="5" s="1"/>
  <c r="J98" i="5"/>
  <c r="I98" i="5"/>
  <c r="H98" i="5"/>
  <c r="K98" i="5" s="1"/>
  <c r="K97" i="5"/>
  <c r="J97" i="5"/>
  <c r="I97" i="5"/>
  <c r="H97" i="5"/>
  <c r="L97" i="5" s="1"/>
  <c r="L96" i="5"/>
  <c r="K96" i="5"/>
  <c r="H96" i="5"/>
  <c r="I95" i="5"/>
  <c r="H95" i="5"/>
  <c r="J94" i="5"/>
  <c r="I94" i="5"/>
  <c r="H94" i="5"/>
  <c r="K94" i="5" s="1"/>
  <c r="K93" i="5"/>
  <c r="J93" i="5"/>
  <c r="I93" i="5"/>
  <c r="H93" i="5"/>
  <c r="L93" i="5" s="1"/>
  <c r="L92" i="5"/>
  <c r="H92" i="5"/>
  <c r="K92" i="5" s="1"/>
  <c r="L91" i="5"/>
  <c r="I91" i="5"/>
  <c r="H91" i="5"/>
  <c r="J90" i="5"/>
  <c r="I90" i="5"/>
  <c r="H90" i="5"/>
  <c r="K90" i="5" s="1"/>
  <c r="K89" i="5"/>
  <c r="J89" i="5"/>
  <c r="I89" i="5"/>
  <c r="H89" i="5"/>
  <c r="L89" i="5" s="1"/>
  <c r="H88" i="5"/>
  <c r="L88" i="5" s="1"/>
  <c r="L87" i="5"/>
  <c r="I87" i="5"/>
  <c r="H87" i="5"/>
  <c r="J86" i="5"/>
  <c r="I86" i="5"/>
  <c r="H86" i="5"/>
  <c r="K86" i="5" s="1"/>
  <c r="K85" i="5"/>
  <c r="J85" i="5"/>
  <c r="I85" i="5"/>
  <c r="H85" i="5"/>
  <c r="L85" i="5" s="1"/>
  <c r="H84" i="5"/>
  <c r="H83" i="5"/>
  <c r="L83" i="5" s="1"/>
  <c r="J82" i="5"/>
  <c r="I82" i="5"/>
  <c r="H82" i="5"/>
  <c r="K82" i="5" s="1"/>
  <c r="K81" i="5"/>
  <c r="J81" i="5"/>
  <c r="I81" i="5"/>
  <c r="H81" i="5"/>
  <c r="L81" i="5" s="1"/>
  <c r="L80" i="5"/>
  <c r="K80" i="5"/>
  <c r="H80" i="5"/>
  <c r="H79" i="5"/>
  <c r="J78" i="5"/>
  <c r="I78" i="5"/>
  <c r="H78" i="5"/>
  <c r="K78" i="5" s="1"/>
  <c r="K77" i="5"/>
  <c r="J77" i="5"/>
  <c r="I77" i="5"/>
  <c r="H77" i="5"/>
  <c r="L77" i="5" s="1"/>
  <c r="L76" i="5"/>
  <c r="K76" i="5"/>
  <c r="H76" i="5"/>
  <c r="L75" i="5"/>
  <c r="I75" i="5"/>
  <c r="H75" i="5"/>
  <c r="J74" i="5"/>
  <c r="I74" i="5"/>
  <c r="H74" i="5"/>
  <c r="K74" i="5" s="1"/>
  <c r="K73" i="5"/>
  <c r="J73" i="5"/>
  <c r="I73" i="5"/>
  <c r="H73" i="5"/>
  <c r="L73" i="5" s="1"/>
  <c r="H72" i="5"/>
  <c r="L72" i="5" s="1"/>
  <c r="L71" i="5"/>
  <c r="I71" i="5"/>
  <c r="H71" i="5"/>
  <c r="J70" i="5"/>
  <c r="I70" i="5"/>
  <c r="H70" i="5"/>
  <c r="K70" i="5" s="1"/>
  <c r="K69" i="5"/>
  <c r="J69" i="5"/>
  <c r="I69" i="5"/>
  <c r="H69" i="5"/>
  <c r="L69" i="5" s="1"/>
  <c r="H68" i="5"/>
  <c r="H67" i="5"/>
  <c r="L67" i="5" s="1"/>
  <c r="J66" i="5"/>
  <c r="I66" i="5"/>
  <c r="H66" i="5"/>
  <c r="K66" i="5" s="1"/>
  <c r="K65" i="5"/>
  <c r="J65" i="5"/>
  <c r="I65" i="5"/>
  <c r="H65" i="5"/>
  <c r="L65" i="5" s="1"/>
  <c r="L64" i="5"/>
  <c r="K64" i="5"/>
  <c r="H64" i="5"/>
  <c r="H63" i="5"/>
  <c r="J62" i="5"/>
  <c r="I62" i="5"/>
  <c r="H62" i="5"/>
  <c r="K62" i="5" s="1"/>
  <c r="K61" i="5"/>
  <c r="J61" i="5"/>
  <c r="I61" i="5"/>
  <c r="H61" i="5"/>
  <c r="L61" i="5" s="1"/>
  <c r="L60" i="5"/>
  <c r="K60" i="5"/>
  <c r="H60" i="5"/>
  <c r="L59" i="5"/>
  <c r="I59" i="5"/>
  <c r="H59" i="5"/>
  <c r="J58" i="5"/>
  <c r="I58" i="5"/>
  <c r="H58" i="5"/>
  <c r="K58" i="5" s="1"/>
  <c r="K57" i="5"/>
  <c r="J57" i="5"/>
  <c r="I57" i="5"/>
  <c r="H57" i="5"/>
  <c r="L57" i="5" s="1"/>
  <c r="H56" i="5"/>
  <c r="I56" i="5" s="1"/>
  <c r="H55" i="5"/>
  <c r="J55" i="5" s="1"/>
  <c r="H54" i="5"/>
  <c r="K54" i="5" s="1"/>
  <c r="K53" i="5"/>
  <c r="J53" i="5"/>
  <c r="I53" i="5"/>
  <c r="H53" i="5"/>
  <c r="L53" i="5" s="1"/>
  <c r="H52" i="5"/>
  <c r="I52" i="5" s="1"/>
  <c r="H51" i="5"/>
  <c r="J51" i="5" s="1"/>
  <c r="H50" i="5"/>
  <c r="K50" i="5" s="1"/>
  <c r="K49" i="5"/>
  <c r="J49" i="5"/>
  <c r="I49" i="5"/>
  <c r="H49" i="5"/>
  <c r="L49" i="5" s="1"/>
  <c r="H48" i="5"/>
  <c r="I48" i="5" s="1"/>
  <c r="H47" i="5"/>
  <c r="J47" i="5" s="1"/>
  <c r="H46" i="5"/>
  <c r="K46" i="5" s="1"/>
  <c r="K45" i="5"/>
  <c r="J45" i="5"/>
  <c r="I45" i="5"/>
  <c r="H45" i="5"/>
  <c r="L45" i="5" s="1"/>
  <c r="H44" i="5"/>
  <c r="I44" i="5" s="1"/>
  <c r="H43" i="5"/>
  <c r="J43" i="5" s="1"/>
  <c r="H42" i="5"/>
  <c r="K42" i="5" s="1"/>
  <c r="K41" i="5"/>
  <c r="J41" i="5"/>
  <c r="I41" i="5"/>
  <c r="H41" i="5"/>
  <c r="L41" i="5" s="1"/>
  <c r="H40" i="5"/>
  <c r="I40" i="5" s="1"/>
  <c r="H39" i="5"/>
  <c r="J39" i="5" s="1"/>
  <c r="H38" i="5"/>
  <c r="K38" i="5" s="1"/>
  <c r="K37" i="5"/>
  <c r="J37" i="5"/>
  <c r="I37" i="5"/>
  <c r="H37" i="5"/>
  <c r="L37" i="5" s="1"/>
  <c r="H36" i="5"/>
  <c r="I36" i="5" s="1"/>
  <c r="H35" i="5"/>
  <c r="J35" i="5" s="1"/>
  <c r="H34" i="5"/>
  <c r="K34" i="5" s="1"/>
  <c r="K33" i="5"/>
  <c r="J33" i="5"/>
  <c r="I33" i="5"/>
  <c r="H33" i="5"/>
  <c r="L33" i="5" s="1"/>
  <c r="H32" i="5"/>
  <c r="I32" i="5" s="1"/>
  <c r="J31" i="5"/>
  <c r="I31" i="5"/>
  <c r="H31" i="5"/>
  <c r="K31" i="5" s="1"/>
  <c r="K30" i="5"/>
  <c r="J30" i="5"/>
  <c r="I30" i="5"/>
  <c r="H30" i="5"/>
  <c r="L30" i="5" s="1"/>
  <c r="K29" i="5"/>
  <c r="H29" i="5"/>
  <c r="J29" i="5" s="1"/>
  <c r="H28" i="5"/>
  <c r="J28" i="5" s="1"/>
  <c r="J27" i="5"/>
  <c r="I27" i="5"/>
  <c r="H27" i="5"/>
  <c r="K27" i="5" s="1"/>
  <c r="K26" i="5"/>
  <c r="J26" i="5"/>
  <c r="I26" i="5"/>
  <c r="H26" i="5"/>
  <c r="L26" i="5" s="1"/>
  <c r="K25" i="5"/>
  <c r="H25" i="5"/>
  <c r="I25" i="5" s="1"/>
  <c r="H24" i="5"/>
  <c r="J24" i="5" s="1"/>
  <c r="J23" i="5"/>
  <c r="I23" i="5"/>
  <c r="H23" i="5"/>
  <c r="K23" i="5" s="1"/>
  <c r="K22" i="5"/>
  <c r="J22" i="5"/>
  <c r="I22" i="5"/>
  <c r="H22" i="5"/>
  <c r="K21" i="5"/>
  <c r="H21" i="5"/>
  <c r="I21" i="5" s="1"/>
  <c r="H20" i="5"/>
  <c r="J20" i="5" s="1"/>
  <c r="J19" i="5"/>
  <c r="I19" i="5"/>
  <c r="H19" i="5"/>
  <c r="K19" i="5" s="1"/>
  <c r="K18" i="5"/>
  <c r="J18" i="5"/>
  <c r="I18" i="5"/>
  <c r="H18" i="5"/>
  <c r="L18" i="5" s="1"/>
  <c r="K17" i="5"/>
  <c r="H17" i="5"/>
  <c r="I17" i="5" s="1"/>
  <c r="H16" i="5"/>
  <c r="K16" i="5" s="1"/>
  <c r="J15" i="5"/>
  <c r="I15" i="5"/>
  <c r="H15" i="5"/>
  <c r="K15" i="5" s="1"/>
  <c r="K14" i="5"/>
  <c r="J14" i="5"/>
  <c r="I14" i="5"/>
  <c r="H14" i="5"/>
  <c r="L14" i="5" s="1"/>
  <c r="K13" i="5"/>
  <c r="H13" i="5"/>
  <c r="I13" i="5" s="1"/>
  <c r="H12" i="5"/>
  <c r="J12" i="5" s="1"/>
  <c r="J11" i="5"/>
  <c r="I11" i="5"/>
  <c r="H11" i="5"/>
  <c r="K10" i="5"/>
  <c r="J10" i="5"/>
  <c r="I10" i="5"/>
  <c r="H10" i="5"/>
  <c r="L10" i="5" s="1"/>
  <c r="K9" i="5"/>
  <c r="H9" i="5"/>
  <c r="I9" i="5" s="1"/>
  <c r="H8" i="5"/>
  <c r="J8" i="5" s="1"/>
  <c r="J7" i="5"/>
  <c r="I7" i="5"/>
  <c r="H7" i="5"/>
  <c r="K7" i="5" s="1"/>
  <c r="K6" i="5"/>
  <c r="J6" i="5"/>
  <c r="I6" i="5"/>
  <c r="H6" i="5"/>
  <c r="L6" i="5" s="1"/>
  <c r="K5" i="5"/>
  <c r="H5" i="5"/>
  <c r="J5" i="5" s="1"/>
  <c r="L432" i="4"/>
  <c r="K432" i="4"/>
  <c r="K431" i="4"/>
  <c r="L431" i="4" s="1"/>
  <c r="L430" i="4"/>
  <c r="K430" i="4"/>
  <c r="K429" i="4"/>
  <c r="L429" i="4" s="1"/>
  <c r="R64" i="3" s="1"/>
  <c r="L428" i="4"/>
  <c r="K428" i="4"/>
  <c r="L427" i="4"/>
  <c r="K427" i="4"/>
  <c r="L426" i="4"/>
  <c r="K426" i="4"/>
  <c r="K425" i="4"/>
  <c r="L425" i="4" s="1"/>
  <c r="L424" i="4"/>
  <c r="K424" i="4"/>
  <c r="K423" i="4"/>
  <c r="L423" i="4" s="1"/>
  <c r="R63" i="3" s="1"/>
  <c r="L422" i="4"/>
  <c r="K422" i="4"/>
  <c r="K421" i="4"/>
  <c r="L421" i="4" s="1"/>
  <c r="L420" i="4"/>
  <c r="K420" i="4"/>
  <c r="K419" i="4"/>
  <c r="L419" i="4" s="1"/>
  <c r="R62" i="3" s="1"/>
  <c r="L418" i="4"/>
  <c r="K418" i="4"/>
  <c r="L417" i="4"/>
  <c r="K417" i="4"/>
  <c r="L416" i="4"/>
  <c r="K416" i="4"/>
  <c r="K415" i="4"/>
  <c r="L415" i="4" s="1"/>
  <c r="L414" i="4"/>
  <c r="K414" i="4"/>
  <c r="K413" i="4"/>
  <c r="L413" i="4" s="1"/>
  <c r="L412" i="4"/>
  <c r="K412" i="4"/>
  <c r="K411" i="4"/>
  <c r="L411" i="4" s="1"/>
  <c r="L410" i="4"/>
  <c r="K410" i="4"/>
  <c r="K409" i="4"/>
  <c r="L409" i="4" s="1"/>
  <c r="L408" i="4"/>
  <c r="K408" i="4"/>
  <c r="K407" i="4"/>
  <c r="L407" i="4" s="1"/>
  <c r="L406" i="4"/>
  <c r="K406" i="4"/>
  <c r="K405" i="4"/>
  <c r="L405" i="4" s="1"/>
  <c r="L404" i="4"/>
  <c r="K404" i="4"/>
  <c r="L403" i="4"/>
  <c r="K403" i="4"/>
  <c r="L402" i="4"/>
  <c r="K402" i="4"/>
  <c r="K401" i="4"/>
  <c r="L401" i="4" s="1"/>
  <c r="L400" i="4"/>
  <c r="K400" i="4"/>
  <c r="K399" i="4"/>
  <c r="L399" i="4" s="1"/>
  <c r="L398" i="4"/>
  <c r="K398" i="4"/>
  <c r="K397" i="4"/>
  <c r="L397" i="4" s="1"/>
  <c r="L396" i="4"/>
  <c r="K396" i="4"/>
  <c r="K395" i="4"/>
  <c r="L395" i="4" s="1"/>
  <c r="R58" i="3" s="1"/>
  <c r="L394" i="4"/>
  <c r="K394" i="4"/>
  <c r="L393" i="4"/>
  <c r="K393" i="4"/>
  <c r="L392" i="4"/>
  <c r="K392" i="4"/>
  <c r="L391" i="4"/>
  <c r="K391" i="4"/>
  <c r="L390" i="4"/>
  <c r="K390" i="4"/>
  <c r="K389" i="4"/>
  <c r="L389" i="4" s="1"/>
  <c r="L388" i="4"/>
  <c r="K388" i="4"/>
  <c r="K387" i="4"/>
  <c r="L387" i="4" s="1"/>
  <c r="L386" i="4"/>
  <c r="K386" i="4"/>
  <c r="K385" i="4"/>
  <c r="L385" i="4" s="1"/>
  <c r="L384" i="4"/>
  <c r="K384" i="4"/>
  <c r="L383" i="4"/>
  <c r="K383" i="4"/>
  <c r="L382" i="4"/>
  <c r="K382" i="4"/>
  <c r="L381" i="4"/>
  <c r="K381" i="4"/>
  <c r="L380" i="4"/>
  <c r="K380" i="4"/>
  <c r="K379" i="4"/>
  <c r="L379" i="4" s="1"/>
  <c r="L378" i="4"/>
  <c r="K378" i="4"/>
  <c r="K377" i="4"/>
  <c r="L377" i="4" s="1"/>
  <c r="L376" i="4"/>
  <c r="K376" i="4"/>
  <c r="K375" i="4"/>
  <c r="L375" i="4" s="1"/>
  <c r="L374" i="4"/>
  <c r="K374" i="4"/>
  <c r="L373" i="4"/>
  <c r="K373" i="4"/>
  <c r="L372" i="4"/>
  <c r="K372" i="4"/>
  <c r="K371" i="4"/>
  <c r="L371" i="4" s="1"/>
  <c r="L370" i="4"/>
  <c r="K370" i="4"/>
  <c r="K369" i="4"/>
  <c r="L369" i="4" s="1"/>
  <c r="L368" i="4"/>
  <c r="K368" i="4"/>
  <c r="K367" i="4"/>
  <c r="L367" i="4" s="1"/>
  <c r="L366" i="4"/>
  <c r="K366" i="4"/>
  <c r="K365" i="4"/>
  <c r="L365" i="4" s="1"/>
  <c r="L364" i="4"/>
  <c r="K364" i="4"/>
  <c r="K363" i="4"/>
  <c r="L363" i="4" s="1"/>
  <c r="L362" i="4"/>
  <c r="K362" i="4"/>
  <c r="K361" i="4"/>
  <c r="L361" i="4" s="1"/>
  <c r="R54" i="3" s="1"/>
  <c r="L360" i="4"/>
  <c r="K360" i="4"/>
  <c r="K359" i="4"/>
  <c r="L359" i="4" s="1"/>
  <c r="L358" i="4"/>
  <c r="K358" i="4"/>
  <c r="K357" i="4"/>
  <c r="L357" i="4" s="1"/>
  <c r="L356" i="4"/>
  <c r="K356" i="4"/>
  <c r="K355" i="4"/>
  <c r="L355" i="4" s="1"/>
  <c r="L354" i="4"/>
  <c r="K354" i="4"/>
  <c r="K353" i="4"/>
  <c r="L353" i="4" s="1"/>
  <c r="L352" i="4"/>
  <c r="K352" i="4"/>
  <c r="K351" i="4"/>
  <c r="L351" i="4" s="1"/>
  <c r="L350" i="4"/>
  <c r="K350" i="4"/>
  <c r="L349" i="4"/>
  <c r="K349" i="4"/>
  <c r="L348" i="4"/>
  <c r="K348" i="4"/>
  <c r="K347" i="4"/>
  <c r="L347" i="4" s="1"/>
  <c r="L346" i="4"/>
  <c r="K346" i="4"/>
  <c r="K345" i="4"/>
  <c r="L345" i="4" s="1"/>
  <c r="L344" i="4"/>
  <c r="K344" i="4"/>
  <c r="L343" i="4"/>
  <c r="K343" i="4"/>
  <c r="L342" i="4"/>
  <c r="K342" i="4"/>
  <c r="K341" i="4"/>
  <c r="L341" i="4" s="1"/>
  <c r="L340" i="4"/>
  <c r="K340" i="4"/>
  <c r="K339" i="4"/>
  <c r="L339" i="4" s="1"/>
  <c r="L338" i="4"/>
  <c r="K338" i="4"/>
  <c r="K337" i="4"/>
  <c r="L337" i="4" s="1"/>
  <c r="L336" i="4"/>
  <c r="K336" i="4"/>
  <c r="K335" i="4"/>
  <c r="L335" i="4" s="1"/>
  <c r="L334" i="4"/>
  <c r="K334" i="4"/>
  <c r="K333" i="4"/>
  <c r="L333" i="4" s="1"/>
  <c r="L332" i="4"/>
  <c r="K332" i="4"/>
  <c r="K331" i="4"/>
  <c r="L331" i="4" s="1"/>
  <c r="L330" i="4"/>
  <c r="K330" i="4"/>
  <c r="L329" i="4"/>
  <c r="K329" i="4"/>
  <c r="L328" i="4"/>
  <c r="K328" i="4"/>
  <c r="K327" i="4"/>
  <c r="L327" i="4" s="1"/>
  <c r="L326" i="4"/>
  <c r="K326" i="4"/>
  <c r="L325" i="4"/>
  <c r="K325" i="4"/>
  <c r="L324" i="4"/>
  <c r="K324" i="4"/>
  <c r="K323" i="4"/>
  <c r="L323" i="4" s="1"/>
  <c r="L322" i="4"/>
  <c r="K322" i="4"/>
  <c r="K321" i="4"/>
  <c r="L321" i="4" s="1"/>
  <c r="L320" i="4"/>
  <c r="K320" i="4"/>
  <c r="K319" i="4"/>
  <c r="L319" i="4" s="1"/>
  <c r="L318" i="4"/>
  <c r="K318" i="4"/>
  <c r="K317" i="4"/>
  <c r="L317" i="4" s="1"/>
  <c r="L316" i="4"/>
  <c r="K316" i="4"/>
  <c r="K315" i="4"/>
  <c r="L315" i="4" s="1"/>
  <c r="L314" i="4"/>
  <c r="K314" i="4"/>
  <c r="K313" i="4"/>
  <c r="L313" i="4" s="1"/>
  <c r="R47" i="3" s="1"/>
  <c r="L312" i="4"/>
  <c r="K312" i="4"/>
  <c r="L311" i="4"/>
  <c r="K311" i="4"/>
  <c r="L310" i="4"/>
  <c r="K310" i="4"/>
  <c r="K309" i="4"/>
  <c r="L309" i="4" s="1"/>
  <c r="L308" i="4"/>
  <c r="K308" i="4"/>
  <c r="K307" i="4"/>
  <c r="L307" i="4" s="1"/>
  <c r="R46" i="3" s="1"/>
  <c r="L306" i="4"/>
  <c r="K306" i="4"/>
  <c r="K305" i="4"/>
  <c r="L305" i="4" s="1"/>
  <c r="L304" i="4"/>
  <c r="K304" i="4"/>
  <c r="K303" i="4"/>
  <c r="L303" i="4" s="1"/>
  <c r="L302" i="4"/>
  <c r="K302" i="4"/>
  <c r="K301" i="4"/>
  <c r="L301" i="4" s="1"/>
  <c r="L300" i="4"/>
  <c r="K300" i="4"/>
  <c r="K299" i="4"/>
  <c r="L299" i="4" s="1"/>
  <c r="R44" i="3" s="1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K291" i="4"/>
  <c r="L291" i="4" s="1"/>
  <c r="L290" i="4"/>
  <c r="K290" i="4"/>
  <c r="K289" i="4"/>
  <c r="L289" i="4" s="1"/>
  <c r="R43" i="3" s="1"/>
  <c r="L288" i="4"/>
  <c r="K288" i="4"/>
  <c r="L287" i="4"/>
  <c r="K287" i="4"/>
  <c r="L286" i="4"/>
  <c r="K286" i="4"/>
  <c r="K285" i="4"/>
  <c r="L285" i="4" s="1"/>
  <c r="L284" i="4"/>
  <c r="K284" i="4"/>
  <c r="K283" i="4"/>
  <c r="L283" i="4" s="1"/>
  <c r="R42" i="3" s="1"/>
  <c r="L282" i="4"/>
  <c r="K282" i="4"/>
  <c r="L281" i="4"/>
  <c r="K281" i="4"/>
  <c r="L280" i="4"/>
  <c r="K280" i="4"/>
  <c r="K279" i="4"/>
  <c r="L279" i="4" s="1"/>
  <c r="L278" i="4"/>
  <c r="K278" i="4"/>
  <c r="K277" i="4"/>
  <c r="L277" i="4" s="1"/>
  <c r="R41" i="3" s="1"/>
  <c r="L276" i="4"/>
  <c r="K276" i="4"/>
  <c r="L275" i="4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K267" i="4"/>
  <c r="L267" i="4" s="1"/>
  <c r="L266" i="4"/>
  <c r="K266" i="4"/>
  <c r="K265" i="4"/>
  <c r="L265" i="4" s="1"/>
  <c r="R40" i="3" s="1"/>
  <c r="L264" i="4"/>
  <c r="K264" i="4"/>
  <c r="K263" i="4"/>
  <c r="L263" i="4" s="1"/>
  <c r="L262" i="4"/>
  <c r="K262" i="4"/>
  <c r="K261" i="4"/>
  <c r="L261" i="4" s="1"/>
  <c r="L260" i="4"/>
  <c r="K260" i="4"/>
  <c r="K259" i="4"/>
  <c r="L259" i="4" s="1"/>
  <c r="L258" i="4"/>
  <c r="K258" i="4"/>
  <c r="K257" i="4"/>
  <c r="L257" i="4" s="1"/>
  <c r="L256" i="4"/>
  <c r="K256" i="4"/>
  <c r="K255" i="4"/>
  <c r="L255" i="4" s="1"/>
  <c r="L254" i="4"/>
  <c r="K254" i="4"/>
  <c r="K253" i="4"/>
  <c r="L253" i="4" s="1"/>
  <c r="R38" i="3" s="1"/>
  <c r="L252" i="4"/>
  <c r="K252" i="4"/>
  <c r="L251" i="4"/>
  <c r="K251" i="4"/>
  <c r="L250" i="4"/>
  <c r="K250" i="4"/>
  <c r="L249" i="4"/>
  <c r="K249" i="4"/>
  <c r="L248" i="4"/>
  <c r="K248" i="4"/>
  <c r="K247" i="4"/>
  <c r="L247" i="4" s="1"/>
  <c r="L246" i="4"/>
  <c r="K246" i="4"/>
  <c r="K245" i="4"/>
  <c r="L245" i="4" s="1"/>
  <c r="L244" i="4"/>
  <c r="K244" i="4"/>
  <c r="K243" i="4"/>
  <c r="L243" i="4" s="1"/>
  <c r="L242" i="4"/>
  <c r="K242" i="4"/>
  <c r="K241" i="4"/>
  <c r="L241" i="4" s="1"/>
  <c r="L240" i="4"/>
  <c r="K240" i="4"/>
  <c r="K239" i="4"/>
  <c r="L239" i="4" s="1"/>
  <c r="L238" i="4"/>
  <c r="K238" i="4"/>
  <c r="K237" i="4"/>
  <c r="L237" i="4" s="1"/>
  <c r="L236" i="4"/>
  <c r="K236" i="4"/>
  <c r="L235" i="4"/>
  <c r="K235" i="4"/>
  <c r="L234" i="4"/>
  <c r="K234" i="4"/>
  <c r="K233" i="4"/>
  <c r="L233" i="4" s="1"/>
  <c r="L232" i="4"/>
  <c r="K232" i="4"/>
  <c r="K231" i="4"/>
  <c r="L231" i="4" s="1"/>
  <c r="L230" i="4"/>
  <c r="K230" i="4"/>
  <c r="K229" i="4"/>
  <c r="L229" i="4" s="1"/>
  <c r="L228" i="4"/>
  <c r="K228" i="4"/>
  <c r="L227" i="4"/>
  <c r="K227" i="4"/>
  <c r="L226" i="4"/>
  <c r="K226" i="4"/>
  <c r="L225" i="4"/>
  <c r="K225" i="4"/>
  <c r="L224" i="4"/>
  <c r="K224" i="4"/>
  <c r="K223" i="4"/>
  <c r="L223" i="4" s="1"/>
  <c r="L222" i="4"/>
  <c r="K222" i="4"/>
  <c r="L221" i="4"/>
  <c r="K221" i="4"/>
  <c r="L220" i="4"/>
  <c r="K220" i="4"/>
  <c r="K219" i="4"/>
  <c r="L219" i="4" s="1"/>
  <c r="L218" i="4"/>
  <c r="K218" i="4"/>
  <c r="K217" i="4"/>
  <c r="L217" i="4" s="1"/>
  <c r="R34" i="3" s="1"/>
  <c r="L216" i="4"/>
  <c r="K216" i="4"/>
  <c r="K215" i="4"/>
  <c r="L215" i="4" s="1"/>
  <c r="L214" i="4"/>
  <c r="K214" i="4"/>
  <c r="K213" i="4"/>
  <c r="L213" i="4" s="1"/>
  <c r="L212" i="4"/>
  <c r="K212" i="4"/>
  <c r="K211" i="4"/>
  <c r="L211" i="4" s="1"/>
  <c r="L210" i="4"/>
  <c r="K210" i="4"/>
  <c r="L209" i="4"/>
  <c r="K209" i="4"/>
  <c r="L208" i="4"/>
  <c r="K208" i="4"/>
  <c r="K207" i="4"/>
  <c r="L207" i="4" s="1"/>
  <c r="L206" i="4"/>
  <c r="K206" i="4"/>
  <c r="K205" i="4"/>
  <c r="L205" i="4" s="1"/>
  <c r="L204" i="4"/>
  <c r="K204" i="4"/>
  <c r="K203" i="4"/>
  <c r="L203" i="4" s="1"/>
  <c r="L202" i="4"/>
  <c r="K202" i="4"/>
  <c r="K201" i="4"/>
  <c r="L201" i="4" s="1"/>
  <c r="L200" i="4"/>
  <c r="K200" i="4"/>
  <c r="K199" i="4"/>
  <c r="L199" i="4" s="1"/>
  <c r="R31" i="3" s="1"/>
  <c r="L198" i="4"/>
  <c r="K198" i="4"/>
  <c r="K197" i="4"/>
  <c r="L197" i="4" s="1"/>
  <c r="L196" i="4"/>
  <c r="K196" i="4"/>
  <c r="K195" i="4"/>
  <c r="L195" i="4" s="1"/>
  <c r="R30" i="3" s="1"/>
  <c r="L194" i="4"/>
  <c r="K194" i="4"/>
  <c r="L193" i="4"/>
  <c r="K193" i="4"/>
  <c r="L192" i="4"/>
  <c r="K192" i="4"/>
  <c r="K191" i="4"/>
  <c r="L191" i="4" s="1"/>
  <c r="L190" i="4"/>
  <c r="K190" i="4"/>
  <c r="L189" i="4"/>
  <c r="K189" i="4"/>
  <c r="L188" i="4"/>
  <c r="K188" i="4"/>
  <c r="K187" i="4"/>
  <c r="L187" i="4" s="1"/>
  <c r="R29" i="3" s="1"/>
  <c r="L186" i="4"/>
  <c r="K186" i="4"/>
  <c r="L185" i="4"/>
  <c r="K185" i="4"/>
  <c r="L184" i="4"/>
  <c r="K184" i="4"/>
  <c r="K183" i="4"/>
  <c r="L183" i="4" s="1"/>
  <c r="L182" i="4"/>
  <c r="K182" i="4"/>
  <c r="K181" i="4"/>
  <c r="L181" i="4" s="1"/>
  <c r="L180" i="4"/>
  <c r="K180" i="4"/>
  <c r="K179" i="4"/>
  <c r="L179" i="4" s="1"/>
  <c r="L178" i="4"/>
  <c r="K178" i="4"/>
  <c r="K177" i="4"/>
  <c r="L177" i="4" s="1"/>
  <c r="R28" i="3" s="1"/>
  <c r="L176" i="4"/>
  <c r="K176" i="4"/>
  <c r="L175" i="4"/>
  <c r="K175" i="4"/>
  <c r="L174" i="4"/>
  <c r="K174" i="4"/>
  <c r="L173" i="4"/>
  <c r="K173" i="4"/>
  <c r="L172" i="4"/>
  <c r="K172" i="4"/>
  <c r="K171" i="4"/>
  <c r="L171" i="4" s="1"/>
  <c r="L170" i="4"/>
  <c r="K170" i="4"/>
  <c r="K169" i="4"/>
  <c r="L169" i="4" s="1"/>
  <c r="L168" i="4"/>
  <c r="K168" i="4"/>
  <c r="K167" i="4"/>
  <c r="L167" i="4" s="1"/>
  <c r="L166" i="4"/>
  <c r="K166" i="4"/>
  <c r="L165" i="4"/>
  <c r="K165" i="4"/>
  <c r="L164" i="4"/>
  <c r="K164" i="4"/>
  <c r="K163" i="4"/>
  <c r="L163" i="4" s="1"/>
  <c r="L162" i="4"/>
  <c r="K162" i="4"/>
  <c r="K161" i="4"/>
  <c r="L161" i="4" s="1"/>
  <c r="L160" i="4"/>
  <c r="K160" i="4"/>
  <c r="K159" i="4"/>
  <c r="L159" i="4" s="1"/>
  <c r="L158" i="4"/>
  <c r="K158" i="4"/>
  <c r="L157" i="4"/>
  <c r="K157" i="4"/>
  <c r="L156" i="4"/>
  <c r="K156" i="4"/>
  <c r="K155" i="4"/>
  <c r="L155" i="4" s="1"/>
  <c r="L154" i="4"/>
  <c r="K154" i="4"/>
  <c r="K153" i="4"/>
  <c r="L153" i="4" s="1"/>
  <c r="R25" i="3" s="1"/>
  <c r="L152" i="4"/>
  <c r="K152" i="4"/>
  <c r="L151" i="4"/>
  <c r="K151" i="4"/>
  <c r="L150" i="4"/>
  <c r="K150" i="4"/>
  <c r="K149" i="4"/>
  <c r="L149" i="4" s="1"/>
  <c r="R24" i="3" s="1"/>
  <c r="L148" i="4"/>
  <c r="K148" i="4"/>
  <c r="L147" i="4"/>
  <c r="K147" i="4"/>
  <c r="L146" i="4"/>
  <c r="K146" i="4"/>
  <c r="K145" i="4"/>
  <c r="L145" i="4" s="1"/>
  <c r="L144" i="4"/>
  <c r="K144" i="4"/>
  <c r="K143" i="4"/>
  <c r="L143" i="4" s="1"/>
  <c r="L142" i="4"/>
  <c r="K142" i="4"/>
  <c r="K141" i="4"/>
  <c r="L141" i="4" s="1"/>
  <c r="L140" i="4"/>
  <c r="K140" i="4"/>
  <c r="K139" i="4"/>
  <c r="L139" i="4" s="1"/>
  <c r="L138" i="4"/>
  <c r="K138" i="4"/>
  <c r="L137" i="4"/>
  <c r="K137" i="4"/>
  <c r="L136" i="4"/>
  <c r="K136" i="4"/>
  <c r="K135" i="4"/>
  <c r="L135" i="4" s="1"/>
  <c r="L134" i="4"/>
  <c r="K134" i="4"/>
  <c r="K133" i="4"/>
  <c r="L133" i="4" s="1"/>
  <c r="L132" i="4"/>
  <c r="K132" i="4"/>
  <c r="K131" i="4"/>
  <c r="L131" i="4" s="1"/>
  <c r="R21" i="3" s="1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K123" i="4"/>
  <c r="L123" i="4" s="1"/>
  <c r="L122" i="4"/>
  <c r="K122" i="4"/>
  <c r="L121" i="4"/>
  <c r="K121" i="4"/>
  <c r="L120" i="4"/>
  <c r="K120" i="4"/>
  <c r="K119" i="4"/>
  <c r="L119" i="4" s="1"/>
  <c r="R20" i="3" s="1"/>
  <c r="L118" i="4"/>
  <c r="K118" i="4"/>
  <c r="K117" i="4"/>
  <c r="L117" i="4" s="1"/>
  <c r="L116" i="4"/>
  <c r="K116" i="4"/>
  <c r="K115" i="4"/>
  <c r="L115" i="4" s="1"/>
  <c r="L114" i="4"/>
  <c r="K114" i="4"/>
  <c r="K113" i="4"/>
  <c r="L113" i="4" s="1"/>
  <c r="L112" i="4"/>
  <c r="K112" i="4"/>
  <c r="K111" i="4"/>
  <c r="L111" i="4" s="1"/>
  <c r="L110" i="4"/>
  <c r="K110" i="4"/>
  <c r="K109" i="4"/>
  <c r="L109" i="4" s="1"/>
  <c r="L108" i="4"/>
  <c r="K108" i="4"/>
  <c r="K107" i="4"/>
  <c r="L107" i="4" s="1"/>
  <c r="L106" i="4"/>
  <c r="K106" i="4"/>
  <c r="K105" i="4"/>
  <c r="L105" i="4" s="1"/>
  <c r="L104" i="4"/>
  <c r="K104" i="4"/>
  <c r="K103" i="4"/>
  <c r="L103" i="4" s="1"/>
  <c r="L102" i="4"/>
  <c r="K102" i="4"/>
  <c r="L101" i="4"/>
  <c r="K101" i="4"/>
  <c r="L100" i="4"/>
  <c r="K100" i="4"/>
  <c r="L99" i="4"/>
  <c r="K99" i="4"/>
  <c r="L98" i="4"/>
  <c r="K98" i="4"/>
  <c r="K97" i="4"/>
  <c r="L97" i="4" s="1"/>
  <c r="L96" i="4"/>
  <c r="K96" i="4"/>
  <c r="K95" i="4"/>
  <c r="L95" i="4" s="1"/>
  <c r="R16" i="3" s="1"/>
  <c r="L94" i="4"/>
  <c r="K94" i="4"/>
  <c r="L93" i="4"/>
  <c r="K93" i="4"/>
  <c r="L92" i="4"/>
  <c r="K92" i="4"/>
  <c r="L91" i="4"/>
  <c r="K91" i="4"/>
  <c r="L90" i="4"/>
  <c r="K90" i="4"/>
  <c r="K89" i="4"/>
  <c r="L89" i="4" s="1"/>
  <c r="L88" i="4"/>
  <c r="K88" i="4"/>
  <c r="K87" i="4"/>
  <c r="L87" i="4" s="1"/>
  <c r="L86" i="4"/>
  <c r="K86" i="4"/>
  <c r="K85" i="4"/>
  <c r="L85" i="4" s="1"/>
  <c r="L84" i="4"/>
  <c r="K84" i="4"/>
  <c r="L83" i="4"/>
  <c r="K83" i="4"/>
  <c r="L82" i="4"/>
  <c r="K82" i="4"/>
  <c r="L81" i="4"/>
  <c r="K81" i="4"/>
  <c r="L80" i="4"/>
  <c r="K80" i="4"/>
  <c r="K79" i="4"/>
  <c r="L79" i="4" s="1"/>
  <c r="L78" i="4"/>
  <c r="K78" i="4"/>
  <c r="K77" i="4"/>
  <c r="L77" i="4" s="1"/>
  <c r="L76" i="4"/>
  <c r="K76" i="4"/>
  <c r="K75" i="4"/>
  <c r="L75" i="4" s="1"/>
  <c r="L74" i="4"/>
  <c r="K74" i="4"/>
  <c r="K73" i="4"/>
  <c r="L73" i="4" s="1"/>
  <c r="L72" i="4"/>
  <c r="K72" i="4"/>
  <c r="K71" i="4"/>
  <c r="L71" i="4" s="1"/>
  <c r="R13" i="3" s="1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K63" i="4"/>
  <c r="L63" i="4" s="1"/>
  <c r="R12" i="3" s="1"/>
  <c r="L62" i="4"/>
  <c r="K62" i="4"/>
  <c r="L61" i="4"/>
  <c r="K61" i="4"/>
  <c r="L60" i="4"/>
  <c r="K60" i="4"/>
  <c r="K59" i="4"/>
  <c r="L59" i="4" s="1"/>
  <c r="L58" i="4"/>
  <c r="K58" i="4"/>
  <c r="K57" i="4"/>
  <c r="L57" i="4" s="1"/>
  <c r="L56" i="4"/>
  <c r="K56" i="4"/>
  <c r="K55" i="4"/>
  <c r="L55" i="4" s="1"/>
  <c r="R11" i="3" s="1"/>
  <c r="L54" i="4"/>
  <c r="K54" i="4"/>
  <c r="L53" i="4"/>
  <c r="K53" i="4"/>
  <c r="L52" i="4"/>
  <c r="K52" i="4"/>
  <c r="K51" i="4"/>
  <c r="L51" i="4" s="1"/>
  <c r="L50" i="4"/>
  <c r="K50" i="4"/>
  <c r="L49" i="4"/>
  <c r="K49" i="4"/>
  <c r="L48" i="4"/>
  <c r="K48" i="4"/>
  <c r="K47" i="4"/>
  <c r="L47" i="4" s="1"/>
  <c r="R10" i="3" s="1"/>
  <c r="L46" i="4"/>
  <c r="K46" i="4"/>
  <c r="L45" i="4"/>
  <c r="K45" i="4"/>
  <c r="L44" i="4"/>
  <c r="K44" i="4"/>
  <c r="L43" i="4"/>
  <c r="K43" i="4"/>
  <c r="L42" i="4"/>
  <c r="K42" i="4"/>
  <c r="K41" i="4"/>
  <c r="L41" i="4" s="1"/>
  <c r="L40" i="4"/>
  <c r="K40" i="4"/>
  <c r="K39" i="4"/>
  <c r="L39" i="4" s="1"/>
  <c r="R9" i="3" s="1"/>
  <c r="L38" i="4"/>
  <c r="K38" i="4"/>
  <c r="K37" i="4"/>
  <c r="L37" i="4" s="1"/>
  <c r="L36" i="4"/>
  <c r="K36" i="4"/>
  <c r="K35" i="4"/>
  <c r="L35" i="4" s="1"/>
  <c r="L34" i="4"/>
  <c r="K34" i="4"/>
  <c r="K33" i="4"/>
  <c r="L33" i="4" s="1"/>
  <c r="L32" i="4"/>
  <c r="K32" i="4"/>
  <c r="K31" i="4"/>
  <c r="L31" i="4" s="1"/>
  <c r="R8" i="3" s="1"/>
  <c r="L30" i="4"/>
  <c r="K30" i="4"/>
  <c r="K29" i="4"/>
  <c r="L29" i="4" s="1"/>
  <c r="L28" i="4"/>
  <c r="K28" i="4"/>
  <c r="L27" i="4"/>
  <c r="K27" i="4"/>
  <c r="L26" i="4"/>
  <c r="K26" i="4"/>
  <c r="K25" i="4"/>
  <c r="L25" i="4" s="1"/>
  <c r="L24" i="4"/>
  <c r="K24" i="4"/>
  <c r="K23" i="4"/>
  <c r="L23" i="4" s="1"/>
  <c r="L22" i="4"/>
  <c r="K22" i="4"/>
  <c r="K21" i="4"/>
  <c r="L21" i="4" s="1"/>
  <c r="L20" i="4"/>
  <c r="K20" i="4"/>
  <c r="L19" i="4"/>
  <c r="K19" i="4"/>
  <c r="L18" i="4"/>
  <c r="K18" i="4"/>
  <c r="K17" i="4"/>
  <c r="L17" i="4" s="1"/>
  <c r="L16" i="4"/>
  <c r="K16" i="4"/>
  <c r="K15" i="4"/>
  <c r="L15" i="4" s="1"/>
  <c r="L14" i="4"/>
  <c r="K14" i="4"/>
  <c r="K13" i="4"/>
  <c r="L13" i="4" s="1"/>
  <c r="L12" i="4"/>
  <c r="K12" i="4"/>
  <c r="L11" i="4"/>
  <c r="K11" i="4"/>
  <c r="L10" i="4"/>
  <c r="K10" i="4"/>
  <c r="L9" i="4"/>
  <c r="K9" i="4"/>
  <c r="L8" i="4"/>
  <c r="E11" i="11" s="1"/>
  <c r="F11" i="11" s="1"/>
  <c r="K8" i="4"/>
  <c r="K7" i="4"/>
  <c r="L7" i="4" s="1"/>
  <c r="L6" i="4"/>
  <c r="K6" i="4"/>
  <c r="K5" i="4"/>
  <c r="L5" i="4" s="1"/>
  <c r="P64" i="3"/>
  <c r="N64" i="3"/>
  <c r="M64" i="3"/>
  <c r="L64" i="3"/>
  <c r="O63" i="3"/>
  <c r="P63" i="3"/>
  <c r="N63" i="3"/>
  <c r="M63" i="3"/>
  <c r="L63" i="3"/>
  <c r="P62" i="3"/>
  <c r="N62" i="3"/>
  <c r="O62" i="3" s="1"/>
  <c r="M62" i="3"/>
  <c r="L62" i="3"/>
  <c r="P61" i="3"/>
  <c r="N61" i="3"/>
  <c r="M61" i="3"/>
  <c r="L61" i="3"/>
  <c r="P60" i="3"/>
  <c r="N60" i="3"/>
  <c r="O60" i="3" s="1"/>
  <c r="M60" i="3"/>
  <c r="L60" i="3"/>
  <c r="O59" i="3"/>
  <c r="P59" i="3"/>
  <c r="N59" i="3"/>
  <c r="M59" i="3"/>
  <c r="L59" i="3"/>
  <c r="P58" i="3"/>
  <c r="N58" i="3"/>
  <c r="M58" i="3"/>
  <c r="L58" i="3"/>
  <c r="P57" i="3"/>
  <c r="O57" i="3"/>
  <c r="N57" i="3"/>
  <c r="M57" i="3"/>
  <c r="L57" i="3"/>
  <c r="P56" i="3"/>
  <c r="N56" i="3"/>
  <c r="M56" i="3"/>
  <c r="L56" i="3"/>
  <c r="O55" i="3"/>
  <c r="P55" i="3"/>
  <c r="N55" i="3"/>
  <c r="M55" i="3"/>
  <c r="L55" i="3"/>
  <c r="P54" i="3"/>
  <c r="N54" i="3"/>
  <c r="O54" i="3" s="1"/>
  <c r="M54" i="3"/>
  <c r="L54" i="3"/>
  <c r="P53" i="3"/>
  <c r="N53" i="3"/>
  <c r="M53" i="3"/>
  <c r="L53" i="3"/>
  <c r="P52" i="3"/>
  <c r="N52" i="3"/>
  <c r="O52" i="3" s="1"/>
  <c r="M52" i="3"/>
  <c r="L52" i="3"/>
  <c r="O51" i="3"/>
  <c r="P51" i="3"/>
  <c r="N51" i="3"/>
  <c r="M51" i="3"/>
  <c r="L51" i="3"/>
  <c r="P50" i="3"/>
  <c r="N50" i="3"/>
  <c r="M50" i="3"/>
  <c r="L50" i="3"/>
  <c r="P49" i="3"/>
  <c r="O49" i="3"/>
  <c r="N49" i="3"/>
  <c r="M49" i="3"/>
  <c r="L49" i="3"/>
  <c r="P48" i="3"/>
  <c r="N48" i="3"/>
  <c r="M48" i="3"/>
  <c r="L48" i="3"/>
  <c r="O47" i="3"/>
  <c r="P47" i="3"/>
  <c r="N47" i="3"/>
  <c r="M47" i="3"/>
  <c r="L47" i="3"/>
  <c r="P46" i="3"/>
  <c r="N46" i="3"/>
  <c r="O46" i="3" s="1"/>
  <c r="M46" i="3"/>
  <c r="L46" i="3"/>
  <c r="P45" i="3"/>
  <c r="N45" i="3"/>
  <c r="M45" i="3"/>
  <c r="L45" i="3"/>
  <c r="P44" i="3"/>
  <c r="N44" i="3"/>
  <c r="O44" i="3" s="1"/>
  <c r="M44" i="3"/>
  <c r="L44" i="3"/>
  <c r="O43" i="3"/>
  <c r="P43" i="3"/>
  <c r="N43" i="3"/>
  <c r="M43" i="3"/>
  <c r="L43" i="3"/>
  <c r="P42" i="3"/>
  <c r="N42" i="3"/>
  <c r="M42" i="3"/>
  <c r="L42" i="3"/>
  <c r="P41" i="3"/>
  <c r="O41" i="3"/>
  <c r="N41" i="3"/>
  <c r="M41" i="3"/>
  <c r="L41" i="3"/>
  <c r="P40" i="3"/>
  <c r="N40" i="3"/>
  <c r="M40" i="3"/>
  <c r="L40" i="3"/>
  <c r="O39" i="3"/>
  <c r="P39" i="3"/>
  <c r="N39" i="3"/>
  <c r="M39" i="3"/>
  <c r="L39" i="3"/>
  <c r="P38" i="3"/>
  <c r="N38" i="3"/>
  <c r="O38" i="3" s="1"/>
  <c r="M38" i="3"/>
  <c r="L38" i="3"/>
  <c r="P37" i="3"/>
  <c r="N37" i="3"/>
  <c r="M37" i="3"/>
  <c r="L37" i="3"/>
  <c r="P36" i="3"/>
  <c r="N36" i="3"/>
  <c r="O36" i="3" s="1"/>
  <c r="M36" i="3"/>
  <c r="L36" i="3"/>
  <c r="O35" i="3"/>
  <c r="P35" i="3"/>
  <c r="N35" i="3"/>
  <c r="M35" i="3"/>
  <c r="L35" i="3"/>
  <c r="P34" i="3"/>
  <c r="N34" i="3"/>
  <c r="M34" i="3"/>
  <c r="L34" i="3"/>
  <c r="P33" i="3"/>
  <c r="O33" i="3"/>
  <c r="N33" i="3"/>
  <c r="M33" i="3"/>
  <c r="L33" i="3"/>
  <c r="P32" i="3"/>
  <c r="N32" i="3"/>
  <c r="M32" i="3"/>
  <c r="L32" i="3"/>
  <c r="O31" i="3"/>
  <c r="P31" i="3"/>
  <c r="N31" i="3"/>
  <c r="M31" i="3"/>
  <c r="L31" i="3"/>
  <c r="P30" i="3"/>
  <c r="N30" i="3"/>
  <c r="O30" i="3" s="1"/>
  <c r="M30" i="3"/>
  <c r="L30" i="3"/>
  <c r="P29" i="3"/>
  <c r="N29" i="3"/>
  <c r="M29" i="3"/>
  <c r="L29" i="3"/>
  <c r="P28" i="3"/>
  <c r="N28" i="3"/>
  <c r="O28" i="3" s="1"/>
  <c r="M28" i="3"/>
  <c r="L28" i="3"/>
  <c r="P27" i="3"/>
  <c r="O27" i="3" s="1"/>
  <c r="N27" i="3"/>
  <c r="M27" i="3"/>
  <c r="L27" i="3"/>
  <c r="P26" i="3"/>
  <c r="O26" i="3" s="1"/>
  <c r="N26" i="3"/>
  <c r="M26" i="3"/>
  <c r="L26" i="3"/>
  <c r="P25" i="3"/>
  <c r="N25" i="3"/>
  <c r="O25" i="3" s="1"/>
  <c r="M25" i="3"/>
  <c r="L25" i="3"/>
  <c r="P24" i="3"/>
  <c r="N24" i="3"/>
  <c r="O24" i="3" s="1"/>
  <c r="M24" i="3"/>
  <c r="L24" i="3"/>
  <c r="P23" i="3"/>
  <c r="O23" i="3" s="1"/>
  <c r="N23" i="3"/>
  <c r="M23" i="3"/>
  <c r="L23" i="3"/>
  <c r="P22" i="3"/>
  <c r="O22" i="3" s="1"/>
  <c r="N22" i="3"/>
  <c r="M22" i="3"/>
  <c r="L22" i="3"/>
  <c r="P21" i="3"/>
  <c r="N21" i="3"/>
  <c r="O21" i="3" s="1"/>
  <c r="M21" i="3"/>
  <c r="L21" i="3"/>
  <c r="P20" i="3"/>
  <c r="N20" i="3"/>
  <c r="O20" i="3" s="1"/>
  <c r="M20" i="3"/>
  <c r="L20" i="3"/>
  <c r="P19" i="3"/>
  <c r="O19" i="3" s="1"/>
  <c r="N19" i="3"/>
  <c r="M19" i="3"/>
  <c r="L19" i="3"/>
  <c r="P18" i="3"/>
  <c r="O18" i="3" s="1"/>
  <c r="N18" i="3"/>
  <c r="M18" i="3"/>
  <c r="L18" i="3"/>
  <c r="P17" i="3"/>
  <c r="N17" i="3"/>
  <c r="O17" i="3" s="1"/>
  <c r="M17" i="3"/>
  <c r="L17" i="3"/>
  <c r="O16" i="3"/>
  <c r="P16" i="3"/>
  <c r="N16" i="3"/>
  <c r="M16" i="3"/>
  <c r="L16" i="3"/>
  <c r="P15" i="3"/>
  <c r="N15" i="3"/>
  <c r="M15" i="3"/>
  <c r="L15" i="3"/>
  <c r="P14" i="3"/>
  <c r="O14" i="3"/>
  <c r="N14" i="3"/>
  <c r="M14" i="3"/>
  <c r="L14" i="3"/>
  <c r="P13" i="3"/>
  <c r="N13" i="3"/>
  <c r="M13" i="3"/>
  <c r="L13" i="3"/>
  <c r="O12" i="3"/>
  <c r="P12" i="3"/>
  <c r="N12" i="3"/>
  <c r="M12" i="3"/>
  <c r="L12" i="3"/>
  <c r="P11" i="3"/>
  <c r="N11" i="3"/>
  <c r="O11" i="3" s="1"/>
  <c r="M11" i="3"/>
  <c r="L11" i="3"/>
  <c r="P10" i="3"/>
  <c r="O10" i="3"/>
  <c r="N10" i="3"/>
  <c r="M10" i="3"/>
  <c r="L10" i="3"/>
  <c r="P9" i="3"/>
  <c r="N9" i="3"/>
  <c r="O9" i="3" s="1"/>
  <c r="M9" i="3"/>
  <c r="L9" i="3"/>
  <c r="P8" i="3"/>
  <c r="N8" i="3"/>
  <c r="M8" i="3"/>
  <c r="L8" i="3"/>
  <c r="P7" i="3"/>
  <c r="N7" i="3"/>
  <c r="M7" i="3"/>
  <c r="L7" i="3"/>
  <c r="P6" i="3"/>
  <c r="O6" i="3"/>
  <c r="N6" i="3"/>
  <c r="M6" i="3"/>
  <c r="L6" i="3"/>
  <c r="P5" i="3"/>
  <c r="B10" i="17" s="1"/>
  <c r="N5" i="3"/>
  <c r="O5" i="3" s="1"/>
  <c r="M5" i="3"/>
  <c r="L5" i="3"/>
  <c r="U34" i="2"/>
  <c r="Q34" i="2"/>
  <c r="V34" i="2" s="1"/>
  <c r="W34" i="2" s="1"/>
  <c r="P34" i="2"/>
  <c r="X34" i="2" s="1"/>
  <c r="O34" i="2"/>
  <c r="M34" i="2"/>
  <c r="L34" i="2"/>
  <c r="U33" i="2"/>
  <c r="Q33" i="2"/>
  <c r="V33" i="2" s="1"/>
  <c r="W33" i="2" s="1"/>
  <c r="P33" i="2"/>
  <c r="X33" i="2" s="1"/>
  <c r="O33" i="2"/>
  <c r="M33" i="2"/>
  <c r="L33" i="2"/>
  <c r="U32" i="2"/>
  <c r="Q32" i="2"/>
  <c r="V32" i="2" s="1"/>
  <c r="W32" i="2" s="1"/>
  <c r="P32" i="2"/>
  <c r="R32" i="2" s="1"/>
  <c r="O32" i="2"/>
  <c r="M32" i="2"/>
  <c r="L32" i="2"/>
  <c r="U31" i="2"/>
  <c r="Q31" i="2"/>
  <c r="V31" i="2" s="1"/>
  <c r="W31" i="2" s="1"/>
  <c r="P31" i="2"/>
  <c r="R31" i="2" s="1"/>
  <c r="O31" i="2"/>
  <c r="M31" i="2"/>
  <c r="L31" i="2"/>
  <c r="U30" i="2"/>
  <c r="Q30" i="2"/>
  <c r="V30" i="2" s="1"/>
  <c r="W30" i="2" s="1"/>
  <c r="P30" i="2"/>
  <c r="R30" i="2" s="1"/>
  <c r="O30" i="2"/>
  <c r="M30" i="2"/>
  <c r="L30" i="2"/>
  <c r="U29" i="2"/>
  <c r="Q29" i="2"/>
  <c r="V29" i="2" s="1"/>
  <c r="W29" i="2" s="1"/>
  <c r="P29" i="2"/>
  <c r="R29" i="2" s="1"/>
  <c r="O29" i="2"/>
  <c r="M29" i="2"/>
  <c r="L29" i="2"/>
  <c r="U28" i="2"/>
  <c r="Q28" i="2"/>
  <c r="V28" i="2" s="1"/>
  <c r="W28" i="2" s="1"/>
  <c r="P28" i="2"/>
  <c r="R28" i="2" s="1"/>
  <c r="O28" i="2"/>
  <c r="M28" i="2"/>
  <c r="L28" i="2"/>
  <c r="U27" i="2"/>
  <c r="Q27" i="2"/>
  <c r="V27" i="2" s="1"/>
  <c r="W27" i="2" s="1"/>
  <c r="P27" i="2"/>
  <c r="R27" i="2" s="1"/>
  <c r="O27" i="2"/>
  <c r="M27" i="2"/>
  <c r="L27" i="2"/>
  <c r="U26" i="2"/>
  <c r="Q26" i="2"/>
  <c r="V26" i="2" s="1"/>
  <c r="W26" i="2" s="1"/>
  <c r="P26" i="2"/>
  <c r="R26" i="2" s="1"/>
  <c r="O26" i="2"/>
  <c r="M26" i="2"/>
  <c r="L26" i="2"/>
  <c r="U25" i="2"/>
  <c r="Q25" i="2"/>
  <c r="V25" i="2" s="1"/>
  <c r="W25" i="2" s="1"/>
  <c r="P25" i="2"/>
  <c r="R25" i="2" s="1"/>
  <c r="O25" i="2"/>
  <c r="M25" i="2"/>
  <c r="L25" i="2"/>
  <c r="U24" i="2"/>
  <c r="Q24" i="2"/>
  <c r="G24" i="14" s="1"/>
  <c r="P24" i="2"/>
  <c r="F24" i="14" s="1"/>
  <c r="H24" i="14" s="1"/>
  <c r="O24" i="2"/>
  <c r="M24" i="2"/>
  <c r="L24" i="2"/>
  <c r="U23" i="2"/>
  <c r="Q23" i="2"/>
  <c r="V23" i="2" s="1"/>
  <c r="W23" i="2" s="1"/>
  <c r="P23" i="2"/>
  <c r="F23" i="14" s="1"/>
  <c r="H23" i="14" s="1"/>
  <c r="O23" i="2"/>
  <c r="M23" i="2"/>
  <c r="L23" i="2"/>
  <c r="U22" i="2"/>
  <c r="Q22" i="2"/>
  <c r="G22" i="14" s="1"/>
  <c r="P22" i="2"/>
  <c r="F22" i="14" s="1"/>
  <c r="H22" i="14" s="1"/>
  <c r="O22" i="2"/>
  <c r="M22" i="2"/>
  <c r="L22" i="2"/>
  <c r="U21" i="2"/>
  <c r="Q21" i="2"/>
  <c r="V21" i="2" s="1"/>
  <c r="W21" i="2" s="1"/>
  <c r="P21" i="2"/>
  <c r="F21" i="14" s="1"/>
  <c r="H21" i="14" s="1"/>
  <c r="O21" i="2"/>
  <c r="M21" i="2"/>
  <c r="L21" i="2"/>
  <c r="U20" i="2"/>
  <c r="Q20" i="2"/>
  <c r="G20" i="14" s="1"/>
  <c r="P20" i="2"/>
  <c r="F20" i="14" s="1"/>
  <c r="H20" i="14" s="1"/>
  <c r="O20" i="2"/>
  <c r="M20" i="2"/>
  <c r="L20" i="2"/>
  <c r="U19" i="2"/>
  <c r="Q19" i="2"/>
  <c r="V19" i="2" s="1"/>
  <c r="W19" i="2" s="1"/>
  <c r="P19" i="2"/>
  <c r="F19" i="14" s="1"/>
  <c r="H19" i="14" s="1"/>
  <c r="O19" i="2"/>
  <c r="M19" i="2"/>
  <c r="L19" i="2"/>
  <c r="U18" i="2"/>
  <c r="Q18" i="2"/>
  <c r="G18" i="14" s="1"/>
  <c r="P18" i="2"/>
  <c r="F18" i="14" s="1"/>
  <c r="H18" i="14" s="1"/>
  <c r="O18" i="2"/>
  <c r="M18" i="2"/>
  <c r="L18" i="2"/>
  <c r="X17" i="2"/>
  <c r="U17" i="2"/>
  <c r="T17" i="2"/>
  <c r="Q17" i="2"/>
  <c r="V17" i="2" s="1"/>
  <c r="W17" i="2" s="1"/>
  <c r="P17" i="2"/>
  <c r="O17" i="2"/>
  <c r="M17" i="2"/>
  <c r="L17" i="2"/>
  <c r="U16" i="2"/>
  <c r="T16" i="2"/>
  <c r="Q16" i="2"/>
  <c r="G16" i="14" s="1"/>
  <c r="P16" i="2"/>
  <c r="O16" i="2"/>
  <c r="M16" i="2"/>
  <c r="L16" i="2"/>
  <c r="X15" i="2"/>
  <c r="U15" i="2"/>
  <c r="T15" i="2"/>
  <c r="Q15" i="2"/>
  <c r="V15" i="2" s="1"/>
  <c r="W15" i="2" s="1"/>
  <c r="P15" i="2"/>
  <c r="O15" i="2"/>
  <c r="M15" i="2"/>
  <c r="L15" i="2"/>
  <c r="U14" i="2"/>
  <c r="T14" i="2"/>
  <c r="Q14" i="2"/>
  <c r="G14" i="14" s="1"/>
  <c r="P14" i="2"/>
  <c r="O14" i="2"/>
  <c r="M14" i="2"/>
  <c r="L14" i="2"/>
  <c r="X13" i="2"/>
  <c r="U13" i="2"/>
  <c r="T13" i="2"/>
  <c r="Q13" i="2"/>
  <c r="V13" i="2" s="1"/>
  <c r="W13" i="2" s="1"/>
  <c r="P13" i="2"/>
  <c r="O13" i="2"/>
  <c r="M13" i="2"/>
  <c r="L13" i="2"/>
  <c r="U12" i="2"/>
  <c r="T12" i="2"/>
  <c r="Q12" i="2"/>
  <c r="G12" i="14" s="1"/>
  <c r="P12" i="2"/>
  <c r="O12" i="2"/>
  <c r="M12" i="2"/>
  <c r="L12" i="2"/>
  <c r="X11" i="2"/>
  <c r="U11" i="2"/>
  <c r="T11" i="2"/>
  <c r="Q11" i="2"/>
  <c r="V11" i="2" s="1"/>
  <c r="W11" i="2" s="1"/>
  <c r="P11" i="2"/>
  <c r="O11" i="2"/>
  <c r="M11" i="2"/>
  <c r="L11" i="2"/>
  <c r="U10" i="2"/>
  <c r="T10" i="2"/>
  <c r="Q10" i="2"/>
  <c r="G10" i="14" s="1"/>
  <c r="P10" i="2"/>
  <c r="O10" i="2"/>
  <c r="M10" i="2"/>
  <c r="L10" i="2"/>
  <c r="X9" i="2"/>
  <c r="U9" i="2"/>
  <c r="T9" i="2"/>
  <c r="Q9" i="2"/>
  <c r="V9" i="2" s="1"/>
  <c r="W9" i="2" s="1"/>
  <c r="P9" i="2"/>
  <c r="O9" i="2"/>
  <c r="M9" i="2"/>
  <c r="L9" i="2"/>
  <c r="U8" i="2"/>
  <c r="T8" i="2"/>
  <c r="Q8" i="2"/>
  <c r="G8" i="14" s="1"/>
  <c r="P8" i="2"/>
  <c r="O8" i="2"/>
  <c r="M8" i="2"/>
  <c r="L8" i="2"/>
  <c r="X7" i="2"/>
  <c r="U7" i="2"/>
  <c r="T7" i="2"/>
  <c r="Q7" i="2"/>
  <c r="V7" i="2" s="1"/>
  <c r="W7" i="2" s="1"/>
  <c r="P7" i="2"/>
  <c r="O7" i="2"/>
  <c r="M7" i="2"/>
  <c r="L7" i="2"/>
  <c r="U6" i="2"/>
  <c r="T6" i="2"/>
  <c r="Q6" i="2"/>
  <c r="G6" i="14" s="1"/>
  <c r="P6" i="2"/>
  <c r="O6" i="2"/>
  <c r="M6" i="2"/>
  <c r="L6" i="2"/>
  <c r="X5" i="2"/>
  <c r="U5" i="2"/>
  <c r="T5" i="2"/>
  <c r="Q5" i="2"/>
  <c r="V5" i="2" s="1"/>
  <c r="W5" i="2" s="1"/>
  <c r="P5" i="2"/>
  <c r="O5" i="2"/>
  <c r="M5" i="2"/>
  <c r="L5" i="2"/>
  <c r="F6" i="14" l="1"/>
  <c r="H6" i="14" s="1"/>
  <c r="R6" i="2"/>
  <c r="F8" i="14"/>
  <c r="H8" i="14" s="1"/>
  <c r="R8" i="2"/>
  <c r="F10" i="14"/>
  <c r="H10" i="14" s="1"/>
  <c r="R10" i="2"/>
  <c r="F12" i="14"/>
  <c r="H12" i="14" s="1"/>
  <c r="R12" i="2"/>
  <c r="F14" i="14"/>
  <c r="H14" i="14" s="1"/>
  <c r="R14" i="2"/>
  <c r="F16" i="14"/>
  <c r="H16" i="14" s="1"/>
  <c r="R16" i="2"/>
  <c r="O7" i="3"/>
  <c r="O13" i="3"/>
  <c r="O34" i="3"/>
  <c r="O40" i="3"/>
  <c r="O50" i="3"/>
  <c r="O56" i="3"/>
  <c r="B7" i="17"/>
  <c r="G9" i="15"/>
  <c r="G8" i="15"/>
  <c r="G6" i="15"/>
  <c r="G5" i="15"/>
  <c r="G7" i="15"/>
  <c r="B6" i="10"/>
  <c r="D19" i="10"/>
  <c r="R5" i="3"/>
  <c r="R19" i="3"/>
  <c r="R22" i="3"/>
  <c r="R26" i="3"/>
  <c r="R32" i="3"/>
  <c r="R35" i="3"/>
  <c r="R39" i="3"/>
  <c r="R45" i="3"/>
  <c r="R48" i="3"/>
  <c r="R49" i="3"/>
  <c r="R52" i="3"/>
  <c r="R55" i="3"/>
  <c r="R61" i="3"/>
  <c r="D10" i="17"/>
  <c r="C7" i="17"/>
  <c r="D20" i="10"/>
  <c r="R6" i="3"/>
  <c r="R36" i="3"/>
  <c r="R50" i="3"/>
  <c r="R56" i="3"/>
  <c r="R14" i="3"/>
  <c r="R17" i="3"/>
  <c r="E13" i="11"/>
  <c r="F13" i="11" s="1"/>
  <c r="F5" i="14"/>
  <c r="H5" i="14" s="1"/>
  <c r="R5" i="2"/>
  <c r="X6" i="2"/>
  <c r="F7" i="14"/>
  <c r="H7" i="14" s="1"/>
  <c r="J7" i="14" s="1"/>
  <c r="L7" i="14" s="1"/>
  <c r="R7" i="2"/>
  <c r="X8" i="2"/>
  <c r="F9" i="14"/>
  <c r="H9" i="14" s="1"/>
  <c r="J9" i="14" s="1"/>
  <c r="L9" i="14" s="1"/>
  <c r="R9" i="2"/>
  <c r="X10" i="2"/>
  <c r="F11" i="14"/>
  <c r="H11" i="14" s="1"/>
  <c r="J11" i="14" s="1"/>
  <c r="L11" i="14" s="1"/>
  <c r="R11" i="2"/>
  <c r="X12" i="2"/>
  <c r="E16" i="11" s="1"/>
  <c r="F16" i="11" s="1"/>
  <c r="F13" i="14"/>
  <c r="H13" i="14" s="1"/>
  <c r="R13" i="2"/>
  <c r="X14" i="2"/>
  <c r="F15" i="14"/>
  <c r="H15" i="14" s="1"/>
  <c r="J15" i="14" s="1"/>
  <c r="L15" i="14" s="1"/>
  <c r="R15" i="2"/>
  <c r="X16" i="2"/>
  <c r="F17" i="14"/>
  <c r="H17" i="14" s="1"/>
  <c r="J17" i="14" s="1"/>
  <c r="L17" i="14" s="1"/>
  <c r="R17" i="2"/>
  <c r="F10" i="17"/>
  <c r="O15" i="3"/>
  <c r="O32" i="3"/>
  <c r="O42" i="3"/>
  <c r="O48" i="3"/>
  <c r="O58" i="3"/>
  <c r="O64" i="3"/>
  <c r="R7" i="3"/>
  <c r="R15" i="3"/>
  <c r="R18" i="3"/>
  <c r="R23" i="3"/>
  <c r="R27" i="3"/>
  <c r="R33" i="3"/>
  <c r="R37" i="3"/>
  <c r="R51" i="3"/>
  <c r="R53" i="3"/>
  <c r="R57" i="3"/>
  <c r="R59" i="3"/>
  <c r="R60" i="3"/>
  <c r="E10" i="17"/>
  <c r="L7" i="5"/>
  <c r="K8" i="5"/>
  <c r="J9" i="5"/>
  <c r="C8" i="17"/>
  <c r="E20" i="10"/>
  <c r="L11" i="5"/>
  <c r="K12" i="5"/>
  <c r="J13" i="5"/>
  <c r="L15" i="5"/>
  <c r="J17" i="5"/>
  <c r="L19" i="5"/>
  <c r="K20" i="5"/>
  <c r="J21" i="5"/>
  <c r="L23" i="5"/>
  <c r="K24" i="5"/>
  <c r="J25" i="5"/>
  <c r="L27" i="5"/>
  <c r="K28" i="5"/>
  <c r="L31" i="5"/>
  <c r="L32" i="5"/>
  <c r="L34" i="5"/>
  <c r="L35" i="5"/>
  <c r="L36" i="5"/>
  <c r="L38" i="5"/>
  <c r="L39" i="5"/>
  <c r="L40" i="5"/>
  <c r="L42" i="5"/>
  <c r="L43" i="5"/>
  <c r="L44" i="5"/>
  <c r="L46" i="5"/>
  <c r="L47" i="5"/>
  <c r="L48" i="5"/>
  <c r="L50" i="5"/>
  <c r="L51" i="5"/>
  <c r="L52" i="5"/>
  <c r="L54" i="5"/>
  <c r="L55" i="5"/>
  <c r="L56" i="5"/>
  <c r="J59" i="5"/>
  <c r="K59" i="5"/>
  <c r="I64" i="5"/>
  <c r="J64" i="5"/>
  <c r="J75" i="5"/>
  <c r="K75" i="5"/>
  <c r="I80" i="5"/>
  <c r="J80" i="5"/>
  <c r="J91" i="5"/>
  <c r="K91" i="5"/>
  <c r="I96" i="5"/>
  <c r="J96" i="5"/>
  <c r="J107" i="5"/>
  <c r="K107" i="5"/>
  <c r="I112" i="5"/>
  <c r="J112" i="5"/>
  <c r="J123" i="5"/>
  <c r="K123" i="5"/>
  <c r="I162" i="5"/>
  <c r="K162" i="5"/>
  <c r="L162" i="5"/>
  <c r="I166" i="5"/>
  <c r="K166" i="5"/>
  <c r="J166" i="5"/>
  <c r="L166" i="5"/>
  <c r="K184" i="5"/>
  <c r="J184" i="5"/>
  <c r="L184" i="5"/>
  <c r="K188" i="5"/>
  <c r="J188" i="5"/>
  <c r="I188" i="5"/>
  <c r="L188" i="5"/>
  <c r="J205" i="5"/>
  <c r="K205" i="5"/>
  <c r="L205" i="5"/>
  <c r="J209" i="5"/>
  <c r="K209" i="5"/>
  <c r="I209" i="5"/>
  <c r="L209" i="5"/>
  <c r="I226" i="5"/>
  <c r="K226" i="5"/>
  <c r="L226" i="5"/>
  <c r="I230" i="5"/>
  <c r="K230" i="5"/>
  <c r="J230" i="5"/>
  <c r="L230" i="5"/>
  <c r="I253" i="5"/>
  <c r="L253" i="5"/>
  <c r="J253" i="5"/>
  <c r="K253" i="5"/>
  <c r="T18" i="2"/>
  <c r="X18" i="2"/>
  <c r="T31" i="2"/>
  <c r="X31" i="2"/>
  <c r="T32" i="2"/>
  <c r="X32" i="2"/>
  <c r="T33" i="2"/>
  <c r="T34" i="2"/>
  <c r="D7" i="17"/>
  <c r="D21" i="10"/>
  <c r="E7" i="17"/>
  <c r="D22" i="10"/>
  <c r="F7" i="17"/>
  <c r="D23" i="10"/>
  <c r="L8" i="5"/>
  <c r="L12" i="5"/>
  <c r="D8" i="17"/>
  <c r="E21" i="10"/>
  <c r="L16" i="5"/>
  <c r="L20" i="5"/>
  <c r="L24" i="5"/>
  <c r="L28" i="5"/>
  <c r="J63" i="5"/>
  <c r="K63" i="5"/>
  <c r="I68" i="5"/>
  <c r="J68" i="5"/>
  <c r="J79" i="5"/>
  <c r="K79" i="5"/>
  <c r="I84" i="5"/>
  <c r="J84" i="5"/>
  <c r="J95" i="5"/>
  <c r="K95" i="5"/>
  <c r="I100" i="5"/>
  <c r="J100" i="5"/>
  <c r="J111" i="5"/>
  <c r="K111" i="5"/>
  <c r="I116" i="5"/>
  <c r="J116" i="5"/>
  <c r="J125" i="5"/>
  <c r="I125" i="5"/>
  <c r="K125" i="5"/>
  <c r="K128" i="5"/>
  <c r="I128" i="5"/>
  <c r="J128" i="5"/>
  <c r="I130" i="5"/>
  <c r="J130" i="5"/>
  <c r="K130" i="5"/>
  <c r="J133" i="5"/>
  <c r="I133" i="5"/>
  <c r="K133" i="5"/>
  <c r="K136" i="5"/>
  <c r="I136" i="5"/>
  <c r="J136" i="5"/>
  <c r="I138" i="5"/>
  <c r="J138" i="5"/>
  <c r="K138" i="5"/>
  <c r="J141" i="5"/>
  <c r="I141" i="5"/>
  <c r="K141" i="5"/>
  <c r="K144" i="5"/>
  <c r="I144" i="5"/>
  <c r="J144" i="5"/>
  <c r="I146" i="5"/>
  <c r="J146" i="5"/>
  <c r="K146" i="5"/>
  <c r="J149" i="5"/>
  <c r="I149" i="5"/>
  <c r="K149" i="5"/>
  <c r="K152" i="5"/>
  <c r="I152" i="5"/>
  <c r="J152" i="5"/>
  <c r="I154" i="5"/>
  <c r="J154" i="5"/>
  <c r="K154" i="5"/>
  <c r="J157" i="5"/>
  <c r="I157" i="5"/>
  <c r="K157" i="5"/>
  <c r="E19" i="11" s="1"/>
  <c r="F19" i="11" s="1"/>
  <c r="K160" i="5"/>
  <c r="I160" i="5"/>
  <c r="J160" i="5"/>
  <c r="K168" i="5"/>
  <c r="J168" i="5"/>
  <c r="L168" i="5"/>
  <c r="K172" i="5"/>
  <c r="J172" i="5"/>
  <c r="I172" i="5"/>
  <c r="L172" i="5"/>
  <c r="J189" i="5"/>
  <c r="K189" i="5"/>
  <c r="L189" i="5"/>
  <c r="J193" i="5"/>
  <c r="K193" i="5"/>
  <c r="I193" i="5"/>
  <c r="L193" i="5"/>
  <c r="I210" i="5"/>
  <c r="K210" i="5"/>
  <c r="L210" i="5"/>
  <c r="I214" i="5"/>
  <c r="K214" i="5"/>
  <c r="J214" i="5"/>
  <c r="L214" i="5"/>
  <c r="K236" i="5"/>
  <c r="J236" i="5"/>
  <c r="I236" i="5"/>
  <c r="L236" i="5"/>
  <c r="I249" i="5"/>
  <c r="L249" i="5"/>
  <c r="K249" i="5"/>
  <c r="J249" i="5"/>
  <c r="J260" i="5"/>
  <c r="L260" i="5"/>
  <c r="K260" i="5"/>
  <c r="I260" i="5"/>
  <c r="T19" i="2"/>
  <c r="X19" i="2"/>
  <c r="T21" i="2"/>
  <c r="X21" i="2"/>
  <c r="T23" i="2"/>
  <c r="X23" i="2"/>
  <c r="T25" i="2"/>
  <c r="X25" i="2"/>
  <c r="T27" i="2"/>
  <c r="X27" i="2"/>
  <c r="T29" i="2"/>
  <c r="X29" i="2"/>
  <c r="B8" i="17"/>
  <c r="E6" i="18"/>
  <c r="E18" i="11"/>
  <c r="F18" i="11" s="1"/>
  <c r="E14" i="11"/>
  <c r="F14" i="11" s="1"/>
  <c r="E19" i="10"/>
  <c r="L5" i="5"/>
  <c r="I8" i="5"/>
  <c r="L9" i="5"/>
  <c r="I12" i="5"/>
  <c r="L13" i="5"/>
  <c r="I16" i="5"/>
  <c r="L17" i="5"/>
  <c r="I20" i="5"/>
  <c r="L21" i="5"/>
  <c r="I24" i="5"/>
  <c r="L25" i="5"/>
  <c r="I28" i="5"/>
  <c r="F8" i="17"/>
  <c r="E23" i="10"/>
  <c r="L29" i="5"/>
  <c r="J32" i="5"/>
  <c r="I34" i="5"/>
  <c r="I35" i="5"/>
  <c r="J36" i="5"/>
  <c r="I38" i="5"/>
  <c r="I39" i="5"/>
  <c r="J40" i="5"/>
  <c r="I42" i="5"/>
  <c r="I43" i="5"/>
  <c r="J44" i="5"/>
  <c r="I46" i="5"/>
  <c r="I47" i="5"/>
  <c r="J48" i="5"/>
  <c r="I50" i="5"/>
  <c r="I51" i="5"/>
  <c r="J52" i="5"/>
  <c r="I54" i="5"/>
  <c r="I55" i="5"/>
  <c r="J56" i="5"/>
  <c r="I63" i="5"/>
  <c r="J67" i="5"/>
  <c r="K67" i="5"/>
  <c r="K68" i="5"/>
  <c r="I72" i="5"/>
  <c r="J72" i="5"/>
  <c r="I79" i="5"/>
  <c r="J83" i="5"/>
  <c r="K83" i="5"/>
  <c r="K84" i="5"/>
  <c r="I88" i="5"/>
  <c r="J88" i="5"/>
  <c r="J99" i="5"/>
  <c r="K99" i="5"/>
  <c r="K100" i="5"/>
  <c r="I104" i="5"/>
  <c r="J104" i="5"/>
  <c r="J115" i="5"/>
  <c r="K115" i="5"/>
  <c r="I120" i="5"/>
  <c r="J120" i="5"/>
  <c r="L157" i="5"/>
  <c r="L160" i="5"/>
  <c r="I168" i="5"/>
  <c r="J173" i="5"/>
  <c r="K173" i="5"/>
  <c r="L173" i="5"/>
  <c r="J177" i="5"/>
  <c r="K177" i="5"/>
  <c r="I177" i="5"/>
  <c r="L177" i="5"/>
  <c r="I189" i="5"/>
  <c r="I194" i="5"/>
  <c r="K194" i="5"/>
  <c r="L194" i="5"/>
  <c r="I198" i="5"/>
  <c r="K198" i="5"/>
  <c r="J198" i="5"/>
  <c r="L198" i="5"/>
  <c r="J210" i="5"/>
  <c r="K216" i="5"/>
  <c r="J216" i="5"/>
  <c r="L216" i="5"/>
  <c r="K220" i="5"/>
  <c r="J220" i="5"/>
  <c r="I220" i="5"/>
  <c r="L220" i="5"/>
  <c r="J241" i="5"/>
  <c r="K241" i="5"/>
  <c r="I241" i="5"/>
  <c r="L241" i="5"/>
  <c r="T20" i="2"/>
  <c r="X20" i="2"/>
  <c r="T22" i="2"/>
  <c r="X22" i="2"/>
  <c r="T24" i="2"/>
  <c r="X24" i="2"/>
  <c r="T26" i="2"/>
  <c r="X26" i="2"/>
  <c r="T28" i="2"/>
  <c r="X28" i="2"/>
  <c r="T30" i="2"/>
  <c r="X30" i="2"/>
  <c r="C10" i="17"/>
  <c r="O8" i="3"/>
  <c r="V6" i="2"/>
  <c r="W6" i="2" s="1"/>
  <c r="V8" i="2"/>
  <c r="W8" i="2" s="1"/>
  <c r="V10" i="2"/>
  <c r="W10" i="2" s="1"/>
  <c r="V12" i="2"/>
  <c r="W12" i="2" s="1"/>
  <c r="V14" i="2"/>
  <c r="W14" i="2" s="1"/>
  <c r="V16" i="2"/>
  <c r="W16" i="2" s="1"/>
  <c r="R18" i="2"/>
  <c r="V18" i="2"/>
  <c r="W18" i="2" s="1"/>
  <c r="R19" i="2"/>
  <c r="R20" i="2"/>
  <c r="V20" i="2"/>
  <c r="W20" i="2" s="1"/>
  <c r="R21" i="2"/>
  <c r="R22" i="2"/>
  <c r="V22" i="2"/>
  <c r="W22" i="2" s="1"/>
  <c r="R23" i="2"/>
  <c r="R24" i="2"/>
  <c r="V24" i="2"/>
  <c r="W24" i="2" s="1"/>
  <c r="R33" i="2"/>
  <c r="R34" i="2"/>
  <c r="E12" i="11"/>
  <c r="F12" i="11" s="1"/>
  <c r="I5" i="5"/>
  <c r="K11" i="5"/>
  <c r="J16" i="5"/>
  <c r="E8" i="17"/>
  <c r="E22" i="10"/>
  <c r="L22" i="5"/>
  <c r="I29" i="5"/>
  <c r="K32" i="5"/>
  <c r="J34" i="5"/>
  <c r="K35" i="5"/>
  <c r="K36" i="5"/>
  <c r="J38" i="5"/>
  <c r="K39" i="5"/>
  <c r="K40" i="5"/>
  <c r="J42" i="5"/>
  <c r="K43" i="5"/>
  <c r="K44" i="5"/>
  <c r="J46" i="5"/>
  <c r="K47" i="5"/>
  <c r="K48" i="5"/>
  <c r="J50" i="5"/>
  <c r="K51" i="5"/>
  <c r="K52" i="5"/>
  <c r="J54" i="5"/>
  <c r="K55" i="5"/>
  <c r="K56" i="5"/>
  <c r="I60" i="5"/>
  <c r="J60" i="5"/>
  <c r="L63" i="5"/>
  <c r="I67" i="5"/>
  <c r="L68" i="5"/>
  <c r="J71" i="5"/>
  <c r="K71" i="5"/>
  <c r="K72" i="5"/>
  <c r="I76" i="5"/>
  <c r="J76" i="5"/>
  <c r="L79" i="5"/>
  <c r="I83" i="5"/>
  <c r="L84" i="5"/>
  <c r="J87" i="5"/>
  <c r="K87" i="5"/>
  <c r="K88" i="5"/>
  <c r="I92" i="5"/>
  <c r="J92" i="5"/>
  <c r="L95" i="5"/>
  <c r="I99" i="5"/>
  <c r="L100" i="5"/>
  <c r="J103" i="5"/>
  <c r="K103" i="5"/>
  <c r="K104" i="5"/>
  <c r="I108" i="5"/>
  <c r="J108" i="5"/>
  <c r="L111" i="5"/>
  <c r="I115" i="5"/>
  <c r="L116" i="5"/>
  <c r="J119" i="5"/>
  <c r="K119" i="5"/>
  <c r="K120" i="5"/>
  <c r="K124" i="5"/>
  <c r="I124" i="5"/>
  <c r="J124" i="5"/>
  <c r="I126" i="5"/>
  <c r="J126" i="5"/>
  <c r="K126" i="5"/>
  <c r="J129" i="5"/>
  <c r="I129" i="5"/>
  <c r="K129" i="5"/>
  <c r="K132" i="5"/>
  <c r="I132" i="5"/>
  <c r="J132" i="5"/>
  <c r="I134" i="5"/>
  <c r="J134" i="5"/>
  <c r="K134" i="5"/>
  <c r="J137" i="5"/>
  <c r="I137" i="5"/>
  <c r="K137" i="5"/>
  <c r="K140" i="5"/>
  <c r="I140" i="5"/>
  <c r="J140" i="5"/>
  <c r="I142" i="5"/>
  <c r="J142" i="5"/>
  <c r="K142" i="5"/>
  <c r="J145" i="5"/>
  <c r="I145" i="5"/>
  <c r="K145" i="5"/>
  <c r="K148" i="5"/>
  <c r="I148" i="5"/>
  <c r="J148" i="5"/>
  <c r="I150" i="5"/>
  <c r="J150" i="5"/>
  <c r="K150" i="5"/>
  <c r="J153" i="5"/>
  <c r="I153" i="5"/>
  <c r="K153" i="5"/>
  <c r="K156" i="5"/>
  <c r="I156" i="5"/>
  <c r="J156" i="5"/>
  <c r="I158" i="5"/>
  <c r="J158" i="5"/>
  <c r="B8" i="10" s="1"/>
  <c r="K158" i="5"/>
  <c r="J161" i="5"/>
  <c r="K161" i="5"/>
  <c r="I161" i="5"/>
  <c r="L161" i="5"/>
  <c r="I173" i="5"/>
  <c r="I178" i="5"/>
  <c r="K178" i="5"/>
  <c r="L178" i="5"/>
  <c r="I182" i="5"/>
  <c r="K182" i="5"/>
  <c r="J182" i="5"/>
  <c r="L182" i="5"/>
  <c r="J194" i="5"/>
  <c r="K200" i="5"/>
  <c r="J200" i="5"/>
  <c r="L200" i="5"/>
  <c r="K204" i="5"/>
  <c r="J204" i="5"/>
  <c r="I204" i="5"/>
  <c r="L204" i="5"/>
  <c r="I216" i="5"/>
  <c r="J221" i="5"/>
  <c r="K221" i="5"/>
  <c r="L221" i="5"/>
  <c r="J225" i="5"/>
  <c r="K225" i="5"/>
  <c r="I225" i="5"/>
  <c r="L225" i="5"/>
  <c r="I245" i="5"/>
  <c r="L245" i="5"/>
  <c r="J245" i="5"/>
  <c r="K245" i="5"/>
  <c r="J256" i="5"/>
  <c r="L256" i="5"/>
  <c r="I256" i="5"/>
  <c r="K256" i="5"/>
  <c r="L58" i="5"/>
  <c r="L62" i="5"/>
  <c r="L66" i="5"/>
  <c r="L70" i="5"/>
  <c r="L74" i="5"/>
  <c r="L78" i="5"/>
  <c r="L82" i="5"/>
  <c r="L86" i="5"/>
  <c r="L90" i="5"/>
  <c r="L94" i="5"/>
  <c r="L98" i="5"/>
  <c r="L102" i="5"/>
  <c r="L106" i="5"/>
  <c r="L110" i="5"/>
  <c r="L114" i="5"/>
  <c r="L118" i="5"/>
  <c r="L122" i="5"/>
  <c r="K164" i="5"/>
  <c r="J164" i="5"/>
  <c r="J169" i="5"/>
  <c r="K169" i="5"/>
  <c r="I174" i="5"/>
  <c r="K174" i="5"/>
  <c r="K180" i="5"/>
  <c r="J180" i="5"/>
  <c r="J185" i="5"/>
  <c r="K185" i="5"/>
  <c r="I190" i="5"/>
  <c r="K190" i="5"/>
  <c r="K196" i="5"/>
  <c r="J196" i="5"/>
  <c r="J201" i="5"/>
  <c r="K201" i="5"/>
  <c r="I206" i="5"/>
  <c r="K206" i="5"/>
  <c r="K212" i="5"/>
  <c r="J212" i="5"/>
  <c r="J217" i="5"/>
  <c r="K217" i="5"/>
  <c r="I222" i="5"/>
  <c r="K222" i="5"/>
  <c r="K228" i="5"/>
  <c r="J228" i="5"/>
  <c r="J233" i="5"/>
  <c r="K233" i="5"/>
  <c r="I238" i="5"/>
  <c r="K238" i="5"/>
  <c r="J244" i="5"/>
  <c r="L244" i="5"/>
  <c r="K244" i="5"/>
  <c r="J248" i="5"/>
  <c r="L248" i="5"/>
  <c r="I248" i="5"/>
  <c r="K251" i="5"/>
  <c r="L251" i="5"/>
  <c r="K255" i="5"/>
  <c r="L255" i="5"/>
  <c r="J255" i="5"/>
  <c r="K259" i="5"/>
  <c r="L259" i="5"/>
  <c r="I259" i="5"/>
  <c r="I261" i="5"/>
  <c r="L261" i="5"/>
  <c r="I265" i="5"/>
  <c r="L265" i="5"/>
  <c r="K265" i="5"/>
  <c r="I269" i="5"/>
  <c r="L269" i="5"/>
  <c r="J269" i="5"/>
  <c r="J272" i="5"/>
  <c r="L272" i="5"/>
  <c r="J276" i="5"/>
  <c r="L276" i="5"/>
  <c r="K276" i="5"/>
  <c r="J280" i="5"/>
  <c r="L280" i="5"/>
  <c r="I280" i="5"/>
  <c r="K283" i="5"/>
  <c r="L283" i="5"/>
  <c r="K232" i="5"/>
  <c r="J232" i="5"/>
  <c r="J237" i="5"/>
  <c r="K237" i="5"/>
  <c r="I242" i="5"/>
  <c r="K242" i="5"/>
  <c r="E8" i="18"/>
  <c r="B9" i="17"/>
  <c r="F5" i="8"/>
  <c r="H5" i="8" s="1"/>
  <c r="E5" i="8"/>
  <c r="E9" i="17"/>
  <c r="F8" i="8"/>
  <c r="H8" i="8" s="1"/>
  <c r="E8" i="8"/>
  <c r="J264" i="5"/>
  <c r="L264" i="5"/>
  <c r="I264" i="5"/>
  <c r="K267" i="5"/>
  <c r="L267" i="5"/>
  <c r="K271" i="5"/>
  <c r="L271" i="5"/>
  <c r="J271" i="5"/>
  <c r="K275" i="5"/>
  <c r="L275" i="5"/>
  <c r="I275" i="5"/>
  <c r="I277" i="5"/>
  <c r="L277" i="5"/>
  <c r="I281" i="5"/>
  <c r="L281" i="5"/>
  <c r="K281" i="5"/>
  <c r="I285" i="5"/>
  <c r="L285" i="5"/>
  <c r="J285" i="5"/>
  <c r="J165" i="5"/>
  <c r="K165" i="5"/>
  <c r="I170" i="5"/>
  <c r="K170" i="5"/>
  <c r="K176" i="5"/>
  <c r="J176" i="5"/>
  <c r="J181" i="5"/>
  <c r="K181" i="5"/>
  <c r="I186" i="5"/>
  <c r="K186" i="5"/>
  <c r="K192" i="5"/>
  <c r="J192" i="5"/>
  <c r="J197" i="5"/>
  <c r="K197" i="5"/>
  <c r="I202" i="5"/>
  <c r="K202" i="5"/>
  <c r="K208" i="5"/>
  <c r="J208" i="5"/>
  <c r="J213" i="5"/>
  <c r="K213" i="5"/>
  <c r="I218" i="5"/>
  <c r="K218" i="5"/>
  <c r="K224" i="5"/>
  <c r="J224" i="5"/>
  <c r="J229" i="5"/>
  <c r="K229" i="5"/>
  <c r="L232" i="5"/>
  <c r="I234" i="5"/>
  <c r="K234" i="5"/>
  <c r="L237" i="5"/>
  <c r="K240" i="5"/>
  <c r="J240" i="5"/>
  <c r="L242" i="5"/>
  <c r="K264" i="5"/>
  <c r="I267" i="5"/>
  <c r="I271" i="5"/>
  <c r="J275" i="5"/>
  <c r="J277" i="5"/>
  <c r="J281" i="5"/>
  <c r="K285" i="5"/>
  <c r="K247" i="5"/>
  <c r="L247" i="5"/>
  <c r="J252" i="5"/>
  <c r="L252" i="5"/>
  <c r="I257" i="5"/>
  <c r="L257" i="5"/>
  <c r="K263" i="5"/>
  <c r="L263" i="5"/>
  <c r="J268" i="5"/>
  <c r="L268" i="5"/>
  <c r="I273" i="5"/>
  <c r="L273" i="5"/>
  <c r="K279" i="5"/>
  <c r="L279" i="5"/>
  <c r="J284" i="5"/>
  <c r="L284" i="5"/>
  <c r="D7" i="8"/>
  <c r="F9" i="17"/>
  <c r="F9" i="8"/>
  <c r="H9" i="8" s="1"/>
  <c r="E9" i="8"/>
  <c r="F13" i="8"/>
  <c r="H13" i="8" s="1"/>
  <c r="E13" i="8"/>
  <c r="E6" i="14"/>
  <c r="E11" i="14"/>
  <c r="E15" i="14"/>
  <c r="E21" i="14"/>
  <c r="J21" i="14" s="1"/>
  <c r="L21" i="14" s="1"/>
  <c r="I7" i="14"/>
  <c r="I10" i="14"/>
  <c r="J10" i="14"/>
  <c r="L10" i="14" s="1"/>
  <c r="I14" i="14"/>
  <c r="J14" i="14" s="1"/>
  <c r="L14" i="14" s="1"/>
  <c r="E16" i="14"/>
  <c r="E5" i="14"/>
  <c r="I9" i="14"/>
  <c r="E14" i="14"/>
  <c r="I19" i="14"/>
  <c r="J19" i="14" s="1"/>
  <c r="L19" i="14" s="1"/>
  <c r="E7" i="14"/>
  <c r="E20" i="14"/>
  <c r="J20" i="14" s="1"/>
  <c r="L20" i="14" s="1"/>
  <c r="I15" i="14"/>
  <c r="E22" i="14"/>
  <c r="E23" i="14"/>
  <c r="I23" i="14"/>
  <c r="J23" i="14" s="1"/>
  <c r="L23" i="14" s="1"/>
  <c r="D6" i="8"/>
  <c r="I6" i="14"/>
  <c r="J6" i="14" s="1"/>
  <c r="L6" i="14" s="1"/>
  <c r="E8" i="14"/>
  <c r="E12" i="14"/>
  <c r="E13" i="14"/>
  <c r="E19" i="14"/>
  <c r="I22" i="14"/>
  <c r="J22" i="14"/>
  <c r="L22" i="14" s="1"/>
  <c r="E24" i="14"/>
  <c r="J24" i="14" s="1"/>
  <c r="L24" i="14" s="1"/>
  <c r="E9" i="14"/>
  <c r="E10" i="14"/>
  <c r="E17" i="14"/>
  <c r="E18" i="14"/>
  <c r="J18" i="14" s="1"/>
  <c r="L18" i="14" s="1"/>
  <c r="C5" i="14"/>
  <c r="G5" i="14"/>
  <c r="C7" i="14"/>
  <c r="G7" i="14"/>
  <c r="C9" i="14"/>
  <c r="G9" i="14"/>
  <c r="C11" i="14"/>
  <c r="G11" i="14"/>
  <c r="C13" i="14"/>
  <c r="G13" i="14"/>
  <c r="C15" i="14"/>
  <c r="G15" i="14"/>
  <c r="C17" i="14"/>
  <c r="G17" i="14"/>
  <c r="C19" i="14"/>
  <c r="G19" i="14"/>
  <c r="C21" i="14"/>
  <c r="G21" i="14"/>
  <c r="C23" i="14"/>
  <c r="G23" i="14"/>
  <c r="G6" i="17"/>
  <c r="G10" i="17" l="1"/>
  <c r="H10" i="17"/>
  <c r="M6" i="14"/>
  <c r="N6" i="14"/>
  <c r="M19" i="14"/>
  <c r="N19" i="14"/>
  <c r="M23" i="14"/>
  <c r="N23" i="14"/>
  <c r="M20" i="14"/>
  <c r="N20" i="14"/>
  <c r="M18" i="14"/>
  <c r="N18" i="14"/>
  <c r="M24" i="14"/>
  <c r="N24" i="14"/>
  <c r="M14" i="14"/>
  <c r="N14" i="14"/>
  <c r="M21" i="14"/>
  <c r="N21" i="14"/>
  <c r="M15" i="14"/>
  <c r="N15" i="14"/>
  <c r="M9" i="14"/>
  <c r="N9" i="14"/>
  <c r="M7" i="14"/>
  <c r="N7" i="14"/>
  <c r="D9" i="13"/>
  <c r="D8" i="10"/>
  <c r="M17" i="14"/>
  <c r="N17" i="14"/>
  <c r="J13" i="14"/>
  <c r="L13" i="14" s="1"/>
  <c r="M11" i="14"/>
  <c r="N11" i="14"/>
  <c r="J5" i="14"/>
  <c r="L5" i="14" s="1"/>
  <c r="G8" i="17"/>
  <c r="H8" i="17"/>
  <c r="D7" i="13"/>
  <c r="D6" i="10"/>
  <c r="K8" i="15"/>
  <c r="J8" i="15"/>
  <c r="J7" i="15"/>
  <c r="K7" i="15"/>
  <c r="K9" i="15"/>
  <c r="J9" i="15"/>
  <c r="M10" i="14"/>
  <c r="N10" i="14"/>
  <c r="J5" i="15"/>
  <c r="C14" i="15"/>
  <c r="K5" i="15"/>
  <c r="H7" i="17"/>
  <c r="G7" i="17"/>
  <c r="B7" i="10"/>
  <c r="M22" i="14"/>
  <c r="N22" i="14"/>
  <c r="C9" i="17"/>
  <c r="G9" i="17" s="1"/>
  <c r="F6" i="8"/>
  <c r="H6" i="8" s="1"/>
  <c r="E20" i="11" s="1"/>
  <c r="F20" i="11" s="1"/>
  <c r="E6" i="8"/>
  <c r="D9" i="17"/>
  <c r="F7" i="8"/>
  <c r="H7" i="8" s="1"/>
  <c r="E7" i="8"/>
  <c r="B11" i="10"/>
  <c r="E21" i="11"/>
  <c r="F21" i="11" s="1"/>
  <c r="E17" i="11"/>
  <c r="F17" i="11" s="1"/>
  <c r="E3" i="11" s="1"/>
  <c r="J6" i="15"/>
  <c r="K6" i="15"/>
  <c r="J16" i="14"/>
  <c r="L16" i="14" s="1"/>
  <c r="J12" i="14"/>
  <c r="L12" i="14" s="1"/>
  <c r="J8" i="14"/>
  <c r="L8" i="14" s="1"/>
  <c r="E9" i="18" l="1"/>
  <c r="F3" i="11"/>
  <c r="D8" i="13"/>
  <c r="D7" i="10"/>
  <c r="H9" i="17"/>
  <c r="M13" i="14"/>
  <c r="N13" i="14"/>
  <c r="M16" i="14"/>
  <c r="N16" i="14"/>
  <c r="C17" i="15"/>
  <c r="M5" i="14"/>
  <c r="E5" i="18" s="1"/>
  <c r="N5" i="14"/>
  <c r="M12" i="14"/>
  <c r="N12" i="14"/>
  <c r="B13" i="10"/>
  <c r="M8" i="14"/>
  <c r="N8" i="14"/>
  <c r="D11" i="10"/>
  <c r="D11" i="13"/>
  <c r="D10" i="13" l="1"/>
  <c r="D13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<sst xmlns="http://schemas.openxmlformats.org/spreadsheetml/2006/main" count="7542" uniqueCount="1580">
  <si>
    <t>NEURAL - SkillsMapAero - Parametres</t>
  </si>
  <si>
    <t>Configuration de reference de l'agent</t>
  </si>
  <si>
    <t>REFERENTIEL D'ENTREPRISE</t>
  </si>
  <si>
    <t>Parametre</t>
  </si>
  <si>
    <t>Valeur</t>
  </si>
  <si>
    <t>Description</t>
  </si>
  <si>
    <t>Nom de l'entreprise</t>
  </si>
  <si>
    <t>Safran Aircraft Engines</t>
  </si>
  <si>
    <t>Reference d'entreprise</t>
  </si>
  <si>
    <t>Code entreprise</t>
  </si>
  <si>
    <t>SAF-AE</t>
  </si>
  <si>
    <t>Identifiant interne</t>
  </si>
  <si>
    <t>Secteur</t>
  </si>
  <si>
    <t>Aeronautique - Moteurs</t>
  </si>
  <si>
    <t>Activite principale</t>
  </si>
  <si>
    <t>Agrement EASA PART 21</t>
  </si>
  <si>
    <t>FR.21G.0049</t>
  </si>
  <si>
    <t>Numero d'agrement production</t>
  </si>
  <si>
    <t>Date de reference</t>
  </si>
  <si>
    <t>02/04/2026</t>
  </si>
  <si>
    <t>Date de calcul</t>
  </si>
  <si>
    <t>Exercice</t>
  </si>
  <si>
    <t>Annee de pilotage</t>
  </si>
  <si>
    <t>Niveau minimum requis</t>
  </si>
  <si>
    <t>Seuil de conformite</t>
  </si>
  <si>
    <t>Taux de couverture cible</t>
  </si>
  <si>
    <t>Objectif global</t>
  </si>
  <si>
    <t>Nb minimum titulaires competence critique</t>
  </si>
  <si>
    <t>Seuil d'alerte</t>
  </si>
  <si>
    <t>Objectif polyvalence</t>
  </si>
  <si>
    <t>Nombre de competences qualifiees vise</t>
  </si>
  <si>
    <t>Budget formation global</t>
  </si>
  <si>
    <t>Budget annuel de reference</t>
  </si>
  <si>
    <t>SITES</t>
  </si>
  <si>
    <t>Site 1</t>
  </si>
  <si>
    <t>Villaroche (77)</t>
  </si>
  <si>
    <t>Site 2</t>
  </si>
  <si>
    <t>Gennevilliers (92)</t>
  </si>
  <si>
    <t>Site 3</t>
  </si>
  <si>
    <t>Chatellerault (86)</t>
  </si>
  <si>
    <t>Site 4</t>
  </si>
  <si>
    <t>Bordes (64)</t>
  </si>
  <si>
    <t>Site 5</t>
  </si>
  <si>
    <t>Istres (13)</t>
  </si>
  <si>
    <t>BUSINESS UNITS</t>
  </si>
  <si>
    <t>BU 1</t>
  </si>
  <si>
    <t>Production</t>
  </si>
  <si>
    <t>BU 2</t>
  </si>
  <si>
    <t>Maintenance (MRO)</t>
  </si>
  <si>
    <t>BU 3</t>
  </si>
  <si>
    <t>Bureau d'etudes</t>
  </si>
  <si>
    <t>BU 4</t>
  </si>
  <si>
    <t>Qualite</t>
  </si>
  <si>
    <t>BU 5</t>
  </si>
  <si>
    <t>Supply Chain</t>
  </si>
  <si>
    <t>BU 6</t>
  </si>
  <si>
    <t>HSE</t>
  </si>
  <si>
    <t>ECHELLE DE COMPETENCE</t>
  </si>
  <si>
    <t>Niveau</t>
  </si>
  <si>
    <t>Libelle</t>
  </si>
  <si>
    <t>Definition</t>
  </si>
  <si>
    <t>Debutant</t>
  </si>
  <si>
    <t>Sensibilise, formation initiale suivie</t>
  </si>
  <si>
    <t>Operationnel guide</t>
  </si>
  <si>
    <t>Execute sous supervision directe</t>
  </si>
  <si>
    <t>Autonome</t>
  </si>
  <si>
    <t>Maitrise en situation courante</t>
  </si>
  <si>
    <t>Expert</t>
  </si>
  <si>
    <t>Gere situations complexes, forme les autres</t>
  </si>
  <si>
    <t>Referent</t>
  </si>
  <si>
    <t>Autorite reconnue, definit les standards</t>
  </si>
  <si>
    <t>Referentiel des competences aeronautiques</t>
  </si>
  <si>
    <t>Base catalogue et indicateurs de couverture</t>
  </si>
  <si>
    <t>ID</t>
  </si>
  <si>
    <t>Competence</t>
  </si>
  <si>
    <t>Categorie</t>
  </si>
  <si>
    <t>Sous-cat.</t>
  </si>
  <si>
    <t>Criticite</t>
  </si>
  <si>
    <t>Duree form.</t>
  </si>
  <si>
    <t>Cout form.</t>
  </si>
  <si>
    <t>Rarete</t>
  </si>
  <si>
    <t>Norme</t>
  </si>
  <si>
    <t>Cout rupture</t>
  </si>
  <si>
    <t>Impact</t>
  </si>
  <si>
    <t>Niveau moyen</t>
  </si>
  <si>
    <t>Nb evals</t>
  </si>
  <si>
    <t>Criticite libelle</t>
  </si>
  <si>
    <t>Nb titulaires niv&gt;=4</t>
  </si>
  <si>
    <t>Nb titulaires niv&gt;=3</t>
  </si>
  <si>
    <t>Nb postes requis</t>
  </si>
  <si>
    <t>Ecart couvert.</t>
  </si>
  <si>
    <t>Alerte</t>
  </si>
  <si>
    <t>Invest. formation</t>
  </si>
  <si>
    <t>Indice rarete</t>
  </si>
  <si>
    <t>Indice risque</t>
  </si>
  <si>
    <t>Statut risque</t>
  </si>
  <si>
    <t>Taux couverture</t>
  </si>
  <si>
    <t>COMP-001</t>
  </si>
  <si>
    <t>Soudure TIG aeronautique</t>
  </si>
  <si>
    <t>Procedes speciaux</t>
  </si>
  <si>
    <t>Soudure</t>
  </si>
  <si>
    <t>AWS D17.1 / NF EN 4677</t>
  </si>
  <si>
    <t>Arret ligne assemblage</t>
  </si>
  <si>
    <t>Critique</t>
  </si>
  <si>
    <t>COMP-002</t>
  </si>
  <si>
    <t>Soudure MIG/MAG aeronautique</t>
  </si>
  <si>
    <t>AWS D17.1</t>
  </si>
  <si>
    <t>Sous-traitance obligatoire</t>
  </si>
  <si>
    <t>Eleve</t>
  </si>
  <si>
    <t>COMP-003</t>
  </si>
  <si>
    <t>Soudure faisceau electrons</t>
  </si>
  <si>
    <t>AWS C7.1</t>
  </si>
  <si>
    <t>Arret production pieces critiques</t>
  </si>
  <si>
    <t>COMP-004</t>
  </si>
  <si>
    <t>Brasage aeronautique</t>
  </si>
  <si>
    <t>Brasage</t>
  </si>
  <si>
    <t>AWS C3.6 / AMS 2675</t>
  </si>
  <si>
    <t>Retard assemblage</t>
  </si>
  <si>
    <t>COMP-005</t>
  </si>
  <si>
    <t>Ressuage PT Niveau 2</t>
  </si>
  <si>
    <t>CND/NDT</t>
  </si>
  <si>
    <t>Ressuage</t>
  </si>
  <si>
    <t>NAS 410 / EN 4179</t>
  </si>
  <si>
    <t>Liberation pieces bloquee</t>
  </si>
  <si>
    <t>COMP-006</t>
  </si>
  <si>
    <t>Magnetoscopie MT Niveau 2</t>
  </si>
  <si>
    <t>Magnetoscopie</t>
  </si>
  <si>
    <t>COMP-007</t>
  </si>
  <si>
    <t>Ultrasons UT Niveau 2</t>
  </si>
  <si>
    <t>Ultrasons</t>
  </si>
  <si>
    <t>Arret controle pieces forgees</t>
  </si>
  <si>
    <t>COMP-008</t>
  </si>
  <si>
    <t>Radiographie RT Niveau 2</t>
  </si>
  <si>
    <t>Radiographie</t>
  </si>
  <si>
    <t>Arret controle soudures</t>
  </si>
  <si>
    <t>COMP-009</t>
  </si>
  <si>
    <t>Courants de Foucault ET N2</t>
  </si>
  <si>
    <t>Foucault</t>
  </si>
  <si>
    <t>Controle surface degrade</t>
  </si>
  <si>
    <t>COMP-010</t>
  </si>
  <si>
    <t>Usinage CN 3 axes</t>
  </si>
  <si>
    <t>Usinage &amp; fabrication</t>
  </si>
  <si>
    <t>Usinage</t>
  </si>
  <si>
    <t>Interne</t>
  </si>
  <si>
    <t>Reaffectation possible</t>
  </si>
  <si>
    <t>Moyen</t>
  </si>
  <si>
    <t>COMP-011</t>
  </si>
  <si>
    <t>Usinage CN 5 axes</t>
  </si>
  <si>
    <t>Arret production pieces complexes</t>
  </si>
  <si>
    <t>COMP-012</t>
  </si>
  <si>
    <t>Tournage CN</t>
  </si>
  <si>
    <t>Tournage</t>
  </si>
  <si>
    <t>COMP-013</t>
  </si>
  <si>
    <t>Rectification de precision</t>
  </si>
  <si>
    <t>Rectification</t>
  </si>
  <si>
    <t>Sous-traitance partielle</t>
  </si>
  <si>
    <t>COMP-014</t>
  </si>
  <si>
    <t>Electroerosion EDM</t>
  </si>
  <si>
    <t>EDM</t>
  </si>
  <si>
    <t>Retard pieces speciales</t>
  </si>
  <si>
    <t>COMP-015</t>
  </si>
  <si>
    <t>Programmation FAO CATIA Mfg</t>
  </si>
  <si>
    <t>FAO</t>
  </si>
  <si>
    <t>Dassault certif</t>
  </si>
  <si>
    <t>Retard mise en production</t>
  </si>
  <si>
    <t>COMP-016</t>
  </si>
  <si>
    <t>Traitement thermique aero</t>
  </si>
  <si>
    <t>Traitements</t>
  </si>
  <si>
    <t>Thermique</t>
  </si>
  <si>
    <t>AMS 2750 / NADCAP</t>
  </si>
  <si>
    <t>Arret four - toute production</t>
  </si>
  <si>
    <t>COMP-017</t>
  </si>
  <si>
    <t>Traitement surface anodisation</t>
  </si>
  <si>
    <t>Surface</t>
  </si>
  <si>
    <t>NADCAP / Airbus AIMS</t>
  </si>
  <si>
    <t>Retard livraison</t>
  </si>
  <si>
    <t>COMP-018</t>
  </si>
  <si>
    <t>Shot peening controle</t>
  </si>
  <si>
    <t>Peening</t>
  </si>
  <si>
    <t>AMS 2430 / NADCAP</t>
  </si>
  <si>
    <t>Sous-traitance couteuse</t>
  </si>
  <si>
    <t>COMP-019</t>
  </si>
  <si>
    <t>Controle metallurgique</t>
  </si>
  <si>
    <t>Metallurgie</t>
  </si>
  <si>
    <t>ASTM E112 / interne</t>
  </si>
  <si>
    <t>Validation matiere bloquee</t>
  </si>
  <si>
    <t>COMP-020</t>
  </si>
  <si>
    <t>Conception CAO CATIA V5/V6</t>
  </si>
  <si>
    <t>CAO</t>
  </si>
  <si>
    <t>Retard conception</t>
  </si>
  <si>
    <t>COMP-021</t>
  </si>
  <si>
    <t>Conception NX Siemens</t>
  </si>
  <si>
    <t>Siemens certif</t>
  </si>
  <si>
    <t>COMP-022</t>
  </si>
  <si>
    <t>Calcul structures NASTRAN</t>
  </si>
  <si>
    <t>Calcul</t>
  </si>
  <si>
    <t>MSC certif / EASA</t>
  </si>
  <si>
    <t>Certification bloquee</t>
  </si>
  <si>
    <t>COMP-023</t>
  </si>
  <si>
    <t>Simulation thermique ABAQUS</t>
  </si>
  <si>
    <t>Simulation</t>
  </si>
  <si>
    <t>Dassault Systemes</t>
  </si>
  <si>
    <t>COMP-024</t>
  </si>
  <si>
    <t>Cotation GPS GD&amp;T aero</t>
  </si>
  <si>
    <t>Cotation</t>
  </si>
  <si>
    <t>ISO 1101 / ASME Y14.5</t>
  </si>
  <si>
    <t>Erreurs de fabrication</t>
  </si>
  <si>
    <t>COMP-025</t>
  </si>
  <si>
    <t>Gestion de configuration</t>
  </si>
  <si>
    <t>CM</t>
  </si>
  <si>
    <t>EN 9100 8.1</t>
  </si>
  <si>
    <t>NC audit mineur</t>
  </si>
  <si>
    <t>COMP-026</t>
  </si>
  <si>
    <t>Audit interne EN 9100</t>
  </si>
  <si>
    <t>Qualite &amp; methodes</t>
  </si>
  <si>
    <t>Audit</t>
  </si>
  <si>
    <t>EN 9100:2018 9.2</t>
  </si>
  <si>
    <t>Suspension agrement risquee</t>
  </si>
  <si>
    <t>COMP-027</t>
  </si>
  <si>
    <t>AMDEC/FMEA aeronautique</t>
  </si>
  <si>
    <t>AMDEC</t>
  </si>
  <si>
    <t>SAE J1739 / ARP4761</t>
  </si>
  <si>
    <t>Analyse risque incomplete</t>
  </si>
  <si>
    <t>COMP-028</t>
  </si>
  <si>
    <t>Lean Manufacturing / 6 Sigma</t>
  </si>
  <si>
    <t>Lean</t>
  </si>
  <si>
    <t>ASQ certif</t>
  </si>
  <si>
    <t>Pas d'impact immediat</t>
  </si>
  <si>
    <t>COMP-029</t>
  </si>
  <si>
    <t>Metrologie 3D MMT</t>
  </si>
  <si>
    <t>Metrologie</t>
  </si>
  <si>
    <t>ISO 10360</t>
  </si>
  <si>
    <t>Controle dimensionnel bloque</t>
  </si>
  <si>
    <t>COMP-030</t>
  </si>
  <si>
    <t>First Article Inspection FAI</t>
  </si>
  <si>
    <t>FAI</t>
  </si>
  <si>
    <t>AS9102</t>
  </si>
  <si>
    <t>Premiere piece non liberable</t>
  </si>
  <si>
    <t>Annuaire du personnel</t>
  </si>
  <si>
    <t>Population de reference reliee a la matrice des competences</t>
  </si>
  <si>
    <t>ID Employe</t>
  </si>
  <si>
    <t>Nom</t>
  </si>
  <si>
    <t>Prenom</t>
  </si>
  <si>
    <t>Site</t>
  </si>
  <si>
    <t>Business Unit</t>
  </si>
  <si>
    <t>Poste</t>
  </si>
  <si>
    <t>Date entree</t>
  </si>
  <si>
    <t>Manager ID</t>
  </si>
  <si>
    <t>Contrat</t>
  </si>
  <si>
    <t>Statut</t>
  </si>
  <si>
    <t>Anciennete</t>
  </si>
  <si>
    <t>Statut RH</t>
  </si>
  <si>
    <t>Nb competences qualifiees</t>
  </si>
  <si>
    <t>Score polyvalence</t>
  </si>
  <si>
    <t>EMP-001</t>
  </si>
  <si>
    <t>DUPONT</t>
  </si>
  <si>
    <t>Jean-Marc</t>
  </si>
  <si>
    <t>Soudeur TIG qualifie</t>
  </si>
  <si>
    <t>Operateur</t>
  </si>
  <si>
    <t>CDI</t>
  </si>
  <si>
    <t>Actif</t>
  </si>
  <si>
    <t>EMP-002</t>
  </si>
  <si>
    <t>MARTIN</t>
  </si>
  <si>
    <t>Pierre</t>
  </si>
  <si>
    <t>Soudeur polyvalent</t>
  </si>
  <si>
    <t>EMP-003</t>
  </si>
  <si>
    <t>BERNARD</t>
  </si>
  <si>
    <t>Thomas</t>
  </si>
  <si>
    <t>Operateur CND Niveau 2</t>
  </si>
  <si>
    <t>Technicien</t>
  </si>
  <si>
    <t>EMP-004</t>
  </si>
  <si>
    <t>PETIT</t>
  </si>
  <si>
    <t>Nicolas</t>
  </si>
  <si>
    <t>Operateur CND Niveau 3</t>
  </si>
  <si>
    <t>EMP-005</t>
  </si>
  <si>
    <t>ROBERT</t>
  </si>
  <si>
    <t>Julien</t>
  </si>
  <si>
    <t>Operateur usinage CN 5 axes</t>
  </si>
  <si>
    <t>CDD</t>
  </si>
  <si>
    <t>EMP-006</t>
  </si>
  <si>
    <t>RICHARD</t>
  </si>
  <si>
    <t>Antoine</t>
  </si>
  <si>
    <t>Operateur usinage CN 3 axes</t>
  </si>
  <si>
    <t>EMP-007</t>
  </si>
  <si>
    <t>DURAND</t>
  </si>
  <si>
    <t>Sebastien</t>
  </si>
  <si>
    <t>Technicien traitement thermique</t>
  </si>
  <si>
    <t>EMP-008</t>
  </si>
  <si>
    <t>MOREAU</t>
  </si>
  <si>
    <t>Francois</t>
  </si>
  <si>
    <t>Technicien traitement surface</t>
  </si>
  <si>
    <t>Interimaire</t>
  </si>
  <si>
    <t>EMP-009</t>
  </si>
  <si>
    <t>LAURENT</t>
  </si>
  <si>
    <t>Christophe</t>
  </si>
  <si>
    <t>Ingenieur conception CATIA</t>
  </si>
  <si>
    <t>Ingenieur</t>
  </si>
  <si>
    <t>EMP-010</t>
  </si>
  <si>
    <t>SIMON</t>
  </si>
  <si>
    <t>Laurent</t>
  </si>
  <si>
    <t>Ingenieur calcul structures</t>
  </si>
  <si>
    <t>EMP-011</t>
  </si>
  <si>
    <t>MICHEL</t>
  </si>
  <si>
    <t>Mathieu</t>
  </si>
  <si>
    <t>Responsable qualite PART 21</t>
  </si>
  <si>
    <t>Cadre</t>
  </si>
  <si>
    <t>EMP-012</t>
  </si>
  <si>
    <t>LEFEVRE</t>
  </si>
  <si>
    <t>David</t>
  </si>
  <si>
    <t>Auditeur interne EN 9100</t>
  </si>
  <si>
    <t>EMP-013</t>
  </si>
  <si>
    <t>LEROY</t>
  </si>
  <si>
    <t>Philippe</t>
  </si>
  <si>
    <t>Chef d'atelier production</t>
  </si>
  <si>
    <t>Manager</t>
  </si>
  <si>
    <t>EMP-014</t>
  </si>
  <si>
    <t>ROUX</t>
  </si>
  <si>
    <t>Eric</t>
  </si>
  <si>
    <t>Technicien metrologie</t>
  </si>
  <si>
    <t>EMP-015</t>
  </si>
  <si>
    <t>DAVID</t>
  </si>
  <si>
    <t>Frederic</t>
  </si>
  <si>
    <t>Ingenieur methodes</t>
  </si>
  <si>
    <t>EMP-016</t>
  </si>
  <si>
    <t>BERTRAND</t>
  </si>
  <si>
    <t>Olivier</t>
  </si>
  <si>
    <t>Technicien maintenance</t>
  </si>
  <si>
    <t>EMP-017</t>
  </si>
  <si>
    <t>MOREL</t>
  </si>
  <si>
    <t>Alexandre</t>
  </si>
  <si>
    <t>Ingenieur materiaux</t>
  </si>
  <si>
    <t>EMP-018</t>
  </si>
  <si>
    <t>FOURNIER</t>
  </si>
  <si>
    <t>Guillaume</t>
  </si>
  <si>
    <t>Technicien FAO</t>
  </si>
  <si>
    <t>EMP-019</t>
  </si>
  <si>
    <t>GIRARD</t>
  </si>
  <si>
    <t>Cedric</t>
  </si>
  <si>
    <t>Responsable HSE</t>
  </si>
  <si>
    <t>EMP-020</t>
  </si>
  <si>
    <t>BONNET</t>
  </si>
  <si>
    <t>Benoit</t>
  </si>
  <si>
    <t>Coordinateur Supply Chain</t>
  </si>
  <si>
    <t>EMP-021</t>
  </si>
  <si>
    <t>LAMBERT</t>
  </si>
  <si>
    <t>Maxime</t>
  </si>
  <si>
    <t>EMP-022</t>
  </si>
  <si>
    <t>FONTAINE</t>
  </si>
  <si>
    <t>Vincent</t>
  </si>
  <si>
    <t>EMP-023</t>
  </si>
  <si>
    <t>ROUSSEAU</t>
  </si>
  <si>
    <t>Stephane</t>
  </si>
  <si>
    <t>EMP-024</t>
  </si>
  <si>
    <t>MERCIER</t>
  </si>
  <si>
    <t>Yannick</t>
  </si>
  <si>
    <t>EMP-025</t>
  </si>
  <si>
    <t>BLANC</t>
  </si>
  <si>
    <t>Romain</t>
  </si>
  <si>
    <t>EMP-026</t>
  </si>
  <si>
    <t>GUERIN</t>
  </si>
  <si>
    <t>Fabien</t>
  </si>
  <si>
    <t>EMP-027</t>
  </si>
  <si>
    <t>MULLER</t>
  </si>
  <si>
    <t>Arnaud</t>
  </si>
  <si>
    <t>EMP-028</t>
  </si>
  <si>
    <t>HENRY</t>
  </si>
  <si>
    <t>Jerome</t>
  </si>
  <si>
    <t>EMP-029</t>
  </si>
  <si>
    <t>BARBIER</t>
  </si>
  <si>
    <t>Pascal</t>
  </si>
  <si>
    <t>EMP-030</t>
  </si>
  <si>
    <t>PERRIN</t>
  </si>
  <si>
    <t>Damien</t>
  </si>
  <si>
    <t>EMP-031</t>
  </si>
  <si>
    <t>Sophie</t>
  </si>
  <si>
    <t>EMP-032</t>
  </si>
  <si>
    <t>Marie</t>
  </si>
  <si>
    <t>EMP-033</t>
  </si>
  <si>
    <t>Claire</t>
  </si>
  <si>
    <t>EMP-034</t>
  </si>
  <si>
    <t>Nathalie</t>
  </si>
  <si>
    <t>EMP-035</t>
  </si>
  <si>
    <t>Isabelle</t>
  </si>
  <si>
    <t>EMP-036</t>
  </si>
  <si>
    <t>Caroline</t>
  </si>
  <si>
    <t>EMP-037</t>
  </si>
  <si>
    <t>Aurelie</t>
  </si>
  <si>
    <t>EMP-038</t>
  </si>
  <si>
    <t>Celine</t>
  </si>
  <si>
    <t>EMP-039</t>
  </si>
  <si>
    <t>Emilie</t>
  </si>
  <si>
    <t>EMP-040</t>
  </si>
  <si>
    <t>Sandrine</t>
  </si>
  <si>
    <t>EMP-041</t>
  </si>
  <si>
    <t>Valerie</t>
  </si>
  <si>
    <t>EMP-042</t>
  </si>
  <si>
    <t>Anne</t>
  </si>
  <si>
    <t>EMP-043</t>
  </si>
  <si>
    <t>Helene</t>
  </si>
  <si>
    <t>EMP-044</t>
  </si>
  <si>
    <t>Laure</t>
  </si>
  <si>
    <t>EMP-045</t>
  </si>
  <si>
    <t>Julie</t>
  </si>
  <si>
    <t>EMP-046</t>
  </si>
  <si>
    <t>Camille</t>
  </si>
  <si>
    <t>EMP-047</t>
  </si>
  <si>
    <t>Marion</t>
  </si>
  <si>
    <t>EMP-048</t>
  </si>
  <si>
    <t>Delphine</t>
  </si>
  <si>
    <t>EMP-049</t>
  </si>
  <si>
    <t>Pauline</t>
  </si>
  <si>
    <t>EMP-050</t>
  </si>
  <si>
    <t>Stephanie</t>
  </si>
  <si>
    <t>EMP-051</t>
  </si>
  <si>
    <t>Karine</t>
  </si>
  <si>
    <t>EMP-052</t>
  </si>
  <si>
    <t>Virginie</t>
  </si>
  <si>
    <t>EMP-053</t>
  </si>
  <si>
    <t>Florence</t>
  </si>
  <si>
    <t>EMP-054</t>
  </si>
  <si>
    <t>Agathe</t>
  </si>
  <si>
    <t>EMP-055</t>
  </si>
  <si>
    <t>Lucie</t>
  </si>
  <si>
    <t>EMP-056</t>
  </si>
  <si>
    <t>Amandine</t>
  </si>
  <si>
    <t>EMP-057</t>
  </si>
  <si>
    <t>Charlotte</t>
  </si>
  <si>
    <t>EMP-058</t>
  </si>
  <si>
    <t>Sylvie</t>
  </si>
  <si>
    <t>EMP-059</t>
  </si>
  <si>
    <t>Catherine</t>
  </si>
  <si>
    <t>EMP-060</t>
  </si>
  <si>
    <t>Melanie</t>
  </si>
  <si>
    <t>Matrice des competences</t>
  </si>
  <si>
    <t>Population x competence avec niveaux reels et requis</t>
  </si>
  <si>
    <t>ID Ligne</t>
  </si>
  <si>
    <t>Nom employe</t>
  </si>
  <si>
    <t>ID Competence</t>
  </si>
  <si>
    <t>Niveau reel</t>
  </si>
  <si>
    <t>Niveau requis</t>
  </si>
  <si>
    <t>Gap</t>
  </si>
  <si>
    <t>Source</t>
  </si>
  <si>
    <t>Date eval.</t>
  </si>
  <si>
    <t>Commentaire</t>
  </si>
  <si>
    <t>MAT-0001</t>
  </si>
  <si>
    <t>DUPONT Jean-Marc</t>
  </si>
  <si>
    <t>test</t>
  </si>
  <si>
    <t>MAT-0002</t>
  </si>
  <si>
    <t>manager</t>
  </si>
  <si>
    <t>MAT-0003</t>
  </si>
  <si>
    <t>auto-eval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</si>
  <si>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</si>
  <si>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</si>
  <si>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</si>
  <si>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</si>
  <si>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</si>
  <si>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</si>
  <si>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</si>
  <si>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</si>
  <si>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MARTIN Pierre</t>
  </si>
  <si>
    <t>MAT-0012</t>
  </si>
  <si>
    <t>Expertise cle</t>
  </si>
  <si>
    <t>MAT-0013</t>
  </si>
  <si>
    <t>MAT-0014</t>
  </si>
  <si>
    <t>MAT-0015</t>
  </si>
  <si>
    <t>MAT-0016</t>
  </si>
  <si>
    <t>MAT-0017</t>
  </si>
  <si>
    <t>MAT-0018</t>
  </si>
  <si>
    <t>BERNARD Thomas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</si>
  <si>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</si>
  <si>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</si>
  <si>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</si>
  <si>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</si>
  <si>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</si>
  <si>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</si>
  <si>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</si>
  <si>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</si>
  <si>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PETIT Nicolas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</si>
  <si>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</si>
  <si>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</si>
  <si>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</si>
  <si>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</si>
  <si>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</si>
  <si>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</si>
  <si>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</si>
  <si>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</si>
  <si>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ROBERT Julien</t>
  </si>
  <si>
    <t>MAT-0035</t>
  </si>
  <si>
    <t>MAT-0036</t>
  </si>
  <si>
    <t>MAT-0037</t>
  </si>
  <si>
    <t>MAT-0038</t>
  </si>
  <si>
    <t>MAT-0039</t>
  </si>
  <si>
    <t>MAT-0040</t>
  </si>
  <si>
    <t>MAT-0041</t>
  </si>
  <si>
    <t>RICHARD Antoine</t>
  </si>
  <si>
    <t>MAT-0042</t>
  </si>
  <si>
    <t>MAT-0043</t>
  </si>
  <si>
    <t>MAT-0044</t>
  </si>
  <si>
    <t>MAT-0045</t>
  </si>
  <si>
    <t>MAT-0046</t>
  </si>
  <si>
    <t>MAT-0047</t>
  </si>
  <si>
    <t>MAT-0048</t>
  </si>
  <si>
    <t>DURAND Sebastien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</si>
  <si>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</si>
  <si>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</si>
  <si>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</si>
  <si>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</si>
  <si>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</si>
  <si>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</si>
  <si>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</si>
  <si>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</si>
  <si>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</si>
  <si>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MOREAU Francois</t>
  </si>
  <si>
    <t>MAT-0058</t>
  </si>
  <si>
    <t>MAT-0059</t>
  </si>
  <si>
    <t>MAT-0060</t>
  </si>
  <si>
    <t>MAT-0061</t>
  </si>
  <si>
    <t>MAT-0062</t>
  </si>
  <si>
    <t>MAT-0063</t>
  </si>
  <si>
    <t>LAURENT Christophe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</si>
  <si>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</si>
  <si>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</si>
  <si>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</si>
  <si>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</si>
  <si>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</si>
  <si>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</si>
  <si>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</si>
  <si>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</si>
  <si>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SIMON Laurent</t>
  </si>
  <si>
    <t>MAT-0072</t>
  </si>
  <si>
    <t>MAT-0073</t>
  </si>
  <si>
    <t>MAT-0074</t>
  </si>
  <si>
    <t>MAT-0075</t>
  </si>
  <si>
    <t>MAT-0076</t>
  </si>
  <si>
    <t>MICHEL Mathieu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</si>
  <si>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</si>
  <si>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</si>
  <si>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</si>
  <si>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</si>
  <si>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</si>
  <si>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</si>
  <si>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</si>
  <si>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</si>
  <si>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</si>
  <si>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</si>
  <si>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LEFEVRE David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</si>
  <si>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</si>
  <si>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</si>
  <si>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</si>
  <si>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</si>
  <si>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</si>
  <si>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</si>
  <si>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</si>
  <si>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</si>
  <si>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</si>
  <si>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LEROY Philippe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</si>
  <si>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</si>
  <si>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</si>
  <si>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</si>
  <si>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</si>
  <si>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</si>
  <si>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</si>
  <si>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</si>
  <si>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</si>
  <si>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</si>
  <si>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ROUX Eric</t>
  </si>
  <si>
    <t>MAT-0105</t>
  </si>
  <si>
    <t>MAT-0106</t>
  </si>
  <si>
    <t>MAT-0107</t>
  </si>
  <si>
    <t>MAT-0108</t>
  </si>
  <si>
    <t>DAVID Frederic</t>
  </si>
  <si>
    <t>MAT-0109</t>
  </si>
  <si>
    <t>MAT-0110</t>
  </si>
  <si>
    <t>MAT-0111</t>
  </si>
  <si>
    <t>MAT-0112</t>
  </si>
  <si>
    <t>MAT-0113</t>
  </si>
  <si>
    <t>MAT-0114</t>
  </si>
  <si>
    <t>BERTRAND Olivier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</si>
  <si>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</si>
  <si>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</si>
  <si>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</si>
  <si>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</si>
  <si>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</si>
  <si>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</si>
  <si>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</si>
  <si>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</si>
  <si>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</si>
  <si>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MOREL Alexandre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</si>
  <si>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</si>
  <si>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</si>
  <si>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</si>
  <si>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</si>
  <si>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</si>
  <si>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</si>
  <si>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</si>
  <si>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</si>
  <si>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</si>
  <si>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</si>
  <si>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FOURNIER Guillaume</t>
  </si>
  <si>
    <t>MAT-0134</t>
  </si>
  <si>
    <t>MAT-0135</t>
  </si>
  <si>
    <t>MAT-0136</t>
  </si>
  <si>
    <t>MAT-0137</t>
  </si>
  <si>
    <t>MAT-0138</t>
  </si>
  <si>
    <t>MAT-0139</t>
  </si>
  <si>
    <t>GIRARD Cedric</t>
  </si>
  <si>
    <t>MAT-0140</t>
  </si>
  <si>
    <t>MAT-0141</t>
  </si>
  <si>
    <t>MAT-0142</t>
  </si>
  <si>
    <t>MAT-0143</t>
  </si>
  <si>
    <t>BONNET Benoit</t>
  </si>
  <si>
    <t>MAT-0144</t>
  </si>
  <si>
    <t>MAT-0145</t>
  </si>
  <si>
    <t>MAT-0146</t>
  </si>
  <si>
    <t>MAT-0147</t>
  </si>
  <si>
    <t>MAT-0148</t>
  </si>
  <si>
    <t>MAT-0149</t>
  </si>
  <si>
    <t>LAMBERT Maxime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</si>
  <si>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</si>
  <si>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</si>
  <si>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</si>
  <si>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</si>
  <si>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</si>
  <si>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</si>
  <si>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</si>
  <si>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</si>
  <si>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FONTAINE Vincent</t>
  </si>
  <si>
    <t>MAT-0158</t>
  </si>
  <si>
    <t>MAT-0159</t>
  </si>
  <si>
    <t>MAT-0160</t>
  </si>
  <si>
    <t>MAT-0161</t>
  </si>
  <si>
    <t>MAT-0162</t>
  </si>
  <si>
    <t>MAT-0163</t>
  </si>
  <si>
    <t>ROUSSEAU Stephane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</si>
  <si>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</si>
  <si>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</si>
  <si>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</si>
  <si>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</si>
  <si>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</si>
  <si>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</si>
  <si>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</si>
  <si>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</si>
  <si>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MERCIER Yannick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</si>
  <si>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</si>
  <si>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</si>
  <si>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</si>
  <si>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</si>
  <si>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</si>
  <si>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</si>
  <si>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</si>
  <si>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</si>
  <si>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</si>
  <si>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</si>
  <si>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BLANC Romain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</si>
  <si>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</si>
  <si>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</si>
  <si>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</si>
  <si>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</si>
  <si>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</si>
  <si>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</si>
  <si>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</si>
  <si>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</si>
  <si>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GUERIN Fabien</t>
  </si>
  <si>
    <t>MAT-0190</t>
  </si>
  <si>
    <t>MAT-0191</t>
  </si>
  <si>
    <t>MAT-0192</t>
  </si>
  <si>
    <t>MAT-0193</t>
  </si>
  <si>
    <t>MAT-0194</t>
  </si>
  <si>
    <t>MAT-0195</t>
  </si>
  <si>
    <t>MULLER Arnaud</t>
  </si>
  <si>
    <t>MAT-0196</t>
  </si>
  <si>
    <t>MAT-0197</t>
  </si>
  <si>
    <t>MAT-0198</t>
  </si>
  <si>
    <t>MAT-0199</t>
  </si>
  <si>
    <t>MAT-0200</t>
  </si>
  <si>
    <t>HENRY Jerome</t>
  </si>
  <si>
    <t>MAT-0201</t>
  </si>
  <si>
    <t>MAT-0202</t>
  </si>
  <si>
    <t>MAT-0203</t>
  </si>
  <si>
    <t>MAT-0204</t>
  </si>
  <si>
    <t>MAT-0205</t>
  </si>
  <si>
    <t>BARBIER Pascal</t>
  </si>
  <si>
    <t>MAT-0206</t>
  </si>
  <si>
    <t>MAT-0207</t>
  </si>
  <si>
    <t>MAT-0208</t>
  </si>
  <si>
    <t>MAT-0209</t>
  </si>
  <si>
    <t>MAT-0210</t>
  </si>
  <si>
    <t>MAT-0211</t>
  </si>
  <si>
    <t>MAT-0212</t>
  </si>
  <si>
    <t>PERRIN Damien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</si>
  <si>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</si>
  <si>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</si>
  <si>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</si>
  <si>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</si>
  <si>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</si>
  <si>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</si>
  <si>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</si>
  <si>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</si>
  <si>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DUPONT Sophie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</si>
  <si>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</si>
  <si>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</si>
  <si>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</si>
  <si>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</si>
  <si>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</si>
  <si>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</si>
  <si>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</si>
  <si>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</si>
  <si>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</si>
  <si>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</si>
  <si>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MARTIN Marie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</si>
  <si>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</si>
  <si>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</si>
  <si>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</si>
  <si>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</si>
  <si>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</si>
  <si>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</si>
  <si>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</si>
  <si>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</si>
  <si>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BERNARD Claire</t>
  </si>
  <si>
    <t>MAT-0239</t>
  </si>
  <si>
    <t>MAT-0240</t>
  </si>
  <si>
    <t>MAT-0241</t>
  </si>
  <si>
    <t>MAT-0242</t>
  </si>
  <si>
    <t>MAT-0243</t>
  </si>
  <si>
    <t>MAT-0244</t>
  </si>
  <si>
    <t>MAT-0245</t>
  </si>
  <si>
    <t>PETIT Nathalie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</si>
  <si>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</si>
  <si>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</si>
  <si>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</si>
  <si>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</si>
  <si>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</si>
  <si>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</si>
  <si>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</si>
  <si>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</si>
  <si>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</si>
  <si>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ROBERT Isabelle</t>
  </si>
  <si>
    <t>MAT-0255</t>
  </si>
  <si>
    <t>MAT-0256</t>
  </si>
  <si>
    <t>MAT-0257</t>
  </si>
  <si>
    <t>MAT-0258</t>
  </si>
  <si>
    <t>MAT-0259</t>
  </si>
  <si>
    <t>MAT-0260</t>
  </si>
  <si>
    <t>MAT-0261</t>
  </si>
  <si>
    <t>RICHARD Caroline</t>
  </si>
  <si>
    <t>MAT-0262</t>
  </si>
  <si>
    <t>MAT-0263</t>
  </si>
  <si>
    <t>MAT-0264</t>
  </si>
  <si>
    <t>MAT-0265</t>
  </si>
  <si>
    <t>MAT-0266</t>
  </si>
  <si>
    <t>MAT-0267</t>
  </si>
  <si>
    <t>MAT-0268</t>
  </si>
  <si>
    <t>MAT-0269</t>
  </si>
  <si>
    <t>DURAND Aurelie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</si>
  <si>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</si>
  <si>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</si>
  <si>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</si>
  <si>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</si>
  <si>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</si>
  <si>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</si>
  <si>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</si>
  <si>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</si>
  <si>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MOREAU Celine</t>
  </si>
  <si>
    <t>MAT-0278</t>
  </si>
  <si>
    <t>MAT-0279</t>
  </si>
  <si>
    <t>MAT-0280</t>
  </si>
  <si>
    <t>MAT-0281</t>
  </si>
  <si>
    <t>MAT-0282</t>
  </si>
  <si>
    <t>MAT-0283</t>
  </si>
  <si>
    <t>LAURENT Emilie</t>
  </si>
  <si>
    <t>MAT-0284</t>
  </si>
  <si>
    <t>MAT-0285</t>
  </si>
  <si>
    <t>MAT-0286</t>
  </si>
  <si>
    <t>MAT-0287</t>
  </si>
  <si>
    <t>MAT-0288</t>
  </si>
  <si>
    <t>MAT-0289</t>
  </si>
  <si>
    <t>SIMON Sandrine</t>
  </si>
  <si>
    <t>MAT-0290</t>
  </si>
  <si>
    <t>MAT-0291</t>
  </si>
  <si>
    <t>MAT-0292</t>
  </si>
  <si>
    <t>MAT-0293</t>
  </si>
  <si>
    <t>MAT-0294</t>
  </si>
  <si>
    <t>MAT-0295</t>
  </si>
  <si>
    <t>MAT-0296</t>
  </si>
  <si>
    <t>MAT-0297</t>
  </si>
  <si>
    <t>MICHEL Valerie</t>
  </si>
  <si>
    <t>MAT-0298</t>
  </si>
  <si>
    <t>MAT-0299</t>
  </si>
  <si>
    <t>MAT-0300</t>
  </si>
  <si>
    <t>MAT-0301</t>
  </si>
  <si>
    <t>MAT-0302</t>
  </si>
  <si>
    <t>MAT-0303</t>
  </si>
  <si>
    <t>LEFEVRE Anne</t>
  </si>
  <si>
    <t>MAT-0304</t>
  </si>
  <si>
    <t>MAT-0305</t>
  </si>
  <si>
    <t>MAT-0306</t>
  </si>
  <si>
    <t>MAT-0307</t>
  </si>
  <si>
    <t>MAT-0308</t>
  </si>
  <si>
    <t>MAT-0309</t>
  </si>
  <si>
    <t>LEROY Helene</t>
  </si>
  <si>
    <t>MAT-0310</t>
  </si>
  <si>
    <t>MAT-0311</t>
  </si>
  <si>
    <t>MAT-0312</t>
  </si>
  <si>
    <t>MAT-0313</t>
  </si>
  <si>
    <t>MAT-0314</t>
  </si>
  <si>
    <t>MAT-0315</t>
  </si>
  <si>
    <t>ROUX Laure</t>
  </si>
  <si>
    <t>MAT-0316</t>
  </si>
  <si>
    <t>MAT-0317</t>
  </si>
  <si>
    <t>MAT-0318</t>
  </si>
  <si>
    <t>MAT-0319</t>
  </si>
  <si>
    <t>MAT-0320</t>
  </si>
  <si>
    <t>MAT-0321</t>
  </si>
  <si>
    <t>MAT-0322</t>
  </si>
  <si>
    <t>MAT-0323</t>
  </si>
  <si>
    <t>MAT-0324</t>
  </si>
  <si>
    <t>MAT-0325</t>
  </si>
  <si>
    <t>DAVID Julie</t>
  </si>
  <si>
    <t>MAT-0326</t>
  </si>
  <si>
    <t>MAT-0327</t>
  </si>
  <si>
    <t>MAT-0328</t>
  </si>
  <si>
    <t>MAT-0329</t>
  </si>
  <si>
    <t>MAT-0330</t>
  </si>
  <si>
    <t>MAT-0331</t>
  </si>
  <si>
    <t>MAT-0332</t>
  </si>
  <si>
    <t>MAT-0333</t>
  </si>
  <si>
    <t>BERTRAND Camille</t>
  </si>
  <si>
    <t>MAT-0334</t>
  </si>
  <si>
    <t>MAT-0335</t>
  </si>
  <si>
    <t>MAT-0336</t>
  </si>
  <si>
    <t>MAT-0337</t>
  </si>
  <si>
    <t>MAT-0338</t>
  </si>
  <si>
    <t>MOREL Marion</t>
  </si>
  <si>
    <t>MAT-0339</t>
  </si>
  <si>
    <t>MAT-0340</t>
  </si>
  <si>
    <t>MAT-0341</t>
  </si>
  <si>
    <t>MAT-0342</t>
  </si>
  <si>
    <t>MAT-0343</t>
  </si>
  <si>
    <t>MAT-0344</t>
  </si>
  <si>
    <t>MAT-0345</t>
  </si>
  <si>
    <t>FOURNIER Delphine</t>
  </si>
  <si>
    <t>MAT-0346</t>
  </si>
  <si>
    <t>MAT-0347</t>
  </si>
  <si>
    <t>MAT-0348</t>
  </si>
  <si>
    <t>MAT-0349</t>
  </si>
  <si>
    <t>MAT-0350</t>
  </si>
  <si>
    <t>MAT-0351</t>
  </si>
  <si>
    <t>GIRARD Pauline</t>
  </si>
  <si>
    <t>MAT-0352</t>
  </si>
  <si>
    <t>MAT-0353</t>
  </si>
  <si>
    <t>MAT-0354</t>
  </si>
  <si>
    <t>MAT-0355</t>
  </si>
  <si>
    <t>MAT-0356</t>
  </si>
  <si>
    <t>BONNET Stephanie</t>
  </si>
  <si>
    <t>MAT-0357</t>
  </si>
  <si>
    <t>MAT-0358</t>
  </si>
  <si>
    <t>MAT-0359</t>
  </si>
  <si>
    <t>MAT-0360</t>
  </si>
  <si>
    <t>MAT-0361</t>
  </si>
  <si>
    <t>MAT-0362</t>
  </si>
  <si>
    <t>LAMBERT Karine</t>
  </si>
  <si>
    <t>MAT-0363</t>
  </si>
  <si>
    <t>MAT-0364</t>
  </si>
  <si>
    <t>MAT-0365</t>
  </si>
  <si>
    <t>MAT-0366</t>
  </si>
  <si>
    <t>MAT-0367</t>
  </si>
  <si>
    <t>MAT-0368</t>
  </si>
  <si>
    <t>MAT-0369</t>
  </si>
  <si>
    <t>FONTAINE Virginie</t>
  </si>
  <si>
    <t>MAT-0370</t>
  </si>
  <si>
    <t>MAT-0371</t>
  </si>
  <si>
    <t>MAT-0372</t>
  </si>
  <si>
    <t>MAT-0373</t>
  </si>
  <si>
    <t>MAT-0374</t>
  </si>
  <si>
    <t>MAT-0375</t>
  </si>
  <si>
    <t>MAT-0376</t>
  </si>
  <si>
    <t>ROUSSEAU Florence</t>
  </si>
  <si>
    <t>MAT-0377</t>
  </si>
  <si>
    <t>MAT-0378</t>
  </si>
  <si>
    <t>MAT-0379</t>
  </si>
  <si>
    <t>MAT-0380</t>
  </si>
  <si>
    <t>MAT-0381</t>
  </si>
  <si>
    <t>MAT-0382</t>
  </si>
  <si>
    <t>MAT-0383</t>
  </si>
  <si>
    <t>MAT-0384</t>
  </si>
  <si>
    <t>MAT-0385</t>
  </si>
  <si>
    <t>MAT-0386</t>
  </si>
  <si>
    <t>MAT-0387</t>
  </si>
  <si>
    <t>MERCIER Agathe</t>
  </si>
  <si>
    <t>MAT-0388</t>
  </si>
  <si>
    <t>MAT-0389</t>
  </si>
  <si>
    <t>MAT-0390</t>
  </si>
  <si>
    <t>MAT-0391</t>
  </si>
  <si>
    <t>MAT-0392</t>
  </si>
  <si>
    <t>MAT-0393</t>
  </si>
  <si>
    <t>BLANC Lucie</t>
  </si>
  <si>
    <t>MAT-0394</t>
  </si>
  <si>
    <t>MAT-0395</t>
  </si>
  <si>
    <t>MAT-0396</t>
  </si>
  <si>
    <t>MAT-0397</t>
  </si>
  <si>
    <t>MAT-0398</t>
  </si>
  <si>
    <t>MAT-0399</t>
  </si>
  <si>
    <t>MAT-0400</t>
  </si>
  <si>
    <t>GUERIN Amandine</t>
  </si>
  <si>
    <t>MAT-0401</t>
  </si>
  <si>
    <t>MAT-0402</t>
  </si>
  <si>
    <t>MAT-0403</t>
  </si>
  <si>
    <t>MAT-0404</t>
  </si>
  <si>
    <t>MAT-0405</t>
  </si>
  <si>
    <t>MAT-0406</t>
  </si>
  <si>
    <t>MULLER Charlotte</t>
  </si>
  <si>
    <t>MAT-0407</t>
  </si>
  <si>
    <t>MAT-0408</t>
  </si>
  <si>
    <t>MAT-0409</t>
  </si>
  <si>
    <t>MAT-0410</t>
  </si>
  <si>
    <t>MAT-0411</t>
  </si>
  <si>
    <t>MAT-0412</t>
  </si>
  <si>
    <t>HENRY Sylvie</t>
  </si>
  <si>
    <t>MAT-0413</t>
  </si>
  <si>
    <t>MAT-0414</t>
  </si>
  <si>
    <t>MAT-0415</t>
  </si>
  <si>
    <t>MAT-0416</t>
  </si>
  <si>
    <t>MAT-0417</t>
  </si>
  <si>
    <t>MAT-0418</t>
  </si>
  <si>
    <t>MAT-0419</t>
  </si>
  <si>
    <t>BARBIER Catherine</t>
  </si>
  <si>
    <t>MAT-0420</t>
  </si>
  <si>
    <t>MAT-0421</t>
  </si>
  <si>
    <t>MAT-0422</t>
  </si>
  <si>
    <t>MAT-0423</t>
  </si>
  <si>
    <t>PERRIN Melanie</t>
  </si>
  <si>
    <t>MAT-0424</t>
  </si>
  <si>
    <t>MAT-0425</t>
  </si>
  <si>
    <t>MAT-0426</t>
  </si>
  <si>
    <t>MAT-0427</t>
  </si>
  <si>
    <t>MAT-0428</t>
  </si>
  <si>
    <t>Gap analysis</t>
  </si>
  <si>
    <t>Analyse des ecarts de competences et priorisation des actions</t>
  </si>
  <si>
    <t>Employe ID</t>
  </si>
  <si>
    <t>Employe</t>
  </si>
  <si>
    <t>Competence ID</t>
  </si>
  <si>
    <t>Niv actuel</t>
  </si>
  <si>
    <t>Niv requis</t>
  </si>
  <si>
    <t>Severite</t>
  </si>
  <si>
    <t>Score</t>
  </si>
  <si>
    <t>Traitement</t>
  </si>
  <si>
    <t>Plan formation</t>
  </si>
  <si>
    <t>Action recommandee</t>
  </si>
  <si>
    <t>GAP-0001</t>
  </si>
  <si>
    <t>GAP-0002</t>
  </si>
  <si>
    <t>GAP-0003</t>
  </si>
  <si>
    <t>GAP-0004</t>
  </si>
  <si>
    <t>GAP-0005</t>
  </si>
  <si>
    <t>GAP-0006</t>
  </si>
  <si>
    <t>GAP-0007</t>
  </si>
  <si>
    <t>GAP-0008</t>
  </si>
  <si>
    <t>GAP-0009</t>
  </si>
  <si>
    <t>GAP-0010</t>
  </si>
  <si>
    <t>GAP-0011</t>
  </si>
  <si>
    <t>GAP-0012</t>
  </si>
  <si>
    <t>GAP-0013</t>
  </si>
  <si>
    <t>GAP-0014</t>
  </si>
  <si>
    <t>GAP-0015</t>
  </si>
  <si>
    <t>GAP-0016</t>
  </si>
  <si>
    <t>GAP-0017</t>
  </si>
  <si>
    <t>GAP-0018</t>
  </si>
  <si>
    <t>GAP-0019</t>
  </si>
  <si>
    <t>GAP-0020</t>
  </si>
  <si>
    <t>GAP-0021</t>
  </si>
  <si>
    <t>GAP-0022</t>
  </si>
  <si>
    <t>GAP-0023</t>
  </si>
  <si>
    <t>GAP-0024</t>
  </si>
  <si>
    <t>GAP-0025</t>
  </si>
  <si>
    <t>GAP-0026</t>
  </si>
  <si>
    <t>GAP-0027</t>
  </si>
  <si>
    <t>GAP-0028</t>
  </si>
  <si>
    <t>GAP-0029</t>
  </si>
  <si>
    <t>GAP-0030</t>
  </si>
  <si>
    <t>GAP-0031</t>
  </si>
  <si>
    <t>GAP-0032</t>
  </si>
  <si>
    <t>GAP-0033</t>
  </si>
  <si>
    <t>GAP-0034</t>
  </si>
  <si>
    <t>GAP-0035</t>
  </si>
  <si>
    <t>GAP-0036</t>
  </si>
  <si>
    <t>GAP-0037</t>
  </si>
  <si>
    <t>GAP-0038</t>
  </si>
  <si>
    <t>GAP-0039</t>
  </si>
  <si>
    <t>GAP-0040</t>
  </si>
  <si>
    <t>GAP-0041</t>
  </si>
  <si>
    <t>GAP-0042</t>
  </si>
  <si>
    <t>GAP-0043</t>
  </si>
  <si>
    <t>GAP-0044</t>
  </si>
  <si>
    <t>GAP-0045</t>
  </si>
  <si>
    <t>GAP-0046</t>
  </si>
  <si>
    <t>GAP-0047</t>
  </si>
  <si>
    <t>GAP-0048</t>
  </si>
  <si>
    <t>GAP-0049</t>
  </si>
  <si>
    <t>GAP-0050</t>
  </si>
  <si>
    <t>GAP-0051</t>
  </si>
  <si>
    <t>GAP-0052</t>
  </si>
  <si>
    <t>GAP-0053</t>
  </si>
  <si>
    <t>GAP-0054</t>
  </si>
  <si>
    <t>GAP-0055</t>
  </si>
  <si>
    <t>GAP-0056</t>
  </si>
  <si>
    <t>GAP-0057</t>
  </si>
  <si>
    <t>GAP-0058</t>
  </si>
  <si>
    <t>GAP-0059</t>
  </si>
  <si>
    <t>GAP-0060</t>
  </si>
  <si>
    <t>GAP-0061</t>
  </si>
  <si>
    <t>GAP-0062</t>
  </si>
  <si>
    <t>GAP-0063</t>
  </si>
  <si>
    <t>GAP-0064</t>
  </si>
  <si>
    <t>GAP-0065</t>
  </si>
  <si>
    <t>GAP-0066</t>
  </si>
  <si>
    <t>GAP-0067</t>
  </si>
  <si>
    <t>GAP-0068</t>
  </si>
  <si>
    <t>GAP-0069</t>
  </si>
  <si>
    <t>GAP-0070</t>
  </si>
  <si>
    <t>GAP-0071</t>
  </si>
  <si>
    <t>GAP-0072</t>
  </si>
  <si>
    <t>GAP-0073</t>
  </si>
  <si>
    <t>GAP-0074</t>
  </si>
  <si>
    <t>GAP-0075</t>
  </si>
  <si>
    <t>GAP-0076</t>
  </si>
  <si>
    <t>GAP-0077</t>
  </si>
  <si>
    <t>GAP-0078</t>
  </si>
  <si>
    <t>GAP-0079</t>
  </si>
  <si>
    <t>GAP-0080</t>
  </si>
  <si>
    <t>GAP-0081</t>
  </si>
  <si>
    <t>GAP-0082</t>
  </si>
  <si>
    <t>GAP-0083</t>
  </si>
  <si>
    <t>GAP-0084</t>
  </si>
  <si>
    <t>GAP-0085</t>
  </si>
  <si>
    <t>GAP-0086</t>
  </si>
  <si>
    <t>GAP-0087</t>
  </si>
  <si>
    <t>GAP-0088</t>
  </si>
  <si>
    <t>GAP-0089</t>
  </si>
  <si>
    <t>GAP-0090</t>
  </si>
  <si>
    <t>GAP-0091</t>
  </si>
  <si>
    <t>GAP-0092</t>
  </si>
  <si>
    <t>GAP-0093</t>
  </si>
  <si>
    <t>GAP-0094</t>
  </si>
  <si>
    <t>GAP-0095</t>
  </si>
  <si>
    <t>GAP-0096</t>
  </si>
  <si>
    <t>GAP-0097</t>
  </si>
  <si>
    <t>GAP-0098</t>
  </si>
  <si>
    <t>GAP-0099</t>
  </si>
  <si>
    <t>GAP-0100</t>
  </si>
  <si>
    <t>GAP-0101</t>
  </si>
  <si>
    <t>GAP-0102</t>
  </si>
  <si>
    <t>GAP-0103</t>
  </si>
  <si>
    <t>GAP-0104</t>
  </si>
  <si>
    <t>GAP-0105</t>
  </si>
  <si>
    <t>GAP-0106</t>
  </si>
  <si>
    <t>GAP-0107</t>
  </si>
  <si>
    <t>GAP-0108</t>
  </si>
  <si>
    <t>GAP-0109</t>
  </si>
  <si>
    <t>GAP-0110</t>
  </si>
  <si>
    <t>GAP-0111</t>
  </si>
  <si>
    <t>GAP-0112</t>
  </si>
  <si>
    <t>GAP-0113</t>
  </si>
  <si>
    <t>GAP-0114</t>
  </si>
  <si>
    <t>GAP-0115</t>
  </si>
  <si>
    <t>GAP-0116</t>
  </si>
  <si>
    <t>GAP-0117</t>
  </si>
  <si>
    <t>GAP-0118</t>
  </si>
  <si>
    <t>GAP-0119</t>
  </si>
  <si>
    <t>GAP-0120</t>
  </si>
  <si>
    <t>GAP-0121</t>
  </si>
  <si>
    <t>GAP-0122</t>
  </si>
  <si>
    <t>GAP-0123</t>
  </si>
  <si>
    <t>GAP-0124</t>
  </si>
  <si>
    <t>GAP-0125</t>
  </si>
  <si>
    <t>GAP-0126</t>
  </si>
  <si>
    <t>GAP-0127</t>
  </si>
  <si>
    <t>GAP-0128</t>
  </si>
  <si>
    <t>GAP-0129</t>
  </si>
  <si>
    <t>GAP-0130</t>
  </si>
  <si>
    <t>GAP-0131</t>
  </si>
  <si>
    <t>GAP-0132</t>
  </si>
  <si>
    <t>GAP-0133</t>
  </si>
  <si>
    <t>GAP-0134</t>
  </si>
  <si>
    <t>GAP-0135</t>
  </si>
  <si>
    <t>GAP-0136</t>
  </si>
  <si>
    <t>GAP-0137</t>
  </si>
  <si>
    <t>GAP-0138</t>
  </si>
  <si>
    <t>GAP-0139</t>
  </si>
  <si>
    <t>GAP-0140</t>
  </si>
  <si>
    <t>GAP-0141</t>
  </si>
  <si>
    <t>GAP-0142</t>
  </si>
  <si>
    <t>GAP-0143</t>
  </si>
  <si>
    <t>GAP-0144</t>
  </si>
  <si>
    <t>GAP-0145</t>
  </si>
  <si>
    <t>GAP-0146</t>
  </si>
  <si>
    <t>GAP-0147</t>
  </si>
  <si>
    <t>GAP-0148</t>
  </si>
  <si>
    <t>GAP-0149</t>
  </si>
  <si>
    <t>GAP-0150</t>
  </si>
  <si>
    <t>GAP-0151</t>
  </si>
  <si>
    <t>GAP-0152</t>
  </si>
  <si>
    <t>GAP-0153</t>
  </si>
  <si>
    <t>GAP-0154</t>
  </si>
  <si>
    <t>GAP-0155</t>
  </si>
  <si>
    <t>GAP-0156</t>
  </si>
  <si>
    <t>GAP-0157</t>
  </si>
  <si>
    <t>GAP-0158</t>
  </si>
  <si>
    <t>GAP-0159</t>
  </si>
  <si>
    <t>GAP-0160</t>
  </si>
  <si>
    <t>GAP-0161</t>
  </si>
  <si>
    <t>GAP-0162</t>
  </si>
  <si>
    <t>GAP-0163</t>
  </si>
  <si>
    <t>GAP-0164</t>
  </si>
  <si>
    <t>GAP-0165</t>
  </si>
  <si>
    <t>GAP-0166</t>
  </si>
  <si>
    <t>GAP-0167</t>
  </si>
  <si>
    <t>GAP-0168</t>
  </si>
  <si>
    <t>GAP-0169</t>
  </si>
  <si>
    <t>GAP-0170</t>
  </si>
  <si>
    <t>GAP-0171</t>
  </si>
  <si>
    <t>GAP-0172</t>
  </si>
  <si>
    <t>GAP-0173</t>
  </si>
  <si>
    <t>GAP-0174</t>
  </si>
  <si>
    <t>GAP-0175</t>
  </si>
  <si>
    <t>GAP-0176</t>
  </si>
  <si>
    <t>GAP-0177</t>
  </si>
  <si>
    <t>GAP-0178</t>
  </si>
  <si>
    <t>GAP-0179</t>
  </si>
  <si>
    <t>GAP-0180</t>
  </si>
  <si>
    <t>GAP-0181</t>
  </si>
  <si>
    <t>GAP-0182</t>
  </si>
  <si>
    <t>GAP-0183</t>
  </si>
  <si>
    <t>GAP-0184</t>
  </si>
  <si>
    <t>GAP-0185</t>
  </si>
  <si>
    <t>GAP-0186</t>
  </si>
  <si>
    <t>GAP-0187</t>
  </si>
  <si>
    <t>GAP-0188</t>
  </si>
  <si>
    <t>GAP-0189</t>
  </si>
  <si>
    <t>GAP-0190</t>
  </si>
  <si>
    <t>GAP-0191</t>
  </si>
  <si>
    <t>GAP-0192</t>
  </si>
  <si>
    <t>GAP-0193</t>
  </si>
  <si>
    <t>GAP-0194</t>
  </si>
  <si>
    <t>GAP-0195</t>
  </si>
  <si>
    <t>GAP-0196</t>
  </si>
  <si>
    <t>GAP-0197</t>
  </si>
  <si>
    <t>GAP-0198</t>
  </si>
  <si>
    <t>GAP-0199</t>
  </si>
  <si>
    <t>GAP-0200</t>
  </si>
  <si>
    <t>GAP-0201</t>
  </si>
  <si>
    <t>GAP-0202</t>
  </si>
  <si>
    <t>GAP-0203</t>
  </si>
  <si>
    <t>GAP-0204</t>
  </si>
  <si>
    <t>GAP-0205</t>
  </si>
  <si>
    <t>GAP-0206</t>
  </si>
  <si>
    <t>GAP-0207</t>
  </si>
  <si>
    <t>GAP-0208</t>
  </si>
  <si>
    <t>GAP-0209</t>
  </si>
  <si>
    <t>GAP-0210</t>
  </si>
  <si>
    <t>GAP-0211</t>
  </si>
  <si>
    <t>GAP-0212</t>
  </si>
  <si>
    <t>GAP-0213</t>
  </si>
  <si>
    <t>GAP-0214</t>
  </si>
  <si>
    <t>GAP-0215</t>
  </si>
  <si>
    <t>GAP-0216</t>
  </si>
  <si>
    <t>GAP-0217</t>
  </si>
  <si>
    <t>GAP-0218</t>
  </si>
  <si>
    <t>GAP-0219</t>
  </si>
  <si>
    <t>GAP-0220</t>
  </si>
  <si>
    <t>GAP-0221</t>
  </si>
  <si>
    <t>GAP-0222</t>
  </si>
  <si>
    <t>GAP-0223</t>
  </si>
  <si>
    <t>GAP-0224</t>
  </si>
  <si>
    <t>GAP-0225</t>
  </si>
  <si>
    <t>GAP-0226</t>
  </si>
  <si>
    <t>GAP-0227</t>
  </si>
  <si>
    <t>GAP-0228</t>
  </si>
  <si>
    <t>GAP-0229</t>
  </si>
  <si>
    <t>GAP-0230</t>
  </si>
  <si>
    <t>GAP-0231</t>
  </si>
  <si>
    <t>GAP-0232</t>
  </si>
  <si>
    <t>GAP-0233</t>
  </si>
  <si>
    <t>GAP-0234</t>
  </si>
  <si>
    <t>GAP-0235</t>
  </si>
  <si>
    <t>GAP-0236</t>
  </si>
  <si>
    <t>GAP-0237</t>
  </si>
  <si>
    <t>GAP-0238</t>
  </si>
  <si>
    <t>GAP-0239</t>
  </si>
  <si>
    <t>GAP-0240</t>
  </si>
  <si>
    <t>GAP-0241</t>
  </si>
  <si>
    <t>GAP-0242</t>
  </si>
  <si>
    <t>GAP-0243</t>
  </si>
  <si>
    <t>GAP-0244</t>
  </si>
  <si>
    <t>GAP-0245</t>
  </si>
  <si>
    <t>GAP-0246</t>
  </si>
  <si>
    <t>GAP-0247</t>
  </si>
  <si>
    <t>GAP-0248</t>
  </si>
  <si>
    <t>GAP-0249</t>
  </si>
  <si>
    <t>GAP-0250</t>
  </si>
  <si>
    <t>GAP-0251</t>
  </si>
  <si>
    <t>GAP-0252</t>
  </si>
  <si>
    <t>GAP-0253</t>
  </si>
  <si>
    <t>GAP-0254</t>
  </si>
  <si>
    <t>GAP-0255</t>
  </si>
  <si>
    <t>GAP-0256</t>
  </si>
  <si>
    <t>GAP-0257</t>
  </si>
  <si>
    <t>GAP-0258</t>
  </si>
  <si>
    <t>GAP-0259</t>
  </si>
  <si>
    <t>GAP-0260</t>
  </si>
  <si>
    <t>GAP-0261</t>
  </si>
  <si>
    <t>GAP-0262</t>
  </si>
  <si>
    <t>GAP-0263</t>
  </si>
  <si>
    <t>GAP-0264</t>
  </si>
  <si>
    <t>GAP-0265</t>
  </si>
  <si>
    <t>GAP-0266</t>
  </si>
  <si>
    <t>GAP-0267</t>
  </si>
  <si>
    <t>GAP-0268</t>
  </si>
  <si>
    <t>GAP-0269</t>
  </si>
  <si>
    <t>GAP-0270</t>
  </si>
  <si>
    <t>GAP-0271</t>
  </si>
  <si>
    <t>GAP-0272</t>
  </si>
  <si>
    <t>GAP-0273</t>
  </si>
  <si>
    <t>GAP-0274</t>
  </si>
  <si>
    <t>GAP-0275</t>
  </si>
  <si>
    <t>GAP-0276</t>
  </si>
  <si>
    <t>GAP-0277</t>
  </si>
  <si>
    <t>GAP-0278</t>
  </si>
  <si>
    <t>GAP-0279</t>
  </si>
  <si>
    <t>GAP-0280</t>
  </si>
  <si>
    <t>GAP-0281</t>
  </si>
  <si>
    <t>GAP-0282</t>
  </si>
  <si>
    <t>GAP-0283</t>
  </si>
  <si>
    <t>GAP-0284</t>
  </si>
  <si>
    <t>GAP-0285</t>
  </si>
  <si>
    <t>GAP-0286</t>
  </si>
  <si>
    <t>GAP-0287</t>
  </si>
  <si>
    <t>GAP-0288</t>
  </si>
  <si>
    <t>GAP-0289</t>
  </si>
  <si>
    <t>GAP-0290</t>
  </si>
  <si>
    <t>GAP-0291</t>
  </si>
  <si>
    <t>GAP-0292</t>
  </si>
  <si>
    <t>GAP-0293</t>
  </si>
  <si>
    <t>GAP-0294</t>
  </si>
  <si>
    <t>GAP-0295</t>
  </si>
  <si>
    <t>GAP-0296</t>
  </si>
  <si>
    <t>GAP-0297</t>
  </si>
  <si>
    <t>GAP-0298</t>
  </si>
  <si>
    <t>GAP-0299</t>
  </si>
  <si>
    <t>GAP-0300</t>
  </si>
  <si>
    <t>GAP-0301</t>
  </si>
  <si>
    <t>GAP-0302</t>
  </si>
  <si>
    <t>GAP-0303</t>
  </si>
  <si>
    <t>GAP-0304</t>
  </si>
  <si>
    <t>GAP-0305</t>
  </si>
  <si>
    <t>GAP-0306</t>
  </si>
  <si>
    <t>Plans de succession</t>
  </si>
  <si>
    <t>Couverture des postes critiques et preparation des successeurs</t>
  </si>
  <si>
    <t>Titulaire ID</t>
  </si>
  <si>
    <t>Titulaire</t>
  </si>
  <si>
    <t>Successeur 1</t>
  </si>
  <si>
    <t>Pret 1</t>
  </si>
  <si>
    <t>Successeur 2</t>
  </si>
  <si>
    <t>Pret 2</t>
  </si>
  <si>
    <t>Risque depart</t>
  </si>
  <si>
    <t>Maj plan</t>
  </si>
  <si>
    <t>Plan action</t>
  </si>
  <si>
    <t>SUC-001</t>
  </si>
  <si>
    <t>Faible</t>
  </si>
  <si>
    <t>SUC-002</t>
  </si>
  <si>
    <t>SUC-003</t>
  </si>
  <si>
    <t>SUC-004</t>
  </si>
  <si>
    <t>SUC-005</t>
  </si>
  <si>
    <t>SUC-006</t>
  </si>
  <si>
    <t>SUC-007</t>
  </si>
  <si>
    <t>SUC-008</t>
  </si>
  <si>
    <t>SUC-009</t>
  </si>
  <si>
    <t>SUC-010</t>
  </si>
  <si>
    <t>SUC-011</t>
  </si>
  <si>
    <t>SUC-012</t>
  </si>
  <si>
    <t>SUC-013</t>
  </si>
  <si>
    <t>SUC-014</t>
  </si>
  <si>
    <t>SUC-015</t>
  </si>
  <si>
    <t>SUC-016</t>
  </si>
  <si>
    <t>SUC-017</t>
  </si>
  <si>
    <t>SUC-018</t>
  </si>
  <si>
    <t>SUC-019</t>
  </si>
  <si>
    <t>SUC-020</t>
  </si>
  <si>
    <t>Plan de formation</t>
  </si>
  <si>
    <t>Actions de montee en competences deduites des gaps prioritaires</t>
  </si>
  <si>
    <t>ID Plan</t>
  </si>
  <si>
    <t>Priorite</t>
  </si>
  <si>
    <t>Date session</t>
  </si>
  <si>
    <t>Duree j</t>
  </si>
  <si>
    <t>Niv cible</t>
  </si>
  <si>
    <t>Modalite</t>
  </si>
  <si>
    <t>Organisme</t>
  </si>
  <si>
    <t>Budget prevu</t>
  </si>
  <si>
    <t>Budget engage</t>
  </si>
  <si>
    <t>Cout complet</t>
  </si>
  <si>
    <t>Resultat</t>
  </si>
  <si>
    <t>Rappel</t>
  </si>
  <si>
    <t>PF-0001</t>
  </si>
  <si>
    <t>Important</t>
  </si>
  <si>
    <t>Coaching</t>
  </si>
  <si>
    <t>Academie interne</t>
  </si>
  <si>
    <t>Planifie</t>
  </si>
  <si>
    <t>PF-0002</t>
  </si>
  <si>
    <t>Compagnonnage</t>
  </si>
  <si>
    <t>PF-0003</t>
  </si>
  <si>
    <t>Formation interne</t>
  </si>
  <si>
    <t>A planifier</t>
  </si>
  <si>
    <t>PF-0004</t>
  </si>
  <si>
    <t>PF-0005</t>
  </si>
  <si>
    <t>En cours</t>
  </si>
  <si>
    <t>PF-0006</t>
  </si>
  <si>
    <t>PF-0007</t>
  </si>
  <si>
    <t>PF-0008</t>
  </si>
  <si>
    <t>Realise</t>
  </si>
  <si>
    <t>PF-0009</t>
  </si>
  <si>
    <t>PF-0010</t>
  </si>
  <si>
    <t>PF-0011</t>
  </si>
  <si>
    <t>PF-0012</t>
  </si>
  <si>
    <t>PF-0013</t>
  </si>
  <si>
    <t>PF-0014</t>
  </si>
  <si>
    <t>PF-0015</t>
  </si>
  <si>
    <t>PF-0016</t>
  </si>
  <si>
    <t>PF-0017</t>
  </si>
  <si>
    <t>PF-0018</t>
  </si>
  <si>
    <t>PF-0019</t>
  </si>
  <si>
    <t>PF-0020</t>
  </si>
  <si>
    <t>PF-0021</t>
  </si>
  <si>
    <t>PF-0022</t>
  </si>
  <si>
    <t>PF-0023</t>
  </si>
  <si>
    <t>PF-0024</t>
  </si>
  <si>
    <t>PF-0025</t>
  </si>
  <si>
    <t>PF-0026</t>
  </si>
  <si>
    <t>PF-0027</t>
  </si>
  <si>
    <t>PF-0028</t>
  </si>
  <si>
    <t>PF-0029</t>
  </si>
  <si>
    <t>PF-0030</t>
  </si>
  <si>
    <t>Formation externe</t>
  </si>
  <si>
    <t>Organisme agree</t>
  </si>
  <si>
    <t>PF-0031</t>
  </si>
  <si>
    <t>PF-0032</t>
  </si>
  <si>
    <t>PF-0033</t>
  </si>
  <si>
    <t>PF-0034</t>
  </si>
  <si>
    <t>PF-0035</t>
  </si>
  <si>
    <t>PF-0036</t>
  </si>
  <si>
    <t>PF-0037</t>
  </si>
  <si>
    <t>PF-0038</t>
  </si>
  <si>
    <t>PF-0039</t>
  </si>
  <si>
    <t>PF-0040</t>
  </si>
  <si>
    <t>PF-0041</t>
  </si>
  <si>
    <t>PF-0042</t>
  </si>
  <si>
    <t>PF-0043</t>
  </si>
  <si>
    <t>PF-0044</t>
  </si>
  <si>
    <t>PF-0045</t>
  </si>
  <si>
    <t>PF-0046</t>
  </si>
  <si>
    <t>PF-0047</t>
  </si>
  <si>
    <t>PF-0048</t>
  </si>
  <si>
    <t>PF-0049</t>
  </si>
  <si>
    <t>PF-0050</t>
  </si>
  <si>
    <t>PF-0051</t>
  </si>
  <si>
    <t>PF-0052</t>
  </si>
  <si>
    <t>Budget formation</t>
  </si>
  <si>
    <t>Pilotage budgetaire par site et categorie</t>
  </si>
  <si>
    <t>Perimetre</t>
  </si>
  <si>
    <t>Budget alloue</t>
  </si>
  <si>
    <t>Reste a engager</t>
  </si>
  <si>
    <t>Taux conso</t>
  </si>
  <si>
    <t>Nb actions</t>
  </si>
  <si>
    <t>Villaroche (77) - Formation</t>
  </si>
  <si>
    <t>Gennevilliers (92) - Formation</t>
  </si>
  <si>
    <t>Chatellerault (86) - Formation</t>
  </si>
  <si>
    <t>Bordes (64) - Formation</t>
  </si>
  <si>
    <t>Istres (13) - Formation</t>
  </si>
  <si>
    <t>Historique des mises a jour</t>
  </si>
  <si>
    <t>Trace simplifiee des operations et changements du classeur</t>
  </si>
  <si>
    <t>Date</t>
  </si>
  <si>
    <t>Type</t>
  </si>
  <si>
    <t>Auteur</t>
  </si>
  <si>
    <t>HIS-001</t>
  </si>
  <si>
    <t>Import</t>
  </si>
  <si>
    <t>Agent NEURAL</t>
  </si>
  <si>
    <t>Annuaire</t>
  </si>
  <si>
    <t>Chargement initial des 60 collaborateurs</t>
  </si>
  <si>
    <t>HIS-002</t>
  </si>
  <si>
    <t>Evaluation</t>
  </si>
  <si>
    <t>Manager qualite</t>
  </si>
  <si>
    <t>Matrice skills</t>
  </si>
  <si>
    <t>Mise a jour des niveaux CND et FAI</t>
  </si>
  <si>
    <t>HIS-003</t>
  </si>
  <si>
    <t>Budget</t>
  </si>
  <si>
    <t>RH formation</t>
  </si>
  <si>
    <t>Reallocation budget site Bordes</t>
  </si>
  <si>
    <t>HIS-004</t>
  </si>
  <si>
    <t>Succession</t>
  </si>
  <si>
    <t>DRH</t>
  </si>
  <si>
    <t>Ajout de 5 plans de succession</t>
  </si>
  <si>
    <t>HIS-005</t>
  </si>
  <si>
    <t>Controle</t>
  </si>
  <si>
    <t>Controles</t>
  </si>
  <si>
    <t>Verification integrite des references</t>
  </si>
  <si>
    <t>Dashboard SkillsMapAero</t>
  </si>
  <si>
    <t>Genere le 02/04/2026 18:31</t>
  </si>
  <si>
    <t>INDICATEURS CLES</t>
  </si>
  <si>
    <t>KPI</t>
  </si>
  <si>
    <t>Objectif</t>
  </si>
  <si>
    <t>Taux couverture global</t>
  </si>
  <si>
    <t>Competences critiques couvertes</t>
  </si>
  <si>
    <t>Nb gaps critiques non traites</t>
  </si>
  <si>
    <t>Score moyen competences</t>
  </si>
  <si>
    <t>Postes critiques avec successeur</t>
  </si>
  <si>
    <t>Budget formation consomme</t>
  </si>
  <si>
    <t>Employes evalues &lt;12 mois</t>
  </si>
  <si>
    <t>Score qualite donnees</t>
  </si>
  <si>
    <t>REPARTITION PAR SITE</t>
  </si>
  <si>
    <t>Effectif</t>
  </si>
  <si>
    <t>Score moyen</t>
  </si>
  <si>
    <t>Gaps critiques</t>
  </si>
  <si>
    <t>TOP 10 COMPETENCES A RISQUE</t>
  </si>
  <si>
    <t>Score risque</t>
  </si>
  <si>
    <t>Controles de coherence</t>
  </si>
  <si>
    <t>Vingt-trois verifications de qualite de donnees</t>
  </si>
  <si>
    <t>#</t>
  </si>
  <si>
    <t>Nb anomalies</t>
  </si>
  <si>
    <t>Detail</t>
  </si>
  <si>
    <t>Integrite</t>
  </si>
  <si>
    <t>Employes de la matrice presents dans l'annuaire</t>
  </si>
  <si>
    <t>Bloquant</t>
  </si>
  <si>
    <t>Employes orphelins</t>
  </si>
  <si>
    <t>Competences de la matrice presentes dans le referentiel</t>
  </si>
  <si>
    <t>Competences non referencees</t>
  </si>
  <si>
    <t>Pas de doublon ID employe</t>
  </si>
  <si>
    <t>Doublons employes</t>
  </si>
  <si>
    <t>Pas de doublon ID competence</t>
  </si>
  <si>
    <t>Doublons competences</t>
  </si>
  <si>
    <t>Pas de doublon employe x competence</t>
  </si>
  <si>
    <t>Doublons matrice</t>
  </si>
  <si>
    <t>Coherence</t>
  </si>
  <si>
    <t>Niveaux entre 0 et 5</t>
  </si>
  <si>
    <t>Niveaux hors plage</t>
  </si>
  <si>
    <t>Niveaux requis renseignes sur lignes requises</t>
  </si>
  <si>
    <t>Requis manquants</t>
  </si>
  <si>
    <t>Employes actifs avec au moins 1 evaluation</t>
  </si>
  <si>
    <t>Employes non evalues</t>
  </si>
  <si>
    <t>Competences critiques avec 0 titulaire qualifie</t>
  </si>
  <si>
    <t>Ruptures critiques</t>
  </si>
  <si>
    <t>Surqualification systemique &gt; 50%</t>
  </si>
  <si>
    <t>Attention</t>
  </si>
  <si>
    <t>Possible tension globale</t>
  </si>
  <si>
    <t>Couverture</t>
  </si>
  <si>
    <t>Postes critiques avec successeur identifie</t>
  </si>
  <si>
    <t>Successeurs manquants</t>
  </si>
  <si>
    <t>Couverture critiques &gt;= 80%</t>
  </si>
  <si>
    <t>Competences critiques sous-couvertes</t>
  </si>
  <si>
    <t>Chaque site couvre des competences critiques</t>
  </si>
  <si>
    <t>Sites sans couverture critique</t>
  </si>
  <si>
    <t>Gaps</t>
  </si>
  <si>
    <t>Aucun gap critique non traite</t>
  </si>
  <si>
    <t>Gaps critiques ouverts</t>
  </si>
  <si>
    <t>Plan de formation sur gaps prioritaires</t>
  </si>
  <si>
    <t>Gaps sans plan</t>
  </si>
  <si>
    <t>Pas de depassement budgetaire</t>
  </si>
  <si>
    <t>Lignes budget depassees</t>
  </si>
  <si>
    <t>Budget engage coherent avec le plan</t>
  </si>
  <si>
    <t>Ecart entre budget et plan</t>
  </si>
  <si>
    <t>Temporel</t>
  </si>
  <si>
    <t>Evaluations &lt; 12 mois</t>
  </si>
  <si>
    <t>Evaluations obsoletes</t>
  </si>
  <si>
    <t>Sessions passees non mises a jour</t>
  </si>
  <si>
    <t>Sessions a requalifier</t>
  </si>
  <si>
    <t>Champs obligatoires matrice complets</t>
  </si>
  <si>
    <t>ID employe manquants</t>
  </si>
  <si>
    <t>Justification sur niveaux &gt;=4</t>
  </si>
  <si>
    <t>Commentaires manquants</t>
  </si>
  <si>
    <t>Source d'evaluation renseignee</t>
  </si>
  <si>
    <t>Sources manquantes</t>
  </si>
  <si>
    <t>Plans de succession recents</t>
  </si>
  <si>
    <t>Plans obsoletes</t>
  </si>
  <si>
    <t>Notes reglementaires</t>
  </si>
  <si>
    <t>References normatives et points d'attention conformite</t>
  </si>
  <si>
    <t>Reference</t>
  </si>
  <si>
    <t>Theme</t>
  </si>
  <si>
    <t>Note</t>
  </si>
  <si>
    <t>EN 9100</t>
  </si>
  <si>
    <t>Systeme qualite</t>
  </si>
  <si>
    <t>Qualite / production</t>
  </si>
  <si>
    <t>Cadre qualite aeronautique de reference pour audit, competences et tracabilite.</t>
  </si>
  <si>
    <t>Industrialisation</t>
  </si>
  <si>
    <t>Impose la robustesse des donnees de premiere piece et la maitrise documentaire.</t>
  </si>
  <si>
    <t>Controle non destructif</t>
  </si>
  <si>
    <t>Qualification indispensable pour PT, MT, UT, RT et ET.</t>
  </si>
  <si>
    <t>AMS 2750</t>
  </si>
  <si>
    <t>Traitement thermique</t>
  </si>
  <si>
    <t>Fours et pyrometrie</t>
  </si>
  <si>
    <t>Competence critique liee a la conformite NADCAP.</t>
  </si>
  <si>
    <t>EASA PART 21</t>
  </si>
  <si>
    <t>Entreprise</t>
  </si>
  <si>
    <t>Competences critiques a piloter sur postes clefs et liberations.</t>
  </si>
  <si>
    <t>Base de convergence entre conception et fabrication.</t>
  </si>
  <si>
    <t>ARP4761</t>
  </si>
  <si>
    <t>Analyse de risque</t>
  </si>
  <si>
    <t>Ingenierie</t>
  </si>
  <si>
    <t>Support aux analyses AMDEC/FMEA et plans de mitigation.</t>
  </si>
  <si>
    <t>NEURAL - Rapport cartographie des competences</t>
  </si>
  <si>
    <t>Support d'export PDF et synthese executive</t>
  </si>
  <si>
    <t>SYNTHESE EXECUTIVE</t>
  </si>
  <si>
    <t>Effectif total evalue</t>
  </si>
  <si>
    <t>Taux de couverture global</t>
  </si>
  <si>
    <t>Gaps critiques non traites</t>
  </si>
  <si>
    <t>ALERTES CRITIQUES</t>
  </si>
  <si>
    <t>- Competences critiques a couverture inferieure a 80%</t>
  </si>
  <si>
    <t>- Gaps critiques non traites</t>
  </si>
  <si>
    <t>- Plans de succession manquants ou obsoletes</t>
  </si>
  <si>
    <t>- Depassements budgetaires potentiels</t>
  </si>
  <si>
    <t>RECOMMANDATIONS</t>
  </si>
  <si>
    <t>0-30 jours : traiter les gaps critiques et rafraichir les evaluations obsoletes.</t>
  </si>
  <si>
    <t>30-90 jours : lancer les formations prioritaires et renforcer les plans de succession.</t>
  </si>
  <si>
    <t>90-180 jours : harmoniser les pratiques inter-sites et industrialiser la polyvalence.</t>
  </si>
  <si>
    <t>Matrice des risques competences</t>
  </si>
  <si>
    <t>Scoring multicritere sur les competences les plus sensibles</t>
  </si>
  <si>
    <t>Tx couverture</t>
  </si>
  <si>
    <t>Nb titulaires</t>
  </si>
  <si>
    <t>Nb postes</t>
  </si>
  <si>
    <t>Substituabilite</t>
  </si>
  <si>
    <t>Score brut</t>
  </si>
  <si>
    <t>Mitigation</t>
  </si>
  <si>
    <t>Score net</t>
  </si>
  <si>
    <t>Simulation d'impact des departs</t>
  </si>
  <si>
    <t>Zone de simulation simple sur cinq collaborateurs</t>
  </si>
  <si>
    <t>ID employe</t>
  </si>
  <si>
    <t>Nom prenom</t>
  </si>
  <si>
    <t>Nb comp.</t>
  </si>
  <si>
    <t>Nb comp. critiques</t>
  </si>
  <si>
    <t>Ruptures apres depart</t>
  </si>
  <si>
    <t>Cout remplacement</t>
  </si>
  <si>
    <t>Temps remplt</t>
  </si>
  <si>
    <t>Impact global</t>
  </si>
  <si>
    <t>ANALYSE CONSOLIDEE</t>
  </si>
  <si>
    <t>Total competences impactees</t>
  </si>
  <si>
    <t>Total ruptures estimees</t>
  </si>
  <si>
    <t>Cout total remplacement</t>
  </si>
  <si>
    <t>Temps moyen remplacement</t>
  </si>
  <si>
    <t>Nb profils irremplacables</t>
  </si>
  <si>
    <t>Calendrier consolide</t>
  </si>
  <si>
    <t>Vision planning des formations et jalons RH</t>
  </si>
  <si>
    <t>Action</t>
  </si>
  <si>
    <t>"Formation"</t>
  </si>
  <si>
    <t>07_PLAN_FORMATION</t>
  </si>
  <si>
    <t>Benchmark inter-sites</t>
  </si>
  <si>
    <t>Comparaison des indicateurs clefs entre sites</t>
  </si>
  <si>
    <t>Indicateur</t>
  </si>
  <si>
    <t>Moyenne</t>
  </si>
  <si>
    <t>Ecart-type</t>
  </si>
  <si>
    <t>Polyvalence moyenne</t>
  </si>
  <si>
    <t>Generateur de notifications</t>
  </si>
  <si>
    <t>Messages prets a l'emploi derives des alertes du classeur</t>
  </si>
  <si>
    <t>Destinataire</t>
  </si>
  <si>
    <t>Message</t>
  </si>
  <si>
    <t>Alerte couverture</t>
  </si>
  <si>
    <t>DRH / Direction industrielle</t>
  </si>
  <si>
    <t>Alerte gap</t>
  </si>
  <si>
    <t>Manager de site</t>
  </si>
  <si>
    <t>Alerte succession</t>
  </si>
  <si>
    <t>Alerte budget</t>
  </si>
  <si>
    <t>Alerte qualite donnees</t>
  </si>
  <si>
    <t>PMO SkillsMap</t>
  </si>
  <si>
    <t>Turn #</t>
  </si>
  <si>
    <t>User Request</t>
  </si>
  <si>
    <t>Action Taken</t>
  </si>
  <si>
    <t>Details</t>
  </si>
  <si>
    <t>Outcome</t>
  </si>
  <si>
    <t>Analyse complète du fichier SkillsMapAero + propositions d'améliorations formules/automatisation + ergonomie 01_PARAMETRES (menus déroulants)</t>
  </si>
  <si>
    <t>Audit complet des 18 onglets: formules, liaisons inter-onglets, bugs, et ergonomie</t>
  </si>
  <si>
    <t>BUGS CRITIQUES trouvés: (1) 03_ANNUAIRE!Q divise par B10 (date) au lieu de B15 (objectif polyvalence); (2) 02_REF!S compare à B9 (texte EASA) au lieu de B14 (nb min titulaires); (3) Dashboard TOP10 avec doublons. Propositions: menus déroulants, validation données, formules dynamiques pour 01_PARAMETRES.</t>
  </si>
  <si>
    <t>Recommandations détaillées fournies. En attente validation utilisateur pour implémenter.</t>
  </si>
  <si>
    <t>Utilisateur valide les 4 corrections + améliorations ergonomiques proposées au Turn 1</t>
  </si>
  <si>
    <t>Implémenté les 4 correctifs bugs + ajout menus déroulants et validation de données</t>
  </si>
  <si>
    <t>Bug1: 03_ANNUAIRE!Q5:Q64 corrigé B10→$B$15 (score polyvalence passe de ~0.00008 à 0.8). Bug2: 02_REF!S5:S34 corrigé B9→$B$14 (alerte titulaires fonctionne maintenant). Bug3: 02_REF!N5:N34 remplacé texte dur par formule SI(E&gt;=5,Critique;E&gt;=4,Eleve;E&gt;=3,Moyen;Faible). Bug4: Dashboard TOP10 A28:C37 remplacé LARGE/MATCH par SORTBY → 10 compétences distinctes. Validation: B8 liste secteurs, B12 entier 1-5, B13 décimal 0-1, B14 entier 1-20, B15 entier 1-10, B16 positif. 03_ANNUAIRE D5:D64 dropdown sites, J5:J64 dropdown BUs. 04_MATRICE I5:I432 entier 0-4.</t>
  </si>
  <si>
    <t>Tous les bugs corrigés et vérifiés. Formules Q col donnent maintenant des scores significatifs (0.4-1.6). Alertes S col distinguent correctement Critique/Sous controle. Dashboard TOP10 affiche 10 compétences uniques. Validation données active sur paramètres, annuaire et matrice.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</si>
</sst>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€"/>
    <numFmt numFmtId="165" formatCode="0.0%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D4AF37"/>
      <name val="Calibri"/>
    </font>
    <font>
      <i/>
      <sz val="10"/>
      <color rgb="FFF5E6B8"/>
      <name val="Calibri"/>
    </font>
    <font>
      <b/>
      <sz val="11"/>
      <color rgb="FF1A1A2E"/>
      <name val="Calibri"/>
    </font>
    <font>
      <b/>
      <sz val="10"/>
      <color rgb="FFD4AF37"/>
      <name val="Calibri"/>
    </font>
    <font>
      <sz val="10"/>
      <color rgb="FF333333"/>
      <name val="Calibri"/>
    </font>
    <font>
      <b/>
      <sz val="11"/>
      <color rgb="FFFFFFFF"/>
      <name val="Calibri"/>
    </font>
    <font>
      <b/>
      <sz val="10"/>
      <color rgb="FFD4AF3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4AF37"/>
      </patternFill>
    </fill>
    <fill>
      <patternFill patternType="solid">
        <fgColor rgb="FFF8F9FA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FFFFCC"/>
      </patternFill>
    </fill>
    <fill>
      <patternFill patternType="solid">
        <fgColor rgb="FF1A1A2E"/>
        <bgColor indexed="64"/>
      </patternFill>
    </fill>
  </fills>
  <borders count="3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D4AF37"/>
      </top>
      <bottom style="medium">
        <color rgb="FFD4AF3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5">
    <dxf>
      <fill>
        <patternFill patternType="solid">
          <fgColor rgb="FFFADBD8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t>Score moyen par site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'10_DASHBOARD_KPI'!$C$18</c:f>
              <c:strCache>
                <c:ptCount val="1"/>
                <c:pt idx="0">
                  <c:v>Score moyen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'10_DASHBOARD_KPI'!$A$19:$A$23</c:f>
              <c:strCache>
                <c:ptCount val="5"/>
                <c:pt idx="0">
                  <c:v>Villaroche (77)</c:v>
                </c:pt>
                <c:pt idx="1">
                  <c:v>Gennevilliers (92)</c:v>
                </c:pt>
                <c:pt idx="2">
                  <c:v>Chatellerault (86)</c:v>
                </c:pt>
                <c:pt idx="3">
                  <c:v>Bordes (64)</c:v>
                </c:pt>
                <c:pt idx="4">
                  <c:v>Istres (13)</c:v>
                </c:pt>
              </c:strCache>
            </c:strRef>
          </c:cat>
          <c:val>
            <c:numRef>
              <c:f>'10_DASHBOARD_KPI'!$C$19:$C$23</c:f>
              <c:numCache>
                <c:formatCode>0.00</c:formatCode>
                <c:ptCount val="5"/>
                <c:pt idx="0">
                  <c:v>2.9130434782608696</c:v>
                </c:pt>
                <c:pt idx="1">
                  <c:v>2.9659090909090908</c:v>
                </c:pt>
                <c:pt idx="2">
                  <c:v>3.0705882352941178</c:v>
                </c:pt>
                <c:pt idx="3">
                  <c:v>3.4567901234567899</c:v>
                </c:pt>
                <c:pt idx="4">
                  <c:v>3.0365853658536586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F-4FCA-9FB0-3B26A62A6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17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CC5E6A-5517-4892-8FD0-85B240EC155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28522ad-940e-4315-acfb-68b5336ee2bc&quot;"/>
  </we:properties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A33A-4606-450C-A478-6FEEF0B4351C}">
  <dimension ref="A1:F3"/>
  <sheetViews>
    <sheetView workbookViewId="0">
      <selection activeCell="C35" sqref="C35"/>
    </sheetView>
  </sheetViews>
  <sheetFormatPr baseColWidth="10" defaultRowHeight="15" x14ac:dyDescent="0.25"/>
  <sheetData>
    <row r="1" spans="1:6" x14ac:dyDescent="0.25">
      <c r="A1" s="24" t="s">
        <v>1567</v>
      </c>
      <c r="B1" s="24" t="s">
        <v>1377</v>
      </c>
      <c r="C1" s="24" t="s">
        <v>1568</v>
      </c>
      <c r="D1" s="24" t="s">
        <v>1569</v>
      </c>
      <c r="E1" s="24" t="s">
        <v>1570</v>
      </c>
      <c r="F1" s="24" t="s">
        <v>1571</v>
      </c>
    </row>
    <row r="2" spans="1:6" x14ac:dyDescent="0.25">
      <c r="A2">
        <v>1</v>
      </c>
      <c r="B2" s="25">
        <v>46115</v>
      </c>
      <c r="C2" t="s">
        <v>1572</v>
      </c>
      <c r="D2" t="s">
        <v>1573</v>
      </c>
      <c r="E2" t="s">
        <v>1574</v>
      </c>
      <c r="F2" t="s">
        <v>1575</v>
      </c>
    </row>
    <row r="3" spans="1:6" x14ac:dyDescent="0.25">
      <c r="A3">
        <v>2</v>
      </c>
      <c r="B3" s="25">
        <v>46115</v>
      </c>
      <c r="C3" t="s">
        <v>1576</v>
      </c>
      <c r="D3" t="s">
        <v>1577</v>
      </c>
      <c r="E3" t="s">
        <v>1578</v>
      </c>
      <c r="F3" t="s">
        <v>1579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C40"/>
  <sheetViews>
    <sheetView showGridLines="0" tabSelected="1" workbookViewId="0">
      <pane ySplit="4" topLeftCell="A5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34" customWidth="1"/>
    <col min="2" max="2" width="28" customWidth="1"/>
    <col min="3" max="3" width="58" customWidth="1"/>
  </cols>
  <sheetData>
    <row r="1" spans="1:3" ht="36" customHeight="1" x14ac:dyDescent="0.25">
      <c r="A1" s="19" t="s">
        <v>0</v>
      </c>
      <c r="B1" s="18"/>
      <c r="C1" s="18"/>
    </row>
    <row r="2" spans="1:3" x14ac:dyDescent="0.25">
      <c r="A2" s="20" t="s">
        <v>1</v>
      </c>
      <c r="B2" s="18"/>
      <c r="C2" s="18"/>
    </row>
    <row r="4" spans="1:3" ht="24" customHeight="1" x14ac:dyDescent="0.25">
      <c r="A4" s="17" t="s">
        <v>2</v>
      </c>
      <c r="B4" s="18"/>
      <c r="C4" s="18"/>
    </row>
    <row r="5" spans="1:3" ht="30" customHeight="1" x14ac:dyDescent="0.25">
      <c r="A5" s="1" t="s">
        <v>3</v>
      </c>
      <c r="B5" s="1" t="s">
        <v>4</v>
      </c>
      <c r="C5" s="1" t="s">
        <v>5</v>
      </c>
    </row>
    <row r="6" spans="1:3" x14ac:dyDescent="0.25">
      <c r="A6" s="2" t="s">
        <v>6</v>
      </c>
      <c r="B6" s="2" t="s">
        <v>7</v>
      </c>
      <c r="C6" s="2" t="s">
        <v>8</v>
      </c>
    </row>
    <row r="7" spans="1:3" x14ac:dyDescent="0.25">
      <c r="A7" s="3" t="s">
        <v>9</v>
      </c>
      <c r="B7" s="3" t="s">
        <v>10</v>
      </c>
      <c r="C7" s="3" t="s">
        <v>11</v>
      </c>
    </row>
    <row r="8" spans="1:3" x14ac:dyDescent="0.25">
      <c r="A8" s="2" t="s">
        <v>12</v>
      </c>
      <c r="B8" s="2" t="s">
        <v>13</v>
      </c>
      <c r="C8" s="2" t="s">
        <v>14</v>
      </c>
    </row>
    <row r="9" spans="1:3" x14ac:dyDescent="0.25">
      <c r="A9" s="3" t="s">
        <v>15</v>
      </c>
      <c r="B9" s="3" t="s">
        <v>16</v>
      </c>
      <c r="C9" s="3" t="s">
        <v>17</v>
      </c>
    </row>
    <row r="10" spans="1:3" x14ac:dyDescent="0.25">
      <c r="A10" s="2" t="s">
        <v>18</v>
      </c>
      <c r="B10" s="2" t="s">
        <v>19</v>
      </c>
      <c r="C10" s="2" t="s">
        <v>20</v>
      </c>
    </row>
    <row r="11" spans="1:3" x14ac:dyDescent="0.25">
      <c r="A11" s="3" t="s">
        <v>21</v>
      </c>
      <c r="B11" s="3">
        <v>2026</v>
      </c>
      <c r="C11" s="3" t="s">
        <v>22</v>
      </c>
    </row>
    <row r="12" spans="1:3" x14ac:dyDescent="0.25">
      <c r="A12" s="2" t="s">
        <v>23</v>
      </c>
      <c r="B12" s="2">
        <v>3</v>
      </c>
      <c r="C12" s="2" t="s">
        <v>24</v>
      </c>
    </row>
    <row r="13" spans="1:3" x14ac:dyDescent="0.25">
      <c r="A13" s="3" t="s">
        <v>25</v>
      </c>
      <c r="B13" s="4">
        <v>0.95</v>
      </c>
      <c r="C13" s="3" t="s">
        <v>26</v>
      </c>
    </row>
    <row r="14" spans="1:3" ht="25.5" x14ac:dyDescent="0.25">
      <c r="A14" s="2" t="s">
        <v>27</v>
      </c>
      <c r="B14" s="2">
        <v>3</v>
      </c>
      <c r="C14" s="2" t="s">
        <v>28</v>
      </c>
    </row>
    <row r="15" spans="1:3" x14ac:dyDescent="0.25">
      <c r="A15" s="3" t="s">
        <v>29</v>
      </c>
      <c r="B15" s="3">
        <v>5</v>
      </c>
      <c r="C15" s="3" t="s">
        <v>30</v>
      </c>
    </row>
    <row r="16" spans="1:3" x14ac:dyDescent="0.25">
      <c r="A16" s="2" t="s">
        <v>31</v>
      </c>
      <c r="B16" s="5">
        <v>320000</v>
      </c>
      <c r="C16" s="2" t="s">
        <v>32</v>
      </c>
    </row>
    <row r="19" spans="1:3" ht="24" customHeight="1" x14ac:dyDescent="0.25">
      <c r="A19" s="17" t="s">
        <v>33</v>
      </c>
      <c r="B19" s="18"/>
      <c r="C19" s="18"/>
    </row>
    <row r="20" spans="1:3" x14ac:dyDescent="0.25">
      <c r="A20" s="3" t="s">
        <v>34</v>
      </c>
      <c r="B20" s="3" t="s">
        <v>35</v>
      </c>
    </row>
    <row r="21" spans="1:3" x14ac:dyDescent="0.25">
      <c r="A21" s="3" t="s">
        <v>36</v>
      </c>
      <c r="B21" s="3" t="s">
        <v>37</v>
      </c>
    </row>
    <row r="22" spans="1:3" x14ac:dyDescent="0.25">
      <c r="A22" s="3" t="s">
        <v>38</v>
      </c>
      <c r="B22" s="3" t="s">
        <v>39</v>
      </c>
    </row>
    <row r="23" spans="1:3" x14ac:dyDescent="0.25">
      <c r="A23" s="3" t="s">
        <v>40</v>
      </c>
      <c r="B23" s="3" t="s">
        <v>41</v>
      </c>
    </row>
    <row r="24" spans="1:3" x14ac:dyDescent="0.25">
      <c r="A24" s="3" t="s">
        <v>42</v>
      </c>
      <c r="B24" s="3" t="s">
        <v>43</v>
      </c>
    </row>
    <row r="26" spans="1:3" ht="24" customHeight="1" x14ac:dyDescent="0.25">
      <c r="A26" s="17" t="s">
        <v>44</v>
      </c>
      <c r="B26" s="18"/>
      <c r="C26" s="18"/>
    </row>
    <row r="27" spans="1:3" x14ac:dyDescent="0.25">
      <c r="A27" s="3" t="s">
        <v>45</v>
      </c>
      <c r="B27" s="3" t="s">
        <v>46</v>
      </c>
    </row>
    <row r="28" spans="1:3" x14ac:dyDescent="0.25">
      <c r="A28" s="3" t="s">
        <v>47</v>
      </c>
      <c r="B28" s="3" t="s">
        <v>48</v>
      </c>
    </row>
    <row r="29" spans="1:3" x14ac:dyDescent="0.25">
      <c r="A29" s="3" t="s">
        <v>49</v>
      </c>
      <c r="B29" s="3" t="s">
        <v>50</v>
      </c>
    </row>
    <row r="30" spans="1:3" x14ac:dyDescent="0.25">
      <c r="A30" s="3" t="s">
        <v>51</v>
      </c>
      <c r="B30" s="3" t="s">
        <v>52</v>
      </c>
    </row>
    <row r="31" spans="1:3" x14ac:dyDescent="0.25">
      <c r="A31" s="3" t="s">
        <v>53</v>
      </c>
      <c r="B31" s="3" t="s">
        <v>54</v>
      </c>
    </row>
    <row r="32" spans="1:3" x14ac:dyDescent="0.25">
      <c r="A32" s="3" t="s">
        <v>55</v>
      </c>
      <c r="B32" s="3" t="s">
        <v>56</v>
      </c>
    </row>
    <row r="34" spans="1:3" ht="24" customHeight="1" x14ac:dyDescent="0.25">
      <c r="A34" s="17" t="s">
        <v>57</v>
      </c>
      <c r="B34" s="18"/>
      <c r="C34" s="18"/>
    </row>
    <row r="35" spans="1:3" ht="30" customHeight="1" x14ac:dyDescent="0.25">
      <c r="A35" s="1" t="s">
        <v>58</v>
      </c>
      <c r="B35" s="1" t="s">
        <v>59</v>
      </c>
      <c r="C35" s="1" t="s">
        <v>60</v>
      </c>
    </row>
    <row r="36" spans="1:3" x14ac:dyDescent="0.25">
      <c r="A36" s="3">
        <v>1</v>
      </c>
      <c r="B36" s="3" t="s">
        <v>61</v>
      </c>
      <c r="C36" s="3" t="s">
        <v>62</v>
      </c>
    </row>
    <row r="37" spans="1:3" x14ac:dyDescent="0.25">
      <c r="A37" s="3">
        <v>2</v>
      </c>
      <c r="B37" s="3" t="s">
        <v>63</v>
      </c>
      <c r="C37" s="3" t="s">
        <v>64</v>
      </c>
    </row>
    <row r="38" spans="1:3" x14ac:dyDescent="0.25">
      <c r="A38" s="3">
        <v>3</v>
      </c>
      <c r="B38" s="3" t="s">
        <v>65</v>
      </c>
      <c r="C38" s="3" t="s">
        <v>66</v>
      </c>
    </row>
    <row r="39" spans="1:3" x14ac:dyDescent="0.25">
      <c r="A39" s="3">
        <v>4</v>
      </c>
      <c r="B39" s="3" t="s">
        <v>67</v>
      </c>
      <c r="C39" s="3" t="s">
        <v>68</v>
      </c>
    </row>
    <row r="40" spans="1:3" x14ac:dyDescent="0.25">
      <c r="A40" s="3">
        <v>5</v>
      </c>
      <c r="B40" s="3" t="s">
        <v>69</v>
      </c>
      <c r="C40" s="3" t="s">
        <v>70</v>
      </c>
    </row>
  </sheetData>
  <mergeCells count="6">
    <mergeCell ref="A19:C19"/>
    <mergeCell ref="A1:C1"/>
    <mergeCell ref="A34:C34"/>
    <mergeCell ref="A4:C4"/>
    <mergeCell ref="A26:C26"/>
    <mergeCell ref="A2:C2"/>
  </mergeCells>
  <dataValidations count="6">
    <dataValidation type="list" allowBlank="1" showInputMessage="1" showErrorMessage="1" promptTitle="Secteur" prompt="Sélectionnez le secteur d'activité" sqref="B8" xr:uid="{5836C091-408B-4096-882F-04BC0A3692AE}">
      <formula1>"Aeronautique - Moteurs,Aeronautique - Cellule,Aeronautique - Equipements,Aeronautique - MRO,Defense,Spatial"</formula1>
    </dataValidation>
    <dataValidation type="whole" allowBlank="1" showInputMessage="1" showErrorMessage="1" errorTitle="Erreur" error="Le niveau doit être entre 1 et 5" promptTitle="Niveau minimum" prompt="Entrez un niveau entre 1 et 5" sqref="B12" xr:uid="{5784BDAB-ECFC-4947-9718-83DEFE516B75}">
      <formula1>1</formula1>
      <formula2>5</formula2>
    </dataValidation>
    <dataValidation type="decimal" allowBlank="1" showInputMessage="1" showErrorMessage="1" errorTitle="Erreur" error="Le taux doit être entre 0 et 1 (ex: 0.95 = 95%)" promptTitle="Taux couverture cible" prompt="Entrez un taux entre 0% et 100%" sqref="B13" xr:uid="{334C238A-73CF-4031-8D55-9B46A020AC16}">
      <formula1>0</formula1>
      <formula2>1</formula2>
    </dataValidation>
    <dataValidation type="whole" allowBlank="1" showInputMessage="1" showErrorMessage="1" promptTitle="Seuil titulaires critiques" prompt="Nombre minimum de titulaires (1-20)" sqref="B14" xr:uid="{F9415A1B-036A-4056-A138-1B419E16C712}">
      <formula1>1</formula1>
      <formula2>20</formula2>
    </dataValidation>
    <dataValidation type="whole" allowBlank="1" showInputMessage="1" showErrorMessage="1" promptTitle="Objectif polyvalence" prompt="Objectif polyvalence (1-10 compétences)" sqref="B15" xr:uid="{A56FBAE1-D885-4FCB-817E-9CCBD93DF5DB}">
      <formula1>1</formula1>
      <formula2>10</formula2>
    </dataValidation>
    <dataValidation type="decimal" allowBlank="1" showInputMessage="1" showErrorMessage="1" promptTitle="Budget formation" prompt="Budget formation annuel en €" sqref="B16" xr:uid="{4D802A0D-830A-43BF-A68D-9C06DC5E7CEC}">
      <formula1>0</formula1>
      <formula2>99999999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213E"/>
  </sheetPr>
  <dimension ref="A1:X34"/>
  <sheetViews>
    <sheetView workbookViewId="0">
      <pane xSplit="1" ySplit="4" topLeftCell="B5" activePane="bottomRight" state="frozen"/>
      <selection pane="topRight"/>
      <selection pane="bottomLeft"/>
      <selection pane="bottomRight" sqref="A1:X1"/>
    </sheetView>
  </sheetViews>
  <sheetFormatPr baseColWidth="10" defaultColWidth="9.140625" defaultRowHeight="15" x14ac:dyDescent="0.25"/>
  <cols>
    <col min="1" max="1" width="12" customWidth="1"/>
    <col min="2" max="2" width="34" customWidth="1"/>
    <col min="3" max="3" width="22" customWidth="1"/>
    <col min="4" max="4" width="16" customWidth="1"/>
    <col min="5" max="5" width="10" customWidth="1"/>
    <col min="6" max="7" width="12" customWidth="1"/>
    <col min="8" max="8" width="10" customWidth="1"/>
    <col min="9" max="9" width="20" customWidth="1"/>
    <col min="10" max="10" width="16" customWidth="1"/>
    <col min="11" max="13" width="15" customWidth="1"/>
    <col min="14" max="22" width="14" customWidth="1"/>
    <col min="23" max="23" width="16" customWidth="1"/>
    <col min="24" max="24" width="14" customWidth="1"/>
  </cols>
  <sheetData>
    <row r="1" spans="1:24" ht="36" customHeight="1" x14ac:dyDescent="0.25">
      <c r="A1" s="19" t="s">
        <v>71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x14ac:dyDescent="0.25">
      <c r="A2" s="20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4" spans="1:24" ht="30" customHeight="1" x14ac:dyDescent="0.25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86</v>
      </c>
      <c r="O4" s="1" t="s">
        <v>87</v>
      </c>
      <c r="P4" s="1" t="s">
        <v>88</v>
      </c>
      <c r="Q4" s="1" t="s">
        <v>89</v>
      </c>
      <c r="R4" s="1" t="s">
        <v>90</v>
      </c>
      <c r="S4" s="1" t="s">
        <v>91</v>
      </c>
      <c r="T4" s="1" t="s">
        <v>92</v>
      </c>
      <c r="U4" s="1" t="s">
        <v>93</v>
      </c>
      <c r="V4" s="1" t="s">
        <v>94</v>
      </c>
      <c r="W4" s="1" t="s">
        <v>95</v>
      </c>
      <c r="X4" s="1" t="s">
        <v>96</v>
      </c>
    </row>
    <row r="5" spans="1:24" ht="25.5" x14ac:dyDescent="0.25">
      <c r="A5" s="3" t="s">
        <v>97</v>
      </c>
      <c r="B5" s="3" t="s">
        <v>98</v>
      </c>
      <c r="C5" s="3" t="s">
        <v>99</v>
      </c>
      <c r="D5" s="3" t="s">
        <v>100</v>
      </c>
      <c r="E5" s="3">
        <v>5</v>
      </c>
      <c r="F5" s="3">
        <v>15</v>
      </c>
      <c r="G5" s="6">
        <v>6000</v>
      </c>
      <c r="H5" s="3">
        <v>5</v>
      </c>
      <c r="I5" s="3" t="s">
        <v>101</v>
      </c>
      <c r="J5" s="6">
        <v>50000</v>
      </c>
      <c r="K5" s="3" t="s">
        <v>102</v>
      </c>
      <c r="L5" s="7">
        <f>IFERROR(AVERAGEIF('04_MATRICE_SKILLS'!F:F,A5,'04_MATRICE_SKILLS'!I:I),0)</f>
        <v>3</v>
      </c>
      <c r="M5" s="3">
        <f>COUNTIF('04_MATRICE_SKILLS'!F:F,A5)</f>
        <v>11</v>
      </c>
      <c r="N5" s="3" t="str">
        <f>IF(E5="","",IF(E5&gt;=5,"Critique",IF(E5&gt;=4,"Eleve",IF(E5&gt;=3,"Moyen","Faible"))))</f>
        <v>Critique</v>
      </c>
      <c r="O5" s="3">
        <f>COUNTIFS('04_MATRICE_SKILLS'!F:F,A5,'04_MATRICE_SKILLS'!I:I,"&gt;="&amp;4)</f>
        <v>3</v>
      </c>
      <c r="P5" s="3">
        <f>COUNTIFS('04_MATRICE_SKILLS'!F:F,A5,'04_MATRICE_SKILLS'!I:I,"&gt;="&amp;3)</f>
        <v>8</v>
      </c>
      <c r="Q5" s="3">
        <f>COUNTIF('05_GAP_ANALYSIS'!E:E,A5)</f>
        <v>6</v>
      </c>
      <c r="R5" s="3">
        <f t="shared" ref="R5:R34" si="0">P5-Q5</f>
        <v>2</v>
      </c>
      <c r="S5" s="3" t="str">
        <f>IF(AND(E5&gt;=4,P5&lt;'01_PARAMETRES'!$B$14),"Critique",IF(P5=0,"Alerte","Sous controle"))</f>
        <v>Sous controle</v>
      </c>
      <c r="T5" s="6">
        <f t="shared" ref="T5:T34" si="1">G5*MAX(1,Q5-P5)</f>
        <v>6000</v>
      </c>
      <c r="U5" s="3">
        <f t="shared" ref="U5:U34" si="2">H5*20</f>
        <v>100</v>
      </c>
      <c r="V5" s="3">
        <f t="shared" ref="V5:V34" si="3">ROUND((E5*8)+(H5*6)+(MAX(0,Q5-P5)*10),0)</f>
        <v>70</v>
      </c>
      <c r="W5" s="3" t="str">
        <f t="shared" ref="W5:W34" si="4">IF(V5&gt;=70,"Critique",IF(V5&gt;=45,"Eleve",IF(V5&gt;=25,"Moyen","Faible")))</f>
        <v>Critique</v>
      </c>
      <c r="X5" s="8">
        <f t="shared" ref="X5:X34" si="5">IFERROR(P5/MAX(Q5,1),0)</f>
        <v>1.3333333333333333</v>
      </c>
    </row>
    <row r="6" spans="1:24" ht="25.5" x14ac:dyDescent="0.25">
      <c r="A6" s="2" t="s">
        <v>104</v>
      </c>
      <c r="B6" s="2" t="s">
        <v>105</v>
      </c>
      <c r="C6" s="2" t="s">
        <v>99</v>
      </c>
      <c r="D6" s="2" t="s">
        <v>100</v>
      </c>
      <c r="E6" s="2">
        <v>4</v>
      </c>
      <c r="F6" s="2">
        <v>10</v>
      </c>
      <c r="G6" s="5">
        <v>4500</v>
      </c>
      <c r="H6" s="2">
        <v>4</v>
      </c>
      <c r="I6" s="2" t="s">
        <v>106</v>
      </c>
      <c r="J6" s="5">
        <v>35000</v>
      </c>
      <c r="K6" s="2" t="s">
        <v>107</v>
      </c>
      <c r="L6" s="9">
        <f>IFERROR(AVERAGEIF('04_MATRICE_SKILLS'!F:F,A6,'04_MATRICE_SKILLS'!I:I),0)</f>
        <v>3.3</v>
      </c>
      <c r="M6" s="2">
        <f>COUNTIF('04_MATRICE_SKILLS'!F:F,A6)</f>
        <v>10</v>
      </c>
      <c r="N6" s="3" t="str">
        <f t="shared" ref="N6:N34" si="6">IF(E6="","",IF(E6&gt;=5,"Critique",IF(E6&gt;=4,"Eleve",IF(E6&gt;=3,"Moyen","Faible"))))</f>
        <v>Eleve</v>
      </c>
      <c r="O6" s="2">
        <f>COUNTIFS('04_MATRICE_SKILLS'!F:F,A6,'04_MATRICE_SKILLS'!I:I,"&gt;="&amp;4)</f>
        <v>5</v>
      </c>
      <c r="P6" s="2">
        <f>COUNTIFS('04_MATRICE_SKILLS'!F:F,A6,'04_MATRICE_SKILLS'!I:I,"&gt;="&amp;3)</f>
        <v>7</v>
      </c>
      <c r="Q6" s="2">
        <f>COUNTIF('05_GAP_ANALYSIS'!E:E,A6)</f>
        <v>6</v>
      </c>
      <c r="R6" s="2">
        <f t="shared" si="0"/>
        <v>1</v>
      </c>
      <c r="S6" s="3" t="str">
        <f>IF(AND(E6&gt;=4,P6&lt;'01_PARAMETRES'!$B$14),"Critique",IF(P6=0,"Alerte","Sous controle"))</f>
        <v>Sous controle</v>
      </c>
      <c r="T6" s="5">
        <f t="shared" si="1"/>
        <v>4500</v>
      </c>
      <c r="U6" s="2">
        <f t="shared" si="2"/>
        <v>80</v>
      </c>
      <c r="V6" s="2">
        <f t="shared" si="3"/>
        <v>56</v>
      </c>
      <c r="W6" s="2" t="str">
        <f t="shared" si="4"/>
        <v>Eleve</v>
      </c>
      <c r="X6" s="10">
        <f t="shared" si="5"/>
        <v>1.1666666666666667</v>
      </c>
    </row>
    <row r="7" spans="1:24" ht="25.5" x14ac:dyDescent="0.25">
      <c r="A7" s="3" t="s">
        <v>109</v>
      </c>
      <c r="B7" s="3" t="s">
        <v>110</v>
      </c>
      <c r="C7" s="3" t="s">
        <v>99</v>
      </c>
      <c r="D7" s="3" t="s">
        <v>100</v>
      </c>
      <c r="E7" s="3">
        <v>5</v>
      </c>
      <c r="F7" s="3">
        <v>20</v>
      </c>
      <c r="G7" s="6">
        <v>12000</v>
      </c>
      <c r="H7" s="3">
        <v>5</v>
      </c>
      <c r="I7" s="3" t="s">
        <v>111</v>
      </c>
      <c r="J7" s="6">
        <v>70000</v>
      </c>
      <c r="K7" s="3" t="s">
        <v>112</v>
      </c>
      <c r="L7" s="7">
        <f>IFERROR(AVERAGEIF('04_MATRICE_SKILLS'!F:F,A7,'04_MATRICE_SKILLS'!I:I),0)</f>
        <v>2.5</v>
      </c>
      <c r="M7" s="3">
        <f>COUNTIF('04_MATRICE_SKILLS'!F:F,A7)</f>
        <v>2</v>
      </c>
      <c r="N7" s="3" t="str">
        <f t="shared" si="6"/>
        <v>Critique</v>
      </c>
      <c r="O7" s="3">
        <f>COUNTIFS('04_MATRICE_SKILLS'!F:F,A7,'04_MATRICE_SKILLS'!I:I,"&gt;="&amp;4)</f>
        <v>0</v>
      </c>
      <c r="P7" s="3">
        <f>COUNTIFS('04_MATRICE_SKILLS'!F:F,A7,'04_MATRICE_SKILLS'!I:I,"&gt;="&amp;3)</f>
        <v>1</v>
      </c>
      <c r="Q7" s="3">
        <f>COUNTIF('05_GAP_ANALYSIS'!E:E,A7)</f>
        <v>0</v>
      </c>
      <c r="R7" s="3">
        <f t="shared" si="0"/>
        <v>1</v>
      </c>
      <c r="S7" s="3" t="str">
        <f>IF(AND(E7&gt;=4,P7&lt;'01_PARAMETRES'!$B$14),"Critique",IF(P7=0,"Alerte","Sous controle"))</f>
        <v>Critique</v>
      </c>
      <c r="T7" s="6">
        <f t="shared" si="1"/>
        <v>12000</v>
      </c>
      <c r="U7" s="3">
        <f t="shared" si="2"/>
        <v>100</v>
      </c>
      <c r="V7" s="3">
        <f t="shared" si="3"/>
        <v>70</v>
      </c>
      <c r="W7" s="3" t="str">
        <f t="shared" si="4"/>
        <v>Critique</v>
      </c>
      <c r="X7" s="8">
        <f t="shared" si="5"/>
        <v>1</v>
      </c>
    </row>
    <row r="8" spans="1:24" ht="25.5" x14ac:dyDescent="0.25">
      <c r="A8" s="2" t="s">
        <v>113</v>
      </c>
      <c r="B8" s="2" t="s">
        <v>114</v>
      </c>
      <c r="C8" s="2" t="s">
        <v>99</v>
      </c>
      <c r="D8" s="2" t="s">
        <v>115</v>
      </c>
      <c r="E8" s="2">
        <v>4</v>
      </c>
      <c r="F8" s="2">
        <v>8</v>
      </c>
      <c r="G8" s="5">
        <v>3500</v>
      </c>
      <c r="H8" s="2">
        <v>4</v>
      </c>
      <c r="I8" s="2" t="s">
        <v>116</v>
      </c>
      <c r="J8" s="5">
        <v>25000</v>
      </c>
      <c r="K8" s="2" t="s">
        <v>117</v>
      </c>
      <c r="L8" s="9">
        <f>IFERROR(AVERAGEIF('04_MATRICE_SKILLS'!F:F,A8,'04_MATRICE_SKILLS'!I:I),0)</f>
        <v>2.7</v>
      </c>
      <c r="M8" s="2">
        <f>COUNTIF('04_MATRICE_SKILLS'!F:F,A8)</f>
        <v>10</v>
      </c>
      <c r="N8" s="3" t="str">
        <f t="shared" si="6"/>
        <v>Eleve</v>
      </c>
      <c r="O8" s="2">
        <f>COUNTIFS('04_MATRICE_SKILLS'!F:F,A8,'04_MATRICE_SKILLS'!I:I,"&gt;="&amp;4)</f>
        <v>3</v>
      </c>
      <c r="P8" s="2">
        <f>COUNTIFS('04_MATRICE_SKILLS'!F:F,A8,'04_MATRICE_SKILLS'!I:I,"&gt;="&amp;3)</f>
        <v>5</v>
      </c>
      <c r="Q8" s="2">
        <f>COUNTIF('05_GAP_ANALYSIS'!E:E,A8)</f>
        <v>3</v>
      </c>
      <c r="R8" s="2">
        <f t="shared" si="0"/>
        <v>2</v>
      </c>
      <c r="S8" s="3" t="str">
        <f>IF(AND(E8&gt;=4,P8&lt;'01_PARAMETRES'!$B$14),"Critique",IF(P8=0,"Alerte","Sous controle"))</f>
        <v>Sous controle</v>
      </c>
      <c r="T8" s="5">
        <f t="shared" si="1"/>
        <v>3500</v>
      </c>
      <c r="U8" s="2">
        <f t="shared" si="2"/>
        <v>80</v>
      </c>
      <c r="V8" s="2">
        <f t="shared" si="3"/>
        <v>56</v>
      </c>
      <c r="W8" s="2" t="str">
        <f t="shared" si="4"/>
        <v>Eleve</v>
      </c>
      <c r="X8" s="10">
        <f t="shared" si="5"/>
        <v>1.6666666666666667</v>
      </c>
    </row>
    <row r="9" spans="1:24" ht="25.5" x14ac:dyDescent="0.25">
      <c r="A9" s="3" t="s">
        <v>118</v>
      </c>
      <c r="B9" s="3" t="s">
        <v>119</v>
      </c>
      <c r="C9" s="3" t="s">
        <v>120</v>
      </c>
      <c r="D9" s="3" t="s">
        <v>121</v>
      </c>
      <c r="E9" s="3">
        <v>4</v>
      </c>
      <c r="F9" s="3">
        <v>10</v>
      </c>
      <c r="G9" s="6">
        <v>4000</v>
      </c>
      <c r="H9" s="3">
        <v>3</v>
      </c>
      <c r="I9" s="3" t="s">
        <v>122</v>
      </c>
      <c r="J9" s="6">
        <v>28000</v>
      </c>
      <c r="K9" s="3" t="s">
        <v>123</v>
      </c>
      <c r="L9" s="7">
        <f>IFERROR(AVERAGEIF('04_MATRICE_SKILLS'!F:F,A9,'04_MATRICE_SKILLS'!I:I),0)</f>
        <v>3.1578947368421053</v>
      </c>
      <c r="M9" s="3">
        <f>COUNTIF('04_MATRICE_SKILLS'!F:F,A9)</f>
        <v>19</v>
      </c>
      <c r="N9" s="3" t="str">
        <f t="shared" si="6"/>
        <v>Eleve</v>
      </c>
      <c r="O9" s="3">
        <f>COUNTIFS('04_MATRICE_SKILLS'!F:F,A9,'04_MATRICE_SKILLS'!I:I,"&gt;="&amp;4)</f>
        <v>9</v>
      </c>
      <c r="P9" s="3">
        <f>COUNTIFS('04_MATRICE_SKILLS'!F:F,A9,'04_MATRICE_SKILLS'!I:I,"&gt;="&amp;3)</f>
        <v>13</v>
      </c>
      <c r="Q9" s="3">
        <f>COUNTIF('05_GAP_ANALYSIS'!E:E,A9)</f>
        <v>15</v>
      </c>
      <c r="R9" s="3">
        <f t="shared" si="0"/>
        <v>-2</v>
      </c>
      <c r="S9" s="3" t="str">
        <f>IF(AND(E9&gt;=4,P9&lt;'01_PARAMETRES'!$B$14),"Critique",IF(P9=0,"Alerte","Sous controle"))</f>
        <v>Sous controle</v>
      </c>
      <c r="T9" s="6">
        <f t="shared" si="1"/>
        <v>8000</v>
      </c>
      <c r="U9" s="3">
        <f t="shared" si="2"/>
        <v>60</v>
      </c>
      <c r="V9" s="3">
        <f t="shared" si="3"/>
        <v>70</v>
      </c>
      <c r="W9" s="3" t="str">
        <f t="shared" si="4"/>
        <v>Critique</v>
      </c>
      <c r="X9" s="8">
        <f t="shared" si="5"/>
        <v>0.8666666666666667</v>
      </c>
    </row>
    <row r="10" spans="1:24" ht="25.5" x14ac:dyDescent="0.25">
      <c r="A10" s="2" t="s">
        <v>124</v>
      </c>
      <c r="B10" s="2" t="s">
        <v>125</v>
      </c>
      <c r="C10" s="2" t="s">
        <v>120</v>
      </c>
      <c r="D10" s="2" t="s">
        <v>126</v>
      </c>
      <c r="E10" s="2">
        <v>4</v>
      </c>
      <c r="F10" s="2">
        <v>10</v>
      </c>
      <c r="G10" s="5">
        <v>4000</v>
      </c>
      <c r="H10" s="2">
        <v>3</v>
      </c>
      <c r="I10" s="2" t="s">
        <v>122</v>
      </c>
      <c r="J10" s="5">
        <v>28000</v>
      </c>
      <c r="K10" s="2" t="s">
        <v>123</v>
      </c>
      <c r="L10" s="9">
        <f>IFERROR(AVERAGEIF('04_MATRICE_SKILLS'!F:F,A10,'04_MATRICE_SKILLS'!I:I),0)</f>
        <v>3.4166666666666665</v>
      </c>
      <c r="M10" s="2">
        <f>COUNTIF('04_MATRICE_SKILLS'!F:F,A10)</f>
        <v>12</v>
      </c>
      <c r="N10" s="3" t="str">
        <f t="shared" si="6"/>
        <v>Eleve</v>
      </c>
      <c r="O10" s="2">
        <f>COUNTIFS('04_MATRICE_SKILLS'!F:F,A10,'04_MATRICE_SKILLS'!I:I,"&gt;="&amp;4)</f>
        <v>6</v>
      </c>
      <c r="P10" s="2">
        <f>COUNTIFS('04_MATRICE_SKILLS'!F:F,A10,'04_MATRICE_SKILLS'!I:I,"&gt;="&amp;3)</f>
        <v>8</v>
      </c>
      <c r="Q10" s="2">
        <f>COUNTIF('05_GAP_ANALYSIS'!E:E,A10)</f>
        <v>9</v>
      </c>
      <c r="R10" s="2">
        <f t="shared" si="0"/>
        <v>-1</v>
      </c>
      <c r="S10" s="3" t="str">
        <f>IF(AND(E10&gt;=4,P10&lt;'01_PARAMETRES'!$B$14),"Critique",IF(P10=0,"Alerte","Sous controle"))</f>
        <v>Sous controle</v>
      </c>
      <c r="T10" s="5">
        <f t="shared" si="1"/>
        <v>4000</v>
      </c>
      <c r="U10" s="2">
        <f t="shared" si="2"/>
        <v>60</v>
      </c>
      <c r="V10" s="2">
        <f t="shared" si="3"/>
        <v>60</v>
      </c>
      <c r="W10" s="2" t="str">
        <f t="shared" si="4"/>
        <v>Eleve</v>
      </c>
      <c r="X10" s="10">
        <f t="shared" si="5"/>
        <v>0.88888888888888884</v>
      </c>
    </row>
    <row r="11" spans="1:24" ht="25.5" x14ac:dyDescent="0.25">
      <c r="A11" s="3" t="s">
        <v>127</v>
      </c>
      <c r="B11" s="3" t="s">
        <v>128</v>
      </c>
      <c r="C11" s="3" t="s">
        <v>120</v>
      </c>
      <c r="D11" s="3" t="s">
        <v>129</v>
      </c>
      <c r="E11" s="3">
        <v>5</v>
      </c>
      <c r="F11" s="3">
        <v>15</v>
      </c>
      <c r="G11" s="6">
        <v>5500</v>
      </c>
      <c r="H11" s="3">
        <v>4</v>
      </c>
      <c r="I11" s="3" t="s">
        <v>122</v>
      </c>
      <c r="J11" s="6">
        <v>42000</v>
      </c>
      <c r="K11" s="3" t="s">
        <v>130</v>
      </c>
      <c r="L11" s="7">
        <f>IFERROR(AVERAGEIF('04_MATRICE_SKILLS'!F:F,A11,'04_MATRICE_SKILLS'!I:I),0)</f>
        <v>3.625</v>
      </c>
      <c r="M11" s="3">
        <f>COUNTIF('04_MATRICE_SKILLS'!F:F,A11)</f>
        <v>8</v>
      </c>
      <c r="N11" s="3" t="str">
        <f t="shared" si="6"/>
        <v>Critique</v>
      </c>
      <c r="O11" s="3">
        <f>COUNTIFS('04_MATRICE_SKILLS'!F:F,A11,'04_MATRICE_SKILLS'!I:I,"&gt;="&amp;4)</f>
        <v>4</v>
      </c>
      <c r="P11" s="3">
        <f>COUNTIFS('04_MATRICE_SKILLS'!F:F,A11,'04_MATRICE_SKILLS'!I:I,"&gt;="&amp;3)</f>
        <v>7</v>
      </c>
      <c r="Q11" s="3">
        <f>COUNTIF('05_GAP_ANALYSIS'!E:E,A11)</f>
        <v>6</v>
      </c>
      <c r="R11" s="3">
        <f t="shared" si="0"/>
        <v>1</v>
      </c>
      <c r="S11" s="3" t="str">
        <f>IF(AND(E11&gt;=4,P11&lt;'01_PARAMETRES'!$B$14),"Critique",IF(P11=0,"Alerte","Sous controle"))</f>
        <v>Sous controle</v>
      </c>
      <c r="T11" s="6">
        <f t="shared" si="1"/>
        <v>5500</v>
      </c>
      <c r="U11" s="3">
        <f t="shared" si="2"/>
        <v>80</v>
      </c>
      <c r="V11" s="3">
        <f t="shared" si="3"/>
        <v>64</v>
      </c>
      <c r="W11" s="3" t="str">
        <f t="shared" si="4"/>
        <v>Eleve</v>
      </c>
      <c r="X11" s="8">
        <f t="shared" si="5"/>
        <v>1.1666666666666667</v>
      </c>
    </row>
    <row r="12" spans="1:24" ht="25.5" x14ac:dyDescent="0.25">
      <c r="A12" s="2" t="s">
        <v>131</v>
      </c>
      <c r="B12" s="2" t="s">
        <v>132</v>
      </c>
      <c r="C12" s="2" t="s">
        <v>120</v>
      </c>
      <c r="D12" s="2" t="s">
        <v>133</v>
      </c>
      <c r="E12" s="2">
        <v>5</v>
      </c>
      <c r="F12" s="2">
        <v>15</v>
      </c>
      <c r="G12" s="5">
        <v>6000</v>
      </c>
      <c r="H12" s="2">
        <v>5</v>
      </c>
      <c r="I12" s="2" t="s">
        <v>122</v>
      </c>
      <c r="J12" s="5">
        <v>42000</v>
      </c>
      <c r="K12" s="2" t="s">
        <v>134</v>
      </c>
      <c r="L12" s="9">
        <f>IFERROR(AVERAGEIF('04_MATRICE_SKILLS'!F:F,A12,'04_MATRICE_SKILLS'!I:I),0)</f>
        <v>2.5384615384615383</v>
      </c>
      <c r="M12" s="2">
        <f>COUNTIF('04_MATRICE_SKILLS'!F:F,A12)</f>
        <v>13</v>
      </c>
      <c r="N12" s="3" t="str">
        <f t="shared" si="6"/>
        <v>Critique</v>
      </c>
      <c r="O12" s="2">
        <f>COUNTIFS('04_MATRICE_SKILLS'!F:F,A12,'04_MATRICE_SKILLS'!I:I,"&gt;="&amp;4)</f>
        <v>4</v>
      </c>
      <c r="P12" s="2">
        <f>COUNTIFS('04_MATRICE_SKILLS'!F:F,A12,'04_MATRICE_SKILLS'!I:I,"&gt;="&amp;3)</f>
        <v>6</v>
      </c>
      <c r="Q12" s="2">
        <f>COUNTIF('05_GAP_ANALYSIS'!E:E,A12)</f>
        <v>6</v>
      </c>
      <c r="R12" s="2">
        <f t="shared" si="0"/>
        <v>0</v>
      </c>
      <c r="S12" s="3" t="str">
        <f>IF(AND(E12&gt;=4,P12&lt;'01_PARAMETRES'!$B$14),"Critique",IF(P12=0,"Alerte","Sous controle"))</f>
        <v>Sous controle</v>
      </c>
      <c r="T12" s="5">
        <f t="shared" si="1"/>
        <v>6000</v>
      </c>
      <c r="U12" s="2">
        <f t="shared" si="2"/>
        <v>100</v>
      </c>
      <c r="V12" s="2">
        <f t="shared" si="3"/>
        <v>70</v>
      </c>
      <c r="W12" s="2" t="str">
        <f t="shared" si="4"/>
        <v>Critique</v>
      </c>
      <c r="X12" s="10">
        <f t="shared" si="5"/>
        <v>1</v>
      </c>
    </row>
    <row r="13" spans="1:24" ht="25.5" x14ac:dyDescent="0.25">
      <c r="A13" s="3" t="s">
        <v>135</v>
      </c>
      <c r="B13" s="3" t="s">
        <v>136</v>
      </c>
      <c r="C13" s="3" t="s">
        <v>120</v>
      </c>
      <c r="D13" s="3" t="s">
        <v>137</v>
      </c>
      <c r="E13" s="3">
        <v>4</v>
      </c>
      <c r="F13" s="3">
        <v>12</v>
      </c>
      <c r="G13" s="6">
        <v>5000</v>
      </c>
      <c r="H13" s="3">
        <v>4</v>
      </c>
      <c r="I13" s="3" t="s">
        <v>122</v>
      </c>
      <c r="J13" s="6">
        <v>30000</v>
      </c>
      <c r="K13" s="3" t="s">
        <v>138</v>
      </c>
      <c r="L13" s="7">
        <f>IFERROR(AVERAGEIF('04_MATRICE_SKILLS'!F:F,A13,'04_MATRICE_SKILLS'!I:I),0)</f>
        <v>2.75</v>
      </c>
      <c r="M13" s="3">
        <f>COUNTIF('04_MATRICE_SKILLS'!F:F,A13)</f>
        <v>12</v>
      </c>
      <c r="N13" s="3" t="str">
        <f t="shared" si="6"/>
        <v>Eleve</v>
      </c>
      <c r="O13" s="3">
        <f>COUNTIFS('04_MATRICE_SKILLS'!F:F,A13,'04_MATRICE_SKILLS'!I:I,"&gt;="&amp;4)</f>
        <v>5</v>
      </c>
      <c r="P13" s="3">
        <f>COUNTIFS('04_MATRICE_SKILLS'!F:F,A13,'04_MATRICE_SKILLS'!I:I,"&gt;="&amp;3)</f>
        <v>6</v>
      </c>
      <c r="Q13" s="3">
        <f>COUNTIF('05_GAP_ANALYSIS'!E:E,A13)</f>
        <v>6</v>
      </c>
      <c r="R13" s="3">
        <f t="shared" si="0"/>
        <v>0</v>
      </c>
      <c r="S13" s="3" t="str">
        <f>IF(AND(E13&gt;=4,P13&lt;'01_PARAMETRES'!$B$14),"Critique",IF(P13=0,"Alerte","Sous controle"))</f>
        <v>Sous controle</v>
      </c>
      <c r="T13" s="6">
        <f t="shared" si="1"/>
        <v>5000</v>
      </c>
      <c r="U13" s="3">
        <f t="shared" si="2"/>
        <v>80</v>
      </c>
      <c r="V13" s="3">
        <f t="shared" si="3"/>
        <v>56</v>
      </c>
      <c r="W13" s="3" t="str">
        <f t="shared" si="4"/>
        <v>Eleve</v>
      </c>
      <c r="X13" s="8">
        <f t="shared" si="5"/>
        <v>1</v>
      </c>
    </row>
    <row r="14" spans="1:24" ht="25.5" x14ac:dyDescent="0.25">
      <c r="A14" s="2" t="s">
        <v>139</v>
      </c>
      <c r="B14" s="2" t="s">
        <v>140</v>
      </c>
      <c r="C14" s="2" t="s">
        <v>141</v>
      </c>
      <c r="D14" s="2" t="s">
        <v>142</v>
      </c>
      <c r="E14" s="2">
        <v>3</v>
      </c>
      <c r="F14" s="2">
        <v>10</v>
      </c>
      <c r="G14" s="5">
        <v>3000</v>
      </c>
      <c r="H14" s="2">
        <v>2</v>
      </c>
      <c r="I14" s="2" t="s">
        <v>143</v>
      </c>
      <c r="J14" s="5">
        <v>18000</v>
      </c>
      <c r="K14" s="2" t="s">
        <v>144</v>
      </c>
      <c r="L14" s="9">
        <f>IFERROR(AVERAGEIF('04_MATRICE_SKILLS'!F:F,A14,'04_MATRICE_SKILLS'!I:I),0)</f>
        <v>3.6153846153846154</v>
      </c>
      <c r="M14" s="2">
        <f>COUNTIF('04_MATRICE_SKILLS'!F:F,A14)</f>
        <v>13</v>
      </c>
      <c r="N14" s="3" t="str">
        <f t="shared" si="6"/>
        <v>Moyen</v>
      </c>
      <c r="O14" s="2">
        <f>COUNTIFS('04_MATRICE_SKILLS'!F:F,A14,'04_MATRICE_SKILLS'!I:I,"&gt;="&amp;4)</f>
        <v>6</v>
      </c>
      <c r="P14" s="2">
        <f>COUNTIFS('04_MATRICE_SKILLS'!F:F,A14,'04_MATRICE_SKILLS'!I:I,"&gt;="&amp;3)</f>
        <v>12</v>
      </c>
      <c r="Q14" s="2">
        <f>COUNTIF('05_GAP_ANALYSIS'!E:E,A14)</f>
        <v>12</v>
      </c>
      <c r="R14" s="2">
        <f t="shared" si="0"/>
        <v>0</v>
      </c>
      <c r="S14" s="3" t="str">
        <f>IF(AND(E14&gt;=4,P14&lt;'01_PARAMETRES'!$B$14),"Critique",IF(P14=0,"Alerte","Sous controle"))</f>
        <v>Sous controle</v>
      </c>
      <c r="T14" s="5">
        <f t="shared" si="1"/>
        <v>3000</v>
      </c>
      <c r="U14" s="2">
        <f t="shared" si="2"/>
        <v>40</v>
      </c>
      <c r="V14" s="2">
        <f t="shared" si="3"/>
        <v>36</v>
      </c>
      <c r="W14" s="2" t="str">
        <f t="shared" si="4"/>
        <v>Moyen</v>
      </c>
      <c r="X14" s="10">
        <f t="shared" si="5"/>
        <v>1</v>
      </c>
    </row>
    <row r="15" spans="1:24" ht="25.5" x14ac:dyDescent="0.25">
      <c r="A15" s="3" t="s">
        <v>146</v>
      </c>
      <c r="B15" s="3" t="s">
        <v>147</v>
      </c>
      <c r="C15" s="3" t="s">
        <v>141</v>
      </c>
      <c r="D15" s="3" t="s">
        <v>142</v>
      </c>
      <c r="E15" s="3">
        <v>5</v>
      </c>
      <c r="F15" s="3">
        <v>20</v>
      </c>
      <c r="G15" s="6">
        <v>8000</v>
      </c>
      <c r="H15" s="3">
        <v>5</v>
      </c>
      <c r="I15" s="3" t="s">
        <v>143</v>
      </c>
      <c r="J15" s="6">
        <v>60000</v>
      </c>
      <c r="K15" s="3" t="s">
        <v>148</v>
      </c>
      <c r="L15" s="7">
        <f>IFERROR(AVERAGEIF('04_MATRICE_SKILLS'!F:F,A15,'04_MATRICE_SKILLS'!I:I),0)</f>
        <v>3.2</v>
      </c>
      <c r="M15" s="3">
        <f>COUNTIF('04_MATRICE_SKILLS'!F:F,A15)</f>
        <v>10</v>
      </c>
      <c r="N15" s="3" t="str">
        <f t="shared" si="6"/>
        <v>Critique</v>
      </c>
      <c r="O15" s="3">
        <f>COUNTIFS('04_MATRICE_SKILLS'!F:F,A15,'04_MATRICE_SKILLS'!I:I,"&gt;="&amp;4)</f>
        <v>4</v>
      </c>
      <c r="P15" s="3">
        <f>COUNTIFS('04_MATRICE_SKILLS'!F:F,A15,'04_MATRICE_SKILLS'!I:I,"&gt;="&amp;3)</f>
        <v>7</v>
      </c>
      <c r="Q15" s="3">
        <f>COUNTIF('05_GAP_ANALYSIS'!E:E,A15)</f>
        <v>9</v>
      </c>
      <c r="R15" s="3">
        <f t="shared" si="0"/>
        <v>-2</v>
      </c>
      <c r="S15" s="3" t="str">
        <f>IF(AND(E15&gt;=4,P15&lt;'01_PARAMETRES'!$B$14),"Critique",IF(P15=0,"Alerte","Sous controle"))</f>
        <v>Sous controle</v>
      </c>
      <c r="T15" s="6">
        <f t="shared" si="1"/>
        <v>16000</v>
      </c>
      <c r="U15" s="3">
        <f t="shared" si="2"/>
        <v>100</v>
      </c>
      <c r="V15" s="3">
        <f t="shared" si="3"/>
        <v>90</v>
      </c>
      <c r="W15" s="3" t="str">
        <f t="shared" si="4"/>
        <v>Critique</v>
      </c>
      <c r="X15" s="8">
        <f t="shared" si="5"/>
        <v>0.77777777777777779</v>
      </c>
    </row>
    <row r="16" spans="1:24" ht="25.5" x14ac:dyDescent="0.25">
      <c r="A16" s="2" t="s">
        <v>149</v>
      </c>
      <c r="B16" s="2" t="s">
        <v>150</v>
      </c>
      <c r="C16" s="2" t="s">
        <v>141</v>
      </c>
      <c r="D16" s="2" t="s">
        <v>151</v>
      </c>
      <c r="E16" s="2">
        <v>3</v>
      </c>
      <c r="F16" s="2">
        <v>8</v>
      </c>
      <c r="G16" s="5">
        <v>2500</v>
      </c>
      <c r="H16" s="2">
        <v>2</v>
      </c>
      <c r="I16" s="2" t="s">
        <v>143</v>
      </c>
      <c r="J16" s="5">
        <v>15000</v>
      </c>
      <c r="K16" s="2" t="s">
        <v>144</v>
      </c>
      <c r="L16" s="9">
        <f>IFERROR(AVERAGEIF('04_MATRICE_SKILLS'!F:F,A16,'04_MATRICE_SKILLS'!I:I),0)</f>
        <v>2.8461538461538463</v>
      </c>
      <c r="M16" s="2">
        <f>COUNTIF('04_MATRICE_SKILLS'!F:F,A16)</f>
        <v>13</v>
      </c>
      <c r="N16" s="3" t="str">
        <f t="shared" si="6"/>
        <v>Moyen</v>
      </c>
      <c r="O16" s="2">
        <f>COUNTIFS('04_MATRICE_SKILLS'!F:F,A16,'04_MATRICE_SKILLS'!I:I,"&gt;="&amp;4)</f>
        <v>4</v>
      </c>
      <c r="P16" s="2">
        <f>COUNTIFS('04_MATRICE_SKILLS'!F:F,A16,'04_MATRICE_SKILLS'!I:I,"&gt;="&amp;3)</f>
        <v>6</v>
      </c>
      <c r="Q16" s="2">
        <f>COUNTIF('05_GAP_ANALYSIS'!E:E,A16)</f>
        <v>6</v>
      </c>
      <c r="R16" s="2">
        <f t="shared" si="0"/>
        <v>0</v>
      </c>
      <c r="S16" s="3" t="str">
        <f>IF(AND(E16&gt;=4,P16&lt;'01_PARAMETRES'!$B$14),"Critique",IF(P16=0,"Alerte","Sous controle"))</f>
        <v>Sous controle</v>
      </c>
      <c r="T16" s="5">
        <f t="shared" si="1"/>
        <v>2500</v>
      </c>
      <c r="U16" s="2">
        <f t="shared" si="2"/>
        <v>40</v>
      </c>
      <c r="V16" s="2">
        <f t="shared" si="3"/>
        <v>36</v>
      </c>
      <c r="W16" s="2" t="str">
        <f t="shared" si="4"/>
        <v>Moyen</v>
      </c>
      <c r="X16" s="10">
        <f t="shared" si="5"/>
        <v>1</v>
      </c>
    </row>
    <row r="17" spans="1:24" ht="25.5" x14ac:dyDescent="0.25">
      <c r="A17" s="3" t="s">
        <v>152</v>
      </c>
      <c r="B17" s="3" t="s">
        <v>153</v>
      </c>
      <c r="C17" s="3" t="s">
        <v>141</v>
      </c>
      <c r="D17" s="3" t="s">
        <v>154</v>
      </c>
      <c r="E17" s="3">
        <v>4</v>
      </c>
      <c r="F17" s="3">
        <v>12</v>
      </c>
      <c r="G17" s="6">
        <v>4000</v>
      </c>
      <c r="H17" s="3">
        <v>4</v>
      </c>
      <c r="I17" s="3" t="s">
        <v>143</v>
      </c>
      <c r="J17" s="6">
        <v>26000</v>
      </c>
      <c r="K17" s="3" t="s">
        <v>155</v>
      </c>
      <c r="L17" s="7">
        <f>IFERROR(AVERAGEIF('04_MATRICE_SKILLS'!F:F,A17,'04_MATRICE_SKILLS'!I:I),0)</f>
        <v>2</v>
      </c>
      <c r="M17" s="3">
        <f>COUNTIF('04_MATRICE_SKILLS'!F:F,A17)</f>
        <v>6</v>
      </c>
      <c r="N17" s="3" t="str">
        <f t="shared" si="6"/>
        <v>Eleve</v>
      </c>
      <c r="O17" s="3">
        <f>COUNTIFS('04_MATRICE_SKILLS'!F:F,A17,'04_MATRICE_SKILLS'!I:I,"&gt;="&amp;4)</f>
        <v>0</v>
      </c>
      <c r="P17" s="3">
        <f>COUNTIFS('04_MATRICE_SKILLS'!F:F,A17,'04_MATRICE_SKILLS'!I:I,"&gt;="&amp;3)</f>
        <v>2</v>
      </c>
      <c r="Q17" s="3">
        <f>COUNTIF('05_GAP_ANALYSIS'!E:E,A17)</f>
        <v>0</v>
      </c>
      <c r="R17" s="3">
        <f t="shared" si="0"/>
        <v>2</v>
      </c>
      <c r="S17" s="3" t="str">
        <f>IF(AND(E17&gt;=4,P17&lt;'01_PARAMETRES'!$B$14),"Critique",IF(P17=0,"Alerte","Sous controle"))</f>
        <v>Critique</v>
      </c>
      <c r="T17" s="6">
        <f t="shared" si="1"/>
        <v>4000</v>
      </c>
      <c r="U17" s="3">
        <f t="shared" si="2"/>
        <v>80</v>
      </c>
      <c r="V17" s="3">
        <f t="shared" si="3"/>
        <v>56</v>
      </c>
      <c r="W17" s="3" t="str">
        <f t="shared" si="4"/>
        <v>Eleve</v>
      </c>
      <c r="X17" s="8">
        <f t="shared" si="5"/>
        <v>2</v>
      </c>
    </row>
    <row r="18" spans="1:24" ht="25.5" x14ac:dyDescent="0.25">
      <c r="A18" s="2" t="s">
        <v>156</v>
      </c>
      <c r="B18" s="2" t="s">
        <v>157</v>
      </c>
      <c r="C18" s="2" t="s">
        <v>141</v>
      </c>
      <c r="D18" s="2" t="s">
        <v>158</v>
      </c>
      <c r="E18" s="2">
        <v>4</v>
      </c>
      <c r="F18" s="2">
        <v>10</v>
      </c>
      <c r="G18" s="5">
        <v>4500</v>
      </c>
      <c r="H18" s="2">
        <v>4</v>
      </c>
      <c r="I18" s="2" t="s">
        <v>143</v>
      </c>
      <c r="J18" s="5">
        <v>30000</v>
      </c>
      <c r="K18" s="2" t="s">
        <v>159</v>
      </c>
      <c r="L18" s="9">
        <f>IFERROR(AVERAGEIF('04_MATRICE_SKILLS'!F:F,A18,'04_MATRICE_SKILLS'!I:I),0)</f>
        <v>2.2000000000000002</v>
      </c>
      <c r="M18" s="2">
        <f>COUNTIF('04_MATRICE_SKILLS'!F:F,A18)</f>
        <v>5</v>
      </c>
      <c r="N18" s="3" t="str">
        <f t="shared" si="6"/>
        <v>Eleve</v>
      </c>
      <c r="O18" s="2">
        <f>COUNTIFS('04_MATRICE_SKILLS'!F:F,A18,'04_MATRICE_SKILLS'!I:I,"&gt;="&amp;4)</f>
        <v>0</v>
      </c>
      <c r="P18" s="2">
        <f>COUNTIFS('04_MATRICE_SKILLS'!F:F,A18,'04_MATRICE_SKILLS'!I:I,"&gt;="&amp;3)</f>
        <v>2</v>
      </c>
      <c r="Q18" s="2">
        <f>COUNTIF('05_GAP_ANALYSIS'!E:E,A18)</f>
        <v>0</v>
      </c>
      <c r="R18" s="2">
        <f t="shared" si="0"/>
        <v>2</v>
      </c>
      <c r="S18" s="3" t="str">
        <f>IF(AND(E18&gt;=4,P18&lt;'01_PARAMETRES'!$B$14),"Critique",IF(P18=0,"Alerte","Sous controle"))</f>
        <v>Critique</v>
      </c>
      <c r="T18" s="5">
        <f t="shared" si="1"/>
        <v>4500</v>
      </c>
      <c r="U18" s="2">
        <f t="shared" si="2"/>
        <v>80</v>
      </c>
      <c r="V18" s="2">
        <f t="shared" si="3"/>
        <v>56</v>
      </c>
      <c r="W18" s="2" t="str">
        <f t="shared" si="4"/>
        <v>Eleve</v>
      </c>
      <c r="X18" s="10">
        <f t="shared" si="5"/>
        <v>2</v>
      </c>
    </row>
    <row r="19" spans="1:24" ht="25.5" x14ac:dyDescent="0.25">
      <c r="A19" s="3" t="s">
        <v>160</v>
      </c>
      <c r="B19" s="3" t="s">
        <v>161</v>
      </c>
      <c r="C19" s="3" t="s">
        <v>141</v>
      </c>
      <c r="D19" s="3" t="s">
        <v>162</v>
      </c>
      <c r="E19" s="3">
        <v>4</v>
      </c>
      <c r="F19" s="3">
        <v>15</v>
      </c>
      <c r="G19" s="6">
        <v>6000</v>
      </c>
      <c r="H19" s="3">
        <v>4</v>
      </c>
      <c r="I19" s="3" t="s">
        <v>163</v>
      </c>
      <c r="J19" s="6">
        <v>38000</v>
      </c>
      <c r="K19" s="3" t="s">
        <v>164</v>
      </c>
      <c r="L19" s="7">
        <f>IFERROR(AVERAGEIF('04_MATRICE_SKILLS'!F:F,A19,'04_MATRICE_SKILLS'!I:I),0)</f>
        <v>3.0588235294117645</v>
      </c>
      <c r="M19" s="3">
        <f>COUNTIF('04_MATRICE_SKILLS'!F:F,A19)</f>
        <v>17</v>
      </c>
      <c r="N19" s="3" t="str">
        <f t="shared" si="6"/>
        <v>Eleve</v>
      </c>
      <c r="O19" s="3">
        <f>COUNTIFS('04_MATRICE_SKILLS'!F:F,A19,'04_MATRICE_SKILLS'!I:I,"&gt;="&amp;4)</f>
        <v>7</v>
      </c>
      <c r="P19" s="3">
        <f>COUNTIFS('04_MATRICE_SKILLS'!F:F,A19,'04_MATRICE_SKILLS'!I:I,"&gt;="&amp;3)</f>
        <v>8</v>
      </c>
      <c r="Q19" s="3">
        <f>COUNTIF('05_GAP_ANALYSIS'!E:E,A19)</f>
        <v>12</v>
      </c>
      <c r="R19" s="3">
        <f t="shared" si="0"/>
        <v>-4</v>
      </c>
      <c r="S19" s="3" t="str">
        <f>IF(AND(E19&gt;=4,P19&lt;'01_PARAMETRES'!$B$14),"Critique",IF(P19=0,"Alerte","Sous controle"))</f>
        <v>Sous controle</v>
      </c>
      <c r="T19" s="6">
        <f t="shared" si="1"/>
        <v>24000</v>
      </c>
      <c r="U19" s="3">
        <f t="shared" si="2"/>
        <v>80</v>
      </c>
      <c r="V19" s="3">
        <f t="shared" si="3"/>
        <v>96</v>
      </c>
      <c r="W19" s="3" t="str">
        <f t="shared" si="4"/>
        <v>Critique</v>
      </c>
      <c r="X19" s="8">
        <f t="shared" si="5"/>
        <v>0.66666666666666663</v>
      </c>
    </row>
    <row r="20" spans="1:24" ht="25.5" x14ac:dyDescent="0.25">
      <c r="A20" s="2" t="s">
        <v>165</v>
      </c>
      <c r="B20" s="2" t="s">
        <v>166</v>
      </c>
      <c r="C20" s="2" t="s">
        <v>167</v>
      </c>
      <c r="D20" s="2" t="s">
        <v>168</v>
      </c>
      <c r="E20" s="2">
        <v>5</v>
      </c>
      <c r="F20" s="2">
        <v>12</v>
      </c>
      <c r="G20" s="5">
        <v>5000</v>
      </c>
      <c r="H20" s="2">
        <v>5</v>
      </c>
      <c r="I20" s="2" t="s">
        <v>169</v>
      </c>
      <c r="J20" s="5">
        <v>65000</v>
      </c>
      <c r="K20" s="2" t="s">
        <v>170</v>
      </c>
      <c r="L20" s="9">
        <f>IFERROR(AVERAGEIF('04_MATRICE_SKILLS'!F:F,A20,'04_MATRICE_SKILLS'!I:I),0)</f>
        <v>3.1818181818181817</v>
      </c>
      <c r="M20" s="2">
        <f>COUNTIF('04_MATRICE_SKILLS'!F:F,A20)</f>
        <v>11</v>
      </c>
      <c r="N20" s="3" t="str">
        <f t="shared" si="6"/>
        <v>Critique</v>
      </c>
      <c r="O20" s="2">
        <f>COUNTIFS('04_MATRICE_SKILLS'!F:F,A20,'04_MATRICE_SKILLS'!I:I,"&gt;="&amp;4)</f>
        <v>4</v>
      </c>
      <c r="P20" s="2">
        <f>COUNTIFS('04_MATRICE_SKILLS'!F:F,A20,'04_MATRICE_SKILLS'!I:I,"&gt;="&amp;3)</f>
        <v>7</v>
      </c>
      <c r="Q20" s="2">
        <f>COUNTIF('05_GAP_ANALYSIS'!E:E,A20)</f>
        <v>6</v>
      </c>
      <c r="R20" s="2">
        <f t="shared" si="0"/>
        <v>1</v>
      </c>
      <c r="S20" s="3" t="str">
        <f>IF(AND(E20&gt;=4,P20&lt;'01_PARAMETRES'!$B$14),"Critique",IF(P20=0,"Alerte","Sous controle"))</f>
        <v>Sous controle</v>
      </c>
      <c r="T20" s="5">
        <f t="shared" si="1"/>
        <v>5000</v>
      </c>
      <c r="U20" s="2">
        <f t="shared" si="2"/>
        <v>100</v>
      </c>
      <c r="V20" s="2">
        <f t="shared" si="3"/>
        <v>70</v>
      </c>
      <c r="W20" s="2" t="str">
        <f t="shared" si="4"/>
        <v>Critique</v>
      </c>
      <c r="X20" s="10">
        <f t="shared" si="5"/>
        <v>1.1666666666666667</v>
      </c>
    </row>
    <row r="21" spans="1:24" x14ac:dyDescent="0.25">
      <c r="A21" s="3" t="s">
        <v>171</v>
      </c>
      <c r="B21" s="3" t="s">
        <v>172</v>
      </c>
      <c r="C21" s="3" t="s">
        <v>167</v>
      </c>
      <c r="D21" s="3" t="s">
        <v>173</v>
      </c>
      <c r="E21" s="3">
        <v>4</v>
      </c>
      <c r="F21" s="3">
        <v>8</v>
      </c>
      <c r="G21" s="6">
        <v>3000</v>
      </c>
      <c r="H21" s="3">
        <v>3</v>
      </c>
      <c r="I21" s="3" t="s">
        <v>174</v>
      </c>
      <c r="J21" s="6">
        <v>22000</v>
      </c>
      <c r="K21" s="3" t="s">
        <v>175</v>
      </c>
      <c r="L21" s="7">
        <f>IFERROR(AVERAGEIF('04_MATRICE_SKILLS'!F:F,A21,'04_MATRICE_SKILLS'!I:I),0)</f>
        <v>2.8888888888888888</v>
      </c>
      <c r="M21" s="3">
        <f>COUNTIF('04_MATRICE_SKILLS'!F:F,A21)</f>
        <v>9</v>
      </c>
      <c r="N21" s="3" t="str">
        <f t="shared" si="6"/>
        <v>Eleve</v>
      </c>
      <c r="O21" s="3">
        <f>COUNTIFS('04_MATRICE_SKILLS'!F:F,A21,'04_MATRICE_SKILLS'!I:I,"&gt;="&amp;4)</f>
        <v>2</v>
      </c>
      <c r="P21" s="3">
        <f>COUNTIFS('04_MATRICE_SKILLS'!F:F,A21,'04_MATRICE_SKILLS'!I:I,"&gt;="&amp;3)</f>
        <v>6</v>
      </c>
      <c r="Q21" s="3">
        <f>COUNTIF('05_GAP_ANALYSIS'!E:E,A21)</f>
        <v>3</v>
      </c>
      <c r="R21" s="3">
        <f t="shared" si="0"/>
        <v>3</v>
      </c>
      <c r="S21" s="3" t="str">
        <f>IF(AND(E21&gt;=4,P21&lt;'01_PARAMETRES'!$B$14),"Critique",IF(P21=0,"Alerte","Sous controle"))</f>
        <v>Sous controle</v>
      </c>
      <c r="T21" s="6">
        <f t="shared" si="1"/>
        <v>3000</v>
      </c>
      <c r="U21" s="3">
        <f t="shared" si="2"/>
        <v>60</v>
      </c>
      <c r="V21" s="3">
        <f t="shared" si="3"/>
        <v>50</v>
      </c>
      <c r="W21" s="3" t="str">
        <f t="shared" si="4"/>
        <v>Eleve</v>
      </c>
      <c r="X21" s="8">
        <f t="shared" si="5"/>
        <v>2</v>
      </c>
    </row>
    <row r="22" spans="1:24" ht="25.5" x14ac:dyDescent="0.25">
      <c r="A22" s="2" t="s">
        <v>176</v>
      </c>
      <c r="B22" s="2" t="s">
        <v>177</v>
      </c>
      <c r="C22" s="2" t="s">
        <v>167</v>
      </c>
      <c r="D22" s="2" t="s">
        <v>178</v>
      </c>
      <c r="E22" s="2">
        <v>4</v>
      </c>
      <c r="F22" s="2">
        <v>10</v>
      </c>
      <c r="G22" s="5">
        <v>4500</v>
      </c>
      <c r="H22" s="2">
        <v>4</v>
      </c>
      <c r="I22" s="2" t="s">
        <v>179</v>
      </c>
      <c r="J22" s="5">
        <v>26000</v>
      </c>
      <c r="K22" s="2" t="s">
        <v>180</v>
      </c>
      <c r="L22" s="9">
        <f>IFERROR(AVERAGEIF('04_MATRICE_SKILLS'!F:F,A22,'04_MATRICE_SKILLS'!I:I),0)</f>
        <v>2.7142857142857144</v>
      </c>
      <c r="M22" s="2">
        <f>COUNTIF('04_MATRICE_SKILLS'!F:F,A22)</f>
        <v>7</v>
      </c>
      <c r="N22" s="3" t="str">
        <f t="shared" si="6"/>
        <v>Eleve</v>
      </c>
      <c r="O22" s="2">
        <f>COUNTIFS('04_MATRICE_SKILLS'!F:F,A22,'04_MATRICE_SKILLS'!I:I,"&gt;="&amp;4)</f>
        <v>1</v>
      </c>
      <c r="P22" s="2">
        <f>COUNTIFS('04_MATRICE_SKILLS'!F:F,A22,'04_MATRICE_SKILLS'!I:I,"&gt;="&amp;3)</f>
        <v>4</v>
      </c>
      <c r="Q22" s="2">
        <f>COUNTIF('05_GAP_ANALYSIS'!E:E,A22)</f>
        <v>3</v>
      </c>
      <c r="R22" s="2">
        <f t="shared" si="0"/>
        <v>1</v>
      </c>
      <c r="S22" s="3" t="str">
        <f>IF(AND(E22&gt;=4,P22&lt;'01_PARAMETRES'!$B$14),"Critique",IF(P22=0,"Alerte","Sous controle"))</f>
        <v>Sous controle</v>
      </c>
      <c r="T22" s="5">
        <f t="shared" si="1"/>
        <v>4500</v>
      </c>
      <c r="U22" s="2">
        <f t="shared" si="2"/>
        <v>80</v>
      </c>
      <c r="V22" s="2">
        <f t="shared" si="3"/>
        <v>56</v>
      </c>
      <c r="W22" s="2" t="str">
        <f t="shared" si="4"/>
        <v>Eleve</v>
      </c>
      <c r="X22" s="10">
        <f t="shared" si="5"/>
        <v>1.3333333333333333</v>
      </c>
    </row>
    <row r="23" spans="1:24" ht="25.5" x14ac:dyDescent="0.25">
      <c r="A23" s="3" t="s">
        <v>181</v>
      </c>
      <c r="B23" s="3" t="s">
        <v>182</v>
      </c>
      <c r="C23" s="3" t="s">
        <v>167</v>
      </c>
      <c r="D23" s="3" t="s">
        <v>183</v>
      </c>
      <c r="E23" s="3">
        <v>5</v>
      </c>
      <c r="F23" s="3">
        <v>15</v>
      </c>
      <c r="G23" s="6">
        <v>6000</v>
      </c>
      <c r="H23" s="3">
        <v>5</v>
      </c>
      <c r="I23" s="3" t="s">
        <v>184</v>
      </c>
      <c r="J23" s="6">
        <v>45000</v>
      </c>
      <c r="K23" s="3" t="s">
        <v>185</v>
      </c>
      <c r="L23" s="7">
        <f>IFERROR(AVERAGEIF('04_MATRICE_SKILLS'!F:F,A23,'04_MATRICE_SKILLS'!I:I),0)</f>
        <v>3.5</v>
      </c>
      <c r="M23" s="3">
        <f>COUNTIF('04_MATRICE_SKILLS'!F:F,A23)</f>
        <v>14</v>
      </c>
      <c r="N23" s="3" t="str">
        <f t="shared" si="6"/>
        <v>Critique</v>
      </c>
      <c r="O23" s="3">
        <f>COUNTIFS('04_MATRICE_SKILLS'!F:F,A23,'04_MATRICE_SKILLS'!I:I,"&gt;="&amp;4)</f>
        <v>5</v>
      </c>
      <c r="P23" s="3">
        <f>COUNTIFS('04_MATRICE_SKILLS'!F:F,A23,'04_MATRICE_SKILLS'!I:I,"&gt;="&amp;3)</f>
        <v>13</v>
      </c>
      <c r="Q23" s="3">
        <f>COUNTIF('05_GAP_ANALYSIS'!E:E,A23)</f>
        <v>9</v>
      </c>
      <c r="R23" s="3">
        <f t="shared" si="0"/>
        <v>4</v>
      </c>
      <c r="S23" s="3" t="str">
        <f>IF(AND(E23&gt;=4,P23&lt;'01_PARAMETRES'!$B$14),"Critique",IF(P23=0,"Alerte","Sous controle"))</f>
        <v>Sous controle</v>
      </c>
      <c r="T23" s="6">
        <f t="shared" si="1"/>
        <v>6000</v>
      </c>
      <c r="U23" s="3">
        <f t="shared" si="2"/>
        <v>100</v>
      </c>
      <c r="V23" s="3">
        <f t="shared" si="3"/>
        <v>70</v>
      </c>
      <c r="W23" s="3" t="str">
        <f t="shared" si="4"/>
        <v>Critique</v>
      </c>
      <c r="X23" s="8">
        <f t="shared" si="5"/>
        <v>1.4444444444444444</v>
      </c>
    </row>
    <row r="24" spans="1:24" ht="25.5" x14ac:dyDescent="0.25">
      <c r="A24" s="2" t="s">
        <v>186</v>
      </c>
      <c r="B24" s="2" t="s">
        <v>187</v>
      </c>
      <c r="C24" s="2" t="s">
        <v>50</v>
      </c>
      <c r="D24" s="2" t="s">
        <v>188</v>
      </c>
      <c r="E24" s="2">
        <v>4</v>
      </c>
      <c r="F24" s="2">
        <v>20</v>
      </c>
      <c r="G24" s="5">
        <v>7000</v>
      </c>
      <c r="H24" s="2">
        <v>3</v>
      </c>
      <c r="I24" s="2" t="s">
        <v>163</v>
      </c>
      <c r="J24" s="5">
        <v>35000</v>
      </c>
      <c r="K24" s="2" t="s">
        <v>189</v>
      </c>
      <c r="L24" s="9">
        <f>IFERROR(AVERAGEIF('04_MATRICE_SKILLS'!F:F,A24,'04_MATRICE_SKILLS'!I:I),0)</f>
        <v>2.9</v>
      </c>
      <c r="M24" s="2">
        <f>COUNTIF('04_MATRICE_SKILLS'!F:F,A24)</f>
        <v>20</v>
      </c>
      <c r="N24" s="3" t="str">
        <f t="shared" si="6"/>
        <v>Eleve</v>
      </c>
      <c r="O24" s="2">
        <f>COUNTIFS('04_MATRICE_SKILLS'!F:F,A24,'04_MATRICE_SKILLS'!I:I,"&gt;="&amp;4)</f>
        <v>5</v>
      </c>
      <c r="P24" s="2">
        <f>COUNTIFS('04_MATRICE_SKILLS'!F:F,A24,'04_MATRICE_SKILLS'!I:I,"&gt;="&amp;3)</f>
        <v>14</v>
      </c>
      <c r="Q24" s="2">
        <f>COUNTIF('05_GAP_ANALYSIS'!E:E,A24)</f>
        <v>12</v>
      </c>
      <c r="R24" s="2">
        <f t="shared" si="0"/>
        <v>2</v>
      </c>
      <c r="S24" s="3" t="str">
        <f>IF(AND(E24&gt;=4,P24&lt;'01_PARAMETRES'!$B$14),"Critique",IF(P24=0,"Alerte","Sous controle"))</f>
        <v>Sous controle</v>
      </c>
      <c r="T24" s="5">
        <f t="shared" si="1"/>
        <v>7000</v>
      </c>
      <c r="U24" s="2">
        <f t="shared" si="2"/>
        <v>60</v>
      </c>
      <c r="V24" s="2">
        <f t="shared" si="3"/>
        <v>50</v>
      </c>
      <c r="W24" s="2" t="str">
        <f t="shared" si="4"/>
        <v>Eleve</v>
      </c>
      <c r="X24" s="10">
        <f t="shared" si="5"/>
        <v>1.1666666666666667</v>
      </c>
    </row>
    <row r="25" spans="1:24" ht="25.5" x14ac:dyDescent="0.25">
      <c r="A25" s="3" t="s">
        <v>190</v>
      </c>
      <c r="B25" s="3" t="s">
        <v>191</v>
      </c>
      <c r="C25" s="3" t="s">
        <v>50</v>
      </c>
      <c r="D25" s="3" t="s">
        <v>188</v>
      </c>
      <c r="E25" s="3">
        <v>3</v>
      </c>
      <c r="F25" s="3">
        <v>15</v>
      </c>
      <c r="G25" s="6">
        <v>6000</v>
      </c>
      <c r="H25" s="3">
        <v>3</v>
      </c>
      <c r="I25" s="3" t="s">
        <v>192</v>
      </c>
      <c r="J25" s="6">
        <v>30000</v>
      </c>
      <c r="K25" s="3" t="s">
        <v>189</v>
      </c>
      <c r="L25" s="7">
        <f>IFERROR(AVERAGEIF('04_MATRICE_SKILLS'!F:F,A25,'04_MATRICE_SKILLS'!I:I),0)</f>
        <v>1.8</v>
      </c>
      <c r="M25" s="3">
        <f>COUNTIF('04_MATRICE_SKILLS'!F:F,A25)</f>
        <v>5</v>
      </c>
      <c r="N25" s="3" t="str">
        <f t="shared" si="6"/>
        <v>Moyen</v>
      </c>
      <c r="O25" s="3">
        <f>COUNTIFS('04_MATRICE_SKILLS'!F:F,A25,'04_MATRICE_SKILLS'!I:I,"&gt;="&amp;4)</f>
        <v>0</v>
      </c>
      <c r="P25" s="3">
        <f>COUNTIFS('04_MATRICE_SKILLS'!F:F,A25,'04_MATRICE_SKILLS'!I:I,"&gt;="&amp;3)</f>
        <v>1</v>
      </c>
      <c r="Q25" s="3">
        <f>COUNTIF('05_GAP_ANALYSIS'!E:E,A25)</f>
        <v>0</v>
      </c>
      <c r="R25" s="3">
        <f t="shared" si="0"/>
        <v>1</v>
      </c>
      <c r="S25" s="3" t="str">
        <f>IF(AND(E25&gt;=4,P25&lt;'01_PARAMETRES'!$B$14),"Critique",IF(P25=0,"Alerte","Sous controle"))</f>
        <v>Sous controle</v>
      </c>
      <c r="T25" s="6">
        <f t="shared" si="1"/>
        <v>6000</v>
      </c>
      <c r="U25" s="3">
        <f t="shared" si="2"/>
        <v>60</v>
      </c>
      <c r="V25" s="3">
        <f t="shared" si="3"/>
        <v>42</v>
      </c>
      <c r="W25" s="3" t="str">
        <f t="shared" si="4"/>
        <v>Moyen</v>
      </c>
      <c r="X25" s="8">
        <f t="shared" si="5"/>
        <v>1</v>
      </c>
    </row>
    <row r="26" spans="1:24" ht="25.5" x14ac:dyDescent="0.25">
      <c r="A26" s="2" t="s">
        <v>193</v>
      </c>
      <c r="B26" s="2" t="s">
        <v>194</v>
      </c>
      <c r="C26" s="2" t="s">
        <v>50</v>
      </c>
      <c r="D26" s="2" t="s">
        <v>195</v>
      </c>
      <c r="E26" s="2">
        <v>5</v>
      </c>
      <c r="F26" s="2">
        <v>25</v>
      </c>
      <c r="G26" s="5">
        <v>10000</v>
      </c>
      <c r="H26" s="2">
        <v>5</v>
      </c>
      <c r="I26" s="2" t="s">
        <v>196</v>
      </c>
      <c r="J26" s="5">
        <v>80000</v>
      </c>
      <c r="K26" s="2" t="s">
        <v>197</v>
      </c>
      <c r="L26" s="9">
        <f>IFERROR(AVERAGEIF('04_MATRICE_SKILLS'!F:F,A26,'04_MATRICE_SKILLS'!I:I),0)</f>
        <v>3</v>
      </c>
      <c r="M26" s="2">
        <f>COUNTIF('04_MATRICE_SKILLS'!F:F,A26)</f>
        <v>13</v>
      </c>
      <c r="N26" s="3" t="str">
        <f t="shared" si="6"/>
        <v>Critique</v>
      </c>
      <c r="O26" s="2">
        <f>COUNTIFS('04_MATRICE_SKILLS'!F:F,A26,'04_MATRICE_SKILLS'!I:I,"&gt;="&amp;4)</f>
        <v>4</v>
      </c>
      <c r="P26" s="2">
        <f>COUNTIFS('04_MATRICE_SKILLS'!F:F,A26,'04_MATRICE_SKILLS'!I:I,"&gt;="&amp;3)</f>
        <v>8</v>
      </c>
      <c r="Q26" s="2">
        <f>COUNTIF('05_GAP_ANALYSIS'!E:E,A26)</f>
        <v>9</v>
      </c>
      <c r="R26" s="2">
        <f t="shared" si="0"/>
        <v>-1</v>
      </c>
      <c r="S26" s="3" t="str">
        <f>IF(AND(E26&gt;=4,P26&lt;'01_PARAMETRES'!$B$14),"Critique",IF(P26=0,"Alerte","Sous controle"))</f>
        <v>Sous controle</v>
      </c>
      <c r="T26" s="5">
        <f t="shared" si="1"/>
        <v>10000</v>
      </c>
      <c r="U26" s="2">
        <f t="shared" si="2"/>
        <v>100</v>
      </c>
      <c r="V26" s="2">
        <f t="shared" si="3"/>
        <v>80</v>
      </c>
      <c r="W26" s="2" t="str">
        <f t="shared" si="4"/>
        <v>Critique</v>
      </c>
      <c r="X26" s="10">
        <f t="shared" si="5"/>
        <v>0.88888888888888884</v>
      </c>
    </row>
    <row r="27" spans="1:24" ht="25.5" x14ac:dyDescent="0.25">
      <c r="A27" s="3" t="s">
        <v>198</v>
      </c>
      <c r="B27" s="3" t="s">
        <v>199</v>
      </c>
      <c r="C27" s="3" t="s">
        <v>50</v>
      </c>
      <c r="D27" s="3" t="s">
        <v>200</v>
      </c>
      <c r="E27" s="3">
        <v>5</v>
      </c>
      <c r="F27" s="3">
        <v>20</v>
      </c>
      <c r="G27" s="6">
        <v>9000</v>
      </c>
      <c r="H27" s="3">
        <v>5</v>
      </c>
      <c r="I27" s="3" t="s">
        <v>201</v>
      </c>
      <c r="J27" s="6">
        <v>70000</v>
      </c>
      <c r="K27" s="3" t="s">
        <v>197</v>
      </c>
      <c r="L27" s="7">
        <f>IFERROR(AVERAGEIF('04_MATRICE_SKILLS'!F:F,A27,'04_MATRICE_SKILLS'!I:I),0)</f>
        <v>2.8888888888888888</v>
      </c>
      <c r="M27" s="3">
        <f>COUNTIF('04_MATRICE_SKILLS'!F:F,A27)</f>
        <v>9</v>
      </c>
      <c r="N27" s="3" t="str">
        <f t="shared" si="6"/>
        <v>Critique</v>
      </c>
      <c r="O27" s="3">
        <f>COUNTIFS('04_MATRICE_SKILLS'!F:F,A27,'04_MATRICE_SKILLS'!I:I,"&gt;="&amp;4)</f>
        <v>2</v>
      </c>
      <c r="P27" s="3">
        <f>COUNTIFS('04_MATRICE_SKILLS'!F:F,A27,'04_MATRICE_SKILLS'!I:I,"&gt;="&amp;3)</f>
        <v>6</v>
      </c>
      <c r="Q27" s="3">
        <f>COUNTIF('05_GAP_ANALYSIS'!E:E,A27)</f>
        <v>6</v>
      </c>
      <c r="R27" s="3">
        <f t="shared" si="0"/>
        <v>0</v>
      </c>
      <c r="S27" s="3" t="str">
        <f>IF(AND(E27&gt;=4,P27&lt;'01_PARAMETRES'!$B$14),"Critique",IF(P27=0,"Alerte","Sous controle"))</f>
        <v>Sous controle</v>
      </c>
      <c r="T27" s="6">
        <f t="shared" si="1"/>
        <v>9000</v>
      </c>
      <c r="U27" s="3">
        <f t="shared" si="2"/>
        <v>100</v>
      </c>
      <c r="V27" s="3">
        <f t="shared" si="3"/>
        <v>70</v>
      </c>
      <c r="W27" s="3" t="str">
        <f t="shared" si="4"/>
        <v>Critique</v>
      </c>
      <c r="X27" s="8">
        <f t="shared" si="5"/>
        <v>1</v>
      </c>
    </row>
    <row r="28" spans="1:24" ht="25.5" x14ac:dyDescent="0.25">
      <c r="A28" s="2" t="s">
        <v>202</v>
      </c>
      <c r="B28" s="2" t="s">
        <v>203</v>
      </c>
      <c r="C28" s="2" t="s">
        <v>50</v>
      </c>
      <c r="D28" s="2" t="s">
        <v>204</v>
      </c>
      <c r="E28" s="2">
        <v>4</v>
      </c>
      <c r="F28" s="2">
        <v>5</v>
      </c>
      <c r="G28" s="5">
        <v>2000</v>
      </c>
      <c r="H28" s="2">
        <v>3</v>
      </c>
      <c r="I28" s="2" t="s">
        <v>205</v>
      </c>
      <c r="J28" s="5">
        <v>18000</v>
      </c>
      <c r="K28" s="2" t="s">
        <v>206</v>
      </c>
      <c r="L28" s="9">
        <f>IFERROR(AVERAGEIF('04_MATRICE_SKILLS'!F:F,A28,'04_MATRICE_SKILLS'!I:I),0)</f>
        <v>3.28</v>
      </c>
      <c r="M28" s="2">
        <f>COUNTIF('04_MATRICE_SKILLS'!F:F,A28)</f>
        <v>25</v>
      </c>
      <c r="N28" s="3" t="str">
        <f t="shared" si="6"/>
        <v>Eleve</v>
      </c>
      <c r="O28" s="2">
        <f>COUNTIFS('04_MATRICE_SKILLS'!F:F,A28,'04_MATRICE_SKILLS'!I:I,"&gt;="&amp;4)</f>
        <v>9</v>
      </c>
      <c r="P28" s="2">
        <f>COUNTIFS('04_MATRICE_SKILLS'!F:F,A28,'04_MATRICE_SKILLS'!I:I,"&gt;="&amp;3)</f>
        <v>21</v>
      </c>
      <c r="Q28" s="2">
        <f>COUNTIF('05_GAP_ANALYSIS'!E:E,A28)</f>
        <v>24</v>
      </c>
      <c r="R28" s="2">
        <f t="shared" si="0"/>
        <v>-3</v>
      </c>
      <c r="S28" s="3" t="str">
        <f>IF(AND(E28&gt;=4,P28&lt;'01_PARAMETRES'!$B$14),"Critique",IF(P28=0,"Alerte","Sous controle"))</f>
        <v>Sous controle</v>
      </c>
      <c r="T28" s="5">
        <f t="shared" si="1"/>
        <v>6000</v>
      </c>
      <c r="U28" s="2">
        <f t="shared" si="2"/>
        <v>60</v>
      </c>
      <c r="V28" s="2">
        <f t="shared" si="3"/>
        <v>80</v>
      </c>
      <c r="W28" s="2" t="str">
        <f t="shared" si="4"/>
        <v>Critique</v>
      </c>
      <c r="X28" s="10">
        <f t="shared" si="5"/>
        <v>0.875</v>
      </c>
    </row>
    <row r="29" spans="1:24" x14ac:dyDescent="0.25">
      <c r="A29" s="3" t="s">
        <v>207</v>
      </c>
      <c r="B29" s="3" t="s">
        <v>208</v>
      </c>
      <c r="C29" s="3" t="s">
        <v>50</v>
      </c>
      <c r="D29" s="3" t="s">
        <v>209</v>
      </c>
      <c r="E29" s="3">
        <v>3</v>
      </c>
      <c r="F29" s="3">
        <v>5</v>
      </c>
      <c r="G29" s="6">
        <v>1800</v>
      </c>
      <c r="H29" s="3">
        <v>2</v>
      </c>
      <c r="I29" s="3" t="s">
        <v>210</v>
      </c>
      <c r="J29" s="6">
        <v>12000</v>
      </c>
      <c r="K29" s="3" t="s">
        <v>211</v>
      </c>
      <c r="L29" s="7">
        <f>IFERROR(AVERAGEIF('04_MATRICE_SKILLS'!F:F,A29,'04_MATRICE_SKILLS'!I:I),0)</f>
        <v>3.2272727272727271</v>
      </c>
      <c r="M29" s="3">
        <f>COUNTIF('04_MATRICE_SKILLS'!F:F,A29)</f>
        <v>22</v>
      </c>
      <c r="N29" s="3" t="str">
        <f t="shared" si="6"/>
        <v>Moyen</v>
      </c>
      <c r="O29" s="3">
        <f>COUNTIFS('04_MATRICE_SKILLS'!F:F,A29,'04_MATRICE_SKILLS'!I:I,"&gt;="&amp;4)</f>
        <v>9</v>
      </c>
      <c r="P29" s="3">
        <f>COUNTIFS('04_MATRICE_SKILLS'!F:F,A29,'04_MATRICE_SKILLS'!I:I,"&gt;="&amp;3)</f>
        <v>16</v>
      </c>
      <c r="Q29" s="3">
        <f>COUNTIF('05_GAP_ANALYSIS'!E:E,A29)</f>
        <v>18</v>
      </c>
      <c r="R29" s="3">
        <f t="shared" si="0"/>
        <v>-2</v>
      </c>
      <c r="S29" s="3" t="str">
        <f>IF(AND(E29&gt;=4,P29&lt;'01_PARAMETRES'!$B$14),"Critique",IF(P29=0,"Alerte","Sous controle"))</f>
        <v>Sous controle</v>
      </c>
      <c r="T29" s="6">
        <f t="shared" si="1"/>
        <v>3600</v>
      </c>
      <c r="U29" s="3">
        <f t="shared" si="2"/>
        <v>40</v>
      </c>
      <c r="V29" s="3">
        <f t="shared" si="3"/>
        <v>56</v>
      </c>
      <c r="W29" s="3" t="str">
        <f t="shared" si="4"/>
        <v>Eleve</v>
      </c>
      <c r="X29" s="8">
        <f t="shared" si="5"/>
        <v>0.88888888888888884</v>
      </c>
    </row>
    <row r="30" spans="1:24" ht="25.5" x14ac:dyDescent="0.25">
      <c r="A30" s="2" t="s">
        <v>212</v>
      </c>
      <c r="B30" s="2" t="s">
        <v>213</v>
      </c>
      <c r="C30" s="2" t="s">
        <v>214</v>
      </c>
      <c r="D30" s="2" t="s">
        <v>215</v>
      </c>
      <c r="E30" s="2">
        <v>4</v>
      </c>
      <c r="F30" s="2">
        <v>5</v>
      </c>
      <c r="G30" s="5">
        <v>2500</v>
      </c>
      <c r="H30" s="2">
        <v>3</v>
      </c>
      <c r="I30" s="2" t="s">
        <v>216</v>
      </c>
      <c r="J30" s="5">
        <v>18000</v>
      </c>
      <c r="K30" s="2" t="s">
        <v>217</v>
      </c>
      <c r="L30" s="9">
        <f>IFERROR(AVERAGEIF('04_MATRICE_SKILLS'!F:F,A30,'04_MATRICE_SKILLS'!I:I),0)</f>
        <v>3.7777777777777777</v>
      </c>
      <c r="M30" s="2">
        <f>COUNTIF('04_MATRICE_SKILLS'!F:F,A30)</f>
        <v>18</v>
      </c>
      <c r="N30" s="3" t="str">
        <f t="shared" si="6"/>
        <v>Eleve</v>
      </c>
      <c r="O30" s="2">
        <f>COUNTIFS('04_MATRICE_SKILLS'!F:F,A30,'04_MATRICE_SKILLS'!I:I,"&gt;="&amp;4)</f>
        <v>10</v>
      </c>
      <c r="P30" s="2">
        <f>COUNTIFS('04_MATRICE_SKILLS'!F:F,A30,'04_MATRICE_SKILLS'!I:I,"&gt;="&amp;3)</f>
        <v>16</v>
      </c>
      <c r="Q30" s="2">
        <f>COUNTIF('05_GAP_ANALYSIS'!E:E,A30)</f>
        <v>15</v>
      </c>
      <c r="R30" s="2">
        <f t="shared" si="0"/>
        <v>1</v>
      </c>
      <c r="S30" s="3" t="str">
        <f>IF(AND(E30&gt;=4,P30&lt;'01_PARAMETRES'!$B$14),"Critique",IF(P30=0,"Alerte","Sous controle"))</f>
        <v>Sous controle</v>
      </c>
      <c r="T30" s="5">
        <f t="shared" si="1"/>
        <v>2500</v>
      </c>
      <c r="U30" s="2">
        <f t="shared" si="2"/>
        <v>60</v>
      </c>
      <c r="V30" s="2">
        <f t="shared" si="3"/>
        <v>50</v>
      </c>
      <c r="W30" s="2" t="str">
        <f t="shared" si="4"/>
        <v>Eleve</v>
      </c>
      <c r="X30" s="10">
        <f t="shared" si="5"/>
        <v>1.0666666666666667</v>
      </c>
    </row>
    <row r="31" spans="1:24" ht="25.5" x14ac:dyDescent="0.25">
      <c r="A31" s="3" t="s">
        <v>218</v>
      </c>
      <c r="B31" s="3" t="s">
        <v>219</v>
      </c>
      <c r="C31" s="3" t="s">
        <v>214</v>
      </c>
      <c r="D31" s="3" t="s">
        <v>220</v>
      </c>
      <c r="E31" s="3">
        <v>4</v>
      </c>
      <c r="F31" s="3">
        <v>3</v>
      </c>
      <c r="G31" s="6">
        <v>1500</v>
      </c>
      <c r="H31" s="3">
        <v>3</v>
      </c>
      <c r="I31" s="3" t="s">
        <v>221</v>
      </c>
      <c r="J31" s="6">
        <v>14000</v>
      </c>
      <c r="K31" s="3" t="s">
        <v>222</v>
      </c>
      <c r="L31" s="7">
        <f>IFERROR(AVERAGEIF('04_MATRICE_SKILLS'!F:F,A31,'04_MATRICE_SKILLS'!I:I),0)</f>
        <v>3.2857142857142856</v>
      </c>
      <c r="M31" s="3">
        <f>COUNTIF('04_MATRICE_SKILLS'!F:F,A31)</f>
        <v>35</v>
      </c>
      <c r="N31" s="3" t="str">
        <f t="shared" si="6"/>
        <v>Eleve</v>
      </c>
      <c r="O31" s="3">
        <f>COUNTIFS('04_MATRICE_SKILLS'!F:F,A31,'04_MATRICE_SKILLS'!I:I,"&gt;="&amp;4)</f>
        <v>14</v>
      </c>
      <c r="P31" s="3">
        <f>COUNTIFS('04_MATRICE_SKILLS'!F:F,A31,'04_MATRICE_SKILLS'!I:I,"&gt;="&amp;3)</f>
        <v>23</v>
      </c>
      <c r="Q31" s="3">
        <f>COUNTIF('05_GAP_ANALYSIS'!E:E,A31)</f>
        <v>33</v>
      </c>
      <c r="R31" s="3">
        <f t="shared" si="0"/>
        <v>-10</v>
      </c>
      <c r="S31" s="3" t="str">
        <f>IF(AND(E31&gt;=4,P31&lt;'01_PARAMETRES'!$B$14),"Critique",IF(P31=0,"Alerte","Sous controle"))</f>
        <v>Sous controle</v>
      </c>
      <c r="T31" s="6">
        <f t="shared" si="1"/>
        <v>15000</v>
      </c>
      <c r="U31" s="3">
        <f t="shared" si="2"/>
        <v>60</v>
      </c>
      <c r="V31" s="3">
        <f t="shared" si="3"/>
        <v>150</v>
      </c>
      <c r="W31" s="3" t="str">
        <f t="shared" si="4"/>
        <v>Critique</v>
      </c>
      <c r="X31" s="8">
        <f t="shared" si="5"/>
        <v>0.69696969696969702</v>
      </c>
    </row>
    <row r="32" spans="1:24" ht="25.5" x14ac:dyDescent="0.25">
      <c r="A32" s="2" t="s">
        <v>223</v>
      </c>
      <c r="B32" s="2" t="s">
        <v>224</v>
      </c>
      <c r="C32" s="2" t="s">
        <v>214</v>
      </c>
      <c r="D32" s="2" t="s">
        <v>225</v>
      </c>
      <c r="E32" s="2">
        <v>3</v>
      </c>
      <c r="F32" s="2">
        <v>10</v>
      </c>
      <c r="G32" s="5">
        <v>4000</v>
      </c>
      <c r="H32" s="2">
        <v>2</v>
      </c>
      <c r="I32" s="2" t="s">
        <v>226</v>
      </c>
      <c r="J32" s="5">
        <v>10000</v>
      </c>
      <c r="K32" s="2" t="s">
        <v>227</v>
      </c>
      <c r="L32" s="9">
        <f>IFERROR(AVERAGEIF('04_MATRICE_SKILLS'!F:F,A32,'04_MATRICE_SKILLS'!I:I),0)</f>
        <v>2.8648648648648649</v>
      </c>
      <c r="M32" s="2">
        <f>COUNTIF('04_MATRICE_SKILLS'!F:F,A32)</f>
        <v>37</v>
      </c>
      <c r="N32" s="3" t="str">
        <f t="shared" si="6"/>
        <v>Moyen</v>
      </c>
      <c r="O32" s="2">
        <f>COUNTIFS('04_MATRICE_SKILLS'!F:F,A32,'04_MATRICE_SKILLS'!I:I,"&gt;="&amp;4)</f>
        <v>11</v>
      </c>
      <c r="P32" s="2">
        <f>COUNTIFS('04_MATRICE_SKILLS'!F:F,A32,'04_MATRICE_SKILLS'!I:I,"&gt;="&amp;3)</f>
        <v>21</v>
      </c>
      <c r="Q32" s="2">
        <f>COUNTIF('05_GAP_ANALYSIS'!E:E,A32)</f>
        <v>33</v>
      </c>
      <c r="R32" s="2">
        <f t="shared" si="0"/>
        <v>-12</v>
      </c>
      <c r="S32" s="3" t="str">
        <f>IF(AND(E32&gt;=4,P32&lt;'01_PARAMETRES'!$B$14),"Critique",IF(P32=0,"Alerte","Sous controle"))</f>
        <v>Sous controle</v>
      </c>
      <c r="T32" s="5">
        <f t="shared" si="1"/>
        <v>48000</v>
      </c>
      <c r="U32" s="2">
        <f t="shared" si="2"/>
        <v>40</v>
      </c>
      <c r="V32" s="2">
        <f t="shared" si="3"/>
        <v>156</v>
      </c>
      <c r="W32" s="2" t="str">
        <f t="shared" si="4"/>
        <v>Critique</v>
      </c>
      <c r="X32" s="10">
        <f t="shared" si="5"/>
        <v>0.63636363636363635</v>
      </c>
    </row>
    <row r="33" spans="1:24" ht="38.25" x14ac:dyDescent="0.25">
      <c r="A33" s="3" t="s">
        <v>228</v>
      </c>
      <c r="B33" s="3" t="s">
        <v>229</v>
      </c>
      <c r="C33" s="3" t="s">
        <v>214</v>
      </c>
      <c r="D33" s="3" t="s">
        <v>230</v>
      </c>
      <c r="E33" s="3">
        <v>4</v>
      </c>
      <c r="F33" s="3">
        <v>8</v>
      </c>
      <c r="G33" s="6">
        <v>3500</v>
      </c>
      <c r="H33" s="3">
        <v>3</v>
      </c>
      <c r="I33" s="3" t="s">
        <v>231</v>
      </c>
      <c r="J33" s="6">
        <v>22000</v>
      </c>
      <c r="K33" s="3" t="s">
        <v>232</v>
      </c>
      <c r="L33" s="7">
        <f>IFERROR(AVERAGEIF('04_MATRICE_SKILLS'!F:F,A33,'04_MATRICE_SKILLS'!I:I),0)</f>
        <v>3.0526315789473686</v>
      </c>
      <c r="M33" s="3">
        <f>COUNTIF('04_MATRICE_SKILLS'!F:F,A33)</f>
        <v>19</v>
      </c>
      <c r="N33" s="3" t="str">
        <f t="shared" si="6"/>
        <v>Eleve</v>
      </c>
      <c r="O33" s="3">
        <f>COUNTIFS('04_MATRICE_SKILLS'!F:F,A33,'04_MATRICE_SKILLS'!I:I,"&gt;="&amp;4)</f>
        <v>8</v>
      </c>
      <c r="P33" s="3">
        <f>COUNTIFS('04_MATRICE_SKILLS'!F:F,A33,'04_MATRICE_SKILLS'!I:I,"&gt;="&amp;3)</f>
        <v>11</v>
      </c>
      <c r="Q33" s="3">
        <f>COUNTIF('05_GAP_ANALYSIS'!E:E,A33)</f>
        <v>18</v>
      </c>
      <c r="R33" s="3">
        <f t="shared" si="0"/>
        <v>-7</v>
      </c>
      <c r="S33" s="3" t="str">
        <f>IF(AND(E33&gt;=4,P33&lt;'01_PARAMETRES'!$B$14),"Critique",IF(P33=0,"Alerte","Sous controle"))</f>
        <v>Sous controle</v>
      </c>
      <c r="T33" s="6">
        <f t="shared" si="1"/>
        <v>24500</v>
      </c>
      <c r="U33" s="3">
        <f t="shared" si="2"/>
        <v>60</v>
      </c>
      <c r="V33" s="3">
        <f t="shared" si="3"/>
        <v>120</v>
      </c>
      <c r="W33" s="3" t="str">
        <f t="shared" si="4"/>
        <v>Critique</v>
      </c>
      <c r="X33" s="8">
        <f t="shared" si="5"/>
        <v>0.61111111111111116</v>
      </c>
    </row>
    <row r="34" spans="1:24" ht="25.5" x14ac:dyDescent="0.25">
      <c r="A34" s="2" t="s">
        <v>233</v>
      </c>
      <c r="B34" s="2" t="s">
        <v>234</v>
      </c>
      <c r="C34" s="2" t="s">
        <v>214</v>
      </c>
      <c r="D34" s="2" t="s">
        <v>235</v>
      </c>
      <c r="E34" s="2">
        <v>4</v>
      </c>
      <c r="F34" s="2">
        <v>3</v>
      </c>
      <c r="G34" s="5">
        <v>1200</v>
      </c>
      <c r="H34" s="2">
        <v>3</v>
      </c>
      <c r="I34" s="2" t="s">
        <v>236</v>
      </c>
      <c r="J34" s="5">
        <v>16000</v>
      </c>
      <c r="K34" s="2" t="s">
        <v>237</v>
      </c>
      <c r="L34" s="9">
        <f>IFERROR(AVERAGEIF('04_MATRICE_SKILLS'!F:F,A34,'04_MATRICE_SKILLS'!I:I),0)</f>
        <v>3.1739130434782608</v>
      </c>
      <c r="M34" s="2">
        <f>COUNTIF('04_MATRICE_SKILLS'!F:F,A34)</f>
        <v>23</v>
      </c>
      <c r="N34" s="3" t="str">
        <f t="shared" si="6"/>
        <v>Eleve</v>
      </c>
      <c r="O34" s="2">
        <f>COUNTIFS('04_MATRICE_SKILLS'!F:F,A34,'04_MATRICE_SKILLS'!I:I,"&gt;="&amp;4)</f>
        <v>10</v>
      </c>
      <c r="P34" s="2">
        <f>COUNTIFS('04_MATRICE_SKILLS'!F:F,A34,'04_MATRICE_SKILLS'!I:I,"&gt;="&amp;3)</f>
        <v>16</v>
      </c>
      <c r="Q34" s="2">
        <f>COUNTIF('05_GAP_ANALYSIS'!E:E,A34)</f>
        <v>21</v>
      </c>
      <c r="R34" s="2">
        <f t="shared" si="0"/>
        <v>-5</v>
      </c>
      <c r="S34" s="3" t="str">
        <f>IF(AND(E34&gt;=4,P34&lt;'01_PARAMETRES'!$B$14),"Critique",IF(P34=0,"Alerte","Sous controle"))</f>
        <v>Sous controle</v>
      </c>
      <c r="T34" s="5">
        <f t="shared" si="1"/>
        <v>6000</v>
      </c>
      <c r="U34" s="2">
        <f t="shared" si="2"/>
        <v>60</v>
      </c>
      <c r="V34" s="2">
        <f t="shared" si="3"/>
        <v>100</v>
      </c>
      <c r="W34" s="2" t="str">
        <f t="shared" si="4"/>
        <v>Critique</v>
      </c>
      <c r="X34" s="10">
        <f t="shared" si="5"/>
        <v>0.76190476190476186</v>
      </c>
    </row>
  </sheetData>
  <autoFilter ref="A4:X34" xr:uid="{00000000-0009-0000-0000-000001000000}"/>
  <mergeCells count="2">
    <mergeCell ref="A2:X2"/>
    <mergeCell ref="A1:X1"/>
  </mergeCells>
  <conditionalFormatting sqref="E5:E34">
    <cfRule type="colorScale" priority="1">
      <colorScale>
        <cfvo type="num" val="1"/>
        <cfvo type="num" val="3"/>
        <cfvo type="num" val="5"/>
        <color rgb="FF27AE60"/>
        <color rgb="FFF1C40F"/>
        <color rgb="FFE74C3C"/>
      </colorScale>
    </cfRule>
  </conditionalFormatting>
  <conditionalFormatting sqref="X5:X34">
    <cfRule type="dataBar" priority="2">
      <dataBar>
        <cfvo type="num" val="0"/>
        <cfvo type="num" val="1"/>
        <color rgb="FF3498D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R64"/>
  <sheetViews>
    <sheetView workbookViewId="0">
      <pane xSplit="3" ySplit="4" topLeftCell="D51" activePane="bottomRight" state="frozen"/>
      <selection pane="topRight"/>
      <selection pane="bottomLeft"/>
      <selection pane="bottomRight" activeCell="O5" sqref="O5"/>
    </sheetView>
  </sheetViews>
  <sheetFormatPr baseColWidth="10" defaultColWidth="9.140625" defaultRowHeight="15" x14ac:dyDescent="0.25"/>
  <cols>
    <col min="1" max="1" width="10" customWidth="1"/>
    <col min="2" max="3" width="14" customWidth="1"/>
    <col min="4" max="4" width="20" customWidth="1"/>
    <col min="5" max="5" width="18" customWidth="1"/>
    <col min="6" max="6" width="26" customWidth="1"/>
    <col min="7" max="7" width="14" customWidth="1"/>
    <col min="8" max="14" width="12" customWidth="1"/>
    <col min="15" max="15" width="16" customWidth="1"/>
    <col min="16" max="18" width="14" customWidth="1"/>
  </cols>
  <sheetData>
    <row r="1" spans="1:18" ht="36" customHeight="1" x14ac:dyDescent="0.25">
      <c r="A1" s="19" t="s">
        <v>238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25">
      <c r="A2" s="20" t="s">
        <v>239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ht="30" customHeight="1" x14ac:dyDescent="0.25">
      <c r="A4" s="1" t="s">
        <v>240</v>
      </c>
      <c r="B4" s="1" t="s">
        <v>241</v>
      </c>
      <c r="C4" s="1" t="s">
        <v>242</v>
      </c>
      <c r="D4" s="1" t="s">
        <v>243</v>
      </c>
      <c r="E4" s="1" t="s">
        <v>244</v>
      </c>
      <c r="F4" s="1" t="s">
        <v>245</v>
      </c>
      <c r="G4" s="1" t="s">
        <v>75</v>
      </c>
      <c r="H4" s="1" t="s">
        <v>246</v>
      </c>
      <c r="I4" s="1" t="s">
        <v>247</v>
      </c>
      <c r="J4" s="1" t="s">
        <v>248</v>
      </c>
      <c r="K4" s="1" t="s">
        <v>249</v>
      </c>
      <c r="L4" s="1" t="s">
        <v>250</v>
      </c>
      <c r="M4" s="1" t="s">
        <v>85</v>
      </c>
      <c r="N4" s="1" t="s">
        <v>84</v>
      </c>
      <c r="O4" s="1" t="s">
        <v>251</v>
      </c>
      <c r="P4" s="1" t="s">
        <v>252</v>
      </c>
      <c r="Q4" s="1" t="s">
        <v>253</v>
      </c>
      <c r="R4" s="1" t="s">
        <v>96</v>
      </c>
    </row>
    <row r="5" spans="1:18" x14ac:dyDescent="0.25">
      <c r="A5" s="3" t="s">
        <v>254</v>
      </c>
      <c r="B5" s="3" t="s">
        <v>255</v>
      </c>
      <c r="C5" s="3" t="s">
        <v>256</v>
      </c>
      <c r="D5" s="3" t="s">
        <v>35</v>
      </c>
      <c r="E5" s="3" t="s">
        <v>46</v>
      </c>
      <c r="F5" s="3" t="s">
        <v>257</v>
      </c>
      <c r="G5" s="3" t="s">
        <v>258</v>
      </c>
      <c r="H5" s="11">
        <v>43862</v>
      </c>
      <c r="I5" s="3"/>
      <c r="J5" s="3" t="s">
        <v>259</v>
      </c>
      <c r="K5" s="3" t="s">
        <v>260</v>
      </c>
      <c r="L5" s="3">
        <f t="shared" ref="L5:L36" ca="1" si="0">DATEDIF(H5,TODAY(),"Y")</f>
        <v>6</v>
      </c>
      <c r="M5" s="3">
        <f>COUNTIF('04_MATRICE_SKILLS'!B:B,A5)</f>
        <v>10</v>
      </c>
      <c r="N5" s="7">
        <f>IFERROR(AVERAGEIF('04_MATRICE_SKILLS'!B:B,A5,'04_MATRICE_SKILLS'!I:I),0)</f>
        <v>1.9</v>
      </c>
      <c r="O5" s="3" t="str">
        <f t="shared" ref="O5:O36" si="1">IF(K5&lt;&gt;"Actif","Inactif",IF(N5&lt;2,"Sous-qualifie",IF(Q5&lt;0.6,"Polyvalence faible","OK")))</f>
        <v>Sous-qualifie</v>
      </c>
      <c r="P5" s="3">
        <f>COUNTIFS('04_MATRICE_SKILLS'!B:B,A5,'04_MATRICE_SKILLS'!I:I,"&gt;="&amp;3)</f>
        <v>4</v>
      </c>
      <c r="Q5" s="8">
        <f>IFERROR(P5/'01_PARAMETRES'!$B$15,0)</f>
        <v>0.8</v>
      </c>
      <c r="R5" s="8">
        <f>IFERROR(COUNTIFS('04_MATRICE_SKILLS'!B:B,A5,'04_MATRICE_SKILLS'!L:L,"Conforme")/MAX(M5,1),0)</f>
        <v>0.4</v>
      </c>
    </row>
    <row r="6" spans="1:18" x14ac:dyDescent="0.25">
      <c r="A6" s="2" t="s">
        <v>261</v>
      </c>
      <c r="B6" s="2" t="s">
        <v>262</v>
      </c>
      <c r="C6" s="2" t="s">
        <v>263</v>
      </c>
      <c r="D6" s="2" t="s">
        <v>37</v>
      </c>
      <c r="E6" s="2" t="s">
        <v>46</v>
      </c>
      <c r="F6" s="2" t="s">
        <v>264</v>
      </c>
      <c r="G6" s="2" t="s">
        <v>258</v>
      </c>
      <c r="H6" s="12">
        <v>41369</v>
      </c>
      <c r="I6" s="2" t="s">
        <v>254</v>
      </c>
      <c r="J6" s="2" t="s">
        <v>259</v>
      </c>
      <c r="K6" s="2" t="s">
        <v>260</v>
      </c>
      <c r="L6" s="2">
        <f t="shared" ca="1" si="0"/>
        <v>12</v>
      </c>
      <c r="M6" s="2">
        <f>COUNTIF('04_MATRICE_SKILLS'!B:B,A6)</f>
        <v>7</v>
      </c>
      <c r="N6" s="9">
        <f>IFERROR(AVERAGEIF('04_MATRICE_SKILLS'!B:B,A6,'04_MATRICE_SKILLS'!I:I),0)</f>
        <v>3.4285714285714284</v>
      </c>
      <c r="O6" s="2" t="str">
        <f t="shared" si="1"/>
        <v>OK</v>
      </c>
      <c r="P6" s="2">
        <f>COUNTIFS('04_MATRICE_SKILLS'!B:B,A6,'04_MATRICE_SKILLS'!I:I,"&gt;="&amp;3)</f>
        <v>5</v>
      </c>
      <c r="Q6" s="8">
        <f>IFERROR(P6/'01_PARAMETRES'!$B$15,0)</f>
        <v>1</v>
      </c>
      <c r="R6" s="10">
        <f>IFERROR(COUNTIFS('04_MATRICE_SKILLS'!B:B,A6,'04_MATRICE_SKILLS'!L:L,"Conforme")/MAX(M6,1),0)</f>
        <v>0.7142857142857143</v>
      </c>
    </row>
    <row r="7" spans="1:18" x14ac:dyDescent="0.25">
      <c r="A7" s="3" t="s">
        <v>265</v>
      </c>
      <c r="B7" s="3" t="s">
        <v>266</v>
      </c>
      <c r="C7" s="3" t="s">
        <v>267</v>
      </c>
      <c r="D7" s="3" t="s">
        <v>39</v>
      </c>
      <c r="E7" s="3" t="s">
        <v>52</v>
      </c>
      <c r="F7" s="3" t="s">
        <v>268</v>
      </c>
      <c r="G7" s="3" t="s">
        <v>269</v>
      </c>
      <c r="H7" s="11">
        <v>44183</v>
      </c>
      <c r="I7" s="3" t="s">
        <v>254</v>
      </c>
      <c r="J7" s="3" t="s">
        <v>259</v>
      </c>
      <c r="K7" s="3" t="s">
        <v>260</v>
      </c>
      <c r="L7" s="3">
        <f t="shared" ca="1" si="0"/>
        <v>5</v>
      </c>
      <c r="M7" s="3">
        <f>COUNTIF('04_MATRICE_SKILLS'!B:B,A7)</f>
        <v>8</v>
      </c>
      <c r="N7" s="7">
        <f>IFERROR(AVERAGEIF('04_MATRICE_SKILLS'!B:B,A7,'04_MATRICE_SKILLS'!I:I),0)</f>
        <v>3.125</v>
      </c>
      <c r="O7" s="3" t="str">
        <f t="shared" si="1"/>
        <v>OK</v>
      </c>
      <c r="P7" s="3">
        <f>COUNTIFS('04_MATRICE_SKILLS'!B:B,A7,'04_MATRICE_SKILLS'!I:I,"&gt;="&amp;3)</f>
        <v>6</v>
      </c>
      <c r="Q7" s="8">
        <f>IFERROR(P7/'01_PARAMETRES'!$B$15,0)</f>
        <v>1.2</v>
      </c>
      <c r="R7" s="8">
        <f>IFERROR(COUNTIFS('04_MATRICE_SKILLS'!B:B,A7,'04_MATRICE_SKILLS'!L:L,"Conforme")/MAX(M7,1),0)</f>
        <v>0.375</v>
      </c>
    </row>
    <row r="8" spans="1:18" x14ac:dyDescent="0.25">
      <c r="A8" s="2" t="s">
        <v>270</v>
      </c>
      <c r="B8" s="2" t="s">
        <v>271</v>
      </c>
      <c r="C8" s="2" t="s">
        <v>272</v>
      </c>
      <c r="D8" s="2" t="s">
        <v>41</v>
      </c>
      <c r="E8" s="2" t="s">
        <v>52</v>
      </c>
      <c r="F8" s="2" t="s">
        <v>273</v>
      </c>
      <c r="G8" s="2" t="s">
        <v>269</v>
      </c>
      <c r="H8" s="12">
        <v>43648</v>
      </c>
      <c r="I8" s="2" t="s">
        <v>254</v>
      </c>
      <c r="J8" s="2" t="s">
        <v>259</v>
      </c>
      <c r="K8" s="2" t="s">
        <v>260</v>
      </c>
      <c r="L8" s="2">
        <f t="shared" ca="1" si="0"/>
        <v>6</v>
      </c>
      <c r="M8" s="2">
        <f>COUNTIF('04_MATRICE_SKILLS'!B:B,A8)</f>
        <v>8</v>
      </c>
      <c r="N8" s="9">
        <f>IFERROR(AVERAGEIF('04_MATRICE_SKILLS'!B:B,A8,'04_MATRICE_SKILLS'!I:I),0)</f>
        <v>4.125</v>
      </c>
      <c r="O8" s="2" t="str">
        <f t="shared" si="1"/>
        <v>OK</v>
      </c>
      <c r="P8" s="2">
        <f>COUNTIFS('04_MATRICE_SKILLS'!B:B,A8,'04_MATRICE_SKILLS'!I:I,"&gt;="&amp;3)</f>
        <v>8</v>
      </c>
      <c r="Q8" s="8">
        <f>IFERROR(P8/'01_PARAMETRES'!$B$15,0)</f>
        <v>1.6</v>
      </c>
      <c r="R8" s="10">
        <f>IFERROR(COUNTIFS('04_MATRICE_SKILLS'!B:B,A8,'04_MATRICE_SKILLS'!L:L,"Conforme")/MAX(M8,1),0)</f>
        <v>0.75</v>
      </c>
    </row>
    <row r="9" spans="1:18" x14ac:dyDescent="0.25">
      <c r="A9" s="3" t="s">
        <v>274</v>
      </c>
      <c r="B9" s="3" t="s">
        <v>275</v>
      </c>
      <c r="C9" s="3" t="s">
        <v>276</v>
      </c>
      <c r="D9" s="3" t="s">
        <v>43</v>
      </c>
      <c r="E9" s="3" t="s">
        <v>46</v>
      </c>
      <c r="F9" s="3" t="s">
        <v>277</v>
      </c>
      <c r="G9" s="3" t="s">
        <v>258</v>
      </c>
      <c r="H9" s="11">
        <v>40641</v>
      </c>
      <c r="I9" s="3" t="s">
        <v>254</v>
      </c>
      <c r="J9" s="3" t="s">
        <v>278</v>
      </c>
      <c r="K9" s="3" t="s">
        <v>260</v>
      </c>
      <c r="L9" s="3">
        <f t="shared" ca="1" si="0"/>
        <v>14</v>
      </c>
      <c r="M9" s="3">
        <f>COUNTIF('04_MATRICE_SKILLS'!B:B,A9)</f>
        <v>7</v>
      </c>
      <c r="N9" s="7">
        <f>IFERROR(AVERAGEIF('04_MATRICE_SKILLS'!B:B,A9,'04_MATRICE_SKILLS'!I:I),0)</f>
        <v>3.1428571428571428</v>
      </c>
      <c r="O9" s="3" t="str">
        <f t="shared" si="1"/>
        <v>OK</v>
      </c>
      <c r="P9" s="3">
        <f>COUNTIFS('04_MATRICE_SKILLS'!B:B,A9,'04_MATRICE_SKILLS'!I:I,"&gt;="&amp;3)</f>
        <v>5</v>
      </c>
      <c r="Q9" s="8">
        <f>IFERROR(P9/'01_PARAMETRES'!$B$15,0)</f>
        <v>1</v>
      </c>
      <c r="R9" s="8">
        <f>IFERROR(COUNTIFS('04_MATRICE_SKILLS'!B:B,A9,'04_MATRICE_SKILLS'!L:L,"Conforme")/MAX(M9,1),0)</f>
        <v>0.7142857142857143</v>
      </c>
    </row>
    <row r="10" spans="1:18" x14ac:dyDescent="0.25">
      <c r="A10" s="2" t="s">
        <v>279</v>
      </c>
      <c r="B10" s="2" t="s">
        <v>280</v>
      </c>
      <c r="C10" s="2" t="s">
        <v>281</v>
      </c>
      <c r="D10" s="2" t="s">
        <v>35</v>
      </c>
      <c r="E10" s="2" t="s">
        <v>46</v>
      </c>
      <c r="F10" s="2" t="s">
        <v>282</v>
      </c>
      <c r="G10" s="2" t="s">
        <v>258</v>
      </c>
      <c r="H10" s="12">
        <v>43483</v>
      </c>
      <c r="I10" s="2" t="s">
        <v>279</v>
      </c>
      <c r="J10" s="2" t="s">
        <v>259</v>
      </c>
      <c r="K10" s="2" t="s">
        <v>260</v>
      </c>
      <c r="L10" s="2">
        <f t="shared" ca="1" si="0"/>
        <v>7</v>
      </c>
      <c r="M10" s="2">
        <f>COUNTIF('04_MATRICE_SKILLS'!B:B,A10)</f>
        <v>7</v>
      </c>
      <c r="N10" s="9">
        <f>IFERROR(AVERAGEIF('04_MATRICE_SKILLS'!B:B,A10,'04_MATRICE_SKILLS'!I:I),0)</f>
        <v>2.2857142857142856</v>
      </c>
      <c r="O10" s="2" t="str">
        <f t="shared" si="1"/>
        <v>Polyvalence faible</v>
      </c>
      <c r="P10" s="2">
        <f>COUNTIFS('04_MATRICE_SKILLS'!B:B,A10,'04_MATRICE_SKILLS'!I:I,"&gt;="&amp;3)</f>
        <v>2</v>
      </c>
      <c r="Q10" s="8">
        <f>IFERROR(P10/'01_PARAMETRES'!$B$15,0)</f>
        <v>0.4</v>
      </c>
      <c r="R10" s="10">
        <f>IFERROR(COUNTIFS('04_MATRICE_SKILLS'!B:B,A10,'04_MATRICE_SKILLS'!L:L,"Conforme")/MAX(M10,1),0)</f>
        <v>0.2857142857142857</v>
      </c>
    </row>
    <row r="11" spans="1:18" ht="25.5" x14ac:dyDescent="0.25">
      <c r="A11" s="3" t="s">
        <v>283</v>
      </c>
      <c r="B11" s="3" t="s">
        <v>284</v>
      </c>
      <c r="C11" s="3" t="s">
        <v>285</v>
      </c>
      <c r="D11" s="3" t="s">
        <v>37</v>
      </c>
      <c r="E11" s="3" t="s">
        <v>46</v>
      </c>
      <c r="F11" s="3" t="s">
        <v>286</v>
      </c>
      <c r="G11" s="3" t="s">
        <v>269</v>
      </c>
      <c r="H11" s="11">
        <v>44523</v>
      </c>
      <c r="I11" s="3" t="s">
        <v>279</v>
      </c>
      <c r="J11" s="3" t="s">
        <v>278</v>
      </c>
      <c r="K11" s="3" t="s">
        <v>260</v>
      </c>
      <c r="L11" s="3">
        <f t="shared" ca="1" si="0"/>
        <v>4</v>
      </c>
      <c r="M11" s="3">
        <f>COUNTIF('04_MATRICE_SKILLS'!B:B,A11)</f>
        <v>9</v>
      </c>
      <c r="N11" s="7">
        <f>IFERROR(AVERAGEIF('04_MATRICE_SKILLS'!B:B,A11,'04_MATRICE_SKILLS'!I:I),0)</f>
        <v>2</v>
      </c>
      <c r="O11" s="3" t="str">
        <f t="shared" si="1"/>
        <v>OK</v>
      </c>
      <c r="P11" s="3">
        <f>COUNTIFS('04_MATRICE_SKILLS'!B:B,A11,'04_MATRICE_SKILLS'!I:I,"&gt;="&amp;3)</f>
        <v>3</v>
      </c>
      <c r="Q11" s="8">
        <f>IFERROR(P11/'01_PARAMETRES'!$B$15,0)</f>
        <v>0.6</v>
      </c>
      <c r="R11" s="8">
        <f>IFERROR(COUNTIFS('04_MATRICE_SKILLS'!B:B,A11,'04_MATRICE_SKILLS'!L:L,"Conforme")/MAX(M11,1),0)</f>
        <v>0.44444444444444442</v>
      </c>
    </row>
    <row r="12" spans="1:18" x14ac:dyDescent="0.25">
      <c r="A12" s="2" t="s">
        <v>287</v>
      </c>
      <c r="B12" s="2" t="s">
        <v>288</v>
      </c>
      <c r="C12" s="2" t="s">
        <v>289</v>
      </c>
      <c r="D12" s="2" t="s">
        <v>39</v>
      </c>
      <c r="E12" s="2" t="s">
        <v>46</v>
      </c>
      <c r="F12" s="2" t="s">
        <v>290</v>
      </c>
      <c r="G12" s="2" t="s">
        <v>269</v>
      </c>
      <c r="H12" s="12">
        <v>42475</v>
      </c>
      <c r="I12" s="2" t="s">
        <v>279</v>
      </c>
      <c r="J12" s="2" t="s">
        <v>291</v>
      </c>
      <c r="K12" s="2" t="s">
        <v>260</v>
      </c>
      <c r="L12" s="2">
        <f t="shared" ca="1" si="0"/>
        <v>9</v>
      </c>
      <c r="M12" s="2">
        <f>COUNTIF('04_MATRICE_SKILLS'!B:B,A12)</f>
        <v>6</v>
      </c>
      <c r="N12" s="9">
        <f>IFERROR(AVERAGEIF('04_MATRICE_SKILLS'!B:B,A12,'04_MATRICE_SKILLS'!I:I),0)</f>
        <v>2.6666666666666665</v>
      </c>
      <c r="O12" s="2" t="str">
        <f t="shared" si="1"/>
        <v>OK</v>
      </c>
      <c r="P12" s="2">
        <f>COUNTIFS('04_MATRICE_SKILLS'!B:B,A12,'04_MATRICE_SKILLS'!I:I,"&gt;="&amp;3)</f>
        <v>3</v>
      </c>
      <c r="Q12" s="8">
        <f>IFERROR(P12/'01_PARAMETRES'!$B$15,0)</f>
        <v>0.6</v>
      </c>
      <c r="R12" s="10">
        <f>IFERROR(COUNTIFS('04_MATRICE_SKILLS'!B:B,A12,'04_MATRICE_SKILLS'!L:L,"Conforme")/MAX(M12,1),0)</f>
        <v>0.5</v>
      </c>
    </row>
    <row r="13" spans="1:18" x14ac:dyDescent="0.25">
      <c r="A13" s="3" t="s">
        <v>292</v>
      </c>
      <c r="B13" s="3" t="s">
        <v>293</v>
      </c>
      <c r="C13" s="3" t="s">
        <v>294</v>
      </c>
      <c r="D13" s="3" t="s">
        <v>41</v>
      </c>
      <c r="E13" s="3" t="s">
        <v>50</v>
      </c>
      <c r="F13" s="3" t="s">
        <v>295</v>
      </c>
      <c r="G13" s="3" t="s">
        <v>296</v>
      </c>
      <c r="H13" s="11">
        <v>41664</v>
      </c>
      <c r="I13" s="3" t="s">
        <v>279</v>
      </c>
      <c r="J13" s="3" t="s">
        <v>259</v>
      </c>
      <c r="K13" s="3" t="s">
        <v>260</v>
      </c>
      <c r="L13" s="3">
        <f t="shared" ca="1" si="0"/>
        <v>12</v>
      </c>
      <c r="M13" s="3">
        <f>COUNTIF('04_MATRICE_SKILLS'!B:B,A13)</f>
        <v>8</v>
      </c>
      <c r="N13" s="7">
        <f>IFERROR(AVERAGEIF('04_MATRICE_SKILLS'!B:B,A13,'04_MATRICE_SKILLS'!I:I),0)</f>
        <v>3.125</v>
      </c>
      <c r="O13" s="3" t="str">
        <f t="shared" si="1"/>
        <v>OK</v>
      </c>
      <c r="P13" s="3">
        <f>COUNTIFS('04_MATRICE_SKILLS'!B:B,A13,'04_MATRICE_SKILLS'!I:I,"&gt;="&amp;3)</f>
        <v>5</v>
      </c>
      <c r="Q13" s="8">
        <f>IFERROR(P13/'01_PARAMETRES'!$B$15,0)</f>
        <v>1</v>
      </c>
      <c r="R13" s="8">
        <f>IFERROR(COUNTIFS('04_MATRICE_SKILLS'!B:B,A13,'04_MATRICE_SKILLS'!L:L,"Conforme")/MAX(M13,1),0)</f>
        <v>0.625</v>
      </c>
    </row>
    <row r="14" spans="1:18" x14ac:dyDescent="0.25">
      <c r="A14" s="2" t="s">
        <v>297</v>
      </c>
      <c r="B14" s="2" t="s">
        <v>298</v>
      </c>
      <c r="C14" s="2" t="s">
        <v>299</v>
      </c>
      <c r="D14" s="2" t="s">
        <v>43</v>
      </c>
      <c r="E14" s="2" t="s">
        <v>50</v>
      </c>
      <c r="F14" s="2" t="s">
        <v>300</v>
      </c>
      <c r="G14" s="2" t="s">
        <v>296</v>
      </c>
      <c r="H14" s="12">
        <v>44388</v>
      </c>
      <c r="I14" s="2" t="s">
        <v>279</v>
      </c>
      <c r="J14" s="2" t="s">
        <v>259</v>
      </c>
      <c r="K14" s="2" t="s">
        <v>260</v>
      </c>
      <c r="L14" s="2">
        <f t="shared" ca="1" si="0"/>
        <v>4</v>
      </c>
      <c r="M14" s="2">
        <f>COUNTIF('04_MATRICE_SKILLS'!B:B,A14)</f>
        <v>5</v>
      </c>
      <c r="N14" s="9">
        <f>IFERROR(AVERAGEIF('04_MATRICE_SKILLS'!B:B,A14,'04_MATRICE_SKILLS'!I:I),0)</f>
        <v>4.4000000000000004</v>
      </c>
      <c r="O14" s="2" t="str">
        <f t="shared" si="1"/>
        <v>OK</v>
      </c>
      <c r="P14" s="2">
        <f>COUNTIFS('04_MATRICE_SKILLS'!B:B,A14,'04_MATRICE_SKILLS'!I:I,"&gt;="&amp;3)</f>
        <v>5</v>
      </c>
      <c r="Q14" s="8">
        <f>IFERROR(P14/'01_PARAMETRES'!$B$15,0)</f>
        <v>1</v>
      </c>
      <c r="R14" s="10">
        <f>IFERROR(COUNTIFS('04_MATRICE_SKILLS'!B:B,A14,'04_MATRICE_SKILLS'!L:L,"Conforme")/MAX(M14,1),0)</f>
        <v>1</v>
      </c>
    </row>
    <row r="15" spans="1:18" x14ac:dyDescent="0.25">
      <c r="A15" s="3" t="s">
        <v>301</v>
      </c>
      <c r="B15" s="3" t="s">
        <v>302</v>
      </c>
      <c r="C15" s="3" t="s">
        <v>303</v>
      </c>
      <c r="D15" s="3" t="s">
        <v>35</v>
      </c>
      <c r="E15" s="3" t="s">
        <v>52</v>
      </c>
      <c r="F15" s="3" t="s">
        <v>304</v>
      </c>
      <c r="G15" s="3" t="s">
        <v>305</v>
      </c>
      <c r="H15" s="11">
        <v>41024</v>
      </c>
      <c r="I15" s="3" t="s">
        <v>301</v>
      </c>
      <c r="J15" s="3" t="s">
        <v>259</v>
      </c>
      <c r="K15" s="3" t="s">
        <v>260</v>
      </c>
      <c r="L15" s="3">
        <f t="shared" ca="1" si="0"/>
        <v>13</v>
      </c>
      <c r="M15" s="3">
        <f>COUNTIF('04_MATRICE_SKILLS'!B:B,A15)</f>
        <v>10</v>
      </c>
      <c r="N15" s="7">
        <f>IFERROR(AVERAGEIF('04_MATRICE_SKILLS'!B:B,A15,'04_MATRICE_SKILLS'!I:I),0)</f>
        <v>3.3</v>
      </c>
      <c r="O15" s="3" t="str">
        <f t="shared" si="1"/>
        <v>OK</v>
      </c>
      <c r="P15" s="3">
        <f>COUNTIFS('04_MATRICE_SKILLS'!B:B,A15,'04_MATRICE_SKILLS'!I:I,"&gt;="&amp;3)</f>
        <v>6</v>
      </c>
      <c r="Q15" s="8">
        <f>IFERROR(P15/'01_PARAMETRES'!$B$15,0)</f>
        <v>1.2</v>
      </c>
      <c r="R15" s="8">
        <f>IFERROR(COUNTIFS('04_MATRICE_SKILLS'!B:B,A15,'04_MATRICE_SKILLS'!L:L,"Conforme")/MAX(M15,1),0)</f>
        <v>0.6</v>
      </c>
    </row>
    <row r="16" spans="1:18" x14ac:dyDescent="0.25">
      <c r="A16" s="2" t="s">
        <v>306</v>
      </c>
      <c r="B16" s="2" t="s">
        <v>307</v>
      </c>
      <c r="C16" s="2" t="s">
        <v>308</v>
      </c>
      <c r="D16" s="2" t="s">
        <v>37</v>
      </c>
      <c r="E16" s="2" t="s">
        <v>52</v>
      </c>
      <c r="F16" s="2" t="s">
        <v>309</v>
      </c>
      <c r="G16" s="2" t="s">
        <v>305</v>
      </c>
      <c r="H16" s="12">
        <v>40587</v>
      </c>
      <c r="I16" s="2" t="s">
        <v>301</v>
      </c>
      <c r="J16" s="2" t="s">
        <v>259</v>
      </c>
      <c r="K16" s="2" t="s">
        <v>260</v>
      </c>
      <c r="L16" s="2">
        <f t="shared" ca="1" si="0"/>
        <v>15</v>
      </c>
      <c r="M16" s="2">
        <f>COUNTIF('04_MATRICE_SKILLS'!B:B,A16)</f>
        <v>9</v>
      </c>
      <c r="N16" s="9">
        <f>IFERROR(AVERAGEIF('04_MATRICE_SKILLS'!B:B,A16,'04_MATRICE_SKILLS'!I:I),0)</f>
        <v>3.1111111111111112</v>
      </c>
      <c r="O16" s="2" t="str">
        <f t="shared" si="1"/>
        <v>OK</v>
      </c>
      <c r="P16" s="2">
        <f>COUNTIFS('04_MATRICE_SKILLS'!B:B,A16,'04_MATRICE_SKILLS'!I:I,"&gt;="&amp;3)</f>
        <v>6</v>
      </c>
      <c r="Q16" s="8">
        <f>IFERROR(P16/'01_PARAMETRES'!$B$15,0)</f>
        <v>1.2</v>
      </c>
      <c r="R16" s="10">
        <f>IFERROR(COUNTIFS('04_MATRICE_SKILLS'!B:B,A16,'04_MATRICE_SKILLS'!L:L,"Conforme")/MAX(M16,1),0)</f>
        <v>0.55555555555555558</v>
      </c>
    </row>
    <row r="17" spans="1:18" x14ac:dyDescent="0.25">
      <c r="A17" s="3" t="s">
        <v>310</v>
      </c>
      <c r="B17" s="3" t="s">
        <v>311</v>
      </c>
      <c r="C17" s="3" t="s">
        <v>312</v>
      </c>
      <c r="D17" s="3" t="s">
        <v>39</v>
      </c>
      <c r="E17" s="3" t="s">
        <v>46</v>
      </c>
      <c r="F17" s="3" t="s">
        <v>313</v>
      </c>
      <c r="G17" s="3" t="s">
        <v>314</v>
      </c>
      <c r="H17" s="11">
        <v>42175</v>
      </c>
      <c r="I17" s="3" t="s">
        <v>301</v>
      </c>
      <c r="J17" s="3" t="s">
        <v>259</v>
      </c>
      <c r="K17" s="3" t="s">
        <v>260</v>
      </c>
      <c r="L17" s="3">
        <f t="shared" ca="1" si="0"/>
        <v>10</v>
      </c>
      <c r="M17" s="3">
        <f>COUNTIF('04_MATRICE_SKILLS'!B:B,A17)</f>
        <v>9</v>
      </c>
      <c r="N17" s="7">
        <f>IFERROR(AVERAGEIF('04_MATRICE_SKILLS'!B:B,A17,'04_MATRICE_SKILLS'!I:I),0)</f>
        <v>3.2222222222222223</v>
      </c>
      <c r="O17" s="3" t="str">
        <f t="shared" si="1"/>
        <v>OK</v>
      </c>
      <c r="P17" s="3">
        <f>COUNTIFS('04_MATRICE_SKILLS'!B:B,A17,'04_MATRICE_SKILLS'!I:I,"&gt;="&amp;3)</f>
        <v>7</v>
      </c>
      <c r="Q17" s="8">
        <f>IFERROR(P17/'01_PARAMETRES'!$B$15,0)</f>
        <v>1.4</v>
      </c>
      <c r="R17" s="8">
        <f>IFERROR(COUNTIFS('04_MATRICE_SKILLS'!B:B,A17,'04_MATRICE_SKILLS'!L:L,"Conforme")/MAX(M17,1),0)</f>
        <v>0.66666666666666663</v>
      </c>
    </row>
    <row r="18" spans="1:18" x14ac:dyDescent="0.25">
      <c r="A18" s="2" t="s">
        <v>315</v>
      </c>
      <c r="B18" s="2" t="s">
        <v>316</v>
      </c>
      <c r="C18" s="2" t="s">
        <v>317</v>
      </c>
      <c r="D18" s="2" t="s">
        <v>41</v>
      </c>
      <c r="E18" s="2" t="s">
        <v>52</v>
      </c>
      <c r="F18" s="2" t="s">
        <v>318</v>
      </c>
      <c r="G18" s="2" t="s">
        <v>269</v>
      </c>
      <c r="H18" s="12">
        <v>44585</v>
      </c>
      <c r="I18" s="2" t="s">
        <v>301</v>
      </c>
      <c r="J18" s="2" t="s">
        <v>259</v>
      </c>
      <c r="K18" s="2" t="s">
        <v>260</v>
      </c>
      <c r="L18" s="2">
        <f t="shared" ca="1" si="0"/>
        <v>4</v>
      </c>
      <c r="M18" s="2">
        <f>COUNTIF('04_MATRICE_SKILLS'!B:B,A18)</f>
        <v>4</v>
      </c>
      <c r="N18" s="9">
        <f>IFERROR(AVERAGEIF('04_MATRICE_SKILLS'!B:B,A18,'04_MATRICE_SKILLS'!I:I),0)</f>
        <v>4</v>
      </c>
      <c r="O18" s="2" t="str">
        <f t="shared" si="1"/>
        <v>OK</v>
      </c>
      <c r="P18" s="2">
        <f>COUNTIFS('04_MATRICE_SKILLS'!B:B,A18,'04_MATRICE_SKILLS'!I:I,"&gt;="&amp;3)</f>
        <v>3</v>
      </c>
      <c r="Q18" s="8">
        <f>IFERROR(P18/'01_PARAMETRES'!$B$15,0)</f>
        <v>0.6</v>
      </c>
      <c r="R18" s="10">
        <f>IFERROR(COUNTIFS('04_MATRICE_SKILLS'!B:B,A18,'04_MATRICE_SKILLS'!L:L,"Conforme")/MAX(M18,1),0)</f>
        <v>1</v>
      </c>
    </row>
    <row r="19" spans="1:18" x14ac:dyDescent="0.25">
      <c r="A19" s="3" t="s">
        <v>319</v>
      </c>
      <c r="B19" s="3" t="s">
        <v>320</v>
      </c>
      <c r="C19" s="3" t="s">
        <v>321</v>
      </c>
      <c r="D19" s="3" t="s">
        <v>43</v>
      </c>
      <c r="E19" s="3" t="s">
        <v>46</v>
      </c>
      <c r="F19" s="3" t="s">
        <v>322</v>
      </c>
      <c r="G19" s="3" t="s">
        <v>296</v>
      </c>
      <c r="H19" s="11">
        <v>43144</v>
      </c>
      <c r="I19" s="3" t="s">
        <v>301</v>
      </c>
      <c r="J19" s="3" t="s">
        <v>259</v>
      </c>
      <c r="K19" s="3" t="s">
        <v>260</v>
      </c>
      <c r="L19" s="3">
        <f t="shared" ca="1" si="0"/>
        <v>8</v>
      </c>
      <c r="M19" s="3">
        <f>COUNTIF('04_MATRICE_SKILLS'!B:B,A19)</f>
        <v>6</v>
      </c>
      <c r="N19" s="7">
        <f>IFERROR(AVERAGEIF('04_MATRICE_SKILLS'!B:B,A19,'04_MATRICE_SKILLS'!I:I),0)</f>
        <v>3.1666666666666665</v>
      </c>
      <c r="O19" s="3" t="str">
        <f t="shared" si="1"/>
        <v>OK</v>
      </c>
      <c r="P19" s="3">
        <f>COUNTIFS('04_MATRICE_SKILLS'!B:B,A19,'04_MATRICE_SKILLS'!I:I,"&gt;="&amp;3)</f>
        <v>4</v>
      </c>
      <c r="Q19" s="8">
        <f>IFERROR(P19/'01_PARAMETRES'!$B$15,0)</f>
        <v>0.8</v>
      </c>
      <c r="R19" s="8">
        <f>IFERROR(COUNTIFS('04_MATRICE_SKILLS'!B:B,A19,'04_MATRICE_SKILLS'!L:L,"Conforme")/MAX(M19,1),0)</f>
        <v>0.83333333333333337</v>
      </c>
    </row>
    <row r="20" spans="1:18" x14ac:dyDescent="0.25">
      <c r="A20" s="2" t="s">
        <v>323</v>
      </c>
      <c r="B20" s="2" t="s">
        <v>324</v>
      </c>
      <c r="C20" s="2" t="s">
        <v>325</v>
      </c>
      <c r="D20" s="2" t="s">
        <v>35</v>
      </c>
      <c r="E20" s="2" t="s">
        <v>48</v>
      </c>
      <c r="F20" s="2" t="s">
        <v>326</v>
      </c>
      <c r="G20" s="2" t="s">
        <v>269</v>
      </c>
      <c r="H20" s="12">
        <v>43247</v>
      </c>
      <c r="I20" s="2" t="s">
        <v>323</v>
      </c>
      <c r="J20" s="2" t="s">
        <v>291</v>
      </c>
      <c r="K20" s="2" t="s">
        <v>260</v>
      </c>
      <c r="L20" s="2">
        <f t="shared" ca="1" si="0"/>
        <v>7</v>
      </c>
      <c r="M20" s="2">
        <f>COUNTIF('04_MATRICE_SKILLS'!B:B,A20)</f>
        <v>9</v>
      </c>
      <c r="N20" s="9">
        <f>IFERROR(AVERAGEIF('04_MATRICE_SKILLS'!B:B,A20,'04_MATRICE_SKILLS'!I:I),0)</f>
        <v>2.3333333333333335</v>
      </c>
      <c r="O20" s="2" t="str">
        <f t="shared" si="1"/>
        <v>OK</v>
      </c>
      <c r="P20" s="2">
        <f>COUNTIFS('04_MATRICE_SKILLS'!B:B,A20,'04_MATRICE_SKILLS'!I:I,"&gt;="&amp;3)</f>
        <v>4</v>
      </c>
      <c r="Q20" s="8">
        <f>IFERROR(P20/'01_PARAMETRES'!$B$15,0)</f>
        <v>0.8</v>
      </c>
      <c r="R20" s="10">
        <f>IFERROR(COUNTIFS('04_MATRICE_SKILLS'!B:B,A20,'04_MATRICE_SKILLS'!L:L,"Conforme")/MAX(M20,1),0)</f>
        <v>0.44444444444444442</v>
      </c>
    </row>
    <row r="21" spans="1:18" x14ac:dyDescent="0.25">
      <c r="A21" s="3" t="s">
        <v>327</v>
      </c>
      <c r="B21" s="3" t="s">
        <v>328</v>
      </c>
      <c r="C21" s="3" t="s">
        <v>329</v>
      </c>
      <c r="D21" s="3" t="s">
        <v>37</v>
      </c>
      <c r="E21" s="3" t="s">
        <v>50</v>
      </c>
      <c r="F21" s="3" t="s">
        <v>330</v>
      </c>
      <c r="G21" s="3" t="s">
        <v>296</v>
      </c>
      <c r="H21" s="11">
        <v>45462</v>
      </c>
      <c r="I21" s="3" t="s">
        <v>323</v>
      </c>
      <c r="J21" s="3" t="s">
        <v>259</v>
      </c>
      <c r="K21" s="3" t="s">
        <v>260</v>
      </c>
      <c r="L21" s="3">
        <f t="shared" ca="1" si="0"/>
        <v>1</v>
      </c>
      <c r="M21" s="3">
        <f>COUNTIF('04_MATRICE_SKILLS'!B:B,A21)</f>
        <v>10</v>
      </c>
      <c r="N21" s="7">
        <f>IFERROR(AVERAGEIF('04_MATRICE_SKILLS'!B:B,A21,'04_MATRICE_SKILLS'!I:I),0)</f>
        <v>2.6</v>
      </c>
      <c r="O21" s="3" t="str">
        <f t="shared" si="1"/>
        <v>OK</v>
      </c>
      <c r="P21" s="3">
        <f>COUNTIFS('04_MATRICE_SKILLS'!B:B,A21,'04_MATRICE_SKILLS'!I:I,"&gt;="&amp;3)</f>
        <v>5</v>
      </c>
      <c r="Q21" s="8">
        <f>IFERROR(P21/'01_PARAMETRES'!$B$15,0)</f>
        <v>1</v>
      </c>
      <c r="R21" s="8">
        <f>IFERROR(COUNTIFS('04_MATRICE_SKILLS'!B:B,A21,'04_MATRICE_SKILLS'!L:L,"Conforme")/MAX(M21,1),0)</f>
        <v>0.2</v>
      </c>
    </row>
    <row r="22" spans="1:18" x14ac:dyDescent="0.25">
      <c r="A22" s="2" t="s">
        <v>331</v>
      </c>
      <c r="B22" s="2" t="s">
        <v>332</v>
      </c>
      <c r="C22" s="2" t="s">
        <v>333</v>
      </c>
      <c r="D22" s="2" t="s">
        <v>39</v>
      </c>
      <c r="E22" s="2" t="s">
        <v>46</v>
      </c>
      <c r="F22" s="2" t="s">
        <v>334</v>
      </c>
      <c r="G22" s="2" t="s">
        <v>269</v>
      </c>
      <c r="H22" s="12">
        <v>44229</v>
      </c>
      <c r="I22" s="2" t="s">
        <v>323</v>
      </c>
      <c r="J22" s="2" t="s">
        <v>259</v>
      </c>
      <c r="K22" s="2" t="s">
        <v>260</v>
      </c>
      <c r="L22" s="2">
        <f t="shared" ca="1" si="0"/>
        <v>5</v>
      </c>
      <c r="M22" s="2">
        <f>COUNTIF('04_MATRICE_SKILLS'!B:B,A22)</f>
        <v>6</v>
      </c>
      <c r="N22" s="9">
        <f>IFERROR(AVERAGEIF('04_MATRICE_SKILLS'!B:B,A22,'04_MATRICE_SKILLS'!I:I),0)</f>
        <v>2.8333333333333335</v>
      </c>
      <c r="O22" s="2" t="str">
        <f t="shared" si="1"/>
        <v>OK</v>
      </c>
      <c r="P22" s="2">
        <f>COUNTIFS('04_MATRICE_SKILLS'!B:B,A22,'04_MATRICE_SKILLS'!I:I,"&gt;="&amp;3)</f>
        <v>4</v>
      </c>
      <c r="Q22" s="8">
        <f>IFERROR(P22/'01_PARAMETRES'!$B$15,0)</f>
        <v>0.8</v>
      </c>
      <c r="R22" s="10">
        <f>IFERROR(COUNTIFS('04_MATRICE_SKILLS'!B:B,A22,'04_MATRICE_SKILLS'!L:L,"Conforme")/MAX(M22,1),0)</f>
        <v>0.66666666666666663</v>
      </c>
    </row>
    <row r="23" spans="1:18" x14ac:dyDescent="0.25">
      <c r="A23" s="3" t="s">
        <v>335</v>
      </c>
      <c r="B23" s="3" t="s">
        <v>336</v>
      </c>
      <c r="C23" s="3" t="s">
        <v>337</v>
      </c>
      <c r="D23" s="3" t="s">
        <v>41</v>
      </c>
      <c r="E23" s="3" t="s">
        <v>56</v>
      </c>
      <c r="F23" s="3" t="s">
        <v>338</v>
      </c>
      <c r="G23" s="3" t="s">
        <v>305</v>
      </c>
      <c r="H23" s="11">
        <v>44684</v>
      </c>
      <c r="I23" s="3" t="s">
        <v>323</v>
      </c>
      <c r="J23" s="3" t="s">
        <v>259</v>
      </c>
      <c r="K23" s="3" t="s">
        <v>260</v>
      </c>
      <c r="L23" s="3">
        <f t="shared" ca="1" si="0"/>
        <v>3</v>
      </c>
      <c r="M23" s="3">
        <f>COUNTIF('04_MATRICE_SKILLS'!B:B,A23)</f>
        <v>4</v>
      </c>
      <c r="N23" s="7">
        <f>IFERROR(AVERAGEIF('04_MATRICE_SKILLS'!B:B,A23,'04_MATRICE_SKILLS'!I:I),0)</f>
        <v>4.25</v>
      </c>
      <c r="O23" s="3" t="str">
        <f t="shared" si="1"/>
        <v>OK</v>
      </c>
      <c r="P23" s="3">
        <f>COUNTIFS('04_MATRICE_SKILLS'!B:B,A23,'04_MATRICE_SKILLS'!I:I,"&gt;="&amp;3)</f>
        <v>4</v>
      </c>
      <c r="Q23" s="8">
        <f>IFERROR(P23/'01_PARAMETRES'!$B$15,0)</f>
        <v>0.8</v>
      </c>
      <c r="R23" s="8">
        <f>IFERROR(COUNTIFS('04_MATRICE_SKILLS'!B:B,A23,'04_MATRICE_SKILLS'!L:L,"Conforme")/MAX(M23,1),0)</f>
        <v>1</v>
      </c>
    </row>
    <row r="24" spans="1:18" x14ac:dyDescent="0.25">
      <c r="A24" s="2" t="s">
        <v>339</v>
      </c>
      <c r="B24" s="2" t="s">
        <v>340</v>
      </c>
      <c r="C24" s="2" t="s">
        <v>341</v>
      </c>
      <c r="D24" s="2" t="s">
        <v>43</v>
      </c>
      <c r="E24" s="2" t="s">
        <v>54</v>
      </c>
      <c r="F24" s="2" t="s">
        <v>342</v>
      </c>
      <c r="G24" s="2" t="s">
        <v>305</v>
      </c>
      <c r="H24" s="12">
        <v>44970</v>
      </c>
      <c r="I24" s="2" t="s">
        <v>323</v>
      </c>
      <c r="J24" s="2" t="s">
        <v>259</v>
      </c>
      <c r="K24" s="2" t="s">
        <v>260</v>
      </c>
      <c r="L24" s="2">
        <f t="shared" ca="1" si="0"/>
        <v>3</v>
      </c>
      <c r="M24" s="2">
        <f>COUNTIF('04_MATRICE_SKILLS'!B:B,A24)</f>
        <v>6</v>
      </c>
      <c r="N24" s="9">
        <f>IFERROR(AVERAGEIF('04_MATRICE_SKILLS'!B:B,A24,'04_MATRICE_SKILLS'!I:I),0)</f>
        <v>2.6666666666666665</v>
      </c>
      <c r="O24" s="2" t="str">
        <f t="shared" si="1"/>
        <v>OK</v>
      </c>
      <c r="P24" s="2">
        <f>COUNTIFS('04_MATRICE_SKILLS'!B:B,A24,'04_MATRICE_SKILLS'!I:I,"&gt;="&amp;3)</f>
        <v>4</v>
      </c>
      <c r="Q24" s="8">
        <f>IFERROR(P24/'01_PARAMETRES'!$B$15,0)</f>
        <v>0.8</v>
      </c>
      <c r="R24" s="10">
        <f>IFERROR(COUNTIFS('04_MATRICE_SKILLS'!B:B,A24,'04_MATRICE_SKILLS'!L:L,"Conforme")/MAX(M24,1),0)</f>
        <v>0.5</v>
      </c>
    </row>
    <row r="25" spans="1:18" x14ac:dyDescent="0.25">
      <c r="A25" s="3" t="s">
        <v>343</v>
      </c>
      <c r="B25" s="3" t="s">
        <v>344</v>
      </c>
      <c r="C25" s="3" t="s">
        <v>345</v>
      </c>
      <c r="D25" s="3" t="s">
        <v>35</v>
      </c>
      <c r="E25" s="3" t="s">
        <v>46</v>
      </c>
      <c r="F25" s="3" t="s">
        <v>257</v>
      </c>
      <c r="G25" s="3" t="s">
        <v>258</v>
      </c>
      <c r="H25" s="11">
        <v>43066</v>
      </c>
      <c r="I25" s="3" t="s">
        <v>343</v>
      </c>
      <c r="J25" s="3" t="s">
        <v>259</v>
      </c>
      <c r="K25" s="3" t="s">
        <v>260</v>
      </c>
      <c r="L25" s="3">
        <f t="shared" ca="1" si="0"/>
        <v>8</v>
      </c>
      <c r="M25" s="3">
        <f>COUNTIF('04_MATRICE_SKILLS'!B:B,A25)</f>
        <v>8</v>
      </c>
      <c r="N25" s="7">
        <f>IFERROR(AVERAGEIF('04_MATRICE_SKILLS'!B:B,A25,'04_MATRICE_SKILLS'!I:I),0)</f>
        <v>2.375</v>
      </c>
      <c r="O25" s="3" t="str">
        <f t="shared" si="1"/>
        <v>OK</v>
      </c>
      <c r="P25" s="3">
        <f>COUNTIFS('04_MATRICE_SKILLS'!B:B,A25,'04_MATRICE_SKILLS'!I:I,"&gt;="&amp;3)</f>
        <v>4</v>
      </c>
      <c r="Q25" s="8">
        <f>IFERROR(P25/'01_PARAMETRES'!$B$15,0)</f>
        <v>0.8</v>
      </c>
      <c r="R25" s="8">
        <f>IFERROR(COUNTIFS('04_MATRICE_SKILLS'!B:B,A25,'04_MATRICE_SKILLS'!L:L,"Conforme")/MAX(M25,1),0)</f>
        <v>0.625</v>
      </c>
    </row>
    <row r="26" spans="1:18" x14ac:dyDescent="0.25">
      <c r="A26" s="2" t="s">
        <v>346</v>
      </c>
      <c r="B26" s="2" t="s">
        <v>347</v>
      </c>
      <c r="C26" s="2" t="s">
        <v>348</v>
      </c>
      <c r="D26" s="2" t="s">
        <v>37</v>
      </c>
      <c r="E26" s="2" t="s">
        <v>46</v>
      </c>
      <c r="F26" s="2" t="s">
        <v>264</v>
      </c>
      <c r="G26" s="2" t="s">
        <v>258</v>
      </c>
      <c r="H26" s="12">
        <v>41072</v>
      </c>
      <c r="I26" s="2" t="s">
        <v>343</v>
      </c>
      <c r="J26" s="2" t="s">
        <v>259</v>
      </c>
      <c r="K26" s="2" t="s">
        <v>260</v>
      </c>
      <c r="L26" s="2">
        <f t="shared" ca="1" si="0"/>
        <v>13</v>
      </c>
      <c r="M26" s="2">
        <f>COUNTIF('04_MATRICE_SKILLS'!B:B,A26)</f>
        <v>6</v>
      </c>
      <c r="N26" s="9">
        <f>IFERROR(AVERAGEIF('04_MATRICE_SKILLS'!B:B,A26,'04_MATRICE_SKILLS'!I:I),0)</f>
        <v>3.5</v>
      </c>
      <c r="O26" s="2" t="str">
        <f t="shared" si="1"/>
        <v>OK</v>
      </c>
      <c r="P26" s="2">
        <f>COUNTIFS('04_MATRICE_SKILLS'!B:B,A26,'04_MATRICE_SKILLS'!I:I,"&gt;="&amp;3)</f>
        <v>5</v>
      </c>
      <c r="Q26" s="8">
        <f>IFERROR(P26/'01_PARAMETRES'!$B$15,0)</f>
        <v>1</v>
      </c>
      <c r="R26" s="10">
        <f>IFERROR(COUNTIFS('04_MATRICE_SKILLS'!B:B,A26,'04_MATRICE_SKILLS'!L:L,"Conforme")/MAX(M26,1),0)</f>
        <v>0.83333333333333337</v>
      </c>
    </row>
    <row r="27" spans="1:18" x14ac:dyDescent="0.25">
      <c r="A27" s="3" t="s">
        <v>349</v>
      </c>
      <c r="B27" s="3" t="s">
        <v>350</v>
      </c>
      <c r="C27" s="3" t="s">
        <v>351</v>
      </c>
      <c r="D27" s="3" t="s">
        <v>39</v>
      </c>
      <c r="E27" s="3" t="s">
        <v>52</v>
      </c>
      <c r="F27" s="3" t="s">
        <v>268</v>
      </c>
      <c r="G27" s="3" t="s">
        <v>269</v>
      </c>
      <c r="H27" s="11">
        <v>43974</v>
      </c>
      <c r="I27" s="3" t="s">
        <v>343</v>
      </c>
      <c r="J27" s="3" t="s">
        <v>259</v>
      </c>
      <c r="K27" s="3" t="s">
        <v>260</v>
      </c>
      <c r="L27" s="3">
        <f t="shared" ca="1" si="0"/>
        <v>5</v>
      </c>
      <c r="M27" s="3">
        <f>COUNTIF('04_MATRICE_SKILLS'!B:B,A27)</f>
        <v>8</v>
      </c>
      <c r="N27" s="7">
        <f>IFERROR(AVERAGEIF('04_MATRICE_SKILLS'!B:B,A27,'04_MATRICE_SKILLS'!I:I),0)</f>
        <v>2.875</v>
      </c>
      <c r="O27" s="3" t="str">
        <f t="shared" si="1"/>
        <v>OK</v>
      </c>
      <c r="P27" s="3">
        <f>COUNTIFS('04_MATRICE_SKILLS'!B:B,A27,'04_MATRICE_SKILLS'!I:I,"&gt;="&amp;3)</f>
        <v>7</v>
      </c>
      <c r="Q27" s="8">
        <f>IFERROR(P27/'01_PARAMETRES'!$B$15,0)</f>
        <v>1.4</v>
      </c>
      <c r="R27" s="8">
        <f>IFERROR(COUNTIFS('04_MATRICE_SKILLS'!B:B,A27,'04_MATRICE_SKILLS'!L:L,"Conforme")/MAX(M27,1),0)</f>
        <v>0.5</v>
      </c>
    </row>
    <row r="28" spans="1:18" x14ac:dyDescent="0.25">
      <c r="A28" s="2" t="s">
        <v>352</v>
      </c>
      <c r="B28" s="2" t="s">
        <v>353</v>
      </c>
      <c r="C28" s="2" t="s">
        <v>354</v>
      </c>
      <c r="D28" s="2" t="s">
        <v>41</v>
      </c>
      <c r="E28" s="2" t="s">
        <v>52</v>
      </c>
      <c r="F28" s="2" t="s">
        <v>273</v>
      </c>
      <c r="G28" s="2" t="s">
        <v>269</v>
      </c>
      <c r="H28" s="12">
        <v>43775</v>
      </c>
      <c r="I28" s="2" t="s">
        <v>343</v>
      </c>
      <c r="J28" s="2" t="s">
        <v>278</v>
      </c>
      <c r="K28" s="2" t="s">
        <v>260</v>
      </c>
      <c r="L28" s="2">
        <f t="shared" ca="1" si="0"/>
        <v>6</v>
      </c>
      <c r="M28" s="2">
        <f>COUNTIF('04_MATRICE_SKILLS'!B:B,A28)</f>
        <v>10</v>
      </c>
      <c r="N28" s="9">
        <f>IFERROR(AVERAGEIF('04_MATRICE_SKILLS'!B:B,A28,'04_MATRICE_SKILLS'!I:I),0)</f>
        <v>3.6</v>
      </c>
      <c r="O28" s="2" t="str">
        <f t="shared" si="1"/>
        <v>OK</v>
      </c>
      <c r="P28" s="2">
        <f>COUNTIFS('04_MATRICE_SKILLS'!B:B,A28,'04_MATRICE_SKILLS'!I:I,"&gt;="&amp;3)</f>
        <v>7</v>
      </c>
      <c r="Q28" s="8">
        <f>IFERROR(P28/'01_PARAMETRES'!$B$15,0)</f>
        <v>1.4</v>
      </c>
      <c r="R28" s="10">
        <f>IFERROR(COUNTIFS('04_MATRICE_SKILLS'!B:B,A28,'04_MATRICE_SKILLS'!L:L,"Conforme")/MAX(M28,1),0)</f>
        <v>0.5</v>
      </c>
    </row>
    <row r="29" spans="1:18" x14ac:dyDescent="0.25">
      <c r="A29" s="3" t="s">
        <v>355</v>
      </c>
      <c r="B29" s="3" t="s">
        <v>356</v>
      </c>
      <c r="C29" s="3" t="s">
        <v>357</v>
      </c>
      <c r="D29" s="3" t="s">
        <v>43</v>
      </c>
      <c r="E29" s="3" t="s">
        <v>46</v>
      </c>
      <c r="F29" s="3" t="s">
        <v>277</v>
      </c>
      <c r="G29" s="3" t="s">
        <v>258</v>
      </c>
      <c r="H29" s="11">
        <v>44292</v>
      </c>
      <c r="I29" s="3" t="s">
        <v>343</v>
      </c>
      <c r="J29" s="3" t="s">
        <v>259</v>
      </c>
      <c r="K29" s="3" t="s">
        <v>260</v>
      </c>
      <c r="L29" s="3">
        <f t="shared" ca="1" si="0"/>
        <v>4</v>
      </c>
      <c r="M29" s="3">
        <f>COUNTIF('04_MATRICE_SKILLS'!B:B,A29)</f>
        <v>8</v>
      </c>
      <c r="N29" s="7">
        <f>IFERROR(AVERAGEIF('04_MATRICE_SKILLS'!B:B,A29,'04_MATRICE_SKILLS'!I:I),0)</f>
        <v>2</v>
      </c>
      <c r="O29" s="3" t="str">
        <f t="shared" si="1"/>
        <v>Polyvalence faible</v>
      </c>
      <c r="P29" s="3">
        <f>COUNTIFS('04_MATRICE_SKILLS'!B:B,A29,'04_MATRICE_SKILLS'!I:I,"&gt;="&amp;3)</f>
        <v>2</v>
      </c>
      <c r="Q29" s="8">
        <f>IFERROR(P29/'01_PARAMETRES'!$B$15,0)</f>
        <v>0.4</v>
      </c>
      <c r="R29" s="8">
        <f>IFERROR(COUNTIFS('04_MATRICE_SKILLS'!B:B,A29,'04_MATRICE_SKILLS'!L:L,"Conforme")/MAX(M29,1),0)</f>
        <v>0.25</v>
      </c>
    </row>
    <row r="30" spans="1:18" x14ac:dyDescent="0.25">
      <c r="A30" s="2" t="s">
        <v>358</v>
      </c>
      <c r="B30" s="2" t="s">
        <v>359</v>
      </c>
      <c r="C30" s="2" t="s">
        <v>360</v>
      </c>
      <c r="D30" s="2" t="s">
        <v>35</v>
      </c>
      <c r="E30" s="2" t="s">
        <v>46</v>
      </c>
      <c r="F30" s="2" t="s">
        <v>282</v>
      </c>
      <c r="G30" s="2" t="s">
        <v>258</v>
      </c>
      <c r="H30" s="12">
        <v>42511</v>
      </c>
      <c r="I30" s="2" t="s">
        <v>358</v>
      </c>
      <c r="J30" s="2" t="s">
        <v>278</v>
      </c>
      <c r="K30" s="2" t="s">
        <v>260</v>
      </c>
      <c r="L30" s="2">
        <f t="shared" ca="1" si="0"/>
        <v>9</v>
      </c>
      <c r="M30" s="2">
        <f>COUNTIF('04_MATRICE_SKILLS'!B:B,A30)</f>
        <v>6</v>
      </c>
      <c r="N30" s="9">
        <f>IFERROR(AVERAGEIF('04_MATRICE_SKILLS'!B:B,A30,'04_MATRICE_SKILLS'!I:I),0)</f>
        <v>3</v>
      </c>
      <c r="O30" s="2" t="str">
        <f t="shared" si="1"/>
        <v>OK</v>
      </c>
      <c r="P30" s="2">
        <f>COUNTIFS('04_MATRICE_SKILLS'!B:B,A30,'04_MATRICE_SKILLS'!I:I,"&gt;="&amp;3)</f>
        <v>3</v>
      </c>
      <c r="Q30" s="8">
        <f>IFERROR(P30/'01_PARAMETRES'!$B$15,0)</f>
        <v>0.6</v>
      </c>
      <c r="R30" s="10">
        <f>IFERROR(COUNTIFS('04_MATRICE_SKILLS'!B:B,A30,'04_MATRICE_SKILLS'!L:L,"Conforme")/MAX(M30,1),0)</f>
        <v>0.5</v>
      </c>
    </row>
    <row r="31" spans="1:18" ht="25.5" x14ac:dyDescent="0.25">
      <c r="A31" s="3" t="s">
        <v>361</v>
      </c>
      <c r="B31" s="3" t="s">
        <v>362</v>
      </c>
      <c r="C31" s="3" t="s">
        <v>363</v>
      </c>
      <c r="D31" s="3" t="s">
        <v>37</v>
      </c>
      <c r="E31" s="3" t="s">
        <v>46</v>
      </c>
      <c r="F31" s="3" t="s">
        <v>286</v>
      </c>
      <c r="G31" s="3" t="s">
        <v>269</v>
      </c>
      <c r="H31" s="11">
        <v>41589</v>
      </c>
      <c r="I31" s="3" t="s">
        <v>358</v>
      </c>
      <c r="J31" s="3" t="s">
        <v>259</v>
      </c>
      <c r="K31" s="3" t="s">
        <v>260</v>
      </c>
      <c r="L31" s="3">
        <f t="shared" ca="1" si="0"/>
        <v>12</v>
      </c>
      <c r="M31" s="3">
        <f>COUNTIF('04_MATRICE_SKILLS'!B:B,A31)</f>
        <v>5</v>
      </c>
      <c r="N31" s="7">
        <f>IFERROR(AVERAGEIF('04_MATRICE_SKILLS'!B:B,A31,'04_MATRICE_SKILLS'!I:I),0)</f>
        <v>3.6</v>
      </c>
      <c r="O31" s="3" t="str">
        <f t="shared" si="1"/>
        <v>OK</v>
      </c>
      <c r="P31" s="3">
        <f>COUNTIFS('04_MATRICE_SKILLS'!B:B,A31,'04_MATRICE_SKILLS'!I:I,"&gt;="&amp;3)</f>
        <v>4</v>
      </c>
      <c r="Q31" s="8">
        <f>IFERROR(P31/'01_PARAMETRES'!$B$15,0)</f>
        <v>0.8</v>
      </c>
      <c r="R31" s="8">
        <f>IFERROR(COUNTIFS('04_MATRICE_SKILLS'!B:B,A31,'04_MATRICE_SKILLS'!L:L,"Conforme")/MAX(M31,1),0)</f>
        <v>1</v>
      </c>
    </row>
    <row r="32" spans="1:18" x14ac:dyDescent="0.25">
      <c r="A32" s="2" t="s">
        <v>364</v>
      </c>
      <c r="B32" s="2" t="s">
        <v>365</v>
      </c>
      <c r="C32" s="2" t="s">
        <v>366</v>
      </c>
      <c r="D32" s="2" t="s">
        <v>39</v>
      </c>
      <c r="E32" s="2" t="s">
        <v>46</v>
      </c>
      <c r="F32" s="2" t="s">
        <v>290</v>
      </c>
      <c r="G32" s="2" t="s">
        <v>269</v>
      </c>
      <c r="H32" s="12">
        <v>41300</v>
      </c>
      <c r="I32" s="2" t="s">
        <v>358</v>
      </c>
      <c r="J32" s="2" t="s">
        <v>259</v>
      </c>
      <c r="K32" s="2" t="s">
        <v>260</v>
      </c>
      <c r="L32" s="2">
        <f t="shared" ca="1" si="0"/>
        <v>13</v>
      </c>
      <c r="M32" s="2">
        <f>COUNTIF('04_MATRICE_SKILLS'!B:B,A32)</f>
        <v>5</v>
      </c>
      <c r="N32" s="9">
        <f>IFERROR(AVERAGEIF('04_MATRICE_SKILLS'!B:B,A32,'04_MATRICE_SKILLS'!I:I),0)</f>
        <v>3.8</v>
      </c>
      <c r="O32" s="2" t="str">
        <f t="shared" si="1"/>
        <v>OK</v>
      </c>
      <c r="P32" s="2">
        <f>COUNTIFS('04_MATRICE_SKILLS'!B:B,A32,'04_MATRICE_SKILLS'!I:I,"&gt;="&amp;3)</f>
        <v>4</v>
      </c>
      <c r="Q32" s="8">
        <f>IFERROR(P32/'01_PARAMETRES'!$B$15,0)</f>
        <v>0.8</v>
      </c>
      <c r="R32" s="10">
        <f>IFERROR(COUNTIFS('04_MATRICE_SKILLS'!B:B,A32,'04_MATRICE_SKILLS'!L:L,"Conforme")/MAX(M32,1),0)</f>
        <v>0.8</v>
      </c>
    </row>
    <row r="33" spans="1:18" x14ac:dyDescent="0.25">
      <c r="A33" s="3" t="s">
        <v>367</v>
      </c>
      <c r="B33" s="3" t="s">
        <v>368</v>
      </c>
      <c r="C33" s="3" t="s">
        <v>369</v>
      </c>
      <c r="D33" s="3" t="s">
        <v>41</v>
      </c>
      <c r="E33" s="3" t="s">
        <v>50</v>
      </c>
      <c r="F33" s="3" t="s">
        <v>295</v>
      </c>
      <c r="G33" s="3" t="s">
        <v>296</v>
      </c>
      <c r="H33" s="11">
        <v>42493</v>
      </c>
      <c r="I33" s="3" t="s">
        <v>358</v>
      </c>
      <c r="J33" s="3" t="s">
        <v>259</v>
      </c>
      <c r="K33" s="3" t="s">
        <v>260</v>
      </c>
      <c r="L33" s="3">
        <f t="shared" ca="1" si="0"/>
        <v>9</v>
      </c>
      <c r="M33" s="3">
        <f>COUNTIF('04_MATRICE_SKILLS'!B:B,A33)</f>
        <v>7</v>
      </c>
      <c r="N33" s="7">
        <f>IFERROR(AVERAGEIF('04_MATRICE_SKILLS'!B:B,A33,'04_MATRICE_SKILLS'!I:I),0)</f>
        <v>2.8571428571428572</v>
      </c>
      <c r="O33" s="3" t="str">
        <f t="shared" si="1"/>
        <v>OK</v>
      </c>
      <c r="P33" s="3">
        <f>COUNTIFS('04_MATRICE_SKILLS'!B:B,A33,'04_MATRICE_SKILLS'!I:I,"&gt;="&amp;3)</f>
        <v>3</v>
      </c>
      <c r="Q33" s="8">
        <f>IFERROR(P33/'01_PARAMETRES'!$B$15,0)</f>
        <v>0.6</v>
      </c>
      <c r="R33" s="8">
        <f>IFERROR(COUNTIFS('04_MATRICE_SKILLS'!B:B,A33,'04_MATRICE_SKILLS'!L:L,"Conforme")/MAX(M33,1),0)</f>
        <v>0.2857142857142857</v>
      </c>
    </row>
    <row r="34" spans="1:18" x14ac:dyDescent="0.25">
      <c r="A34" s="2" t="s">
        <v>370</v>
      </c>
      <c r="B34" s="2" t="s">
        <v>371</v>
      </c>
      <c r="C34" s="2" t="s">
        <v>372</v>
      </c>
      <c r="D34" s="2" t="s">
        <v>43</v>
      </c>
      <c r="E34" s="2" t="s">
        <v>50</v>
      </c>
      <c r="F34" s="2" t="s">
        <v>300</v>
      </c>
      <c r="G34" s="2" t="s">
        <v>296</v>
      </c>
      <c r="H34" s="12">
        <v>45588</v>
      </c>
      <c r="I34" s="2" t="s">
        <v>358</v>
      </c>
      <c r="J34" s="2" t="s">
        <v>259</v>
      </c>
      <c r="K34" s="2" t="s">
        <v>260</v>
      </c>
      <c r="L34" s="2">
        <f t="shared" ca="1" si="0"/>
        <v>1</v>
      </c>
      <c r="M34" s="2">
        <f>COUNTIF('04_MATRICE_SKILLS'!B:B,A34)</f>
        <v>8</v>
      </c>
      <c r="N34" s="9">
        <f>IFERROR(AVERAGEIF('04_MATRICE_SKILLS'!B:B,A34,'04_MATRICE_SKILLS'!I:I),0)</f>
        <v>2.25</v>
      </c>
      <c r="O34" s="2" t="str">
        <f t="shared" si="1"/>
        <v>OK</v>
      </c>
      <c r="P34" s="2">
        <f>COUNTIFS('04_MATRICE_SKILLS'!B:B,A34,'04_MATRICE_SKILLS'!I:I,"&gt;="&amp;3)</f>
        <v>4</v>
      </c>
      <c r="Q34" s="8">
        <f>IFERROR(P34/'01_PARAMETRES'!$B$15,0)</f>
        <v>0.8</v>
      </c>
      <c r="R34" s="10">
        <f>IFERROR(COUNTIFS('04_MATRICE_SKILLS'!B:B,A34,'04_MATRICE_SKILLS'!L:L,"Conforme")/MAX(M34,1),0)</f>
        <v>0.125</v>
      </c>
    </row>
    <row r="35" spans="1:18" x14ac:dyDescent="0.25">
      <c r="A35" s="3" t="s">
        <v>373</v>
      </c>
      <c r="B35" s="3" t="s">
        <v>255</v>
      </c>
      <c r="C35" s="3" t="s">
        <v>374</v>
      </c>
      <c r="D35" s="3" t="s">
        <v>35</v>
      </c>
      <c r="E35" s="3" t="s">
        <v>52</v>
      </c>
      <c r="F35" s="3" t="s">
        <v>304</v>
      </c>
      <c r="G35" s="3" t="s">
        <v>305</v>
      </c>
      <c r="H35" s="11">
        <v>41594</v>
      </c>
      <c r="I35" s="3" t="s">
        <v>373</v>
      </c>
      <c r="J35" s="3" t="s">
        <v>259</v>
      </c>
      <c r="K35" s="3" t="s">
        <v>260</v>
      </c>
      <c r="L35" s="3">
        <f t="shared" ca="1" si="0"/>
        <v>12</v>
      </c>
      <c r="M35" s="3">
        <f>COUNTIF('04_MATRICE_SKILLS'!B:B,A35)</f>
        <v>10</v>
      </c>
      <c r="N35" s="7">
        <f>IFERROR(AVERAGEIF('04_MATRICE_SKILLS'!B:B,A35,'04_MATRICE_SKILLS'!I:I),0)</f>
        <v>3.5</v>
      </c>
      <c r="O35" s="3" t="str">
        <f t="shared" si="1"/>
        <v>OK</v>
      </c>
      <c r="P35" s="3">
        <f>COUNTIFS('04_MATRICE_SKILLS'!B:B,A35,'04_MATRICE_SKILLS'!I:I,"&gt;="&amp;3)</f>
        <v>8</v>
      </c>
      <c r="Q35" s="8">
        <f>IFERROR(P35/'01_PARAMETRES'!$B$15,0)</f>
        <v>1.6</v>
      </c>
      <c r="R35" s="8">
        <f>IFERROR(COUNTIFS('04_MATRICE_SKILLS'!B:B,A35,'04_MATRICE_SKILLS'!L:L,"Conforme")/MAX(M35,1),0)</f>
        <v>0.6</v>
      </c>
    </row>
    <row r="36" spans="1:18" x14ac:dyDescent="0.25">
      <c r="A36" s="2" t="s">
        <v>375</v>
      </c>
      <c r="B36" s="2" t="s">
        <v>262</v>
      </c>
      <c r="C36" s="2" t="s">
        <v>376</v>
      </c>
      <c r="D36" s="2" t="s">
        <v>37</v>
      </c>
      <c r="E36" s="2" t="s">
        <v>52</v>
      </c>
      <c r="F36" s="2" t="s">
        <v>309</v>
      </c>
      <c r="G36" s="2" t="s">
        <v>305</v>
      </c>
      <c r="H36" s="12">
        <v>45611</v>
      </c>
      <c r="I36" s="2" t="s">
        <v>373</v>
      </c>
      <c r="J36" s="2" t="s">
        <v>259</v>
      </c>
      <c r="K36" s="2" t="s">
        <v>260</v>
      </c>
      <c r="L36" s="2">
        <f t="shared" ca="1" si="0"/>
        <v>1</v>
      </c>
      <c r="M36" s="2">
        <f>COUNTIF('04_MATRICE_SKILLS'!B:B,A36)</f>
        <v>8</v>
      </c>
      <c r="N36" s="9">
        <f>IFERROR(AVERAGEIF('04_MATRICE_SKILLS'!B:B,A36,'04_MATRICE_SKILLS'!I:I),0)</f>
        <v>2.875</v>
      </c>
      <c r="O36" s="2" t="str">
        <f t="shared" si="1"/>
        <v>OK</v>
      </c>
      <c r="P36" s="2">
        <f>COUNTIFS('04_MATRICE_SKILLS'!B:B,A36,'04_MATRICE_SKILLS'!I:I,"&gt;="&amp;3)</f>
        <v>5</v>
      </c>
      <c r="Q36" s="8">
        <f>IFERROR(P36/'01_PARAMETRES'!$B$15,0)</f>
        <v>1</v>
      </c>
      <c r="R36" s="10">
        <f>IFERROR(COUNTIFS('04_MATRICE_SKILLS'!B:B,A36,'04_MATRICE_SKILLS'!L:L,"Conforme")/MAX(M36,1),0)</f>
        <v>0.375</v>
      </c>
    </row>
    <row r="37" spans="1:18" x14ac:dyDescent="0.25">
      <c r="A37" s="3" t="s">
        <v>377</v>
      </c>
      <c r="B37" s="3" t="s">
        <v>266</v>
      </c>
      <c r="C37" s="3" t="s">
        <v>378</v>
      </c>
      <c r="D37" s="3" t="s">
        <v>39</v>
      </c>
      <c r="E37" s="3" t="s">
        <v>46</v>
      </c>
      <c r="F37" s="3" t="s">
        <v>313</v>
      </c>
      <c r="G37" s="3" t="s">
        <v>314</v>
      </c>
      <c r="H37" s="11">
        <v>41706</v>
      </c>
      <c r="I37" s="3" t="s">
        <v>373</v>
      </c>
      <c r="J37" s="3" t="s">
        <v>278</v>
      </c>
      <c r="K37" s="3" t="s">
        <v>260</v>
      </c>
      <c r="L37" s="3">
        <f t="shared" ref="L37:L64" ca="1" si="2">DATEDIF(H37,TODAY(),"Y")</f>
        <v>12</v>
      </c>
      <c r="M37" s="3">
        <f>COUNTIF('04_MATRICE_SKILLS'!B:B,A37)</f>
        <v>7</v>
      </c>
      <c r="N37" s="7">
        <f>IFERROR(AVERAGEIF('04_MATRICE_SKILLS'!B:B,A37,'04_MATRICE_SKILLS'!I:I),0)</f>
        <v>3.4285714285714284</v>
      </c>
      <c r="O37" s="3" t="str">
        <f t="shared" ref="O37:O68" si="3">IF(K37&lt;&gt;"Actif","Inactif",IF(N37&lt;2,"Sous-qualifie",IF(Q37&lt;0.6,"Polyvalence faible","OK")))</f>
        <v>OK</v>
      </c>
      <c r="P37" s="3">
        <f>COUNTIFS('04_MATRICE_SKILLS'!B:B,A37,'04_MATRICE_SKILLS'!I:I,"&gt;="&amp;3)</f>
        <v>6</v>
      </c>
      <c r="Q37" s="8">
        <f>IFERROR(P37/'01_PARAMETRES'!$B$15,0)</f>
        <v>1.2</v>
      </c>
      <c r="R37" s="8">
        <f>IFERROR(COUNTIFS('04_MATRICE_SKILLS'!B:B,A37,'04_MATRICE_SKILLS'!L:L,"Conforme")/MAX(M37,1),0)</f>
        <v>0.8571428571428571</v>
      </c>
    </row>
    <row r="38" spans="1:18" x14ac:dyDescent="0.25">
      <c r="A38" s="2" t="s">
        <v>379</v>
      </c>
      <c r="B38" s="2" t="s">
        <v>271</v>
      </c>
      <c r="C38" s="2" t="s">
        <v>380</v>
      </c>
      <c r="D38" s="2" t="s">
        <v>41</v>
      </c>
      <c r="E38" s="2" t="s">
        <v>52</v>
      </c>
      <c r="F38" s="2" t="s">
        <v>318</v>
      </c>
      <c r="G38" s="2" t="s">
        <v>269</v>
      </c>
      <c r="H38" s="12">
        <v>43244</v>
      </c>
      <c r="I38" s="2" t="s">
        <v>373</v>
      </c>
      <c r="J38" s="2" t="s">
        <v>291</v>
      </c>
      <c r="K38" s="2" t="s">
        <v>260</v>
      </c>
      <c r="L38" s="2">
        <f t="shared" ca="1" si="2"/>
        <v>7</v>
      </c>
      <c r="M38" s="2">
        <f>COUNTIF('04_MATRICE_SKILLS'!B:B,A38)</f>
        <v>9</v>
      </c>
      <c r="N38" s="9">
        <f>IFERROR(AVERAGEIF('04_MATRICE_SKILLS'!B:B,A38,'04_MATRICE_SKILLS'!I:I),0)</f>
        <v>2.6666666666666665</v>
      </c>
      <c r="O38" s="2" t="str">
        <f t="shared" si="3"/>
        <v>OK</v>
      </c>
      <c r="P38" s="2">
        <f>COUNTIFS('04_MATRICE_SKILLS'!B:B,A38,'04_MATRICE_SKILLS'!I:I,"&gt;="&amp;3)</f>
        <v>5</v>
      </c>
      <c r="Q38" s="8">
        <f>IFERROR(P38/'01_PARAMETRES'!$B$15,0)</f>
        <v>1</v>
      </c>
      <c r="R38" s="10">
        <f>IFERROR(COUNTIFS('04_MATRICE_SKILLS'!B:B,A38,'04_MATRICE_SKILLS'!L:L,"Conforme")/MAX(M38,1),0)</f>
        <v>0.1111111111111111</v>
      </c>
    </row>
    <row r="39" spans="1:18" x14ac:dyDescent="0.25">
      <c r="A39" s="3" t="s">
        <v>381</v>
      </c>
      <c r="B39" s="3" t="s">
        <v>275</v>
      </c>
      <c r="C39" s="3" t="s">
        <v>382</v>
      </c>
      <c r="D39" s="3" t="s">
        <v>43</v>
      </c>
      <c r="E39" s="3" t="s">
        <v>46</v>
      </c>
      <c r="F39" s="3" t="s">
        <v>322</v>
      </c>
      <c r="G39" s="3" t="s">
        <v>296</v>
      </c>
      <c r="H39" s="11">
        <v>42656</v>
      </c>
      <c r="I39" s="3" t="s">
        <v>373</v>
      </c>
      <c r="J39" s="3" t="s">
        <v>259</v>
      </c>
      <c r="K39" s="3" t="s">
        <v>260</v>
      </c>
      <c r="L39" s="3">
        <f t="shared" ca="1" si="2"/>
        <v>9</v>
      </c>
      <c r="M39" s="3">
        <f>COUNTIF('04_MATRICE_SKILLS'!B:B,A39)</f>
        <v>7</v>
      </c>
      <c r="N39" s="7">
        <f>IFERROR(AVERAGEIF('04_MATRICE_SKILLS'!B:B,A39,'04_MATRICE_SKILLS'!I:I),0)</f>
        <v>4</v>
      </c>
      <c r="O39" s="3" t="str">
        <f t="shared" si="3"/>
        <v>OK</v>
      </c>
      <c r="P39" s="3">
        <f>COUNTIFS('04_MATRICE_SKILLS'!B:B,A39,'04_MATRICE_SKILLS'!I:I,"&gt;="&amp;3)</f>
        <v>7</v>
      </c>
      <c r="Q39" s="8">
        <f>IFERROR(P39/'01_PARAMETRES'!$B$15,0)</f>
        <v>1.4</v>
      </c>
      <c r="R39" s="8">
        <f>IFERROR(COUNTIFS('04_MATRICE_SKILLS'!B:B,A39,'04_MATRICE_SKILLS'!L:L,"Conforme")/MAX(M39,1),0)</f>
        <v>0.8571428571428571</v>
      </c>
    </row>
    <row r="40" spans="1:18" x14ac:dyDescent="0.25">
      <c r="A40" s="2" t="s">
        <v>383</v>
      </c>
      <c r="B40" s="2" t="s">
        <v>280</v>
      </c>
      <c r="C40" s="2" t="s">
        <v>384</v>
      </c>
      <c r="D40" s="2" t="s">
        <v>35</v>
      </c>
      <c r="E40" s="2" t="s">
        <v>48</v>
      </c>
      <c r="F40" s="2" t="s">
        <v>326</v>
      </c>
      <c r="G40" s="2" t="s">
        <v>269</v>
      </c>
      <c r="H40" s="12">
        <v>41350</v>
      </c>
      <c r="I40" s="2" t="s">
        <v>383</v>
      </c>
      <c r="J40" s="2" t="s">
        <v>259</v>
      </c>
      <c r="K40" s="2" t="s">
        <v>260</v>
      </c>
      <c r="L40" s="2">
        <f t="shared" ca="1" si="2"/>
        <v>13</v>
      </c>
      <c r="M40" s="2">
        <f>COUNTIF('04_MATRICE_SKILLS'!B:B,A40)</f>
        <v>8</v>
      </c>
      <c r="N40" s="9">
        <f>IFERROR(AVERAGEIF('04_MATRICE_SKILLS'!B:B,A40,'04_MATRICE_SKILLS'!I:I),0)</f>
        <v>3.375</v>
      </c>
      <c r="O40" s="2" t="str">
        <f t="shared" si="3"/>
        <v>OK</v>
      </c>
      <c r="P40" s="2">
        <f>COUNTIFS('04_MATRICE_SKILLS'!B:B,A40,'04_MATRICE_SKILLS'!I:I,"&gt;="&amp;3)</f>
        <v>7</v>
      </c>
      <c r="Q40" s="8">
        <f>IFERROR(P40/'01_PARAMETRES'!$B$15,0)</f>
        <v>1.4</v>
      </c>
      <c r="R40" s="10">
        <f>IFERROR(COUNTIFS('04_MATRICE_SKILLS'!B:B,A40,'04_MATRICE_SKILLS'!L:L,"Conforme")/MAX(M40,1),0)</f>
        <v>0.625</v>
      </c>
    </row>
    <row r="41" spans="1:18" x14ac:dyDescent="0.25">
      <c r="A41" s="3" t="s">
        <v>385</v>
      </c>
      <c r="B41" s="3" t="s">
        <v>284</v>
      </c>
      <c r="C41" s="3" t="s">
        <v>386</v>
      </c>
      <c r="D41" s="3" t="s">
        <v>37</v>
      </c>
      <c r="E41" s="3" t="s">
        <v>50</v>
      </c>
      <c r="F41" s="3" t="s">
        <v>330</v>
      </c>
      <c r="G41" s="3" t="s">
        <v>296</v>
      </c>
      <c r="H41" s="11">
        <v>40571</v>
      </c>
      <c r="I41" s="3" t="s">
        <v>383</v>
      </c>
      <c r="J41" s="3" t="s">
        <v>259</v>
      </c>
      <c r="K41" s="3" t="s">
        <v>260</v>
      </c>
      <c r="L41" s="3">
        <f t="shared" ca="1" si="2"/>
        <v>15</v>
      </c>
      <c r="M41" s="3">
        <f>COUNTIF('04_MATRICE_SKILLS'!B:B,A41)</f>
        <v>8</v>
      </c>
      <c r="N41" s="7">
        <f>IFERROR(AVERAGEIF('04_MATRICE_SKILLS'!B:B,A41,'04_MATRICE_SKILLS'!I:I),0)</f>
        <v>3.125</v>
      </c>
      <c r="O41" s="3" t="str">
        <f t="shared" si="3"/>
        <v>OK</v>
      </c>
      <c r="P41" s="3">
        <f>COUNTIFS('04_MATRICE_SKILLS'!B:B,A41,'04_MATRICE_SKILLS'!I:I,"&gt;="&amp;3)</f>
        <v>6</v>
      </c>
      <c r="Q41" s="8">
        <f>IFERROR(P41/'01_PARAMETRES'!$B$15,0)</f>
        <v>1.2</v>
      </c>
      <c r="R41" s="8">
        <f>IFERROR(COUNTIFS('04_MATRICE_SKILLS'!B:B,A41,'04_MATRICE_SKILLS'!L:L,"Conforme")/MAX(M41,1),0)</f>
        <v>0.625</v>
      </c>
    </row>
    <row r="42" spans="1:18" x14ac:dyDescent="0.25">
      <c r="A42" s="2" t="s">
        <v>387</v>
      </c>
      <c r="B42" s="2" t="s">
        <v>288</v>
      </c>
      <c r="C42" s="2" t="s">
        <v>388</v>
      </c>
      <c r="D42" s="2" t="s">
        <v>39</v>
      </c>
      <c r="E42" s="2" t="s">
        <v>46</v>
      </c>
      <c r="F42" s="2" t="s">
        <v>334</v>
      </c>
      <c r="G42" s="2" t="s">
        <v>269</v>
      </c>
      <c r="H42" s="12">
        <v>41219</v>
      </c>
      <c r="I42" s="2" t="s">
        <v>383</v>
      </c>
      <c r="J42" s="2" t="s">
        <v>259</v>
      </c>
      <c r="K42" s="2" t="s">
        <v>260</v>
      </c>
      <c r="L42" s="2">
        <f t="shared" ca="1" si="2"/>
        <v>13</v>
      </c>
      <c r="M42" s="2">
        <f>COUNTIF('04_MATRICE_SKILLS'!B:B,A42)</f>
        <v>6</v>
      </c>
      <c r="N42" s="9">
        <f>IFERROR(AVERAGEIF('04_MATRICE_SKILLS'!B:B,A42,'04_MATRICE_SKILLS'!I:I),0)</f>
        <v>3.3333333333333335</v>
      </c>
      <c r="O42" s="2" t="str">
        <f t="shared" si="3"/>
        <v>OK</v>
      </c>
      <c r="P42" s="2">
        <f>COUNTIFS('04_MATRICE_SKILLS'!B:B,A42,'04_MATRICE_SKILLS'!I:I,"&gt;="&amp;3)</f>
        <v>5</v>
      </c>
      <c r="Q42" s="8">
        <f>IFERROR(P42/'01_PARAMETRES'!$B$15,0)</f>
        <v>1</v>
      </c>
      <c r="R42" s="10">
        <f>IFERROR(COUNTIFS('04_MATRICE_SKILLS'!B:B,A42,'04_MATRICE_SKILLS'!L:L,"Conforme")/MAX(M42,1),0)</f>
        <v>0.83333333333333337</v>
      </c>
    </row>
    <row r="43" spans="1:18" x14ac:dyDescent="0.25">
      <c r="A43" s="3" t="s">
        <v>389</v>
      </c>
      <c r="B43" s="3" t="s">
        <v>293</v>
      </c>
      <c r="C43" s="3" t="s">
        <v>390</v>
      </c>
      <c r="D43" s="3" t="s">
        <v>41</v>
      </c>
      <c r="E43" s="3" t="s">
        <v>56</v>
      </c>
      <c r="F43" s="3" t="s">
        <v>338</v>
      </c>
      <c r="G43" s="3" t="s">
        <v>305</v>
      </c>
      <c r="H43" s="11">
        <v>43509</v>
      </c>
      <c r="I43" s="3" t="s">
        <v>383</v>
      </c>
      <c r="J43" s="3" t="s">
        <v>259</v>
      </c>
      <c r="K43" s="3" t="s">
        <v>260</v>
      </c>
      <c r="L43" s="3">
        <f t="shared" ca="1" si="2"/>
        <v>7</v>
      </c>
      <c r="M43" s="3">
        <f>COUNTIF('04_MATRICE_SKILLS'!B:B,A43)</f>
        <v>6</v>
      </c>
      <c r="N43" s="7">
        <f>IFERROR(AVERAGEIF('04_MATRICE_SKILLS'!B:B,A43,'04_MATRICE_SKILLS'!I:I),0)</f>
        <v>3.1666666666666665</v>
      </c>
      <c r="O43" s="3" t="str">
        <f t="shared" si="3"/>
        <v>OK</v>
      </c>
      <c r="P43" s="3">
        <f>COUNTIFS('04_MATRICE_SKILLS'!B:B,A43,'04_MATRICE_SKILLS'!I:I,"&gt;="&amp;3)</f>
        <v>4</v>
      </c>
      <c r="Q43" s="8">
        <f>IFERROR(P43/'01_PARAMETRES'!$B$15,0)</f>
        <v>0.8</v>
      </c>
      <c r="R43" s="8">
        <f>IFERROR(COUNTIFS('04_MATRICE_SKILLS'!B:B,A43,'04_MATRICE_SKILLS'!L:L,"Conforme")/MAX(M43,1),0)</f>
        <v>0.5</v>
      </c>
    </row>
    <row r="44" spans="1:18" x14ac:dyDescent="0.25">
      <c r="A44" s="2" t="s">
        <v>391</v>
      </c>
      <c r="B44" s="2" t="s">
        <v>298</v>
      </c>
      <c r="C44" s="2" t="s">
        <v>392</v>
      </c>
      <c r="D44" s="2" t="s">
        <v>43</v>
      </c>
      <c r="E44" s="2" t="s">
        <v>54</v>
      </c>
      <c r="F44" s="2" t="s">
        <v>342</v>
      </c>
      <c r="G44" s="2" t="s">
        <v>305</v>
      </c>
      <c r="H44" s="12">
        <v>43694</v>
      </c>
      <c r="I44" s="2" t="s">
        <v>383</v>
      </c>
      <c r="J44" s="2" t="s">
        <v>259</v>
      </c>
      <c r="K44" s="2" t="s">
        <v>260</v>
      </c>
      <c r="L44" s="2">
        <f t="shared" ca="1" si="2"/>
        <v>6</v>
      </c>
      <c r="M44" s="2">
        <f>COUNTIF('04_MATRICE_SKILLS'!B:B,A44)</f>
        <v>8</v>
      </c>
      <c r="N44" s="9">
        <f>IFERROR(AVERAGEIF('04_MATRICE_SKILLS'!B:B,A44,'04_MATRICE_SKILLS'!I:I),0)</f>
        <v>2.75</v>
      </c>
      <c r="O44" s="2" t="str">
        <f t="shared" si="3"/>
        <v>OK</v>
      </c>
      <c r="P44" s="2">
        <f>COUNTIFS('04_MATRICE_SKILLS'!B:B,A44,'04_MATRICE_SKILLS'!I:I,"&gt;="&amp;3)</f>
        <v>3</v>
      </c>
      <c r="Q44" s="8">
        <f>IFERROR(P44/'01_PARAMETRES'!$B$15,0)</f>
        <v>0.6</v>
      </c>
      <c r="R44" s="10">
        <f>IFERROR(COUNTIFS('04_MATRICE_SKILLS'!B:B,A44,'04_MATRICE_SKILLS'!L:L,"Conforme")/MAX(M44,1),0)</f>
        <v>0.375</v>
      </c>
    </row>
    <row r="45" spans="1:18" x14ac:dyDescent="0.25">
      <c r="A45" s="3" t="s">
        <v>393</v>
      </c>
      <c r="B45" s="3" t="s">
        <v>302</v>
      </c>
      <c r="C45" s="3" t="s">
        <v>394</v>
      </c>
      <c r="D45" s="3" t="s">
        <v>35</v>
      </c>
      <c r="E45" s="3" t="s">
        <v>46</v>
      </c>
      <c r="F45" s="3" t="s">
        <v>257</v>
      </c>
      <c r="G45" s="3" t="s">
        <v>258</v>
      </c>
      <c r="H45" s="11">
        <v>43122</v>
      </c>
      <c r="I45" s="3" t="s">
        <v>393</v>
      </c>
      <c r="J45" s="3" t="s">
        <v>259</v>
      </c>
      <c r="K45" s="3" t="s">
        <v>260</v>
      </c>
      <c r="L45" s="3">
        <f t="shared" ca="1" si="2"/>
        <v>8</v>
      </c>
      <c r="M45" s="3">
        <f>COUNTIF('04_MATRICE_SKILLS'!B:B,A45)</f>
        <v>6</v>
      </c>
      <c r="N45" s="7">
        <f>IFERROR(AVERAGEIF('04_MATRICE_SKILLS'!B:B,A45,'04_MATRICE_SKILLS'!I:I),0)</f>
        <v>3</v>
      </c>
      <c r="O45" s="3" t="str">
        <f t="shared" si="3"/>
        <v>OK</v>
      </c>
      <c r="P45" s="3">
        <f>COUNTIFS('04_MATRICE_SKILLS'!B:B,A45,'04_MATRICE_SKILLS'!I:I,"&gt;="&amp;3)</f>
        <v>4</v>
      </c>
      <c r="Q45" s="8">
        <f>IFERROR(P45/'01_PARAMETRES'!$B$15,0)</f>
        <v>0.8</v>
      </c>
      <c r="R45" s="8">
        <f>IFERROR(COUNTIFS('04_MATRICE_SKILLS'!B:B,A45,'04_MATRICE_SKILLS'!L:L,"Conforme")/MAX(M45,1),0)</f>
        <v>0.83333333333333337</v>
      </c>
    </row>
    <row r="46" spans="1:18" x14ac:dyDescent="0.25">
      <c r="A46" s="2" t="s">
        <v>395</v>
      </c>
      <c r="B46" s="2" t="s">
        <v>307</v>
      </c>
      <c r="C46" s="2" t="s">
        <v>396</v>
      </c>
      <c r="D46" s="2" t="s">
        <v>37</v>
      </c>
      <c r="E46" s="2" t="s">
        <v>46</v>
      </c>
      <c r="F46" s="2" t="s">
        <v>264</v>
      </c>
      <c r="G46" s="2" t="s">
        <v>258</v>
      </c>
      <c r="H46" s="12">
        <v>44099</v>
      </c>
      <c r="I46" s="2" t="s">
        <v>393</v>
      </c>
      <c r="J46" s="2" t="s">
        <v>259</v>
      </c>
      <c r="K46" s="2" t="s">
        <v>260</v>
      </c>
      <c r="L46" s="2">
        <f t="shared" ca="1" si="2"/>
        <v>5</v>
      </c>
      <c r="M46" s="2">
        <f>COUNTIF('04_MATRICE_SKILLS'!B:B,A46)</f>
        <v>6</v>
      </c>
      <c r="N46" s="9">
        <f>IFERROR(AVERAGEIF('04_MATRICE_SKILLS'!B:B,A46,'04_MATRICE_SKILLS'!I:I),0)</f>
        <v>2.8333333333333335</v>
      </c>
      <c r="O46" s="2" t="str">
        <f t="shared" si="3"/>
        <v>OK</v>
      </c>
      <c r="P46" s="2">
        <f>COUNTIFS('04_MATRICE_SKILLS'!B:B,A46,'04_MATRICE_SKILLS'!I:I,"&gt;="&amp;3)</f>
        <v>3</v>
      </c>
      <c r="Q46" s="8">
        <f>IFERROR(P46/'01_PARAMETRES'!$B$15,0)</f>
        <v>0.6</v>
      </c>
      <c r="R46" s="10">
        <f>IFERROR(COUNTIFS('04_MATRICE_SKILLS'!B:B,A46,'04_MATRICE_SKILLS'!L:L,"Conforme")/MAX(M46,1),0)</f>
        <v>0.83333333333333337</v>
      </c>
    </row>
    <row r="47" spans="1:18" x14ac:dyDescent="0.25">
      <c r="A47" s="3" t="s">
        <v>397</v>
      </c>
      <c r="B47" s="3" t="s">
        <v>311</v>
      </c>
      <c r="C47" s="3" t="s">
        <v>398</v>
      </c>
      <c r="D47" s="3" t="s">
        <v>39</v>
      </c>
      <c r="E47" s="3" t="s">
        <v>52</v>
      </c>
      <c r="F47" s="3" t="s">
        <v>268</v>
      </c>
      <c r="G47" s="3" t="s">
        <v>269</v>
      </c>
      <c r="H47" s="11">
        <v>44876</v>
      </c>
      <c r="I47" s="3" t="s">
        <v>393</v>
      </c>
      <c r="J47" s="3" t="s">
        <v>259</v>
      </c>
      <c r="K47" s="3" t="s">
        <v>260</v>
      </c>
      <c r="L47" s="3">
        <f t="shared" ca="1" si="2"/>
        <v>3</v>
      </c>
      <c r="M47" s="3">
        <f>COUNTIF('04_MATRICE_SKILLS'!B:B,A47)</f>
        <v>6</v>
      </c>
      <c r="N47" s="7">
        <f>IFERROR(AVERAGEIF('04_MATRICE_SKILLS'!B:B,A47,'04_MATRICE_SKILLS'!I:I),0)</f>
        <v>3.5</v>
      </c>
      <c r="O47" s="3" t="str">
        <f t="shared" si="3"/>
        <v>OK</v>
      </c>
      <c r="P47" s="3">
        <f>COUNTIFS('04_MATRICE_SKILLS'!B:B,A47,'04_MATRICE_SKILLS'!I:I,"&gt;="&amp;3)</f>
        <v>5</v>
      </c>
      <c r="Q47" s="8">
        <f>IFERROR(P47/'01_PARAMETRES'!$B$15,0)</f>
        <v>1</v>
      </c>
      <c r="R47" s="8">
        <f>IFERROR(COUNTIFS('04_MATRICE_SKILLS'!B:B,A47,'04_MATRICE_SKILLS'!L:L,"Conforme")/MAX(M47,1),0)</f>
        <v>0.83333333333333337</v>
      </c>
    </row>
    <row r="48" spans="1:18" x14ac:dyDescent="0.25">
      <c r="A48" s="2" t="s">
        <v>399</v>
      </c>
      <c r="B48" s="2" t="s">
        <v>316</v>
      </c>
      <c r="C48" s="2" t="s">
        <v>400</v>
      </c>
      <c r="D48" s="2" t="s">
        <v>41</v>
      </c>
      <c r="E48" s="2" t="s">
        <v>52</v>
      </c>
      <c r="F48" s="2" t="s">
        <v>273</v>
      </c>
      <c r="G48" s="2" t="s">
        <v>269</v>
      </c>
      <c r="H48" s="12">
        <v>41826</v>
      </c>
      <c r="I48" s="2" t="s">
        <v>393</v>
      </c>
      <c r="J48" s="2" t="s">
        <v>259</v>
      </c>
      <c r="K48" s="2" t="s">
        <v>260</v>
      </c>
      <c r="L48" s="2">
        <f t="shared" ca="1" si="2"/>
        <v>11</v>
      </c>
      <c r="M48" s="2">
        <f>COUNTIF('04_MATRICE_SKILLS'!B:B,A48)</f>
        <v>10</v>
      </c>
      <c r="N48" s="9">
        <f>IFERROR(AVERAGEIF('04_MATRICE_SKILLS'!B:B,A48,'04_MATRICE_SKILLS'!I:I),0)</f>
        <v>3.9</v>
      </c>
      <c r="O48" s="2" t="str">
        <f t="shared" si="3"/>
        <v>OK</v>
      </c>
      <c r="P48" s="2">
        <f>COUNTIFS('04_MATRICE_SKILLS'!B:B,A48,'04_MATRICE_SKILLS'!I:I,"&gt;="&amp;3)</f>
        <v>8</v>
      </c>
      <c r="Q48" s="8">
        <f>IFERROR(P48/'01_PARAMETRES'!$B$15,0)</f>
        <v>1.6</v>
      </c>
      <c r="R48" s="10">
        <f>IFERROR(COUNTIFS('04_MATRICE_SKILLS'!B:B,A48,'04_MATRICE_SKILLS'!L:L,"Conforme")/MAX(M48,1),0)</f>
        <v>0.7</v>
      </c>
    </row>
    <row r="49" spans="1:18" x14ac:dyDescent="0.25">
      <c r="A49" s="3" t="s">
        <v>401</v>
      </c>
      <c r="B49" s="3" t="s">
        <v>320</v>
      </c>
      <c r="C49" s="3" t="s">
        <v>402</v>
      </c>
      <c r="D49" s="3" t="s">
        <v>43</v>
      </c>
      <c r="E49" s="3" t="s">
        <v>46</v>
      </c>
      <c r="F49" s="3" t="s">
        <v>277</v>
      </c>
      <c r="G49" s="3" t="s">
        <v>258</v>
      </c>
      <c r="H49" s="11">
        <v>40536</v>
      </c>
      <c r="I49" s="3" t="s">
        <v>393</v>
      </c>
      <c r="J49" s="3" t="s">
        <v>259</v>
      </c>
      <c r="K49" s="3" t="s">
        <v>260</v>
      </c>
      <c r="L49" s="3">
        <f t="shared" ca="1" si="2"/>
        <v>15</v>
      </c>
      <c r="M49" s="3">
        <f>COUNTIF('04_MATRICE_SKILLS'!B:B,A49)</f>
        <v>8</v>
      </c>
      <c r="N49" s="7">
        <f>IFERROR(AVERAGEIF('04_MATRICE_SKILLS'!B:B,A49,'04_MATRICE_SKILLS'!I:I),0)</f>
        <v>3.5</v>
      </c>
      <c r="O49" s="3" t="str">
        <f t="shared" si="3"/>
        <v>OK</v>
      </c>
      <c r="P49" s="3">
        <f>COUNTIFS('04_MATRICE_SKILLS'!B:B,A49,'04_MATRICE_SKILLS'!I:I,"&gt;="&amp;3)</f>
        <v>6</v>
      </c>
      <c r="Q49" s="8">
        <f>IFERROR(P49/'01_PARAMETRES'!$B$15,0)</f>
        <v>1.2</v>
      </c>
      <c r="R49" s="8">
        <f>IFERROR(COUNTIFS('04_MATRICE_SKILLS'!B:B,A49,'04_MATRICE_SKILLS'!L:L,"Conforme")/MAX(M49,1),0)</f>
        <v>0.625</v>
      </c>
    </row>
    <row r="50" spans="1:18" x14ac:dyDescent="0.25">
      <c r="A50" s="2" t="s">
        <v>403</v>
      </c>
      <c r="B50" s="2" t="s">
        <v>324</v>
      </c>
      <c r="C50" s="2" t="s">
        <v>404</v>
      </c>
      <c r="D50" s="2" t="s">
        <v>35</v>
      </c>
      <c r="E50" s="2" t="s">
        <v>46</v>
      </c>
      <c r="F50" s="2" t="s">
        <v>282</v>
      </c>
      <c r="G50" s="2" t="s">
        <v>258</v>
      </c>
      <c r="H50" s="12">
        <v>43176</v>
      </c>
      <c r="I50" s="2" t="s">
        <v>403</v>
      </c>
      <c r="J50" s="2" t="s">
        <v>259</v>
      </c>
      <c r="K50" s="2" t="s">
        <v>260</v>
      </c>
      <c r="L50" s="2">
        <f t="shared" ca="1" si="2"/>
        <v>8</v>
      </c>
      <c r="M50" s="2">
        <f>COUNTIF('04_MATRICE_SKILLS'!B:B,A50)</f>
        <v>5</v>
      </c>
      <c r="N50" s="9">
        <f>IFERROR(AVERAGEIF('04_MATRICE_SKILLS'!B:B,A50,'04_MATRICE_SKILLS'!I:I),0)</f>
        <v>2.4</v>
      </c>
      <c r="O50" s="2" t="str">
        <f t="shared" si="3"/>
        <v>Polyvalence faible</v>
      </c>
      <c r="P50" s="2">
        <f>COUNTIFS('04_MATRICE_SKILLS'!B:B,A50,'04_MATRICE_SKILLS'!I:I,"&gt;="&amp;3)</f>
        <v>2</v>
      </c>
      <c r="Q50" s="8">
        <f>IFERROR(P50/'01_PARAMETRES'!$B$15,0)</f>
        <v>0.4</v>
      </c>
      <c r="R50" s="10">
        <f>IFERROR(COUNTIFS('04_MATRICE_SKILLS'!B:B,A50,'04_MATRICE_SKILLS'!L:L,"Conforme")/MAX(M50,1),0)</f>
        <v>0.4</v>
      </c>
    </row>
    <row r="51" spans="1:18" ht="25.5" x14ac:dyDescent="0.25">
      <c r="A51" s="3" t="s">
        <v>405</v>
      </c>
      <c r="B51" s="3" t="s">
        <v>328</v>
      </c>
      <c r="C51" s="3" t="s">
        <v>406</v>
      </c>
      <c r="D51" s="3" t="s">
        <v>37</v>
      </c>
      <c r="E51" s="3" t="s">
        <v>46</v>
      </c>
      <c r="F51" s="3" t="s">
        <v>286</v>
      </c>
      <c r="G51" s="3" t="s">
        <v>269</v>
      </c>
      <c r="H51" s="11">
        <v>45240</v>
      </c>
      <c r="I51" s="3" t="s">
        <v>403</v>
      </c>
      <c r="J51" s="3" t="s">
        <v>278</v>
      </c>
      <c r="K51" s="3" t="s">
        <v>260</v>
      </c>
      <c r="L51" s="3">
        <f t="shared" ca="1" si="2"/>
        <v>2</v>
      </c>
      <c r="M51" s="3">
        <f>COUNTIF('04_MATRICE_SKILLS'!B:B,A51)</f>
        <v>7</v>
      </c>
      <c r="N51" s="7">
        <f>IFERROR(AVERAGEIF('04_MATRICE_SKILLS'!B:B,A51,'04_MATRICE_SKILLS'!I:I),0)</f>
        <v>2.7142857142857144</v>
      </c>
      <c r="O51" s="3" t="str">
        <f t="shared" si="3"/>
        <v>OK</v>
      </c>
      <c r="P51" s="3">
        <f>COUNTIFS('04_MATRICE_SKILLS'!B:B,A51,'04_MATRICE_SKILLS'!I:I,"&gt;="&amp;3)</f>
        <v>3</v>
      </c>
      <c r="Q51" s="8">
        <f>IFERROR(P51/'01_PARAMETRES'!$B$15,0)</f>
        <v>0.6</v>
      </c>
      <c r="R51" s="8">
        <f>IFERROR(COUNTIFS('04_MATRICE_SKILLS'!B:B,A51,'04_MATRICE_SKILLS'!L:L,"Conforme")/MAX(M51,1),0)</f>
        <v>0.7142857142857143</v>
      </c>
    </row>
    <row r="52" spans="1:18" x14ac:dyDescent="0.25">
      <c r="A52" s="2" t="s">
        <v>407</v>
      </c>
      <c r="B52" s="2" t="s">
        <v>332</v>
      </c>
      <c r="C52" s="2" t="s">
        <v>408</v>
      </c>
      <c r="D52" s="2" t="s">
        <v>39</v>
      </c>
      <c r="E52" s="2" t="s">
        <v>46</v>
      </c>
      <c r="F52" s="2" t="s">
        <v>290</v>
      </c>
      <c r="G52" s="2" t="s">
        <v>269</v>
      </c>
      <c r="H52" s="12">
        <v>43560</v>
      </c>
      <c r="I52" s="2" t="s">
        <v>403</v>
      </c>
      <c r="J52" s="2" t="s">
        <v>259</v>
      </c>
      <c r="K52" s="2" t="s">
        <v>260</v>
      </c>
      <c r="L52" s="2">
        <f t="shared" ca="1" si="2"/>
        <v>6</v>
      </c>
      <c r="M52" s="2">
        <f>COUNTIF('04_MATRICE_SKILLS'!B:B,A52)</f>
        <v>6</v>
      </c>
      <c r="N52" s="9">
        <f>IFERROR(AVERAGEIF('04_MATRICE_SKILLS'!B:B,A52,'04_MATRICE_SKILLS'!I:I),0)</f>
        <v>2.3333333333333335</v>
      </c>
      <c r="O52" s="2" t="str">
        <f t="shared" si="3"/>
        <v>OK</v>
      </c>
      <c r="P52" s="2">
        <f>COUNTIFS('04_MATRICE_SKILLS'!B:B,A52,'04_MATRICE_SKILLS'!I:I,"&gt;="&amp;3)</f>
        <v>3</v>
      </c>
      <c r="Q52" s="8">
        <f>IFERROR(P52/'01_PARAMETRES'!$B$15,0)</f>
        <v>0.6</v>
      </c>
      <c r="R52" s="10">
        <f>IFERROR(COUNTIFS('04_MATRICE_SKILLS'!B:B,A52,'04_MATRICE_SKILLS'!L:L,"Conforme")/MAX(M52,1),0)</f>
        <v>0.5</v>
      </c>
    </row>
    <row r="53" spans="1:18" x14ac:dyDescent="0.25">
      <c r="A53" s="3" t="s">
        <v>409</v>
      </c>
      <c r="B53" s="3" t="s">
        <v>336</v>
      </c>
      <c r="C53" s="3" t="s">
        <v>410</v>
      </c>
      <c r="D53" s="3" t="s">
        <v>41</v>
      </c>
      <c r="E53" s="3" t="s">
        <v>50</v>
      </c>
      <c r="F53" s="3" t="s">
        <v>295</v>
      </c>
      <c r="G53" s="3" t="s">
        <v>296</v>
      </c>
      <c r="H53" s="11">
        <v>44638</v>
      </c>
      <c r="I53" s="3" t="s">
        <v>403</v>
      </c>
      <c r="J53" s="3" t="s">
        <v>278</v>
      </c>
      <c r="K53" s="3" t="s">
        <v>260</v>
      </c>
      <c r="L53" s="3">
        <f t="shared" ca="1" si="2"/>
        <v>4</v>
      </c>
      <c r="M53" s="3">
        <f>COUNTIF('04_MATRICE_SKILLS'!B:B,A53)</f>
        <v>5</v>
      </c>
      <c r="N53" s="7">
        <f>IFERROR(AVERAGEIF('04_MATRICE_SKILLS'!B:B,A53,'04_MATRICE_SKILLS'!I:I),0)</f>
        <v>3.6</v>
      </c>
      <c r="O53" s="3" t="str">
        <f t="shared" si="3"/>
        <v>OK</v>
      </c>
      <c r="P53" s="3">
        <f>COUNTIFS('04_MATRICE_SKILLS'!B:B,A53,'04_MATRICE_SKILLS'!I:I,"&gt;="&amp;3)</f>
        <v>4</v>
      </c>
      <c r="Q53" s="8">
        <f>IFERROR(P53/'01_PARAMETRES'!$B$15,0)</f>
        <v>0.8</v>
      </c>
      <c r="R53" s="8">
        <f>IFERROR(COUNTIFS('04_MATRICE_SKILLS'!B:B,A53,'04_MATRICE_SKILLS'!L:L,"Conforme")/MAX(M53,1),0)</f>
        <v>0.8</v>
      </c>
    </row>
    <row r="54" spans="1:18" x14ac:dyDescent="0.25">
      <c r="A54" s="2" t="s">
        <v>411</v>
      </c>
      <c r="B54" s="2" t="s">
        <v>340</v>
      </c>
      <c r="C54" s="2" t="s">
        <v>412</v>
      </c>
      <c r="D54" s="2" t="s">
        <v>43</v>
      </c>
      <c r="E54" s="2" t="s">
        <v>50</v>
      </c>
      <c r="F54" s="2" t="s">
        <v>300</v>
      </c>
      <c r="G54" s="2" t="s">
        <v>296</v>
      </c>
      <c r="H54" s="12">
        <v>45311</v>
      </c>
      <c r="I54" s="2" t="s">
        <v>403</v>
      </c>
      <c r="J54" s="2" t="s">
        <v>259</v>
      </c>
      <c r="K54" s="2" t="s">
        <v>260</v>
      </c>
      <c r="L54" s="2">
        <f t="shared" ca="1" si="2"/>
        <v>2</v>
      </c>
      <c r="M54" s="2">
        <f>COUNTIF('04_MATRICE_SKILLS'!B:B,A54)</f>
        <v>6</v>
      </c>
      <c r="N54" s="9">
        <f>IFERROR(AVERAGEIF('04_MATRICE_SKILLS'!B:B,A54,'04_MATRICE_SKILLS'!I:I),0)</f>
        <v>3.6666666666666665</v>
      </c>
      <c r="O54" s="2" t="str">
        <f t="shared" si="3"/>
        <v>OK</v>
      </c>
      <c r="P54" s="2">
        <f>COUNTIFS('04_MATRICE_SKILLS'!B:B,A54,'04_MATRICE_SKILLS'!I:I,"&gt;="&amp;3)</f>
        <v>5</v>
      </c>
      <c r="Q54" s="8">
        <f>IFERROR(P54/'01_PARAMETRES'!$B$15,0)</f>
        <v>1</v>
      </c>
      <c r="R54" s="10">
        <f>IFERROR(COUNTIFS('04_MATRICE_SKILLS'!B:B,A54,'04_MATRICE_SKILLS'!L:L,"Conforme")/MAX(M54,1),0)</f>
        <v>0.83333333333333337</v>
      </c>
    </row>
    <row r="55" spans="1:18" x14ac:dyDescent="0.25">
      <c r="A55" s="3" t="s">
        <v>413</v>
      </c>
      <c r="B55" s="3" t="s">
        <v>344</v>
      </c>
      <c r="C55" s="3" t="s">
        <v>414</v>
      </c>
      <c r="D55" s="3" t="s">
        <v>35</v>
      </c>
      <c r="E55" s="3" t="s">
        <v>52</v>
      </c>
      <c r="F55" s="3" t="s">
        <v>304</v>
      </c>
      <c r="G55" s="3" t="s">
        <v>305</v>
      </c>
      <c r="H55" s="11">
        <v>42739</v>
      </c>
      <c r="I55" s="3" t="s">
        <v>413</v>
      </c>
      <c r="J55" s="3" t="s">
        <v>259</v>
      </c>
      <c r="K55" s="3" t="s">
        <v>260</v>
      </c>
      <c r="L55" s="3">
        <f t="shared" ca="1" si="2"/>
        <v>9</v>
      </c>
      <c r="M55" s="3">
        <f>COUNTIF('04_MATRICE_SKILLS'!B:B,A55)</f>
        <v>7</v>
      </c>
      <c r="N55" s="7">
        <f>IFERROR(AVERAGEIF('04_MATRICE_SKILLS'!B:B,A55,'04_MATRICE_SKILLS'!I:I),0)</f>
        <v>3.5714285714285716</v>
      </c>
      <c r="O55" s="3" t="str">
        <f t="shared" si="3"/>
        <v>OK</v>
      </c>
      <c r="P55" s="3">
        <f>COUNTIFS('04_MATRICE_SKILLS'!B:B,A55,'04_MATRICE_SKILLS'!I:I,"&gt;="&amp;3)</f>
        <v>5</v>
      </c>
      <c r="Q55" s="8">
        <f>IFERROR(P55/'01_PARAMETRES'!$B$15,0)</f>
        <v>1</v>
      </c>
      <c r="R55" s="8">
        <f>IFERROR(COUNTIFS('04_MATRICE_SKILLS'!B:B,A55,'04_MATRICE_SKILLS'!L:L,"Conforme")/MAX(M55,1),0)</f>
        <v>0.5714285714285714</v>
      </c>
    </row>
    <row r="56" spans="1:18" x14ac:dyDescent="0.25">
      <c r="A56" s="2" t="s">
        <v>415</v>
      </c>
      <c r="B56" s="2" t="s">
        <v>347</v>
      </c>
      <c r="C56" s="2" t="s">
        <v>416</v>
      </c>
      <c r="D56" s="2" t="s">
        <v>37</v>
      </c>
      <c r="E56" s="2" t="s">
        <v>52</v>
      </c>
      <c r="F56" s="2" t="s">
        <v>309</v>
      </c>
      <c r="G56" s="2" t="s">
        <v>305</v>
      </c>
      <c r="H56" s="12">
        <v>45420</v>
      </c>
      <c r="I56" s="2" t="s">
        <v>413</v>
      </c>
      <c r="J56" s="2" t="s">
        <v>259</v>
      </c>
      <c r="K56" s="2" t="s">
        <v>260</v>
      </c>
      <c r="L56" s="2">
        <f t="shared" ca="1" si="2"/>
        <v>1</v>
      </c>
      <c r="M56" s="2">
        <f>COUNTIF('04_MATRICE_SKILLS'!B:B,A56)</f>
        <v>7</v>
      </c>
      <c r="N56" s="9">
        <f>IFERROR(AVERAGEIF('04_MATRICE_SKILLS'!B:B,A56,'04_MATRICE_SKILLS'!I:I),0)</f>
        <v>2.7142857142857144</v>
      </c>
      <c r="O56" s="2" t="str">
        <f t="shared" si="3"/>
        <v>OK</v>
      </c>
      <c r="P56" s="2">
        <f>COUNTIFS('04_MATRICE_SKILLS'!B:B,A56,'04_MATRICE_SKILLS'!I:I,"&gt;="&amp;3)</f>
        <v>5</v>
      </c>
      <c r="Q56" s="8">
        <f>IFERROR(P56/'01_PARAMETRES'!$B$15,0)</f>
        <v>1</v>
      </c>
      <c r="R56" s="10">
        <f>IFERROR(COUNTIFS('04_MATRICE_SKILLS'!B:B,A56,'04_MATRICE_SKILLS'!L:L,"Conforme")/MAX(M56,1),0)</f>
        <v>0.2857142857142857</v>
      </c>
    </row>
    <row r="57" spans="1:18" x14ac:dyDescent="0.25">
      <c r="A57" s="3" t="s">
        <v>417</v>
      </c>
      <c r="B57" s="3" t="s">
        <v>350</v>
      </c>
      <c r="C57" s="3" t="s">
        <v>418</v>
      </c>
      <c r="D57" s="3" t="s">
        <v>39</v>
      </c>
      <c r="E57" s="3" t="s">
        <v>46</v>
      </c>
      <c r="F57" s="3" t="s">
        <v>313</v>
      </c>
      <c r="G57" s="3" t="s">
        <v>314</v>
      </c>
      <c r="H57" s="11">
        <v>41550</v>
      </c>
      <c r="I57" s="3" t="s">
        <v>413</v>
      </c>
      <c r="J57" s="3" t="s">
        <v>259</v>
      </c>
      <c r="K57" s="3" t="s">
        <v>260</v>
      </c>
      <c r="L57" s="3">
        <f t="shared" ca="1" si="2"/>
        <v>12</v>
      </c>
      <c r="M57" s="3">
        <f>COUNTIF('04_MATRICE_SKILLS'!B:B,A57)</f>
        <v>11</v>
      </c>
      <c r="N57" s="7">
        <f>IFERROR(AVERAGEIF('04_MATRICE_SKILLS'!B:B,A57,'04_MATRICE_SKILLS'!I:I),0)</f>
        <v>3.2727272727272729</v>
      </c>
      <c r="O57" s="3" t="str">
        <f t="shared" si="3"/>
        <v>OK</v>
      </c>
      <c r="P57" s="3">
        <f>COUNTIFS('04_MATRICE_SKILLS'!B:B,A57,'04_MATRICE_SKILLS'!I:I,"&gt;="&amp;3)</f>
        <v>8</v>
      </c>
      <c r="Q57" s="8">
        <f>IFERROR(P57/'01_PARAMETRES'!$B$15,0)</f>
        <v>1.6</v>
      </c>
      <c r="R57" s="8">
        <f>IFERROR(COUNTIFS('04_MATRICE_SKILLS'!B:B,A57,'04_MATRICE_SKILLS'!L:L,"Conforme")/MAX(M57,1),0)</f>
        <v>0.54545454545454541</v>
      </c>
    </row>
    <row r="58" spans="1:18" x14ac:dyDescent="0.25">
      <c r="A58" s="2" t="s">
        <v>419</v>
      </c>
      <c r="B58" s="2" t="s">
        <v>353</v>
      </c>
      <c r="C58" s="2" t="s">
        <v>420</v>
      </c>
      <c r="D58" s="2" t="s">
        <v>41</v>
      </c>
      <c r="E58" s="2" t="s">
        <v>52</v>
      </c>
      <c r="F58" s="2" t="s">
        <v>318</v>
      </c>
      <c r="G58" s="2" t="s">
        <v>269</v>
      </c>
      <c r="H58" s="12">
        <v>44435</v>
      </c>
      <c r="I58" s="2" t="s">
        <v>413</v>
      </c>
      <c r="J58" s="2" t="s">
        <v>259</v>
      </c>
      <c r="K58" s="2" t="s">
        <v>260</v>
      </c>
      <c r="L58" s="2">
        <f t="shared" ca="1" si="2"/>
        <v>4</v>
      </c>
      <c r="M58" s="2">
        <f>COUNTIF('04_MATRICE_SKILLS'!B:B,A58)</f>
        <v>6</v>
      </c>
      <c r="N58" s="9">
        <f>IFERROR(AVERAGEIF('04_MATRICE_SKILLS'!B:B,A58,'04_MATRICE_SKILLS'!I:I),0)</f>
        <v>3.3333333333333335</v>
      </c>
      <c r="O58" s="2" t="str">
        <f t="shared" si="3"/>
        <v>OK</v>
      </c>
      <c r="P58" s="2">
        <f>COUNTIFS('04_MATRICE_SKILLS'!B:B,A58,'04_MATRICE_SKILLS'!I:I,"&gt;="&amp;3)</f>
        <v>3</v>
      </c>
      <c r="Q58" s="8">
        <f>IFERROR(P58/'01_PARAMETRES'!$B$15,0)</f>
        <v>0.6</v>
      </c>
      <c r="R58" s="10">
        <f>IFERROR(COUNTIFS('04_MATRICE_SKILLS'!B:B,A58,'04_MATRICE_SKILLS'!L:L,"Conforme")/MAX(M58,1),0)</f>
        <v>0.66666666666666663</v>
      </c>
    </row>
    <row r="59" spans="1:18" x14ac:dyDescent="0.25">
      <c r="A59" s="3" t="s">
        <v>421</v>
      </c>
      <c r="B59" s="3" t="s">
        <v>356</v>
      </c>
      <c r="C59" s="3" t="s">
        <v>422</v>
      </c>
      <c r="D59" s="3" t="s">
        <v>43</v>
      </c>
      <c r="E59" s="3" t="s">
        <v>46</v>
      </c>
      <c r="F59" s="3" t="s">
        <v>322</v>
      </c>
      <c r="G59" s="3" t="s">
        <v>296</v>
      </c>
      <c r="H59" s="11">
        <v>44829</v>
      </c>
      <c r="I59" s="3" t="s">
        <v>413</v>
      </c>
      <c r="J59" s="3" t="s">
        <v>259</v>
      </c>
      <c r="K59" s="3" t="s">
        <v>260</v>
      </c>
      <c r="L59" s="3">
        <f t="shared" ca="1" si="2"/>
        <v>3</v>
      </c>
      <c r="M59" s="3">
        <f>COUNTIF('04_MATRICE_SKILLS'!B:B,A59)</f>
        <v>7</v>
      </c>
      <c r="N59" s="7">
        <f>IFERROR(AVERAGEIF('04_MATRICE_SKILLS'!B:B,A59,'04_MATRICE_SKILLS'!I:I),0)</f>
        <v>2.7142857142857144</v>
      </c>
      <c r="O59" s="3" t="str">
        <f t="shared" si="3"/>
        <v>OK</v>
      </c>
      <c r="P59" s="3">
        <f>COUNTIFS('04_MATRICE_SKILLS'!B:B,A59,'04_MATRICE_SKILLS'!I:I,"&gt;="&amp;3)</f>
        <v>4</v>
      </c>
      <c r="Q59" s="8">
        <f>IFERROR(P59/'01_PARAMETRES'!$B$15,0)</f>
        <v>0.8</v>
      </c>
      <c r="R59" s="8">
        <f>IFERROR(COUNTIFS('04_MATRICE_SKILLS'!B:B,A59,'04_MATRICE_SKILLS'!L:L,"Conforme")/MAX(M59,1),0)</f>
        <v>0.7142857142857143</v>
      </c>
    </row>
    <row r="60" spans="1:18" x14ac:dyDescent="0.25">
      <c r="A60" s="2" t="s">
        <v>423</v>
      </c>
      <c r="B60" s="2" t="s">
        <v>359</v>
      </c>
      <c r="C60" s="2" t="s">
        <v>424</v>
      </c>
      <c r="D60" s="2" t="s">
        <v>35</v>
      </c>
      <c r="E60" s="2" t="s">
        <v>48</v>
      </c>
      <c r="F60" s="2" t="s">
        <v>326</v>
      </c>
      <c r="G60" s="2" t="s">
        <v>269</v>
      </c>
      <c r="H60" s="12">
        <v>41229</v>
      </c>
      <c r="I60" s="2" t="s">
        <v>423</v>
      </c>
      <c r="J60" s="2" t="s">
        <v>278</v>
      </c>
      <c r="K60" s="2" t="s">
        <v>260</v>
      </c>
      <c r="L60" s="2">
        <f t="shared" ca="1" si="2"/>
        <v>13</v>
      </c>
      <c r="M60" s="2">
        <f>COUNTIF('04_MATRICE_SKILLS'!B:B,A60)</f>
        <v>6</v>
      </c>
      <c r="N60" s="9">
        <f>IFERROR(AVERAGEIF('04_MATRICE_SKILLS'!B:B,A60,'04_MATRICE_SKILLS'!I:I),0)</f>
        <v>4.166666666666667</v>
      </c>
      <c r="O60" s="2" t="str">
        <f t="shared" si="3"/>
        <v>OK</v>
      </c>
      <c r="P60" s="2">
        <f>COUNTIFS('04_MATRICE_SKILLS'!B:B,A60,'04_MATRICE_SKILLS'!I:I,"&gt;="&amp;3)</f>
        <v>6</v>
      </c>
      <c r="Q60" s="8">
        <f>IFERROR(P60/'01_PARAMETRES'!$B$15,0)</f>
        <v>1.2</v>
      </c>
      <c r="R60" s="10">
        <f>IFERROR(COUNTIFS('04_MATRICE_SKILLS'!B:B,A60,'04_MATRICE_SKILLS'!L:L,"Conforme")/MAX(M60,1),0)</f>
        <v>0.83333333333333337</v>
      </c>
    </row>
    <row r="61" spans="1:18" x14ac:dyDescent="0.25">
      <c r="A61" s="3" t="s">
        <v>425</v>
      </c>
      <c r="B61" s="3" t="s">
        <v>362</v>
      </c>
      <c r="C61" s="3" t="s">
        <v>426</v>
      </c>
      <c r="D61" s="3" t="s">
        <v>37</v>
      </c>
      <c r="E61" s="3" t="s">
        <v>50</v>
      </c>
      <c r="F61" s="3" t="s">
        <v>330</v>
      </c>
      <c r="G61" s="3" t="s">
        <v>296</v>
      </c>
      <c r="H61" s="11">
        <v>41046</v>
      </c>
      <c r="I61" s="3" t="s">
        <v>423</v>
      </c>
      <c r="J61" s="3" t="s">
        <v>291</v>
      </c>
      <c r="K61" s="3" t="s">
        <v>260</v>
      </c>
      <c r="L61" s="3">
        <f t="shared" ca="1" si="2"/>
        <v>13</v>
      </c>
      <c r="M61" s="3">
        <f>COUNTIF('04_MATRICE_SKILLS'!B:B,A61)</f>
        <v>6</v>
      </c>
      <c r="N61" s="7">
        <f>IFERROR(AVERAGEIF('04_MATRICE_SKILLS'!B:B,A61,'04_MATRICE_SKILLS'!I:I),0)</f>
        <v>3.8333333333333335</v>
      </c>
      <c r="O61" s="3" t="str">
        <f t="shared" si="3"/>
        <v>OK</v>
      </c>
      <c r="P61" s="3">
        <f>COUNTIFS('04_MATRICE_SKILLS'!B:B,A61,'04_MATRICE_SKILLS'!I:I,"&gt;="&amp;3)</f>
        <v>5</v>
      </c>
      <c r="Q61" s="8">
        <f>IFERROR(P61/'01_PARAMETRES'!$B$15,0)</f>
        <v>1</v>
      </c>
      <c r="R61" s="8">
        <f>IFERROR(COUNTIFS('04_MATRICE_SKILLS'!B:B,A61,'04_MATRICE_SKILLS'!L:L,"Conforme")/MAX(M61,1),0)</f>
        <v>0.83333333333333337</v>
      </c>
    </row>
    <row r="62" spans="1:18" x14ac:dyDescent="0.25">
      <c r="A62" s="2" t="s">
        <v>427</v>
      </c>
      <c r="B62" s="2" t="s">
        <v>365</v>
      </c>
      <c r="C62" s="2" t="s">
        <v>428</v>
      </c>
      <c r="D62" s="2" t="s">
        <v>39</v>
      </c>
      <c r="E62" s="2" t="s">
        <v>46</v>
      </c>
      <c r="F62" s="2" t="s">
        <v>334</v>
      </c>
      <c r="G62" s="2" t="s">
        <v>269</v>
      </c>
      <c r="H62" s="12">
        <v>42478</v>
      </c>
      <c r="I62" s="2" t="s">
        <v>423</v>
      </c>
      <c r="J62" s="2" t="s">
        <v>259</v>
      </c>
      <c r="K62" s="2" t="s">
        <v>260</v>
      </c>
      <c r="L62" s="2">
        <f t="shared" ca="1" si="2"/>
        <v>9</v>
      </c>
      <c r="M62" s="2">
        <f>COUNTIF('04_MATRICE_SKILLS'!B:B,A62)</f>
        <v>7</v>
      </c>
      <c r="N62" s="9">
        <f>IFERROR(AVERAGEIF('04_MATRICE_SKILLS'!B:B,A62,'04_MATRICE_SKILLS'!I:I),0)</f>
        <v>2.4285714285714284</v>
      </c>
      <c r="O62" s="2" t="str">
        <f t="shared" si="3"/>
        <v>OK</v>
      </c>
      <c r="P62" s="2">
        <f>COUNTIFS('04_MATRICE_SKILLS'!B:B,A62,'04_MATRICE_SKILLS'!I:I,"&gt;="&amp;3)</f>
        <v>3</v>
      </c>
      <c r="Q62" s="8">
        <f>IFERROR(P62/'01_PARAMETRES'!$B$15,0)</f>
        <v>0.6</v>
      </c>
      <c r="R62" s="10">
        <f>IFERROR(COUNTIFS('04_MATRICE_SKILLS'!B:B,A62,'04_MATRICE_SKILLS'!L:L,"Conforme")/MAX(M62,1),0)</f>
        <v>0.7142857142857143</v>
      </c>
    </row>
    <row r="63" spans="1:18" x14ac:dyDescent="0.25">
      <c r="A63" s="3" t="s">
        <v>429</v>
      </c>
      <c r="B63" s="3" t="s">
        <v>368</v>
      </c>
      <c r="C63" s="3" t="s">
        <v>430</v>
      </c>
      <c r="D63" s="3" t="s">
        <v>41</v>
      </c>
      <c r="E63" s="3" t="s">
        <v>56</v>
      </c>
      <c r="F63" s="3" t="s">
        <v>338</v>
      </c>
      <c r="G63" s="3" t="s">
        <v>305</v>
      </c>
      <c r="H63" s="11">
        <v>44329</v>
      </c>
      <c r="I63" s="3" t="s">
        <v>423</v>
      </c>
      <c r="J63" s="3" t="s">
        <v>259</v>
      </c>
      <c r="K63" s="3" t="s">
        <v>260</v>
      </c>
      <c r="L63" s="3">
        <f t="shared" ca="1" si="2"/>
        <v>4</v>
      </c>
      <c r="M63" s="3">
        <f>COUNTIF('04_MATRICE_SKILLS'!B:B,A63)</f>
        <v>4</v>
      </c>
      <c r="N63" s="7">
        <f>IFERROR(AVERAGEIF('04_MATRICE_SKILLS'!B:B,A63,'04_MATRICE_SKILLS'!I:I),0)</f>
        <v>3.25</v>
      </c>
      <c r="O63" s="3" t="str">
        <f t="shared" si="3"/>
        <v>OK</v>
      </c>
      <c r="P63" s="3">
        <f>COUNTIFS('04_MATRICE_SKILLS'!B:B,A63,'04_MATRICE_SKILLS'!I:I,"&gt;="&amp;3)</f>
        <v>3</v>
      </c>
      <c r="Q63" s="8">
        <f>IFERROR(P63/'01_PARAMETRES'!$B$15,0)</f>
        <v>0.6</v>
      </c>
      <c r="R63" s="8">
        <f>IFERROR(COUNTIFS('04_MATRICE_SKILLS'!B:B,A63,'04_MATRICE_SKILLS'!L:L,"Conforme")/MAX(M63,1),0)</f>
        <v>1</v>
      </c>
    </row>
    <row r="64" spans="1:18" x14ac:dyDescent="0.25">
      <c r="A64" s="2" t="s">
        <v>431</v>
      </c>
      <c r="B64" s="2" t="s">
        <v>371</v>
      </c>
      <c r="C64" s="2" t="s">
        <v>432</v>
      </c>
      <c r="D64" s="2" t="s">
        <v>43</v>
      </c>
      <c r="E64" s="2" t="s">
        <v>54</v>
      </c>
      <c r="F64" s="2" t="s">
        <v>342</v>
      </c>
      <c r="G64" s="2" t="s">
        <v>305</v>
      </c>
      <c r="H64" s="12">
        <v>42993</v>
      </c>
      <c r="I64" s="2" t="s">
        <v>423</v>
      </c>
      <c r="J64" s="2" t="s">
        <v>259</v>
      </c>
      <c r="K64" s="2" t="s">
        <v>260</v>
      </c>
      <c r="L64" s="2">
        <f t="shared" ca="1" si="2"/>
        <v>8</v>
      </c>
      <c r="M64" s="2">
        <f>COUNTIF('04_MATRICE_SKILLS'!B:B,A64)</f>
        <v>6</v>
      </c>
      <c r="N64" s="9">
        <f>IFERROR(AVERAGEIF('04_MATRICE_SKILLS'!B:B,A64,'04_MATRICE_SKILLS'!I:I),0)</f>
        <v>2.8333333333333335</v>
      </c>
      <c r="O64" s="2" t="str">
        <f t="shared" si="3"/>
        <v>OK</v>
      </c>
      <c r="P64" s="2">
        <f>COUNTIFS('04_MATRICE_SKILLS'!B:B,A64,'04_MATRICE_SKILLS'!I:I,"&gt;="&amp;3)</f>
        <v>4</v>
      </c>
      <c r="Q64" s="8">
        <f>IFERROR(P64/'01_PARAMETRES'!$B$15,0)</f>
        <v>0.8</v>
      </c>
      <c r="R64" s="10">
        <f>IFERROR(COUNTIFS('04_MATRICE_SKILLS'!B:B,A64,'04_MATRICE_SKILLS'!L:L,"Conforme")/MAX(M64,1),0)</f>
        <v>0.66666666666666663</v>
      </c>
    </row>
  </sheetData>
  <autoFilter ref="A4:R64" xr:uid="{00000000-0009-0000-0000-000002000000}"/>
  <mergeCells count="2">
    <mergeCell ref="A2:R2"/>
    <mergeCell ref="A1:R1"/>
  </mergeCells>
  <conditionalFormatting sqref="N5:N64">
    <cfRule type="colorScale" priority="1">
      <colorScale>
        <cfvo type="num" val="1"/>
        <cfvo type="num" val="3"/>
        <cfvo type="num" val="5"/>
        <color rgb="FFE74C3C"/>
        <color rgb="FFF1C40F"/>
        <color rgb="FF27AE60"/>
      </colorScale>
    </cfRule>
  </conditionalFormatting>
  <conditionalFormatting sqref="Q5:Q64">
    <cfRule type="dataBar" priority="2">
      <dataBar>
        <cfvo type="num" val="0"/>
        <cfvo type="num" val="1.5"/>
        <color rgb="FFD4AF37"/>
      </dataBar>
    </cfRule>
  </conditionalFormatting>
  <dataValidations count="3">
    <dataValidation type="list" sqref="E5:E64" xr:uid="{00000000-0002-0000-0200-000001000000}">
      <formula1>"Production,Maintenance (MRO),Bureau d'etudes,Qualite,Supply Chain,HSE"</formula1>
    </dataValidation>
    <dataValidation type="list" sqref="G5:G64" xr:uid="{00000000-0002-0000-0200-000002000000}">
      <formula1>"Operateur,Technicien,Ingenieur,Cadre,Manager"</formula1>
    </dataValidation>
    <dataValidation type="list" sqref="K5:K64" xr:uid="{00000000-0002-0000-0200-000003000000}">
      <formula1>"Actif,Inactif,Suspendu"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Attention" error="Ce site n'est pas dans la liste des sites référencés dans 01_PARAMETRES." promptTitle="Site" prompt="Sélectionnez le site" xr:uid="{00000000-0002-0000-0200-000000000000}">
          <x14:formula1>
            <xm:f>'01_PARAMETRES'!$B$20:$B$24</xm:f>
          </x14:formula1>
          <xm:sqref>D5:D64</xm:sqref>
        </x14:dataValidation>
        <x14:dataValidation type="list" errorStyle="warning" allowBlank="1" showInputMessage="1" showErrorMessage="1" errorTitle="Attention" error="Cette BU n'est pas dans la liste des BUs référencées dans 01_PARAMETRES." promptTitle="Business Unit" prompt="Sélectionnez la BU" xr:uid="{075A293D-EDFB-4101-A38E-EB6557E2471B}">
          <x14:formula1>
            <xm:f>'01_PARAMETRES'!$B$27:$B$32</xm:f>
          </x14:formula1>
          <xm:sqref>J5:J64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O432"/>
  <sheetViews>
    <sheetView workbookViewId="0">
      <pane xSplit="4" ySplit="4" topLeftCell="E10" activePane="bottomRight" state="frozen"/>
      <selection pane="topRight"/>
      <selection pane="bottomLeft"/>
      <selection pane="bottomRight" sqref="A1:O1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2" customWidth="1"/>
    <col min="4" max="4" width="18" customWidth="1"/>
    <col min="5" max="5" width="25" customWidth="1"/>
    <col min="6" max="6" width="12" customWidth="1"/>
    <col min="7" max="7" width="18" customWidth="1"/>
    <col min="8" max="8" width="12" customWidth="1"/>
    <col min="9" max="10" width="10" customWidth="1"/>
    <col min="11" max="11" width="8" customWidth="1"/>
    <col min="12" max="12" width="16" customWidth="1"/>
    <col min="13" max="13" width="12" customWidth="1"/>
    <col min="14" max="14" width="14" customWidth="1"/>
    <col min="15" max="15" width="24" customWidth="1"/>
  </cols>
  <sheetData>
    <row r="1" spans="1:15" ht="36" customHeight="1" x14ac:dyDescent="0.25">
      <c r="A1" s="19" t="s">
        <v>433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20" t="s">
        <v>434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1" t="s">
        <v>435</v>
      </c>
      <c r="B4" s="1" t="s">
        <v>240</v>
      </c>
      <c r="C4" s="1" t="s">
        <v>436</v>
      </c>
      <c r="D4" s="1" t="s">
        <v>243</v>
      </c>
      <c r="E4" s="1" t="s">
        <v>245</v>
      </c>
      <c r="F4" s="1" t="s">
        <v>437</v>
      </c>
      <c r="G4" s="1" t="s">
        <v>75</v>
      </c>
      <c r="H4" s="1" t="s">
        <v>77</v>
      </c>
      <c r="I4" s="1" t="s">
        <v>438</v>
      </c>
      <c r="J4" s="1" t="s">
        <v>439</v>
      </c>
      <c r="K4" s="1" t="s">
        <v>440</v>
      </c>
      <c r="L4" s="1" t="s">
        <v>249</v>
      </c>
      <c r="M4" s="1" t="s">
        <v>441</v>
      </c>
      <c r="N4" s="1" t="s">
        <v>442</v>
      </c>
      <c r="O4" s="1" t="s">
        <v>443</v>
      </c>
    </row>
    <row r="5" spans="1:15" x14ac:dyDescent="0.25">
      <c r="A5" s="3" t="s">
        <v>444</v>
      </c>
      <c r="B5" s="3" t="s">
        <v>254</v>
      </c>
      <c r="C5" s="3" t="s">
        <v>445</v>
      </c>
      <c r="D5" s="3" t="s">
        <v>35</v>
      </c>
      <c r="E5" s="3" t="s">
        <v>257</v>
      </c>
      <c r="F5" s="3" t="s">
        <v>97</v>
      </c>
      <c r="G5" s="3" t="s">
        <v>99</v>
      </c>
      <c r="H5" s="3" t="s">
        <v>103</v>
      </c>
      <c r="I5" s="3">
        <v>3</v>
      </c>
      <c r="J5" s="3">
        <v>4</v>
      </c>
      <c r="K5" s="3">
        <f t="shared" ref="K5:K68" si="0">IF(J5="","",I5-J5)</f>
        <v>-1</v>
      </c>
      <c r="L5" s="3" t="str">
        <f t="shared" ref="L5:L68" si="1">IF(J5="","Bonus",IF(K5&gt;=0,"Conforme",IF(K5=-1,"Ecart mineur","Ecart critique")))</f>
        <v>Ecart mineur</v>
      </c>
      <c r="M5" s="3" t="s">
        <v>446</v>
      </c>
      <c r="N5" s="11">
        <v>46072</v>
      </c>
      <c r="O5" s="3"/>
    </row>
    <row r="6" spans="1:15" x14ac:dyDescent="0.25">
      <c r="A6" s="2" t="s">
        <v>447</v>
      </c>
      <c r="B6" s="2" t="s">
        <v>254</v>
      </c>
      <c r="C6" s="2" t="s">
        <v>445</v>
      </c>
      <c r="D6" s="2" t="s">
        <v>35</v>
      </c>
      <c r="E6" s="2" t="s">
        <v>257</v>
      </c>
      <c r="F6" s="2" t="s">
        <v>104</v>
      </c>
      <c r="G6" s="2" t="s">
        <v>99</v>
      </c>
      <c r="H6" s="2" t="s">
        <v>108</v>
      </c>
      <c r="I6" s="2">
        <v>3</v>
      </c>
      <c r="J6" s="2">
        <v>3</v>
      </c>
      <c r="K6" s="2">
        <f t="shared" si="0"/>
        <v>0</v>
      </c>
      <c r="L6" s="2" t="str">
        <f t="shared" si="1"/>
        <v>Conforme</v>
      </c>
      <c r="M6" s="2" t="s">
        <v>448</v>
      </c>
      <c r="N6" s="12">
        <v>45959</v>
      </c>
      <c r="O6" s="2"/>
    </row>
    <row r="7" spans="1:15" x14ac:dyDescent="0.25">
      <c r="A7" s="3" t="s">
        <v>449</v>
      </c>
      <c r="B7" s="3" t="s">
        <v>254</v>
      </c>
      <c r="C7" s="3" t="s">
        <v>445</v>
      </c>
      <c r="D7" s="3" t="s">
        <v>35</v>
      </c>
      <c r="E7" s="3" t="s">
        <v>257</v>
      </c>
      <c r="F7" s="3" t="s">
        <v>118</v>
      </c>
      <c r="G7" s="3" t="s">
        <v>120</v>
      </c>
      <c r="H7" s="3" t="s">
        <v>108</v>
      </c>
      <c r="I7" s="3">
        <v>1</v>
      </c>
      <c r="J7" s="3">
        <v>2</v>
      </c>
      <c r="K7" s="3">
        <f t="shared" si="0"/>
        <v>-1</v>
      </c>
      <c r="L7" s="3" t="str">
        <f t="shared" si="1"/>
        <v>Ecart mineur</v>
      </c>
      <c r="M7" s="3" t="s">
        <v>450</v>
      </c>
      <c r="N7" s="11">
        <v>45782</v>
      </c>
      <c r="O7" s="3"/>
    </row>
    <row r="8" spans="1:15" x14ac:dyDescent="0.25">
      <c r="A8" s="2" t="s">
        <v>451</v>
      </c>
      <c r="B8" s="2" t="s">
        <v>254</v>
      </c>
      <c r="C8" s="2" t="s">
        <v>445</v>
      </c>
      <c r="D8" s="2" t="s">
        <v>35</v>
      </c>
      <c r="E8" s="2" t="s">
        <v>257</v>
      </c>
      <c r="F8" s="2" t="s">
        <v>124</v>
      </c>
      <c r="G8" s="2" t="s">
        <v>120</v>
      </c>
      <c r="H8" s="2" t="s">
        <v>108</v>
      </c>
      <c r="I8" s="2">
        <v>1</v>
      </c>
      <c r="J8" s="2"/>
      <c r="K8" s="2" t="str">
        <f t="shared" si="0"/>
        <v/>
      </c>
      <c r="L8" s="2" t="str">
        <f t="shared" si="1"/>
        <v>Bonus</v>
      </c>
      <c r="M8" s="2" t="s">
        <v>448</v>
      </c>
      <c r="N8" s="12">
        <v>45973</v>
      </c>
      <c r="O8" s="2"/>
    </row>
    <row r="9" spans="1:15" x14ac:dyDescent="0.25">
      <c r="A9" s="3" t="s">
        <v>452</v>
      </c>
      <c r="B9" s="3" t="s">
        <v>254</v>
      </c>
      <c r="C9" s="3" t="s">
        <v>445</v>
      </c>
      <c r="D9" s="3" t="s">
        <v>35</v>
      </c>
      <c r="E9" s="3" t="s">
        <v>257</v>
      </c>
      <c r="F9" s="3" t="s">
        <v>131</v>
      </c>
      <c r="G9" s="3" t="s">
        <v>120</v>
      </c>
      <c r="H9" s="3" t="s">
        <v>103</v>
      </c>
      <c r="I9" s="3">
        <v>1</v>
      </c>
      <c r="J9" s="3"/>
      <c r="K9" s="3" t="str">
        <f t="shared" si="0"/>
        <v/>
      </c>
      <c r="L9" s="3" t="str">
        <f t="shared" si="1"/>
        <v>Bonus</v>
      </c>
      <c r="M9" s="3" t="s">
        <v>446</v>
      </c>
      <c r="N9" s="11">
        <v>45752</v>
      </c>
      <c r="O9" s="3"/>
    </row>
    <row r="10" spans="1:15" ht="25.5" x14ac:dyDescent="0.25">
      <c r="A10" s="2" t="s">
        <v>453</v>
      </c>
      <c r="B10" s="2" t="s">
        <v>254</v>
      </c>
      <c r="C10" s="2" t="s">
        <v>445</v>
      </c>
      <c r="D10" s="2" t="s">
        <v>35</v>
      </c>
      <c r="E10" s="2" t="s">
        <v>257</v>
      </c>
      <c r="F10" s="2" t="s">
        <v>152</v>
      </c>
      <c r="G10" s="2" t="s">
        <v>141</v>
      </c>
      <c r="H10" s="2" t="s">
        <v>108</v>
      </c>
      <c r="I10" s="2">
        <v>1</v>
      </c>
      <c r="J10" s="2"/>
      <c r="K10" s="2" t="str">
        <f t="shared" si="0"/>
        <v/>
      </c>
      <c r="L10" s="2" t="str">
        <f t="shared" si="1"/>
        <v>Bonus</v>
      </c>
      <c r="M10" s="2" t="s">
        <v>450</v>
      </c>
      <c r="N10" s="12">
        <v>45868</v>
      </c>
      <c r="O10" s="2"/>
    </row>
    <row r="11" spans="1:15" x14ac:dyDescent="0.25">
      <c r="A11" s="3" t="s">
        <v>454</v>
      </c>
      <c r="B11" s="3" t="s">
        <v>254</v>
      </c>
      <c r="C11" s="3" t="s">
        <v>445</v>
      </c>
      <c r="D11" s="3" t="s">
        <v>35</v>
      </c>
      <c r="E11" s="3" t="s">
        <v>257</v>
      </c>
      <c r="F11" s="3" t="s">
        <v>193</v>
      </c>
      <c r="G11" s="3" t="s">
        <v>50</v>
      </c>
      <c r="H11" s="3" t="s">
        <v>103</v>
      </c>
      <c r="I11" s="3">
        <v>2</v>
      </c>
      <c r="J11" s="3"/>
      <c r="K11" s="3" t="str">
        <f t="shared" si="0"/>
        <v/>
      </c>
      <c r="L11" s="3" t="str">
        <f t="shared" si="1"/>
        <v>Bonus</v>
      </c>
      <c r="M11" s="3" t="s">
        <v>448</v>
      </c>
      <c r="N11" s="11">
        <v>45810</v>
      </c>
      <c r="O11" s="3"/>
    </row>
    <row r="12" spans="1:15" x14ac:dyDescent="0.25">
      <c r="A12" s="2" t="s">
        <v>455</v>
      </c>
      <c r="B12" s="2" t="s">
        <v>254</v>
      </c>
      <c r="C12" s="2" t="s">
        <v>445</v>
      </c>
      <c r="D12" s="2" t="s">
        <v>35</v>
      </c>
      <c r="E12" s="2" t="s">
        <v>257</v>
      </c>
      <c r="F12" s="2" t="s">
        <v>202</v>
      </c>
      <c r="G12" s="2" t="s">
        <v>50</v>
      </c>
      <c r="H12" s="2" t="s">
        <v>108</v>
      </c>
      <c r="I12" s="2">
        <v>3</v>
      </c>
      <c r="J12" s="2">
        <v>2</v>
      </c>
      <c r="K12" s="2">
        <f t="shared" si="0"/>
        <v>1</v>
      </c>
      <c r="L12" s="2" t="str">
        <f t="shared" si="1"/>
        <v>Conforme</v>
      </c>
      <c r="M12" s="2" t="s">
        <v>446</v>
      </c>
      <c r="N12" s="12">
        <v>46044</v>
      </c>
      <c r="O12" s="2"/>
    </row>
    <row r="13" spans="1:15" x14ac:dyDescent="0.25">
      <c r="A13" s="3" t="s">
        <v>456</v>
      </c>
      <c r="B13" s="3" t="s">
        <v>254</v>
      </c>
      <c r="C13" s="3" t="s">
        <v>445</v>
      </c>
      <c r="D13" s="3" t="s">
        <v>35</v>
      </c>
      <c r="E13" s="3" t="s">
        <v>257</v>
      </c>
      <c r="F13" s="3" t="s">
        <v>218</v>
      </c>
      <c r="G13" s="3" t="s">
        <v>214</v>
      </c>
      <c r="H13" s="3" t="s">
        <v>108</v>
      </c>
      <c r="I13" s="3">
        <v>3</v>
      </c>
      <c r="J13" s="3">
        <v>2</v>
      </c>
      <c r="K13" s="3">
        <f t="shared" si="0"/>
        <v>1</v>
      </c>
      <c r="L13" s="3" t="str">
        <f t="shared" si="1"/>
        <v>Conforme</v>
      </c>
      <c r="M13" s="3" t="s">
        <v>448</v>
      </c>
      <c r="N13" s="11">
        <v>45789</v>
      </c>
      <c r="O13" s="3"/>
    </row>
    <row r="14" spans="1:15" x14ac:dyDescent="0.25">
      <c r="A14" s="2" t="s">
        <v>457</v>
      </c>
      <c r="B14" s="2" t="s">
        <v>254</v>
      </c>
      <c r="C14" s="2" t="s">
        <v>445</v>
      </c>
      <c r="D14" s="2" t="s">
        <v>35</v>
      </c>
      <c r="E14" s="2" t="s">
        <v>257</v>
      </c>
      <c r="F14" s="2" t="s">
        <v>223</v>
      </c>
      <c r="G14" s="2" t="s">
        <v>214</v>
      </c>
      <c r="H14" s="2" t="s">
        <v>145</v>
      </c>
      <c r="I14" s="2">
        <v>1</v>
      </c>
      <c r="J14" s="2">
        <v>1</v>
      </c>
      <c r="K14" s="2">
        <f t="shared" si="0"/>
        <v>0</v>
      </c>
      <c r="L14" s="2" t="str">
        <f t="shared" si="1"/>
        <v>Conforme</v>
      </c>
      <c r="M14" s="2" t="s">
        <v>446</v>
      </c>
      <c r="N14" s="12">
        <v>46061</v>
      </c>
      <c r="O14" s="2"/>
    </row>
    <row r="15" spans="1:15" x14ac:dyDescent="0.25">
      <c r="A15" s="3" t="s">
        <v>458</v>
      </c>
      <c r="B15" s="3" t="s">
        <v>261</v>
      </c>
      <c r="C15" s="3" t="s">
        <v>459</v>
      </c>
      <c r="D15" s="3" t="s">
        <v>37</v>
      </c>
      <c r="E15" s="3" t="s">
        <v>264</v>
      </c>
      <c r="F15" s="3" t="s">
        <v>97</v>
      </c>
      <c r="G15" s="3" t="s">
        <v>99</v>
      </c>
      <c r="H15" s="3" t="s">
        <v>103</v>
      </c>
      <c r="I15" s="3">
        <v>3</v>
      </c>
      <c r="J15" s="3">
        <v>3</v>
      </c>
      <c r="K15" s="3">
        <f t="shared" si="0"/>
        <v>0</v>
      </c>
      <c r="L15" s="3" t="str">
        <f t="shared" si="1"/>
        <v>Conforme</v>
      </c>
      <c r="M15" s="3" t="s">
        <v>448</v>
      </c>
      <c r="N15" s="11">
        <v>45965</v>
      </c>
      <c r="O15" s="3"/>
    </row>
    <row r="16" spans="1:15" x14ac:dyDescent="0.25">
      <c r="A16" s="2" t="s">
        <v>460</v>
      </c>
      <c r="B16" s="2" t="s">
        <v>261</v>
      </c>
      <c r="C16" s="2" t="s">
        <v>459</v>
      </c>
      <c r="D16" s="2" t="s">
        <v>37</v>
      </c>
      <c r="E16" s="2" t="s">
        <v>264</v>
      </c>
      <c r="F16" s="2" t="s">
        <v>104</v>
      </c>
      <c r="G16" s="2" t="s">
        <v>99</v>
      </c>
      <c r="H16" s="2" t="s">
        <v>108</v>
      </c>
      <c r="I16" s="2">
        <v>5</v>
      </c>
      <c r="J16" s="2">
        <v>4</v>
      </c>
      <c r="K16" s="2">
        <f t="shared" si="0"/>
        <v>1</v>
      </c>
      <c r="L16" s="2" t="str">
        <f t="shared" si="1"/>
        <v>Conforme</v>
      </c>
      <c r="M16" s="2" t="s">
        <v>450</v>
      </c>
      <c r="N16" s="12">
        <v>45942</v>
      </c>
      <c r="O16" s="2" t="s">
        <v>461</v>
      </c>
    </row>
    <row r="17" spans="1:15" x14ac:dyDescent="0.25">
      <c r="A17" s="3" t="s">
        <v>462</v>
      </c>
      <c r="B17" s="3" t="s">
        <v>261</v>
      </c>
      <c r="C17" s="3" t="s">
        <v>459</v>
      </c>
      <c r="D17" s="3" t="s">
        <v>37</v>
      </c>
      <c r="E17" s="3" t="s">
        <v>264</v>
      </c>
      <c r="F17" s="3" t="s">
        <v>113</v>
      </c>
      <c r="G17" s="3" t="s">
        <v>99</v>
      </c>
      <c r="H17" s="3" t="s">
        <v>108</v>
      </c>
      <c r="I17" s="3">
        <v>5</v>
      </c>
      <c r="J17" s="3">
        <v>3</v>
      </c>
      <c r="K17" s="3">
        <f t="shared" si="0"/>
        <v>2</v>
      </c>
      <c r="L17" s="3" t="str">
        <f t="shared" si="1"/>
        <v>Conforme</v>
      </c>
      <c r="M17" s="3" t="s">
        <v>450</v>
      </c>
      <c r="N17" s="11">
        <v>46001</v>
      </c>
      <c r="O17" s="3" t="s">
        <v>461</v>
      </c>
    </row>
    <row r="18" spans="1:15" x14ac:dyDescent="0.25">
      <c r="A18" s="2" t="s">
        <v>463</v>
      </c>
      <c r="B18" s="2" t="s">
        <v>261</v>
      </c>
      <c r="C18" s="2" t="s">
        <v>459</v>
      </c>
      <c r="D18" s="2" t="s">
        <v>37</v>
      </c>
      <c r="E18" s="2" t="s">
        <v>264</v>
      </c>
      <c r="F18" s="2" t="s">
        <v>118</v>
      </c>
      <c r="G18" s="2" t="s">
        <v>120</v>
      </c>
      <c r="H18" s="2" t="s">
        <v>108</v>
      </c>
      <c r="I18" s="2">
        <v>4</v>
      </c>
      <c r="J18" s="2">
        <v>2</v>
      </c>
      <c r="K18" s="2">
        <f t="shared" si="0"/>
        <v>2</v>
      </c>
      <c r="L18" s="2" t="str">
        <f t="shared" si="1"/>
        <v>Conforme</v>
      </c>
      <c r="M18" s="2" t="s">
        <v>446</v>
      </c>
      <c r="N18" s="12">
        <v>45977</v>
      </c>
      <c r="O18" s="2" t="s">
        <v>461</v>
      </c>
    </row>
    <row r="19" spans="1:15" x14ac:dyDescent="0.25">
      <c r="A19" s="3" t="s">
        <v>464</v>
      </c>
      <c r="B19" s="3" t="s">
        <v>261</v>
      </c>
      <c r="C19" s="3" t="s">
        <v>459</v>
      </c>
      <c r="D19" s="3" t="s">
        <v>37</v>
      </c>
      <c r="E19" s="3" t="s">
        <v>264</v>
      </c>
      <c r="F19" s="3" t="s">
        <v>190</v>
      </c>
      <c r="G19" s="3" t="s">
        <v>50</v>
      </c>
      <c r="H19" s="3" t="s">
        <v>145</v>
      </c>
      <c r="I19" s="3">
        <v>2</v>
      </c>
      <c r="J19" s="3"/>
      <c r="K19" s="3" t="str">
        <f t="shared" si="0"/>
        <v/>
      </c>
      <c r="L19" s="3" t="str">
        <f t="shared" si="1"/>
        <v>Bonus</v>
      </c>
      <c r="M19" s="3" t="s">
        <v>450</v>
      </c>
      <c r="N19" s="11">
        <v>45879</v>
      </c>
      <c r="O19" s="3"/>
    </row>
    <row r="20" spans="1:15" x14ac:dyDescent="0.25">
      <c r="A20" s="2" t="s">
        <v>465</v>
      </c>
      <c r="B20" s="2" t="s">
        <v>261</v>
      </c>
      <c r="C20" s="2" t="s">
        <v>459</v>
      </c>
      <c r="D20" s="2" t="s">
        <v>37</v>
      </c>
      <c r="E20" s="2" t="s">
        <v>264</v>
      </c>
      <c r="F20" s="2" t="s">
        <v>193</v>
      </c>
      <c r="G20" s="2" t="s">
        <v>50</v>
      </c>
      <c r="H20" s="2" t="s">
        <v>103</v>
      </c>
      <c r="I20" s="2">
        <v>3</v>
      </c>
      <c r="J20" s="2"/>
      <c r="K20" s="2" t="str">
        <f t="shared" si="0"/>
        <v/>
      </c>
      <c r="L20" s="2" t="str">
        <f t="shared" si="1"/>
        <v>Bonus</v>
      </c>
      <c r="M20" s="2" t="s">
        <v>448</v>
      </c>
      <c r="N20" s="12">
        <v>45923</v>
      </c>
      <c r="O20" s="2"/>
    </row>
    <row r="21" spans="1:15" x14ac:dyDescent="0.25">
      <c r="A21" s="3" t="s">
        <v>466</v>
      </c>
      <c r="B21" s="3" t="s">
        <v>261</v>
      </c>
      <c r="C21" s="3" t="s">
        <v>459</v>
      </c>
      <c r="D21" s="3" t="s">
        <v>37</v>
      </c>
      <c r="E21" s="3" t="s">
        <v>264</v>
      </c>
      <c r="F21" s="3" t="s">
        <v>223</v>
      </c>
      <c r="G21" s="3" t="s">
        <v>214</v>
      </c>
      <c r="H21" s="3" t="s">
        <v>145</v>
      </c>
      <c r="I21" s="3">
        <v>2</v>
      </c>
      <c r="J21" s="3">
        <v>1</v>
      </c>
      <c r="K21" s="3">
        <f t="shared" si="0"/>
        <v>1</v>
      </c>
      <c r="L21" s="3" t="str">
        <f t="shared" si="1"/>
        <v>Conforme</v>
      </c>
      <c r="M21" s="3" t="s">
        <v>446</v>
      </c>
      <c r="N21" s="11">
        <v>45797</v>
      </c>
      <c r="O21" s="3"/>
    </row>
    <row r="22" spans="1:15" x14ac:dyDescent="0.25">
      <c r="A22" s="2" t="s">
        <v>467</v>
      </c>
      <c r="B22" s="2" t="s">
        <v>265</v>
      </c>
      <c r="C22" s="2" t="s">
        <v>468</v>
      </c>
      <c r="D22" s="2" t="s">
        <v>39</v>
      </c>
      <c r="E22" s="2" t="s">
        <v>268</v>
      </c>
      <c r="F22" s="2" t="s">
        <v>118</v>
      </c>
      <c r="G22" s="2" t="s">
        <v>120</v>
      </c>
      <c r="H22" s="2" t="s">
        <v>108</v>
      </c>
      <c r="I22" s="2">
        <v>5</v>
      </c>
      <c r="J22" s="2">
        <v>4</v>
      </c>
      <c r="K22" s="2">
        <f t="shared" si="0"/>
        <v>1</v>
      </c>
      <c r="L22" s="2" t="str">
        <f t="shared" si="1"/>
        <v>Conforme</v>
      </c>
      <c r="M22" s="2" t="s">
        <v>448</v>
      </c>
      <c r="N22" s="12">
        <v>46038</v>
      </c>
      <c r="O22" s="2" t="s">
        <v>461</v>
      </c>
    </row>
    <row r="23" spans="1:15" x14ac:dyDescent="0.25">
      <c r="A23" s="3" t="s">
        <v>469</v>
      </c>
      <c r="B23" s="3" t="s">
        <v>265</v>
      </c>
      <c r="C23" s="3" t="s">
        <v>468</v>
      </c>
      <c r="D23" s="3" t="s">
        <v>39</v>
      </c>
      <c r="E23" s="3" t="s">
        <v>268</v>
      </c>
      <c r="F23" s="3" t="s">
        <v>124</v>
      </c>
      <c r="G23" s="3" t="s">
        <v>120</v>
      </c>
      <c r="H23" s="3" t="s">
        <v>108</v>
      </c>
      <c r="I23" s="3">
        <v>3</v>
      </c>
      <c r="J23" s="3">
        <v>4</v>
      </c>
      <c r="K23" s="3">
        <f t="shared" si="0"/>
        <v>-1</v>
      </c>
      <c r="L23" s="3" t="str">
        <f t="shared" si="1"/>
        <v>Ecart mineur</v>
      </c>
      <c r="M23" s="3" t="s">
        <v>446</v>
      </c>
      <c r="N23" s="11">
        <v>46006</v>
      </c>
      <c r="O23" s="3"/>
    </row>
    <row r="24" spans="1:15" x14ac:dyDescent="0.25">
      <c r="A24" s="2" t="s">
        <v>470</v>
      </c>
      <c r="B24" s="2" t="s">
        <v>265</v>
      </c>
      <c r="C24" s="2" t="s">
        <v>468</v>
      </c>
      <c r="D24" s="2" t="s">
        <v>39</v>
      </c>
      <c r="E24" s="2" t="s">
        <v>268</v>
      </c>
      <c r="F24" s="2" t="s">
        <v>127</v>
      </c>
      <c r="G24" s="2" t="s">
        <v>120</v>
      </c>
      <c r="H24" s="2" t="s">
        <v>103</v>
      </c>
      <c r="I24" s="2">
        <v>3</v>
      </c>
      <c r="J24" s="2">
        <v>3</v>
      </c>
      <c r="K24" s="2">
        <f t="shared" si="0"/>
        <v>0</v>
      </c>
      <c r="L24" s="2" t="str">
        <f t="shared" si="1"/>
        <v>Conforme</v>
      </c>
      <c r="M24" s="2" t="s">
        <v>446</v>
      </c>
      <c r="N24" s="12">
        <v>45868</v>
      </c>
      <c r="O24" s="2"/>
    </row>
    <row r="25" spans="1:15" x14ac:dyDescent="0.25">
      <c r="A25" s="3" t="s">
        <v>471</v>
      </c>
      <c r="B25" s="3" t="s">
        <v>265</v>
      </c>
      <c r="C25" s="3" t="s">
        <v>468</v>
      </c>
      <c r="D25" s="3" t="s">
        <v>39</v>
      </c>
      <c r="E25" s="3" t="s">
        <v>268</v>
      </c>
      <c r="F25" s="3" t="s">
        <v>131</v>
      </c>
      <c r="G25" s="3" t="s">
        <v>120</v>
      </c>
      <c r="H25" s="3" t="s">
        <v>103</v>
      </c>
      <c r="I25" s="3">
        <v>2</v>
      </c>
      <c r="J25" s="3">
        <v>3</v>
      </c>
      <c r="K25" s="3">
        <f t="shared" si="0"/>
        <v>-1</v>
      </c>
      <c r="L25" s="3" t="str">
        <f t="shared" si="1"/>
        <v>Ecart mineur</v>
      </c>
      <c r="M25" s="3" t="s">
        <v>450</v>
      </c>
      <c r="N25" s="11">
        <v>45887</v>
      </c>
      <c r="O25" s="3"/>
    </row>
    <row r="26" spans="1:15" x14ac:dyDescent="0.25">
      <c r="A26" s="2" t="s">
        <v>472</v>
      </c>
      <c r="B26" s="2" t="s">
        <v>265</v>
      </c>
      <c r="C26" s="2" t="s">
        <v>468</v>
      </c>
      <c r="D26" s="2" t="s">
        <v>39</v>
      </c>
      <c r="E26" s="2" t="s">
        <v>268</v>
      </c>
      <c r="F26" s="2" t="s">
        <v>135</v>
      </c>
      <c r="G26" s="2" t="s">
        <v>120</v>
      </c>
      <c r="H26" s="2" t="s">
        <v>108</v>
      </c>
      <c r="I26" s="2">
        <v>5</v>
      </c>
      <c r="J26" s="2">
        <v>3</v>
      </c>
      <c r="K26" s="2">
        <f t="shared" si="0"/>
        <v>2</v>
      </c>
      <c r="L26" s="2" t="str">
        <f t="shared" si="1"/>
        <v>Conforme</v>
      </c>
      <c r="M26" s="2" t="s">
        <v>450</v>
      </c>
      <c r="N26" s="12">
        <v>45814</v>
      </c>
      <c r="O26" s="2" t="s">
        <v>461</v>
      </c>
    </row>
    <row r="27" spans="1:15" ht="25.5" x14ac:dyDescent="0.25">
      <c r="A27" s="3" t="s">
        <v>473</v>
      </c>
      <c r="B27" s="3" t="s">
        <v>265</v>
      </c>
      <c r="C27" s="3" t="s">
        <v>468</v>
      </c>
      <c r="D27" s="3" t="s">
        <v>39</v>
      </c>
      <c r="E27" s="3" t="s">
        <v>268</v>
      </c>
      <c r="F27" s="3" t="s">
        <v>149</v>
      </c>
      <c r="G27" s="3" t="s">
        <v>141</v>
      </c>
      <c r="H27" s="3" t="s">
        <v>145</v>
      </c>
      <c r="I27" s="3">
        <v>3</v>
      </c>
      <c r="J27" s="3"/>
      <c r="K27" s="3" t="str">
        <f t="shared" si="0"/>
        <v/>
      </c>
      <c r="L27" s="3" t="str">
        <f t="shared" si="1"/>
        <v>Bonus</v>
      </c>
      <c r="M27" s="3" t="s">
        <v>446</v>
      </c>
      <c r="N27" s="11">
        <v>46026</v>
      </c>
      <c r="O27" s="3"/>
    </row>
    <row r="28" spans="1:15" x14ac:dyDescent="0.25">
      <c r="A28" s="2" t="s">
        <v>474</v>
      </c>
      <c r="B28" s="2" t="s">
        <v>265</v>
      </c>
      <c r="C28" s="2" t="s">
        <v>468</v>
      </c>
      <c r="D28" s="2" t="s">
        <v>39</v>
      </c>
      <c r="E28" s="2" t="s">
        <v>268</v>
      </c>
      <c r="F28" s="2" t="s">
        <v>181</v>
      </c>
      <c r="G28" s="2" t="s">
        <v>167</v>
      </c>
      <c r="H28" s="2" t="s">
        <v>103</v>
      </c>
      <c r="I28" s="2">
        <v>3</v>
      </c>
      <c r="J28" s="2"/>
      <c r="K28" s="2" t="str">
        <f t="shared" si="0"/>
        <v/>
      </c>
      <c r="L28" s="2" t="str">
        <f t="shared" si="1"/>
        <v>Bonus</v>
      </c>
      <c r="M28" s="2" t="s">
        <v>446</v>
      </c>
      <c r="N28" s="12">
        <v>45950</v>
      </c>
      <c r="O28" s="2"/>
    </row>
    <row r="29" spans="1:15" x14ac:dyDescent="0.25">
      <c r="A29" s="3" t="s">
        <v>475</v>
      </c>
      <c r="B29" s="3" t="s">
        <v>265</v>
      </c>
      <c r="C29" s="3" t="s">
        <v>468</v>
      </c>
      <c r="D29" s="3" t="s">
        <v>39</v>
      </c>
      <c r="E29" s="3" t="s">
        <v>268</v>
      </c>
      <c r="F29" s="3" t="s">
        <v>233</v>
      </c>
      <c r="G29" s="3" t="s">
        <v>214</v>
      </c>
      <c r="H29" s="3" t="s">
        <v>108</v>
      </c>
      <c r="I29" s="3">
        <v>1</v>
      </c>
      <c r="J29" s="3">
        <v>2</v>
      </c>
      <c r="K29" s="3">
        <f t="shared" si="0"/>
        <v>-1</v>
      </c>
      <c r="L29" s="3" t="str">
        <f t="shared" si="1"/>
        <v>Ecart mineur</v>
      </c>
      <c r="M29" s="3" t="s">
        <v>450</v>
      </c>
      <c r="N29" s="11">
        <v>45778</v>
      </c>
      <c r="O29" s="3"/>
    </row>
    <row r="30" spans="1:15" x14ac:dyDescent="0.25">
      <c r="A30" s="2" t="s">
        <v>476</v>
      </c>
      <c r="B30" s="2" t="s">
        <v>270</v>
      </c>
      <c r="C30" s="2" t="s">
        <v>477</v>
      </c>
      <c r="D30" s="2" t="s">
        <v>41</v>
      </c>
      <c r="E30" s="2" t="s">
        <v>273</v>
      </c>
      <c r="F30" s="2" t="s">
        <v>118</v>
      </c>
      <c r="G30" s="2" t="s">
        <v>120</v>
      </c>
      <c r="H30" s="2" t="s">
        <v>108</v>
      </c>
      <c r="I30" s="2">
        <v>5</v>
      </c>
      <c r="J30" s="2">
        <v>5</v>
      </c>
      <c r="K30" s="2">
        <f t="shared" si="0"/>
        <v>0</v>
      </c>
      <c r="L30" s="2" t="str">
        <f t="shared" si="1"/>
        <v>Conforme</v>
      </c>
      <c r="M30" s="2" t="s">
        <v>448</v>
      </c>
      <c r="N30" s="12">
        <v>45962</v>
      </c>
      <c r="O30" s="2" t="s">
        <v>461</v>
      </c>
    </row>
    <row r="31" spans="1:15" x14ac:dyDescent="0.25">
      <c r="A31" s="3" t="s">
        <v>478</v>
      </c>
      <c r="B31" s="3" t="s">
        <v>270</v>
      </c>
      <c r="C31" s="3" t="s">
        <v>477</v>
      </c>
      <c r="D31" s="3" t="s">
        <v>41</v>
      </c>
      <c r="E31" s="3" t="s">
        <v>273</v>
      </c>
      <c r="F31" s="3" t="s">
        <v>124</v>
      </c>
      <c r="G31" s="3" t="s">
        <v>120</v>
      </c>
      <c r="H31" s="3" t="s">
        <v>108</v>
      </c>
      <c r="I31" s="3">
        <v>5</v>
      </c>
      <c r="J31" s="3">
        <v>5</v>
      </c>
      <c r="K31" s="3">
        <f t="shared" si="0"/>
        <v>0</v>
      </c>
      <c r="L31" s="3" t="str">
        <f t="shared" si="1"/>
        <v>Conforme</v>
      </c>
      <c r="M31" s="3" t="s">
        <v>448</v>
      </c>
      <c r="N31" s="11">
        <v>45794</v>
      </c>
      <c r="O31" s="3" t="s">
        <v>461</v>
      </c>
    </row>
    <row r="32" spans="1:15" x14ac:dyDescent="0.25">
      <c r="A32" s="2" t="s">
        <v>479</v>
      </c>
      <c r="B32" s="2" t="s">
        <v>270</v>
      </c>
      <c r="C32" s="2" t="s">
        <v>477</v>
      </c>
      <c r="D32" s="2" t="s">
        <v>41</v>
      </c>
      <c r="E32" s="2" t="s">
        <v>273</v>
      </c>
      <c r="F32" s="2" t="s">
        <v>127</v>
      </c>
      <c r="G32" s="2" t="s">
        <v>120</v>
      </c>
      <c r="H32" s="2" t="s">
        <v>103</v>
      </c>
      <c r="I32" s="2">
        <v>4</v>
      </c>
      <c r="J32" s="2">
        <v>5</v>
      </c>
      <c r="K32" s="2">
        <f t="shared" si="0"/>
        <v>-1</v>
      </c>
      <c r="L32" s="2" t="str">
        <f t="shared" si="1"/>
        <v>Ecart mineur</v>
      </c>
      <c r="M32" s="2" t="s">
        <v>448</v>
      </c>
      <c r="N32" s="12">
        <v>45836</v>
      </c>
      <c r="O32" s="2" t="s">
        <v>461</v>
      </c>
    </row>
    <row r="33" spans="1:15" x14ac:dyDescent="0.25">
      <c r="A33" s="3" t="s">
        <v>480</v>
      </c>
      <c r="B33" s="3" t="s">
        <v>270</v>
      </c>
      <c r="C33" s="3" t="s">
        <v>477</v>
      </c>
      <c r="D33" s="3" t="s">
        <v>41</v>
      </c>
      <c r="E33" s="3" t="s">
        <v>273</v>
      </c>
      <c r="F33" s="3" t="s">
        <v>131</v>
      </c>
      <c r="G33" s="3" t="s">
        <v>120</v>
      </c>
      <c r="H33" s="3" t="s">
        <v>103</v>
      </c>
      <c r="I33" s="3">
        <v>4</v>
      </c>
      <c r="J33" s="3">
        <v>4</v>
      </c>
      <c r="K33" s="3">
        <f t="shared" si="0"/>
        <v>0</v>
      </c>
      <c r="L33" s="3" t="str">
        <f t="shared" si="1"/>
        <v>Conforme</v>
      </c>
      <c r="M33" s="3" t="s">
        <v>446</v>
      </c>
      <c r="N33" s="11">
        <v>46019</v>
      </c>
      <c r="O33" s="3" t="s">
        <v>461</v>
      </c>
    </row>
    <row r="34" spans="1:15" x14ac:dyDescent="0.25">
      <c r="A34" s="2" t="s">
        <v>481</v>
      </c>
      <c r="B34" s="2" t="s">
        <v>270</v>
      </c>
      <c r="C34" s="2" t="s">
        <v>477</v>
      </c>
      <c r="D34" s="2" t="s">
        <v>41</v>
      </c>
      <c r="E34" s="2" t="s">
        <v>273</v>
      </c>
      <c r="F34" s="2" t="s">
        <v>135</v>
      </c>
      <c r="G34" s="2" t="s">
        <v>120</v>
      </c>
      <c r="H34" s="2" t="s">
        <v>108</v>
      </c>
      <c r="I34" s="2">
        <v>5</v>
      </c>
      <c r="J34" s="2">
        <v>4</v>
      </c>
      <c r="K34" s="2">
        <f t="shared" si="0"/>
        <v>1</v>
      </c>
      <c r="L34" s="2" t="str">
        <f t="shared" si="1"/>
        <v>Conforme</v>
      </c>
      <c r="M34" s="2" t="s">
        <v>448</v>
      </c>
      <c r="N34" s="12">
        <v>45803</v>
      </c>
      <c r="O34" s="2" t="s">
        <v>461</v>
      </c>
    </row>
    <row r="35" spans="1:15" x14ac:dyDescent="0.25">
      <c r="A35" s="3" t="s">
        <v>482</v>
      </c>
      <c r="B35" s="3" t="s">
        <v>270</v>
      </c>
      <c r="C35" s="3" t="s">
        <v>477</v>
      </c>
      <c r="D35" s="3" t="s">
        <v>41</v>
      </c>
      <c r="E35" s="3" t="s">
        <v>273</v>
      </c>
      <c r="F35" s="3" t="s">
        <v>212</v>
      </c>
      <c r="G35" s="3" t="s">
        <v>214</v>
      </c>
      <c r="H35" s="3" t="s">
        <v>108</v>
      </c>
      <c r="I35" s="3">
        <v>3</v>
      </c>
      <c r="J35" s="3">
        <v>3</v>
      </c>
      <c r="K35" s="3">
        <f t="shared" si="0"/>
        <v>0</v>
      </c>
      <c r="L35" s="3" t="str">
        <f t="shared" si="1"/>
        <v>Conforme</v>
      </c>
      <c r="M35" s="3" t="s">
        <v>448</v>
      </c>
      <c r="N35" s="11">
        <v>45783</v>
      </c>
      <c r="O35" s="3"/>
    </row>
    <row r="36" spans="1:15" x14ac:dyDescent="0.25">
      <c r="A36" s="2" t="s">
        <v>483</v>
      </c>
      <c r="B36" s="2" t="s">
        <v>270</v>
      </c>
      <c r="C36" s="2" t="s">
        <v>477</v>
      </c>
      <c r="D36" s="2" t="s">
        <v>41</v>
      </c>
      <c r="E36" s="2" t="s">
        <v>273</v>
      </c>
      <c r="F36" s="2" t="s">
        <v>218</v>
      </c>
      <c r="G36" s="2" t="s">
        <v>214</v>
      </c>
      <c r="H36" s="2" t="s">
        <v>108</v>
      </c>
      <c r="I36" s="2">
        <v>3</v>
      </c>
      <c r="J36" s="2"/>
      <c r="K36" s="2" t="str">
        <f t="shared" si="0"/>
        <v/>
      </c>
      <c r="L36" s="2" t="str">
        <f t="shared" si="1"/>
        <v>Bonus</v>
      </c>
      <c r="M36" s="2" t="s">
        <v>448</v>
      </c>
      <c r="N36" s="12">
        <v>45761</v>
      </c>
      <c r="O36" s="2"/>
    </row>
    <row r="37" spans="1:15" x14ac:dyDescent="0.25">
      <c r="A37" s="3" t="s">
        <v>484</v>
      </c>
      <c r="B37" s="3" t="s">
        <v>270</v>
      </c>
      <c r="C37" s="3" t="s">
        <v>477</v>
      </c>
      <c r="D37" s="3" t="s">
        <v>41</v>
      </c>
      <c r="E37" s="3" t="s">
        <v>273</v>
      </c>
      <c r="F37" s="3" t="s">
        <v>233</v>
      </c>
      <c r="G37" s="3" t="s">
        <v>214</v>
      </c>
      <c r="H37" s="3" t="s">
        <v>108</v>
      </c>
      <c r="I37" s="3">
        <v>4</v>
      </c>
      <c r="J37" s="3">
        <v>3</v>
      </c>
      <c r="K37" s="3">
        <f t="shared" si="0"/>
        <v>1</v>
      </c>
      <c r="L37" s="3" t="str">
        <f t="shared" si="1"/>
        <v>Conforme</v>
      </c>
      <c r="M37" s="3" t="s">
        <v>446</v>
      </c>
      <c r="N37" s="11">
        <v>46048</v>
      </c>
      <c r="O37" s="3" t="s">
        <v>461</v>
      </c>
    </row>
    <row r="38" spans="1:15" ht="25.5" x14ac:dyDescent="0.25">
      <c r="A38" s="2" t="s">
        <v>485</v>
      </c>
      <c r="B38" s="2" t="s">
        <v>274</v>
      </c>
      <c r="C38" s="2" t="s">
        <v>486</v>
      </c>
      <c r="D38" s="2" t="s">
        <v>43</v>
      </c>
      <c r="E38" s="2" t="s">
        <v>277</v>
      </c>
      <c r="F38" s="2" t="s">
        <v>139</v>
      </c>
      <c r="G38" s="2" t="s">
        <v>141</v>
      </c>
      <c r="H38" s="2" t="s">
        <v>145</v>
      </c>
      <c r="I38" s="2">
        <v>4</v>
      </c>
      <c r="J38" s="2">
        <v>3</v>
      </c>
      <c r="K38" s="2">
        <f t="shared" si="0"/>
        <v>1</v>
      </c>
      <c r="L38" s="2" t="str">
        <f t="shared" si="1"/>
        <v>Conforme</v>
      </c>
      <c r="M38" s="2" t="s">
        <v>448</v>
      </c>
      <c r="N38" s="12">
        <v>46036</v>
      </c>
      <c r="O38" s="2" t="s">
        <v>461</v>
      </c>
    </row>
    <row r="39" spans="1:15" ht="25.5" x14ac:dyDescent="0.25">
      <c r="A39" s="3" t="s">
        <v>487</v>
      </c>
      <c r="B39" s="3" t="s">
        <v>274</v>
      </c>
      <c r="C39" s="3" t="s">
        <v>486</v>
      </c>
      <c r="D39" s="3" t="s">
        <v>43</v>
      </c>
      <c r="E39" s="3" t="s">
        <v>277</v>
      </c>
      <c r="F39" s="3" t="s">
        <v>146</v>
      </c>
      <c r="G39" s="3" t="s">
        <v>141</v>
      </c>
      <c r="H39" s="3" t="s">
        <v>103</v>
      </c>
      <c r="I39" s="3">
        <v>5</v>
      </c>
      <c r="J39" s="3">
        <v>4</v>
      </c>
      <c r="K39" s="3">
        <f t="shared" si="0"/>
        <v>1</v>
      </c>
      <c r="L39" s="3" t="str">
        <f t="shared" si="1"/>
        <v>Conforme</v>
      </c>
      <c r="M39" s="3" t="s">
        <v>450</v>
      </c>
      <c r="N39" s="11">
        <v>45903</v>
      </c>
      <c r="O39" s="3" t="s">
        <v>461</v>
      </c>
    </row>
    <row r="40" spans="1:15" ht="25.5" x14ac:dyDescent="0.25">
      <c r="A40" s="2" t="s">
        <v>488</v>
      </c>
      <c r="B40" s="2" t="s">
        <v>274</v>
      </c>
      <c r="C40" s="2" t="s">
        <v>486</v>
      </c>
      <c r="D40" s="2" t="s">
        <v>43</v>
      </c>
      <c r="E40" s="2" t="s">
        <v>277</v>
      </c>
      <c r="F40" s="2" t="s">
        <v>156</v>
      </c>
      <c r="G40" s="2" t="s">
        <v>141</v>
      </c>
      <c r="H40" s="2" t="s">
        <v>108</v>
      </c>
      <c r="I40" s="2">
        <v>3</v>
      </c>
      <c r="J40" s="2"/>
      <c r="K40" s="2" t="str">
        <f t="shared" si="0"/>
        <v/>
      </c>
      <c r="L40" s="2" t="str">
        <f t="shared" si="1"/>
        <v>Bonus</v>
      </c>
      <c r="M40" s="2" t="s">
        <v>448</v>
      </c>
      <c r="N40" s="12">
        <v>45754</v>
      </c>
      <c r="O40" s="2"/>
    </row>
    <row r="41" spans="1:15" ht="25.5" x14ac:dyDescent="0.25">
      <c r="A41" s="3" t="s">
        <v>489</v>
      </c>
      <c r="B41" s="3" t="s">
        <v>274</v>
      </c>
      <c r="C41" s="3" t="s">
        <v>486</v>
      </c>
      <c r="D41" s="3" t="s">
        <v>43</v>
      </c>
      <c r="E41" s="3" t="s">
        <v>277</v>
      </c>
      <c r="F41" s="3" t="s">
        <v>160</v>
      </c>
      <c r="G41" s="3" t="s">
        <v>141</v>
      </c>
      <c r="H41" s="3" t="s">
        <v>108</v>
      </c>
      <c r="I41" s="3">
        <v>3</v>
      </c>
      <c r="J41" s="3">
        <v>3</v>
      </c>
      <c r="K41" s="3">
        <f t="shared" si="0"/>
        <v>0</v>
      </c>
      <c r="L41" s="3" t="str">
        <f t="shared" si="1"/>
        <v>Conforme</v>
      </c>
      <c r="M41" s="3" t="s">
        <v>446</v>
      </c>
      <c r="N41" s="11">
        <v>45878</v>
      </c>
      <c r="O41" s="3"/>
    </row>
    <row r="42" spans="1:15" x14ac:dyDescent="0.25">
      <c r="A42" s="2" t="s">
        <v>490</v>
      </c>
      <c r="B42" s="2" t="s">
        <v>274</v>
      </c>
      <c r="C42" s="2" t="s">
        <v>486</v>
      </c>
      <c r="D42" s="2" t="s">
        <v>43</v>
      </c>
      <c r="E42" s="2" t="s">
        <v>277</v>
      </c>
      <c r="F42" s="2" t="s">
        <v>202</v>
      </c>
      <c r="G42" s="2" t="s">
        <v>50</v>
      </c>
      <c r="H42" s="2" t="s">
        <v>108</v>
      </c>
      <c r="I42" s="2">
        <v>2</v>
      </c>
      <c r="J42" s="2">
        <v>2</v>
      </c>
      <c r="K42" s="2">
        <f t="shared" si="0"/>
        <v>0</v>
      </c>
      <c r="L42" s="2" t="str">
        <f t="shared" si="1"/>
        <v>Conforme</v>
      </c>
      <c r="M42" s="2" t="s">
        <v>446</v>
      </c>
      <c r="N42" s="12">
        <v>45858</v>
      </c>
      <c r="O42" s="2"/>
    </row>
    <row r="43" spans="1:15" x14ac:dyDescent="0.25">
      <c r="A43" s="3" t="s">
        <v>491</v>
      </c>
      <c r="B43" s="3" t="s">
        <v>274</v>
      </c>
      <c r="C43" s="3" t="s">
        <v>486</v>
      </c>
      <c r="D43" s="3" t="s">
        <v>43</v>
      </c>
      <c r="E43" s="3" t="s">
        <v>277</v>
      </c>
      <c r="F43" s="3" t="s">
        <v>223</v>
      </c>
      <c r="G43" s="3" t="s">
        <v>214</v>
      </c>
      <c r="H43" s="3" t="s">
        <v>145</v>
      </c>
      <c r="I43" s="3">
        <v>1</v>
      </c>
      <c r="J43" s="3"/>
      <c r="K43" s="3" t="str">
        <f t="shared" si="0"/>
        <v/>
      </c>
      <c r="L43" s="3" t="str">
        <f t="shared" si="1"/>
        <v>Bonus</v>
      </c>
      <c r="M43" s="3" t="s">
        <v>448</v>
      </c>
      <c r="N43" s="11">
        <v>45963</v>
      </c>
      <c r="O43" s="3"/>
    </row>
    <row r="44" spans="1:15" x14ac:dyDescent="0.25">
      <c r="A44" s="2" t="s">
        <v>492</v>
      </c>
      <c r="B44" s="2" t="s">
        <v>274</v>
      </c>
      <c r="C44" s="2" t="s">
        <v>486</v>
      </c>
      <c r="D44" s="2" t="s">
        <v>43</v>
      </c>
      <c r="E44" s="2" t="s">
        <v>277</v>
      </c>
      <c r="F44" s="2" t="s">
        <v>228</v>
      </c>
      <c r="G44" s="2" t="s">
        <v>214</v>
      </c>
      <c r="H44" s="2" t="s">
        <v>108</v>
      </c>
      <c r="I44" s="2">
        <v>4</v>
      </c>
      <c r="J44" s="2">
        <v>2</v>
      </c>
      <c r="K44" s="2">
        <f t="shared" si="0"/>
        <v>2</v>
      </c>
      <c r="L44" s="2" t="str">
        <f t="shared" si="1"/>
        <v>Conforme</v>
      </c>
      <c r="M44" s="2" t="s">
        <v>450</v>
      </c>
      <c r="N44" s="12">
        <v>45836</v>
      </c>
      <c r="O44" s="2" t="s">
        <v>461</v>
      </c>
    </row>
    <row r="45" spans="1:15" x14ac:dyDescent="0.25">
      <c r="A45" s="3" t="s">
        <v>493</v>
      </c>
      <c r="B45" s="3" t="s">
        <v>279</v>
      </c>
      <c r="C45" s="3" t="s">
        <v>494</v>
      </c>
      <c r="D45" s="3" t="s">
        <v>35</v>
      </c>
      <c r="E45" s="3" t="s">
        <v>282</v>
      </c>
      <c r="F45" s="3" t="s">
        <v>104</v>
      </c>
      <c r="G45" s="3" t="s">
        <v>99</v>
      </c>
      <c r="H45" s="3" t="s">
        <v>108</v>
      </c>
      <c r="I45" s="3">
        <v>2</v>
      </c>
      <c r="J45" s="3"/>
      <c r="K45" s="3" t="str">
        <f t="shared" si="0"/>
        <v/>
      </c>
      <c r="L45" s="3" t="str">
        <f t="shared" si="1"/>
        <v>Bonus</v>
      </c>
      <c r="M45" s="3" t="s">
        <v>450</v>
      </c>
      <c r="N45" s="11">
        <v>46083</v>
      </c>
      <c r="O45" s="3"/>
    </row>
    <row r="46" spans="1:15" ht="25.5" x14ac:dyDescent="0.25">
      <c r="A46" s="2" t="s">
        <v>495</v>
      </c>
      <c r="B46" s="2" t="s">
        <v>279</v>
      </c>
      <c r="C46" s="2" t="s">
        <v>494</v>
      </c>
      <c r="D46" s="2" t="s">
        <v>35</v>
      </c>
      <c r="E46" s="2" t="s">
        <v>282</v>
      </c>
      <c r="F46" s="2" t="s">
        <v>139</v>
      </c>
      <c r="G46" s="2" t="s">
        <v>141</v>
      </c>
      <c r="H46" s="2" t="s">
        <v>145</v>
      </c>
      <c r="I46" s="2">
        <v>5</v>
      </c>
      <c r="J46" s="2">
        <v>4</v>
      </c>
      <c r="K46" s="2">
        <f t="shared" si="0"/>
        <v>1</v>
      </c>
      <c r="L46" s="2" t="str">
        <f t="shared" si="1"/>
        <v>Conforme</v>
      </c>
      <c r="M46" s="2" t="s">
        <v>448</v>
      </c>
      <c r="N46" s="12">
        <v>46005</v>
      </c>
      <c r="O46" s="2" t="s">
        <v>461</v>
      </c>
    </row>
    <row r="47" spans="1:15" ht="25.5" x14ac:dyDescent="0.25">
      <c r="A47" s="3" t="s">
        <v>496</v>
      </c>
      <c r="B47" s="3" t="s">
        <v>279</v>
      </c>
      <c r="C47" s="3" t="s">
        <v>494</v>
      </c>
      <c r="D47" s="3" t="s">
        <v>35</v>
      </c>
      <c r="E47" s="3" t="s">
        <v>282</v>
      </c>
      <c r="F47" s="3" t="s">
        <v>149</v>
      </c>
      <c r="G47" s="3" t="s">
        <v>141</v>
      </c>
      <c r="H47" s="3" t="s">
        <v>145</v>
      </c>
      <c r="I47" s="3">
        <v>2</v>
      </c>
      <c r="J47" s="3">
        <v>3</v>
      </c>
      <c r="K47" s="3">
        <f t="shared" si="0"/>
        <v>-1</v>
      </c>
      <c r="L47" s="3" t="str">
        <f t="shared" si="1"/>
        <v>Ecart mineur</v>
      </c>
      <c r="M47" s="3" t="s">
        <v>446</v>
      </c>
      <c r="N47" s="11">
        <v>45788</v>
      </c>
      <c r="O47" s="3"/>
    </row>
    <row r="48" spans="1:15" ht="25.5" x14ac:dyDescent="0.25">
      <c r="A48" s="2" t="s">
        <v>497</v>
      </c>
      <c r="B48" s="2" t="s">
        <v>279</v>
      </c>
      <c r="C48" s="2" t="s">
        <v>494</v>
      </c>
      <c r="D48" s="2" t="s">
        <v>35</v>
      </c>
      <c r="E48" s="2" t="s">
        <v>282</v>
      </c>
      <c r="F48" s="2" t="s">
        <v>160</v>
      </c>
      <c r="G48" s="2" t="s">
        <v>141</v>
      </c>
      <c r="H48" s="2" t="s">
        <v>108</v>
      </c>
      <c r="I48" s="2">
        <v>1</v>
      </c>
      <c r="J48" s="2">
        <v>2</v>
      </c>
      <c r="K48" s="2">
        <f t="shared" si="0"/>
        <v>-1</v>
      </c>
      <c r="L48" s="2" t="str">
        <f t="shared" si="1"/>
        <v>Ecart mineur</v>
      </c>
      <c r="M48" s="2" t="s">
        <v>446</v>
      </c>
      <c r="N48" s="12">
        <v>46059</v>
      </c>
      <c r="O48" s="2"/>
    </row>
    <row r="49" spans="1:15" x14ac:dyDescent="0.25">
      <c r="A49" s="3" t="s">
        <v>498</v>
      </c>
      <c r="B49" s="3" t="s">
        <v>279</v>
      </c>
      <c r="C49" s="3" t="s">
        <v>494</v>
      </c>
      <c r="D49" s="3" t="s">
        <v>35</v>
      </c>
      <c r="E49" s="3" t="s">
        <v>282</v>
      </c>
      <c r="F49" s="3" t="s">
        <v>181</v>
      </c>
      <c r="G49" s="3" t="s">
        <v>167</v>
      </c>
      <c r="H49" s="3" t="s">
        <v>103</v>
      </c>
      <c r="I49" s="3">
        <v>3</v>
      </c>
      <c r="J49" s="3"/>
      <c r="K49" s="3" t="str">
        <f t="shared" si="0"/>
        <v/>
      </c>
      <c r="L49" s="3" t="str">
        <f t="shared" si="1"/>
        <v>Bonus</v>
      </c>
      <c r="M49" s="3" t="s">
        <v>448</v>
      </c>
      <c r="N49" s="11">
        <v>46043</v>
      </c>
      <c r="O49" s="3"/>
    </row>
    <row r="50" spans="1:15" x14ac:dyDescent="0.25">
      <c r="A50" s="2" t="s">
        <v>499</v>
      </c>
      <c r="B50" s="2" t="s">
        <v>279</v>
      </c>
      <c r="C50" s="2" t="s">
        <v>494</v>
      </c>
      <c r="D50" s="2" t="s">
        <v>35</v>
      </c>
      <c r="E50" s="2" t="s">
        <v>282</v>
      </c>
      <c r="F50" s="2" t="s">
        <v>186</v>
      </c>
      <c r="G50" s="2" t="s">
        <v>50</v>
      </c>
      <c r="H50" s="2" t="s">
        <v>108</v>
      </c>
      <c r="I50" s="2">
        <v>1</v>
      </c>
      <c r="J50" s="2"/>
      <c r="K50" s="2" t="str">
        <f t="shared" si="0"/>
        <v/>
      </c>
      <c r="L50" s="2" t="str">
        <f t="shared" si="1"/>
        <v>Bonus</v>
      </c>
      <c r="M50" s="2" t="s">
        <v>450</v>
      </c>
      <c r="N50" s="12">
        <v>45964</v>
      </c>
      <c r="O50" s="2"/>
    </row>
    <row r="51" spans="1:15" x14ac:dyDescent="0.25">
      <c r="A51" s="3" t="s">
        <v>500</v>
      </c>
      <c r="B51" s="3" t="s">
        <v>279</v>
      </c>
      <c r="C51" s="3" t="s">
        <v>494</v>
      </c>
      <c r="D51" s="3" t="s">
        <v>35</v>
      </c>
      <c r="E51" s="3" t="s">
        <v>282</v>
      </c>
      <c r="F51" s="3" t="s">
        <v>228</v>
      </c>
      <c r="G51" s="3" t="s">
        <v>214</v>
      </c>
      <c r="H51" s="3" t="s">
        <v>108</v>
      </c>
      <c r="I51" s="3">
        <v>2</v>
      </c>
      <c r="J51" s="3">
        <v>2</v>
      </c>
      <c r="K51" s="3">
        <f t="shared" si="0"/>
        <v>0</v>
      </c>
      <c r="L51" s="3" t="str">
        <f t="shared" si="1"/>
        <v>Conforme</v>
      </c>
      <c r="M51" s="3" t="s">
        <v>446</v>
      </c>
      <c r="N51" s="11">
        <v>45980</v>
      </c>
      <c r="O51" s="3"/>
    </row>
    <row r="52" spans="1:15" ht="25.5" x14ac:dyDescent="0.25">
      <c r="A52" s="2" t="s">
        <v>501</v>
      </c>
      <c r="B52" s="2" t="s">
        <v>283</v>
      </c>
      <c r="C52" s="2" t="s">
        <v>502</v>
      </c>
      <c r="D52" s="2" t="s">
        <v>37</v>
      </c>
      <c r="E52" s="2" t="s">
        <v>286</v>
      </c>
      <c r="F52" s="2" t="s">
        <v>127</v>
      </c>
      <c r="G52" s="2" t="s">
        <v>120</v>
      </c>
      <c r="H52" s="2" t="s">
        <v>103</v>
      </c>
      <c r="I52" s="2">
        <v>2</v>
      </c>
      <c r="J52" s="2"/>
      <c r="K52" s="2" t="str">
        <f t="shared" si="0"/>
        <v/>
      </c>
      <c r="L52" s="2" t="str">
        <f t="shared" si="1"/>
        <v>Bonus</v>
      </c>
      <c r="M52" s="2" t="s">
        <v>446</v>
      </c>
      <c r="N52" s="12">
        <v>45766</v>
      </c>
      <c r="O52" s="2"/>
    </row>
    <row r="53" spans="1:15" ht="25.5" x14ac:dyDescent="0.25">
      <c r="A53" s="3" t="s">
        <v>503</v>
      </c>
      <c r="B53" s="3" t="s">
        <v>283</v>
      </c>
      <c r="C53" s="3" t="s">
        <v>502</v>
      </c>
      <c r="D53" s="3" t="s">
        <v>37</v>
      </c>
      <c r="E53" s="3" t="s">
        <v>286</v>
      </c>
      <c r="F53" s="3" t="s">
        <v>135</v>
      </c>
      <c r="G53" s="3" t="s">
        <v>120</v>
      </c>
      <c r="H53" s="3" t="s">
        <v>108</v>
      </c>
      <c r="I53" s="3">
        <v>1</v>
      </c>
      <c r="J53" s="3"/>
      <c r="K53" s="3" t="str">
        <f t="shared" si="0"/>
        <v/>
      </c>
      <c r="L53" s="3" t="str">
        <f t="shared" si="1"/>
        <v>Bonus</v>
      </c>
      <c r="M53" s="3" t="s">
        <v>450</v>
      </c>
      <c r="N53" s="11">
        <v>45825</v>
      </c>
      <c r="O53" s="3"/>
    </row>
    <row r="54" spans="1:15" ht="25.5" x14ac:dyDescent="0.25">
      <c r="A54" s="2" t="s">
        <v>504</v>
      </c>
      <c r="B54" s="2" t="s">
        <v>283</v>
      </c>
      <c r="C54" s="2" t="s">
        <v>502</v>
      </c>
      <c r="D54" s="2" t="s">
        <v>37</v>
      </c>
      <c r="E54" s="2" t="s">
        <v>286</v>
      </c>
      <c r="F54" s="2" t="s">
        <v>149</v>
      </c>
      <c r="G54" s="2" t="s">
        <v>141</v>
      </c>
      <c r="H54" s="2" t="s">
        <v>145</v>
      </c>
      <c r="I54" s="2">
        <v>1</v>
      </c>
      <c r="J54" s="2"/>
      <c r="K54" s="2" t="str">
        <f t="shared" si="0"/>
        <v/>
      </c>
      <c r="L54" s="2" t="str">
        <f t="shared" si="1"/>
        <v>Bonus</v>
      </c>
      <c r="M54" s="2" t="s">
        <v>450</v>
      </c>
      <c r="N54" s="12">
        <v>45895</v>
      </c>
      <c r="O54" s="2"/>
    </row>
    <row r="55" spans="1:15" ht="25.5" x14ac:dyDescent="0.25">
      <c r="A55" s="3" t="s">
        <v>505</v>
      </c>
      <c r="B55" s="3" t="s">
        <v>283</v>
      </c>
      <c r="C55" s="3" t="s">
        <v>502</v>
      </c>
      <c r="D55" s="3" t="s">
        <v>37</v>
      </c>
      <c r="E55" s="3" t="s">
        <v>286</v>
      </c>
      <c r="F55" s="3" t="s">
        <v>165</v>
      </c>
      <c r="G55" s="3" t="s">
        <v>167</v>
      </c>
      <c r="H55" s="3" t="s">
        <v>103</v>
      </c>
      <c r="I55" s="3">
        <v>3</v>
      </c>
      <c r="J55" s="3">
        <v>4</v>
      </c>
      <c r="K55" s="3">
        <f t="shared" si="0"/>
        <v>-1</v>
      </c>
      <c r="L55" s="3" t="str">
        <f t="shared" si="1"/>
        <v>Ecart mineur</v>
      </c>
      <c r="M55" s="3" t="s">
        <v>450</v>
      </c>
      <c r="N55" s="11">
        <v>45801</v>
      </c>
      <c r="O55" s="3"/>
    </row>
    <row r="56" spans="1:15" ht="25.5" x14ac:dyDescent="0.25">
      <c r="A56" s="2" t="s">
        <v>506</v>
      </c>
      <c r="B56" s="2" t="s">
        <v>283</v>
      </c>
      <c r="C56" s="2" t="s">
        <v>502</v>
      </c>
      <c r="D56" s="2" t="s">
        <v>37</v>
      </c>
      <c r="E56" s="2" t="s">
        <v>286</v>
      </c>
      <c r="F56" s="2" t="s">
        <v>181</v>
      </c>
      <c r="G56" s="2" t="s">
        <v>167</v>
      </c>
      <c r="H56" s="2" t="s">
        <v>103</v>
      </c>
      <c r="I56" s="2">
        <v>3</v>
      </c>
      <c r="J56" s="2">
        <v>3</v>
      </c>
      <c r="K56" s="2">
        <f t="shared" si="0"/>
        <v>0</v>
      </c>
      <c r="L56" s="2" t="str">
        <f t="shared" si="1"/>
        <v>Conforme</v>
      </c>
      <c r="M56" s="2" t="s">
        <v>448</v>
      </c>
      <c r="N56" s="12">
        <v>45949</v>
      </c>
      <c r="O56" s="2"/>
    </row>
    <row r="57" spans="1:15" ht="25.5" x14ac:dyDescent="0.25">
      <c r="A57" s="3" t="s">
        <v>507</v>
      </c>
      <c r="B57" s="3" t="s">
        <v>283</v>
      </c>
      <c r="C57" s="3" t="s">
        <v>502</v>
      </c>
      <c r="D57" s="3" t="s">
        <v>37</v>
      </c>
      <c r="E57" s="3" t="s">
        <v>286</v>
      </c>
      <c r="F57" s="3" t="s">
        <v>218</v>
      </c>
      <c r="G57" s="3" t="s">
        <v>214</v>
      </c>
      <c r="H57" s="3" t="s">
        <v>108</v>
      </c>
      <c r="I57" s="3">
        <v>2</v>
      </c>
      <c r="J57" s="3">
        <v>2</v>
      </c>
      <c r="K57" s="3">
        <f t="shared" si="0"/>
        <v>0</v>
      </c>
      <c r="L57" s="3" t="str">
        <f t="shared" si="1"/>
        <v>Conforme</v>
      </c>
      <c r="M57" s="3" t="s">
        <v>450</v>
      </c>
      <c r="N57" s="11">
        <v>45826</v>
      </c>
      <c r="O57" s="3"/>
    </row>
    <row r="58" spans="1:15" ht="25.5" x14ac:dyDescent="0.25">
      <c r="A58" s="2" t="s">
        <v>508</v>
      </c>
      <c r="B58" s="2" t="s">
        <v>283</v>
      </c>
      <c r="C58" s="2" t="s">
        <v>502</v>
      </c>
      <c r="D58" s="2" t="s">
        <v>37</v>
      </c>
      <c r="E58" s="2" t="s">
        <v>286</v>
      </c>
      <c r="F58" s="2" t="s">
        <v>223</v>
      </c>
      <c r="G58" s="2" t="s">
        <v>214</v>
      </c>
      <c r="H58" s="2" t="s">
        <v>145</v>
      </c>
      <c r="I58" s="2">
        <v>2</v>
      </c>
      <c r="J58" s="2">
        <v>2</v>
      </c>
      <c r="K58" s="2">
        <f t="shared" si="0"/>
        <v>0</v>
      </c>
      <c r="L58" s="2" t="str">
        <f t="shared" si="1"/>
        <v>Conforme</v>
      </c>
      <c r="M58" s="2" t="s">
        <v>448</v>
      </c>
      <c r="N58" s="12">
        <v>46058</v>
      </c>
      <c r="O58" s="2"/>
    </row>
    <row r="59" spans="1:15" ht="25.5" x14ac:dyDescent="0.25">
      <c r="A59" s="3" t="s">
        <v>509</v>
      </c>
      <c r="B59" s="3" t="s">
        <v>283</v>
      </c>
      <c r="C59" s="3" t="s">
        <v>502</v>
      </c>
      <c r="D59" s="3" t="s">
        <v>37</v>
      </c>
      <c r="E59" s="3" t="s">
        <v>286</v>
      </c>
      <c r="F59" s="3" t="s">
        <v>228</v>
      </c>
      <c r="G59" s="3" t="s">
        <v>214</v>
      </c>
      <c r="H59" s="3" t="s">
        <v>108</v>
      </c>
      <c r="I59" s="3">
        <v>3</v>
      </c>
      <c r="J59" s="3">
        <v>2</v>
      </c>
      <c r="K59" s="3">
        <f t="shared" si="0"/>
        <v>1</v>
      </c>
      <c r="L59" s="3" t="str">
        <f t="shared" si="1"/>
        <v>Conforme</v>
      </c>
      <c r="M59" s="3" t="s">
        <v>448</v>
      </c>
      <c r="N59" s="11">
        <v>45943</v>
      </c>
      <c r="O59" s="3"/>
    </row>
    <row r="60" spans="1:15" ht="25.5" x14ac:dyDescent="0.25">
      <c r="A60" s="2" t="s">
        <v>510</v>
      </c>
      <c r="B60" s="2" t="s">
        <v>283</v>
      </c>
      <c r="C60" s="2" t="s">
        <v>502</v>
      </c>
      <c r="D60" s="2" t="s">
        <v>37</v>
      </c>
      <c r="E60" s="2" t="s">
        <v>286</v>
      </c>
      <c r="F60" s="2" t="s">
        <v>233</v>
      </c>
      <c r="G60" s="2" t="s">
        <v>214</v>
      </c>
      <c r="H60" s="2" t="s">
        <v>108</v>
      </c>
      <c r="I60" s="2">
        <v>1</v>
      </c>
      <c r="J60" s="2"/>
      <c r="K60" s="2" t="str">
        <f t="shared" si="0"/>
        <v/>
      </c>
      <c r="L60" s="2" t="str">
        <f t="shared" si="1"/>
        <v>Bonus</v>
      </c>
      <c r="M60" s="2" t="s">
        <v>450</v>
      </c>
      <c r="N60" s="12">
        <v>45758</v>
      </c>
      <c r="O60" s="2"/>
    </row>
    <row r="61" spans="1:15" x14ac:dyDescent="0.25">
      <c r="A61" s="3" t="s">
        <v>511</v>
      </c>
      <c r="B61" s="3" t="s">
        <v>287</v>
      </c>
      <c r="C61" s="3" t="s">
        <v>512</v>
      </c>
      <c r="D61" s="3" t="s">
        <v>39</v>
      </c>
      <c r="E61" s="3" t="s">
        <v>290</v>
      </c>
      <c r="F61" s="3" t="s">
        <v>135</v>
      </c>
      <c r="G61" s="3" t="s">
        <v>120</v>
      </c>
      <c r="H61" s="3" t="s">
        <v>108</v>
      </c>
      <c r="I61" s="3">
        <v>2</v>
      </c>
      <c r="J61" s="3"/>
      <c r="K61" s="3" t="str">
        <f t="shared" si="0"/>
        <v/>
      </c>
      <c r="L61" s="3" t="str">
        <f t="shared" si="1"/>
        <v>Bonus</v>
      </c>
      <c r="M61" s="3" t="s">
        <v>446</v>
      </c>
      <c r="N61" s="11">
        <v>45786</v>
      </c>
      <c r="O61" s="3"/>
    </row>
    <row r="62" spans="1:15" x14ac:dyDescent="0.25">
      <c r="A62" s="2" t="s">
        <v>513</v>
      </c>
      <c r="B62" s="2" t="s">
        <v>287</v>
      </c>
      <c r="C62" s="2" t="s">
        <v>512</v>
      </c>
      <c r="D62" s="2" t="s">
        <v>39</v>
      </c>
      <c r="E62" s="2" t="s">
        <v>290</v>
      </c>
      <c r="F62" s="2" t="s">
        <v>171</v>
      </c>
      <c r="G62" s="2" t="s">
        <v>167</v>
      </c>
      <c r="H62" s="2" t="s">
        <v>108</v>
      </c>
      <c r="I62" s="2">
        <v>4</v>
      </c>
      <c r="J62" s="2">
        <v>4</v>
      </c>
      <c r="K62" s="2">
        <f t="shared" si="0"/>
        <v>0</v>
      </c>
      <c r="L62" s="2" t="str">
        <f t="shared" si="1"/>
        <v>Conforme</v>
      </c>
      <c r="M62" s="2" t="s">
        <v>446</v>
      </c>
      <c r="N62" s="12">
        <v>45957</v>
      </c>
      <c r="O62" s="2" t="s">
        <v>461</v>
      </c>
    </row>
    <row r="63" spans="1:15" x14ac:dyDescent="0.25">
      <c r="A63" s="3" t="s">
        <v>514</v>
      </c>
      <c r="B63" s="3" t="s">
        <v>287</v>
      </c>
      <c r="C63" s="3" t="s">
        <v>512</v>
      </c>
      <c r="D63" s="3" t="s">
        <v>39</v>
      </c>
      <c r="E63" s="3" t="s">
        <v>290</v>
      </c>
      <c r="F63" s="3" t="s">
        <v>176</v>
      </c>
      <c r="G63" s="3" t="s">
        <v>167</v>
      </c>
      <c r="H63" s="3" t="s">
        <v>108</v>
      </c>
      <c r="I63" s="3">
        <v>2</v>
      </c>
      <c r="J63" s="3">
        <v>3</v>
      </c>
      <c r="K63" s="3">
        <f t="shared" si="0"/>
        <v>-1</v>
      </c>
      <c r="L63" s="3" t="str">
        <f t="shared" si="1"/>
        <v>Ecart mineur</v>
      </c>
      <c r="M63" s="3" t="s">
        <v>446</v>
      </c>
      <c r="N63" s="11">
        <v>45903</v>
      </c>
      <c r="O63" s="3"/>
    </row>
    <row r="64" spans="1:15" x14ac:dyDescent="0.25">
      <c r="A64" s="2" t="s">
        <v>515</v>
      </c>
      <c r="B64" s="2" t="s">
        <v>287</v>
      </c>
      <c r="C64" s="2" t="s">
        <v>512</v>
      </c>
      <c r="D64" s="2" t="s">
        <v>39</v>
      </c>
      <c r="E64" s="2" t="s">
        <v>290</v>
      </c>
      <c r="F64" s="2" t="s">
        <v>181</v>
      </c>
      <c r="G64" s="2" t="s">
        <v>167</v>
      </c>
      <c r="H64" s="2" t="s">
        <v>103</v>
      </c>
      <c r="I64" s="2">
        <v>3</v>
      </c>
      <c r="J64" s="2">
        <v>2</v>
      </c>
      <c r="K64" s="2">
        <f t="shared" si="0"/>
        <v>1</v>
      </c>
      <c r="L64" s="2" t="str">
        <f t="shared" si="1"/>
        <v>Conforme</v>
      </c>
      <c r="M64" s="2" t="s">
        <v>446</v>
      </c>
      <c r="N64" s="12">
        <v>45767</v>
      </c>
      <c r="O64" s="2"/>
    </row>
    <row r="65" spans="1:15" x14ac:dyDescent="0.25">
      <c r="A65" s="3" t="s">
        <v>516</v>
      </c>
      <c r="B65" s="3" t="s">
        <v>287</v>
      </c>
      <c r="C65" s="3" t="s">
        <v>512</v>
      </c>
      <c r="D65" s="3" t="s">
        <v>39</v>
      </c>
      <c r="E65" s="3" t="s">
        <v>290</v>
      </c>
      <c r="F65" s="3" t="s">
        <v>212</v>
      </c>
      <c r="G65" s="3" t="s">
        <v>214</v>
      </c>
      <c r="H65" s="3" t="s">
        <v>108</v>
      </c>
      <c r="I65" s="3">
        <v>3</v>
      </c>
      <c r="J65" s="3"/>
      <c r="K65" s="3" t="str">
        <f t="shared" si="0"/>
        <v/>
      </c>
      <c r="L65" s="3" t="str">
        <f t="shared" si="1"/>
        <v>Bonus</v>
      </c>
      <c r="M65" s="3" t="s">
        <v>450</v>
      </c>
      <c r="N65" s="11">
        <v>45914</v>
      </c>
      <c r="O65" s="3"/>
    </row>
    <row r="66" spans="1:15" x14ac:dyDescent="0.25">
      <c r="A66" s="2" t="s">
        <v>517</v>
      </c>
      <c r="B66" s="2" t="s">
        <v>287</v>
      </c>
      <c r="C66" s="2" t="s">
        <v>512</v>
      </c>
      <c r="D66" s="2" t="s">
        <v>39</v>
      </c>
      <c r="E66" s="2" t="s">
        <v>290</v>
      </c>
      <c r="F66" s="2" t="s">
        <v>228</v>
      </c>
      <c r="G66" s="2" t="s">
        <v>214</v>
      </c>
      <c r="H66" s="2" t="s">
        <v>108</v>
      </c>
      <c r="I66" s="2">
        <v>2</v>
      </c>
      <c r="J66" s="2">
        <v>2</v>
      </c>
      <c r="K66" s="2">
        <f t="shared" si="0"/>
        <v>0</v>
      </c>
      <c r="L66" s="2" t="str">
        <f t="shared" si="1"/>
        <v>Conforme</v>
      </c>
      <c r="M66" s="2" t="s">
        <v>448</v>
      </c>
      <c r="N66" s="12">
        <v>45948</v>
      </c>
      <c r="O66" s="2"/>
    </row>
    <row r="67" spans="1:15" ht="25.5" x14ac:dyDescent="0.25">
      <c r="A67" s="3" t="s">
        <v>518</v>
      </c>
      <c r="B67" s="3" t="s">
        <v>292</v>
      </c>
      <c r="C67" s="3" t="s">
        <v>519</v>
      </c>
      <c r="D67" s="3" t="s">
        <v>41</v>
      </c>
      <c r="E67" s="3" t="s">
        <v>295</v>
      </c>
      <c r="F67" s="3" t="s">
        <v>139</v>
      </c>
      <c r="G67" s="3" t="s">
        <v>141</v>
      </c>
      <c r="H67" s="3" t="s">
        <v>145</v>
      </c>
      <c r="I67" s="3">
        <v>1</v>
      </c>
      <c r="J67" s="3"/>
      <c r="K67" s="3" t="str">
        <f t="shared" si="0"/>
        <v/>
      </c>
      <c r="L67" s="3" t="str">
        <f t="shared" si="1"/>
        <v>Bonus</v>
      </c>
      <c r="M67" s="3" t="s">
        <v>450</v>
      </c>
      <c r="N67" s="11">
        <v>45880</v>
      </c>
      <c r="O67" s="3"/>
    </row>
    <row r="68" spans="1:15" ht="25.5" x14ac:dyDescent="0.25">
      <c r="A68" s="2" t="s">
        <v>520</v>
      </c>
      <c r="B68" s="2" t="s">
        <v>292</v>
      </c>
      <c r="C68" s="2" t="s">
        <v>519</v>
      </c>
      <c r="D68" s="2" t="s">
        <v>41</v>
      </c>
      <c r="E68" s="2" t="s">
        <v>295</v>
      </c>
      <c r="F68" s="2" t="s">
        <v>149</v>
      </c>
      <c r="G68" s="2" t="s">
        <v>141</v>
      </c>
      <c r="H68" s="2" t="s">
        <v>145</v>
      </c>
      <c r="I68" s="2">
        <v>2</v>
      </c>
      <c r="J68" s="2"/>
      <c r="K68" s="2" t="str">
        <f t="shared" si="0"/>
        <v/>
      </c>
      <c r="L68" s="2" t="str">
        <f t="shared" si="1"/>
        <v>Bonus</v>
      </c>
      <c r="M68" s="2" t="s">
        <v>446</v>
      </c>
      <c r="N68" s="12">
        <v>45905</v>
      </c>
      <c r="O68" s="2"/>
    </row>
    <row r="69" spans="1:15" x14ac:dyDescent="0.25">
      <c r="A69" s="3" t="s">
        <v>521</v>
      </c>
      <c r="B69" s="3" t="s">
        <v>292</v>
      </c>
      <c r="C69" s="3" t="s">
        <v>519</v>
      </c>
      <c r="D69" s="3" t="s">
        <v>41</v>
      </c>
      <c r="E69" s="3" t="s">
        <v>295</v>
      </c>
      <c r="F69" s="3" t="s">
        <v>171</v>
      </c>
      <c r="G69" s="3" t="s">
        <v>167</v>
      </c>
      <c r="H69" s="3" t="s">
        <v>108</v>
      </c>
      <c r="I69" s="3">
        <v>2</v>
      </c>
      <c r="J69" s="3"/>
      <c r="K69" s="3" t="str">
        <f t="shared" ref="K69:K132" si="2">IF(J69="","",I69-J69)</f>
        <v/>
      </c>
      <c r="L69" s="3" t="str">
        <f t="shared" ref="L69:L132" si="3">IF(J69="","Bonus",IF(K69&gt;=0,"Conforme",IF(K69=-1,"Ecart mineur","Ecart critique")))</f>
        <v>Bonus</v>
      </c>
      <c r="M69" s="3" t="s">
        <v>446</v>
      </c>
      <c r="N69" s="11">
        <v>45993</v>
      </c>
      <c r="O69" s="3"/>
    </row>
    <row r="70" spans="1:15" x14ac:dyDescent="0.25">
      <c r="A70" s="2" t="s">
        <v>522</v>
      </c>
      <c r="B70" s="2" t="s">
        <v>292</v>
      </c>
      <c r="C70" s="2" t="s">
        <v>519</v>
      </c>
      <c r="D70" s="2" t="s">
        <v>41</v>
      </c>
      <c r="E70" s="2" t="s">
        <v>295</v>
      </c>
      <c r="F70" s="2" t="s">
        <v>186</v>
      </c>
      <c r="G70" s="2" t="s">
        <v>50</v>
      </c>
      <c r="H70" s="2" t="s">
        <v>108</v>
      </c>
      <c r="I70" s="2">
        <v>5</v>
      </c>
      <c r="J70" s="2">
        <v>5</v>
      </c>
      <c r="K70" s="2">
        <f t="shared" si="2"/>
        <v>0</v>
      </c>
      <c r="L70" s="2" t="str">
        <f t="shared" si="3"/>
        <v>Conforme</v>
      </c>
      <c r="M70" s="2" t="s">
        <v>450</v>
      </c>
      <c r="N70" s="12">
        <v>45779</v>
      </c>
      <c r="O70" s="2" t="s">
        <v>461</v>
      </c>
    </row>
    <row r="71" spans="1:15" x14ac:dyDescent="0.25">
      <c r="A71" s="3" t="s">
        <v>523</v>
      </c>
      <c r="B71" s="3" t="s">
        <v>292</v>
      </c>
      <c r="C71" s="3" t="s">
        <v>519</v>
      </c>
      <c r="D71" s="3" t="s">
        <v>41</v>
      </c>
      <c r="E71" s="3" t="s">
        <v>295</v>
      </c>
      <c r="F71" s="3" t="s">
        <v>193</v>
      </c>
      <c r="G71" s="3" t="s">
        <v>50</v>
      </c>
      <c r="H71" s="3" t="s">
        <v>103</v>
      </c>
      <c r="I71" s="3">
        <v>4</v>
      </c>
      <c r="J71" s="3">
        <v>2</v>
      </c>
      <c r="K71" s="3">
        <f t="shared" si="2"/>
        <v>2</v>
      </c>
      <c r="L71" s="3" t="str">
        <f t="shared" si="3"/>
        <v>Conforme</v>
      </c>
      <c r="M71" s="3" t="s">
        <v>446</v>
      </c>
      <c r="N71" s="11">
        <v>45861</v>
      </c>
      <c r="O71" s="3" t="s">
        <v>461</v>
      </c>
    </row>
    <row r="72" spans="1:15" x14ac:dyDescent="0.25">
      <c r="A72" s="2" t="s">
        <v>524</v>
      </c>
      <c r="B72" s="2" t="s">
        <v>292</v>
      </c>
      <c r="C72" s="2" t="s">
        <v>519</v>
      </c>
      <c r="D72" s="2" t="s">
        <v>41</v>
      </c>
      <c r="E72" s="2" t="s">
        <v>295</v>
      </c>
      <c r="F72" s="2" t="s">
        <v>202</v>
      </c>
      <c r="G72" s="2" t="s">
        <v>50</v>
      </c>
      <c r="H72" s="2" t="s">
        <v>108</v>
      </c>
      <c r="I72" s="2">
        <v>4</v>
      </c>
      <c r="J72" s="2">
        <v>4</v>
      </c>
      <c r="K72" s="2">
        <f t="shared" si="2"/>
        <v>0</v>
      </c>
      <c r="L72" s="2" t="str">
        <f t="shared" si="3"/>
        <v>Conforme</v>
      </c>
      <c r="M72" s="2" t="s">
        <v>446</v>
      </c>
      <c r="N72" s="12">
        <v>45887</v>
      </c>
      <c r="O72" s="2" t="s">
        <v>461</v>
      </c>
    </row>
    <row r="73" spans="1:15" x14ac:dyDescent="0.25">
      <c r="A73" s="3" t="s">
        <v>525</v>
      </c>
      <c r="B73" s="3" t="s">
        <v>292</v>
      </c>
      <c r="C73" s="3" t="s">
        <v>519</v>
      </c>
      <c r="D73" s="3" t="s">
        <v>41</v>
      </c>
      <c r="E73" s="3" t="s">
        <v>295</v>
      </c>
      <c r="F73" s="3" t="s">
        <v>207</v>
      </c>
      <c r="G73" s="3" t="s">
        <v>50</v>
      </c>
      <c r="H73" s="3" t="s">
        <v>145</v>
      </c>
      <c r="I73" s="3">
        <v>4</v>
      </c>
      <c r="J73" s="3">
        <v>3</v>
      </c>
      <c r="K73" s="3">
        <f t="shared" si="2"/>
        <v>1</v>
      </c>
      <c r="L73" s="3" t="str">
        <f t="shared" si="3"/>
        <v>Conforme</v>
      </c>
      <c r="M73" s="3" t="s">
        <v>448</v>
      </c>
      <c r="N73" s="11">
        <v>45954</v>
      </c>
      <c r="O73" s="3" t="s">
        <v>461</v>
      </c>
    </row>
    <row r="74" spans="1:15" x14ac:dyDescent="0.25">
      <c r="A74" s="2" t="s">
        <v>526</v>
      </c>
      <c r="B74" s="2" t="s">
        <v>292</v>
      </c>
      <c r="C74" s="2" t="s">
        <v>519</v>
      </c>
      <c r="D74" s="2" t="s">
        <v>41</v>
      </c>
      <c r="E74" s="2" t="s">
        <v>295</v>
      </c>
      <c r="F74" s="2" t="s">
        <v>218</v>
      </c>
      <c r="G74" s="2" t="s">
        <v>214</v>
      </c>
      <c r="H74" s="2" t="s">
        <v>108</v>
      </c>
      <c r="I74" s="2">
        <v>3</v>
      </c>
      <c r="J74" s="2">
        <v>3</v>
      </c>
      <c r="K74" s="2">
        <f t="shared" si="2"/>
        <v>0</v>
      </c>
      <c r="L74" s="2" t="str">
        <f t="shared" si="3"/>
        <v>Conforme</v>
      </c>
      <c r="M74" s="2" t="s">
        <v>446</v>
      </c>
      <c r="N74" s="12">
        <v>45818</v>
      </c>
      <c r="O74" s="2"/>
    </row>
    <row r="75" spans="1:15" x14ac:dyDescent="0.25">
      <c r="A75" s="3" t="s">
        <v>527</v>
      </c>
      <c r="B75" s="3" t="s">
        <v>297</v>
      </c>
      <c r="C75" s="3" t="s">
        <v>528</v>
      </c>
      <c r="D75" s="3" t="s">
        <v>43</v>
      </c>
      <c r="E75" s="3" t="s">
        <v>300</v>
      </c>
      <c r="F75" s="3" t="s">
        <v>186</v>
      </c>
      <c r="G75" s="3" t="s">
        <v>50</v>
      </c>
      <c r="H75" s="3" t="s">
        <v>108</v>
      </c>
      <c r="I75" s="3">
        <v>4</v>
      </c>
      <c r="J75" s="3">
        <v>3</v>
      </c>
      <c r="K75" s="3">
        <f t="shared" si="2"/>
        <v>1</v>
      </c>
      <c r="L75" s="3" t="str">
        <f t="shared" si="3"/>
        <v>Conforme</v>
      </c>
      <c r="M75" s="3" t="s">
        <v>448</v>
      </c>
      <c r="N75" s="11">
        <v>45804</v>
      </c>
      <c r="O75" s="3" t="s">
        <v>461</v>
      </c>
    </row>
    <row r="76" spans="1:15" x14ac:dyDescent="0.25">
      <c r="A76" s="2" t="s">
        <v>529</v>
      </c>
      <c r="B76" s="2" t="s">
        <v>297</v>
      </c>
      <c r="C76" s="2" t="s">
        <v>528</v>
      </c>
      <c r="D76" s="2" t="s">
        <v>43</v>
      </c>
      <c r="E76" s="2" t="s">
        <v>300</v>
      </c>
      <c r="F76" s="2" t="s">
        <v>193</v>
      </c>
      <c r="G76" s="2" t="s">
        <v>50</v>
      </c>
      <c r="H76" s="2" t="s">
        <v>103</v>
      </c>
      <c r="I76" s="2">
        <v>5</v>
      </c>
      <c r="J76" s="2">
        <v>5</v>
      </c>
      <c r="K76" s="2">
        <f t="shared" si="2"/>
        <v>0</v>
      </c>
      <c r="L76" s="2" t="str">
        <f t="shared" si="3"/>
        <v>Conforme</v>
      </c>
      <c r="M76" s="2" t="s">
        <v>446</v>
      </c>
      <c r="N76" s="12">
        <v>45864</v>
      </c>
      <c r="O76" s="2" t="s">
        <v>461</v>
      </c>
    </row>
    <row r="77" spans="1:15" x14ac:dyDescent="0.25">
      <c r="A77" s="3" t="s">
        <v>530</v>
      </c>
      <c r="B77" s="3" t="s">
        <v>297</v>
      </c>
      <c r="C77" s="3" t="s">
        <v>528</v>
      </c>
      <c r="D77" s="3" t="s">
        <v>43</v>
      </c>
      <c r="E77" s="3" t="s">
        <v>300</v>
      </c>
      <c r="F77" s="3" t="s">
        <v>198</v>
      </c>
      <c r="G77" s="3" t="s">
        <v>50</v>
      </c>
      <c r="H77" s="3" t="s">
        <v>103</v>
      </c>
      <c r="I77" s="3">
        <v>5</v>
      </c>
      <c r="J77" s="3">
        <v>4</v>
      </c>
      <c r="K77" s="3">
        <f t="shared" si="2"/>
        <v>1</v>
      </c>
      <c r="L77" s="3" t="str">
        <f t="shared" si="3"/>
        <v>Conforme</v>
      </c>
      <c r="M77" s="3" t="s">
        <v>450</v>
      </c>
      <c r="N77" s="11">
        <v>45846</v>
      </c>
      <c r="O77" s="3" t="s">
        <v>461</v>
      </c>
    </row>
    <row r="78" spans="1:15" x14ac:dyDescent="0.25">
      <c r="A78" s="2" t="s">
        <v>531</v>
      </c>
      <c r="B78" s="2" t="s">
        <v>297</v>
      </c>
      <c r="C78" s="2" t="s">
        <v>528</v>
      </c>
      <c r="D78" s="2" t="s">
        <v>43</v>
      </c>
      <c r="E78" s="2" t="s">
        <v>300</v>
      </c>
      <c r="F78" s="2" t="s">
        <v>202</v>
      </c>
      <c r="G78" s="2" t="s">
        <v>50</v>
      </c>
      <c r="H78" s="2" t="s">
        <v>108</v>
      </c>
      <c r="I78" s="2">
        <v>5</v>
      </c>
      <c r="J78" s="2">
        <v>3</v>
      </c>
      <c r="K78" s="2">
        <f t="shared" si="2"/>
        <v>2</v>
      </c>
      <c r="L78" s="2" t="str">
        <f t="shared" si="3"/>
        <v>Conforme</v>
      </c>
      <c r="M78" s="2" t="s">
        <v>446</v>
      </c>
      <c r="N78" s="12">
        <v>45975</v>
      </c>
      <c r="O78" s="2" t="s">
        <v>461</v>
      </c>
    </row>
    <row r="79" spans="1:15" x14ac:dyDescent="0.25">
      <c r="A79" s="3" t="s">
        <v>532</v>
      </c>
      <c r="B79" s="3" t="s">
        <v>297</v>
      </c>
      <c r="C79" s="3" t="s">
        <v>528</v>
      </c>
      <c r="D79" s="3" t="s">
        <v>43</v>
      </c>
      <c r="E79" s="3" t="s">
        <v>300</v>
      </c>
      <c r="F79" s="3" t="s">
        <v>218</v>
      </c>
      <c r="G79" s="3" t="s">
        <v>214</v>
      </c>
      <c r="H79" s="3" t="s">
        <v>108</v>
      </c>
      <c r="I79" s="3">
        <v>3</v>
      </c>
      <c r="J79" s="3">
        <v>3</v>
      </c>
      <c r="K79" s="3">
        <f t="shared" si="2"/>
        <v>0</v>
      </c>
      <c r="L79" s="3" t="str">
        <f t="shared" si="3"/>
        <v>Conforme</v>
      </c>
      <c r="M79" s="3" t="s">
        <v>450</v>
      </c>
      <c r="N79" s="11">
        <v>46041</v>
      </c>
      <c r="O79" s="3"/>
    </row>
    <row r="80" spans="1:15" x14ac:dyDescent="0.25">
      <c r="A80" s="2" t="s">
        <v>533</v>
      </c>
      <c r="B80" s="2" t="s">
        <v>301</v>
      </c>
      <c r="C80" s="2" t="s">
        <v>534</v>
      </c>
      <c r="D80" s="2" t="s">
        <v>35</v>
      </c>
      <c r="E80" s="2" t="s">
        <v>304</v>
      </c>
      <c r="F80" s="2" t="s">
        <v>124</v>
      </c>
      <c r="G80" s="2" t="s">
        <v>120</v>
      </c>
      <c r="H80" s="2" t="s">
        <v>108</v>
      </c>
      <c r="I80" s="2">
        <v>1</v>
      </c>
      <c r="J80" s="2"/>
      <c r="K80" s="2" t="str">
        <f t="shared" si="2"/>
        <v/>
      </c>
      <c r="L80" s="2" t="str">
        <f t="shared" si="3"/>
        <v>Bonus</v>
      </c>
      <c r="M80" s="2" t="s">
        <v>446</v>
      </c>
      <c r="N80" s="12">
        <v>45841</v>
      </c>
      <c r="O80" s="2"/>
    </row>
    <row r="81" spans="1:15" x14ac:dyDescent="0.25">
      <c r="A81" s="3" t="s">
        <v>535</v>
      </c>
      <c r="B81" s="3" t="s">
        <v>301</v>
      </c>
      <c r="C81" s="3" t="s">
        <v>534</v>
      </c>
      <c r="D81" s="3" t="s">
        <v>35</v>
      </c>
      <c r="E81" s="3" t="s">
        <v>304</v>
      </c>
      <c r="F81" s="3" t="s">
        <v>131</v>
      </c>
      <c r="G81" s="3" t="s">
        <v>120</v>
      </c>
      <c r="H81" s="3" t="s">
        <v>103</v>
      </c>
      <c r="I81" s="3">
        <v>2</v>
      </c>
      <c r="J81" s="3"/>
      <c r="K81" s="3" t="str">
        <f t="shared" si="2"/>
        <v/>
      </c>
      <c r="L81" s="3" t="str">
        <f t="shared" si="3"/>
        <v>Bonus</v>
      </c>
      <c r="M81" s="3" t="s">
        <v>446</v>
      </c>
      <c r="N81" s="11">
        <v>45762</v>
      </c>
      <c r="O81" s="3"/>
    </row>
    <row r="82" spans="1:15" ht="25.5" x14ac:dyDescent="0.25">
      <c r="A82" s="2" t="s">
        <v>536</v>
      </c>
      <c r="B82" s="2" t="s">
        <v>301</v>
      </c>
      <c r="C82" s="2" t="s">
        <v>534</v>
      </c>
      <c r="D82" s="2" t="s">
        <v>35</v>
      </c>
      <c r="E82" s="2" t="s">
        <v>304</v>
      </c>
      <c r="F82" s="2" t="s">
        <v>156</v>
      </c>
      <c r="G82" s="2" t="s">
        <v>141</v>
      </c>
      <c r="H82" s="2" t="s">
        <v>108</v>
      </c>
      <c r="I82" s="2">
        <v>1</v>
      </c>
      <c r="J82" s="2"/>
      <c r="K82" s="2" t="str">
        <f t="shared" si="2"/>
        <v/>
      </c>
      <c r="L82" s="2" t="str">
        <f t="shared" si="3"/>
        <v>Bonus</v>
      </c>
      <c r="M82" s="2" t="s">
        <v>448</v>
      </c>
      <c r="N82" s="12">
        <v>45867</v>
      </c>
      <c r="O82" s="2"/>
    </row>
    <row r="83" spans="1:15" x14ac:dyDescent="0.25">
      <c r="A83" s="3" t="s">
        <v>537</v>
      </c>
      <c r="B83" s="3" t="s">
        <v>301</v>
      </c>
      <c r="C83" s="3" t="s">
        <v>534</v>
      </c>
      <c r="D83" s="3" t="s">
        <v>35</v>
      </c>
      <c r="E83" s="3" t="s">
        <v>304</v>
      </c>
      <c r="F83" s="3" t="s">
        <v>176</v>
      </c>
      <c r="G83" s="3" t="s">
        <v>167</v>
      </c>
      <c r="H83" s="3" t="s">
        <v>108</v>
      </c>
      <c r="I83" s="3">
        <v>1</v>
      </c>
      <c r="J83" s="3"/>
      <c r="K83" s="3" t="str">
        <f t="shared" si="2"/>
        <v/>
      </c>
      <c r="L83" s="3" t="str">
        <f t="shared" si="3"/>
        <v>Bonus</v>
      </c>
      <c r="M83" s="3" t="s">
        <v>450</v>
      </c>
      <c r="N83" s="11">
        <v>46022</v>
      </c>
      <c r="O83" s="3"/>
    </row>
    <row r="84" spans="1:15" x14ac:dyDescent="0.25">
      <c r="A84" s="2" t="s">
        <v>538</v>
      </c>
      <c r="B84" s="2" t="s">
        <v>301</v>
      </c>
      <c r="C84" s="2" t="s">
        <v>534</v>
      </c>
      <c r="D84" s="2" t="s">
        <v>35</v>
      </c>
      <c r="E84" s="2" t="s">
        <v>304</v>
      </c>
      <c r="F84" s="2" t="s">
        <v>207</v>
      </c>
      <c r="G84" s="2" t="s">
        <v>50</v>
      </c>
      <c r="H84" s="2" t="s">
        <v>145</v>
      </c>
      <c r="I84" s="2">
        <v>5</v>
      </c>
      <c r="J84" s="2">
        <v>3</v>
      </c>
      <c r="K84" s="2">
        <f t="shared" si="2"/>
        <v>2</v>
      </c>
      <c r="L84" s="2" t="str">
        <f t="shared" si="3"/>
        <v>Conforme</v>
      </c>
      <c r="M84" s="2" t="s">
        <v>446</v>
      </c>
      <c r="N84" s="12">
        <v>45771</v>
      </c>
      <c r="O84" s="2" t="s">
        <v>461</v>
      </c>
    </row>
    <row r="85" spans="1:15" x14ac:dyDescent="0.25">
      <c r="A85" s="3" t="s">
        <v>539</v>
      </c>
      <c r="B85" s="3" t="s">
        <v>301</v>
      </c>
      <c r="C85" s="3" t="s">
        <v>534</v>
      </c>
      <c r="D85" s="3" t="s">
        <v>35</v>
      </c>
      <c r="E85" s="3" t="s">
        <v>304</v>
      </c>
      <c r="F85" s="3" t="s">
        <v>212</v>
      </c>
      <c r="G85" s="3" t="s">
        <v>214</v>
      </c>
      <c r="H85" s="3" t="s">
        <v>108</v>
      </c>
      <c r="I85" s="3">
        <v>5</v>
      </c>
      <c r="J85" s="3">
        <v>5</v>
      </c>
      <c r="K85" s="3">
        <f t="shared" si="2"/>
        <v>0</v>
      </c>
      <c r="L85" s="3" t="str">
        <f t="shared" si="3"/>
        <v>Conforme</v>
      </c>
      <c r="M85" s="3" t="s">
        <v>450</v>
      </c>
      <c r="N85" s="11">
        <v>45804</v>
      </c>
      <c r="O85" s="3" t="s">
        <v>461</v>
      </c>
    </row>
    <row r="86" spans="1:15" x14ac:dyDescent="0.25">
      <c r="A86" s="2" t="s">
        <v>540</v>
      </c>
      <c r="B86" s="2" t="s">
        <v>301</v>
      </c>
      <c r="C86" s="2" t="s">
        <v>534</v>
      </c>
      <c r="D86" s="2" t="s">
        <v>35</v>
      </c>
      <c r="E86" s="2" t="s">
        <v>304</v>
      </c>
      <c r="F86" s="2" t="s">
        <v>218</v>
      </c>
      <c r="G86" s="2" t="s">
        <v>214</v>
      </c>
      <c r="H86" s="2" t="s">
        <v>108</v>
      </c>
      <c r="I86" s="2">
        <v>5</v>
      </c>
      <c r="J86" s="2">
        <v>4</v>
      </c>
      <c r="K86" s="2">
        <f t="shared" si="2"/>
        <v>1</v>
      </c>
      <c r="L86" s="2" t="str">
        <f t="shared" si="3"/>
        <v>Conforme</v>
      </c>
      <c r="M86" s="2" t="s">
        <v>450</v>
      </c>
      <c r="N86" s="12">
        <v>45841</v>
      </c>
      <c r="O86" s="2" t="s">
        <v>461</v>
      </c>
    </row>
    <row r="87" spans="1:15" x14ac:dyDescent="0.25">
      <c r="A87" s="3" t="s">
        <v>541</v>
      </c>
      <c r="B87" s="3" t="s">
        <v>301</v>
      </c>
      <c r="C87" s="3" t="s">
        <v>534</v>
      </c>
      <c r="D87" s="3" t="s">
        <v>35</v>
      </c>
      <c r="E87" s="3" t="s">
        <v>304</v>
      </c>
      <c r="F87" s="3" t="s">
        <v>223</v>
      </c>
      <c r="G87" s="3" t="s">
        <v>214</v>
      </c>
      <c r="H87" s="3" t="s">
        <v>145</v>
      </c>
      <c r="I87" s="3">
        <v>4</v>
      </c>
      <c r="J87" s="3">
        <v>3</v>
      </c>
      <c r="K87" s="3">
        <f t="shared" si="2"/>
        <v>1</v>
      </c>
      <c r="L87" s="3" t="str">
        <f t="shared" si="3"/>
        <v>Conforme</v>
      </c>
      <c r="M87" s="3" t="s">
        <v>446</v>
      </c>
      <c r="N87" s="11">
        <v>45958</v>
      </c>
      <c r="O87" s="3" t="s">
        <v>461</v>
      </c>
    </row>
    <row r="88" spans="1:15" x14ac:dyDescent="0.25">
      <c r="A88" s="2" t="s">
        <v>542</v>
      </c>
      <c r="B88" s="2" t="s">
        <v>301</v>
      </c>
      <c r="C88" s="2" t="s">
        <v>534</v>
      </c>
      <c r="D88" s="2" t="s">
        <v>35</v>
      </c>
      <c r="E88" s="2" t="s">
        <v>304</v>
      </c>
      <c r="F88" s="2" t="s">
        <v>228</v>
      </c>
      <c r="G88" s="2" t="s">
        <v>214</v>
      </c>
      <c r="H88" s="2" t="s">
        <v>108</v>
      </c>
      <c r="I88" s="2">
        <v>4</v>
      </c>
      <c r="J88" s="2">
        <v>3</v>
      </c>
      <c r="K88" s="2">
        <f t="shared" si="2"/>
        <v>1</v>
      </c>
      <c r="L88" s="2" t="str">
        <f t="shared" si="3"/>
        <v>Conforme</v>
      </c>
      <c r="M88" s="2" t="s">
        <v>450</v>
      </c>
      <c r="N88" s="12">
        <v>45818</v>
      </c>
      <c r="O88" s="2" t="s">
        <v>461</v>
      </c>
    </row>
    <row r="89" spans="1:15" x14ac:dyDescent="0.25">
      <c r="A89" s="3" t="s">
        <v>543</v>
      </c>
      <c r="B89" s="3" t="s">
        <v>301</v>
      </c>
      <c r="C89" s="3" t="s">
        <v>534</v>
      </c>
      <c r="D89" s="3" t="s">
        <v>35</v>
      </c>
      <c r="E89" s="3" t="s">
        <v>304</v>
      </c>
      <c r="F89" s="3" t="s">
        <v>233</v>
      </c>
      <c r="G89" s="3" t="s">
        <v>214</v>
      </c>
      <c r="H89" s="3" t="s">
        <v>108</v>
      </c>
      <c r="I89" s="3">
        <v>5</v>
      </c>
      <c r="J89" s="3">
        <v>4</v>
      </c>
      <c r="K89" s="3">
        <f t="shared" si="2"/>
        <v>1</v>
      </c>
      <c r="L89" s="3" t="str">
        <f t="shared" si="3"/>
        <v>Conforme</v>
      </c>
      <c r="M89" s="3" t="s">
        <v>450</v>
      </c>
      <c r="N89" s="11">
        <v>45944</v>
      </c>
      <c r="O89" s="3" t="s">
        <v>461</v>
      </c>
    </row>
    <row r="90" spans="1:15" x14ac:dyDescent="0.25">
      <c r="A90" s="2" t="s">
        <v>544</v>
      </c>
      <c r="B90" s="2" t="s">
        <v>306</v>
      </c>
      <c r="C90" s="2" t="s">
        <v>545</v>
      </c>
      <c r="D90" s="2" t="s">
        <v>37</v>
      </c>
      <c r="E90" s="2" t="s">
        <v>309</v>
      </c>
      <c r="F90" s="2" t="s">
        <v>97</v>
      </c>
      <c r="G90" s="2" t="s">
        <v>99</v>
      </c>
      <c r="H90" s="2" t="s">
        <v>103</v>
      </c>
      <c r="I90" s="2">
        <v>2</v>
      </c>
      <c r="J90" s="2"/>
      <c r="K90" s="2" t="str">
        <f t="shared" si="2"/>
        <v/>
      </c>
      <c r="L90" s="2" t="str">
        <f t="shared" si="3"/>
        <v>Bonus</v>
      </c>
      <c r="M90" s="2" t="s">
        <v>450</v>
      </c>
      <c r="N90" s="12">
        <v>45964</v>
      </c>
      <c r="O90" s="2"/>
    </row>
    <row r="91" spans="1:15" ht="25.5" x14ac:dyDescent="0.25">
      <c r="A91" s="3" t="s">
        <v>546</v>
      </c>
      <c r="B91" s="3" t="s">
        <v>306</v>
      </c>
      <c r="C91" s="3" t="s">
        <v>545</v>
      </c>
      <c r="D91" s="3" t="s">
        <v>37</v>
      </c>
      <c r="E91" s="3" t="s">
        <v>309</v>
      </c>
      <c r="F91" s="3" t="s">
        <v>149</v>
      </c>
      <c r="G91" s="3" t="s">
        <v>141</v>
      </c>
      <c r="H91" s="3" t="s">
        <v>145</v>
      </c>
      <c r="I91" s="3">
        <v>2</v>
      </c>
      <c r="J91" s="3"/>
      <c r="K91" s="3" t="str">
        <f t="shared" si="2"/>
        <v/>
      </c>
      <c r="L91" s="3" t="str">
        <f t="shared" si="3"/>
        <v>Bonus</v>
      </c>
      <c r="M91" s="3" t="s">
        <v>446</v>
      </c>
      <c r="N91" s="11">
        <v>45885</v>
      </c>
      <c r="O91" s="3"/>
    </row>
    <row r="92" spans="1:15" ht="25.5" x14ac:dyDescent="0.25">
      <c r="A92" s="2" t="s">
        <v>547</v>
      </c>
      <c r="B92" s="2" t="s">
        <v>306</v>
      </c>
      <c r="C92" s="2" t="s">
        <v>545</v>
      </c>
      <c r="D92" s="2" t="s">
        <v>37</v>
      </c>
      <c r="E92" s="2" t="s">
        <v>309</v>
      </c>
      <c r="F92" s="2" t="s">
        <v>156</v>
      </c>
      <c r="G92" s="2" t="s">
        <v>141</v>
      </c>
      <c r="H92" s="2" t="s">
        <v>108</v>
      </c>
      <c r="I92" s="2">
        <v>3</v>
      </c>
      <c r="J92" s="2"/>
      <c r="K92" s="2" t="str">
        <f t="shared" si="2"/>
        <v/>
      </c>
      <c r="L92" s="2" t="str">
        <f t="shared" si="3"/>
        <v>Bonus</v>
      </c>
      <c r="M92" s="2" t="s">
        <v>450</v>
      </c>
      <c r="N92" s="12">
        <v>45890</v>
      </c>
      <c r="O92" s="2"/>
    </row>
    <row r="93" spans="1:15" ht="25.5" x14ac:dyDescent="0.25">
      <c r="A93" s="3" t="s">
        <v>548</v>
      </c>
      <c r="B93" s="3" t="s">
        <v>306</v>
      </c>
      <c r="C93" s="3" t="s">
        <v>545</v>
      </c>
      <c r="D93" s="3" t="s">
        <v>37</v>
      </c>
      <c r="E93" s="3" t="s">
        <v>309</v>
      </c>
      <c r="F93" s="3" t="s">
        <v>160</v>
      </c>
      <c r="G93" s="3" t="s">
        <v>141</v>
      </c>
      <c r="H93" s="3" t="s">
        <v>108</v>
      </c>
      <c r="I93" s="3">
        <v>2</v>
      </c>
      <c r="J93" s="3"/>
      <c r="K93" s="3" t="str">
        <f t="shared" si="2"/>
        <v/>
      </c>
      <c r="L93" s="3" t="str">
        <f t="shared" si="3"/>
        <v>Bonus</v>
      </c>
      <c r="M93" s="3" t="s">
        <v>450</v>
      </c>
      <c r="N93" s="11">
        <v>45932</v>
      </c>
      <c r="O93" s="3"/>
    </row>
    <row r="94" spans="1:15" x14ac:dyDescent="0.25">
      <c r="A94" s="2" t="s">
        <v>549</v>
      </c>
      <c r="B94" s="2" t="s">
        <v>306</v>
      </c>
      <c r="C94" s="2" t="s">
        <v>545</v>
      </c>
      <c r="D94" s="2" t="s">
        <v>37</v>
      </c>
      <c r="E94" s="2" t="s">
        <v>309</v>
      </c>
      <c r="F94" s="2" t="s">
        <v>207</v>
      </c>
      <c r="G94" s="2" t="s">
        <v>50</v>
      </c>
      <c r="H94" s="2" t="s">
        <v>145</v>
      </c>
      <c r="I94" s="2">
        <v>3</v>
      </c>
      <c r="J94" s="2">
        <v>3</v>
      </c>
      <c r="K94" s="2">
        <f t="shared" si="2"/>
        <v>0</v>
      </c>
      <c r="L94" s="2" t="str">
        <f t="shared" si="3"/>
        <v>Conforme</v>
      </c>
      <c r="M94" s="2" t="s">
        <v>450</v>
      </c>
      <c r="N94" s="12">
        <v>45885</v>
      </c>
      <c r="O94" s="2"/>
    </row>
    <row r="95" spans="1:15" x14ac:dyDescent="0.25">
      <c r="A95" s="3" t="s">
        <v>550</v>
      </c>
      <c r="B95" s="3" t="s">
        <v>306</v>
      </c>
      <c r="C95" s="3" t="s">
        <v>545</v>
      </c>
      <c r="D95" s="3" t="s">
        <v>37</v>
      </c>
      <c r="E95" s="3" t="s">
        <v>309</v>
      </c>
      <c r="F95" s="3" t="s">
        <v>212</v>
      </c>
      <c r="G95" s="3" t="s">
        <v>214</v>
      </c>
      <c r="H95" s="3" t="s">
        <v>108</v>
      </c>
      <c r="I95" s="3">
        <v>5</v>
      </c>
      <c r="J95" s="3">
        <v>5</v>
      </c>
      <c r="K95" s="3">
        <f t="shared" si="2"/>
        <v>0</v>
      </c>
      <c r="L95" s="3" t="str">
        <f t="shared" si="3"/>
        <v>Conforme</v>
      </c>
      <c r="M95" s="3" t="s">
        <v>450</v>
      </c>
      <c r="N95" s="11">
        <v>46000</v>
      </c>
      <c r="O95" s="3" t="s">
        <v>461</v>
      </c>
    </row>
    <row r="96" spans="1:15" x14ac:dyDescent="0.25">
      <c r="A96" s="2" t="s">
        <v>551</v>
      </c>
      <c r="B96" s="2" t="s">
        <v>306</v>
      </c>
      <c r="C96" s="2" t="s">
        <v>545</v>
      </c>
      <c r="D96" s="2" t="s">
        <v>37</v>
      </c>
      <c r="E96" s="2" t="s">
        <v>309</v>
      </c>
      <c r="F96" s="2" t="s">
        <v>218</v>
      </c>
      <c r="G96" s="2" t="s">
        <v>214</v>
      </c>
      <c r="H96" s="2" t="s">
        <v>108</v>
      </c>
      <c r="I96" s="2">
        <v>5</v>
      </c>
      <c r="J96" s="2">
        <v>4</v>
      </c>
      <c r="K96" s="2">
        <f t="shared" si="2"/>
        <v>1</v>
      </c>
      <c r="L96" s="2" t="str">
        <f t="shared" si="3"/>
        <v>Conforme</v>
      </c>
      <c r="M96" s="2" t="s">
        <v>446</v>
      </c>
      <c r="N96" s="12">
        <v>45766</v>
      </c>
      <c r="O96" s="2" t="s">
        <v>461</v>
      </c>
    </row>
    <row r="97" spans="1:15" x14ac:dyDescent="0.25">
      <c r="A97" s="3" t="s">
        <v>552</v>
      </c>
      <c r="B97" s="3" t="s">
        <v>306</v>
      </c>
      <c r="C97" s="3" t="s">
        <v>545</v>
      </c>
      <c r="D97" s="3" t="s">
        <v>37</v>
      </c>
      <c r="E97" s="3" t="s">
        <v>309</v>
      </c>
      <c r="F97" s="3" t="s">
        <v>223</v>
      </c>
      <c r="G97" s="3" t="s">
        <v>214</v>
      </c>
      <c r="H97" s="3" t="s">
        <v>145</v>
      </c>
      <c r="I97" s="3">
        <v>3</v>
      </c>
      <c r="J97" s="3">
        <v>3</v>
      </c>
      <c r="K97" s="3">
        <f t="shared" si="2"/>
        <v>0</v>
      </c>
      <c r="L97" s="3" t="str">
        <f t="shared" si="3"/>
        <v>Conforme</v>
      </c>
      <c r="M97" s="3" t="s">
        <v>446</v>
      </c>
      <c r="N97" s="11">
        <v>45883</v>
      </c>
      <c r="O97" s="3"/>
    </row>
    <row r="98" spans="1:15" x14ac:dyDescent="0.25">
      <c r="A98" s="2" t="s">
        <v>553</v>
      </c>
      <c r="B98" s="2" t="s">
        <v>306</v>
      </c>
      <c r="C98" s="2" t="s">
        <v>545</v>
      </c>
      <c r="D98" s="2" t="s">
        <v>37</v>
      </c>
      <c r="E98" s="2" t="s">
        <v>309</v>
      </c>
      <c r="F98" s="2" t="s">
        <v>233</v>
      </c>
      <c r="G98" s="2" t="s">
        <v>214</v>
      </c>
      <c r="H98" s="2" t="s">
        <v>108</v>
      </c>
      <c r="I98" s="2">
        <v>3</v>
      </c>
      <c r="J98" s="2">
        <v>3</v>
      </c>
      <c r="K98" s="2">
        <f t="shared" si="2"/>
        <v>0</v>
      </c>
      <c r="L98" s="2" t="str">
        <f t="shared" si="3"/>
        <v>Conforme</v>
      </c>
      <c r="M98" s="2" t="s">
        <v>446</v>
      </c>
      <c r="N98" s="12">
        <v>46042</v>
      </c>
      <c r="O98" s="2"/>
    </row>
    <row r="99" spans="1:15" ht="25.5" x14ac:dyDescent="0.25">
      <c r="A99" s="3" t="s">
        <v>554</v>
      </c>
      <c r="B99" s="3" t="s">
        <v>310</v>
      </c>
      <c r="C99" s="3" t="s">
        <v>555</v>
      </c>
      <c r="D99" s="3" t="s">
        <v>39</v>
      </c>
      <c r="E99" s="3" t="s">
        <v>313</v>
      </c>
      <c r="F99" s="3" t="s">
        <v>160</v>
      </c>
      <c r="G99" s="3" t="s">
        <v>141</v>
      </c>
      <c r="H99" s="3" t="s">
        <v>108</v>
      </c>
      <c r="I99" s="3">
        <v>2</v>
      </c>
      <c r="J99" s="3"/>
      <c r="K99" s="3" t="str">
        <f t="shared" si="2"/>
        <v/>
      </c>
      <c r="L99" s="3" t="str">
        <f t="shared" si="3"/>
        <v>Bonus</v>
      </c>
      <c r="M99" s="3" t="s">
        <v>446</v>
      </c>
      <c r="N99" s="11">
        <v>45970</v>
      </c>
      <c r="O99" s="3"/>
    </row>
    <row r="100" spans="1:15" x14ac:dyDescent="0.25">
      <c r="A100" s="2" t="s">
        <v>556</v>
      </c>
      <c r="B100" s="2" t="s">
        <v>310</v>
      </c>
      <c r="C100" s="2" t="s">
        <v>555</v>
      </c>
      <c r="D100" s="2" t="s">
        <v>39</v>
      </c>
      <c r="E100" s="2" t="s">
        <v>313</v>
      </c>
      <c r="F100" s="2" t="s">
        <v>165</v>
      </c>
      <c r="G100" s="2" t="s">
        <v>167</v>
      </c>
      <c r="H100" s="2" t="s">
        <v>103</v>
      </c>
      <c r="I100" s="2">
        <v>3</v>
      </c>
      <c r="J100" s="2"/>
      <c r="K100" s="2" t="str">
        <f t="shared" si="2"/>
        <v/>
      </c>
      <c r="L100" s="2" t="str">
        <f t="shared" si="3"/>
        <v>Bonus</v>
      </c>
      <c r="M100" s="2" t="s">
        <v>448</v>
      </c>
      <c r="N100" s="12">
        <v>46064</v>
      </c>
      <c r="O100" s="2"/>
    </row>
    <row r="101" spans="1:15" x14ac:dyDescent="0.25">
      <c r="A101" s="3" t="s">
        <v>557</v>
      </c>
      <c r="B101" s="3" t="s">
        <v>310</v>
      </c>
      <c r="C101" s="3" t="s">
        <v>555</v>
      </c>
      <c r="D101" s="3" t="s">
        <v>39</v>
      </c>
      <c r="E101" s="3" t="s">
        <v>313</v>
      </c>
      <c r="F101" s="3" t="s">
        <v>181</v>
      </c>
      <c r="G101" s="3" t="s">
        <v>167</v>
      </c>
      <c r="H101" s="3" t="s">
        <v>103</v>
      </c>
      <c r="I101" s="3">
        <v>1</v>
      </c>
      <c r="J101" s="3"/>
      <c r="K101" s="3" t="str">
        <f t="shared" si="2"/>
        <v/>
      </c>
      <c r="L101" s="3" t="str">
        <f t="shared" si="3"/>
        <v>Bonus</v>
      </c>
      <c r="M101" s="3" t="s">
        <v>448</v>
      </c>
      <c r="N101" s="11">
        <v>45962</v>
      </c>
      <c r="O101" s="3"/>
    </row>
    <row r="102" spans="1:15" x14ac:dyDescent="0.25">
      <c r="A102" s="2" t="s">
        <v>558</v>
      </c>
      <c r="B102" s="2" t="s">
        <v>310</v>
      </c>
      <c r="C102" s="2" t="s">
        <v>555</v>
      </c>
      <c r="D102" s="2" t="s">
        <v>39</v>
      </c>
      <c r="E102" s="2" t="s">
        <v>313</v>
      </c>
      <c r="F102" s="2" t="s">
        <v>202</v>
      </c>
      <c r="G102" s="2" t="s">
        <v>50</v>
      </c>
      <c r="H102" s="2" t="s">
        <v>108</v>
      </c>
      <c r="I102" s="2">
        <v>3</v>
      </c>
      <c r="J102" s="2">
        <v>2</v>
      </c>
      <c r="K102" s="2">
        <f t="shared" si="2"/>
        <v>1</v>
      </c>
      <c r="L102" s="2" t="str">
        <f t="shared" si="3"/>
        <v>Conforme</v>
      </c>
      <c r="M102" s="2" t="s">
        <v>448</v>
      </c>
      <c r="N102" s="12">
        <v>45896</v>
      </c>
      <c r="O102" s="2"/>
    </row>
    <row r="103" spans="1:15" x14ac:dyDescent="0.25">
      <c r="A103" s="3" t="s">
        <v>559</v>
      </c>
      <c r="B103" s="3" t="s">
        <v>310</v>
      </c>
      <c r="C103" s="3" t="s">
        <v>555</v>
      </c>
      <c r="D103" s="3" t="s">
        <v>39</v>
      </c>
      <c r="E103" s="3" t="s">
        <v>313</v>
      </c>
      <c r="F103" s="3" t="s">
        <v>207</v>
      </c>
      <c r="G103" s="3" t="s">
        <v>50</v>
      </c>
      <c r="H103" s="3" t="s">
        <v>145</v>
      </c>
      <c r="I103" s="3">
        <v>3</v>
      </c>
      <c r="J103" s="3">
        <v>3</v>
      </c>
      <c r="K103" s="3">
        <f t="shared" si="2"/>
        <v>0</v>
      </c>
      <c r="L103" s="3" t="str">
        <f t="shared" si="3"/>
        <v>Conforme</v>
      </c>
      <c r="M103" s="3" t="s">
        <v>450</v>
      </c>
      <c r="N103" s="11">
        <v>46001</v>
      </c>
      <c r="O103" s="3"/>
    </row>
    <row r="104" spans="1:15" x14ac:dyDescent="0.25">
      <c r="A104" s="2" t="s">
        <v>560</v>
      </c>
      <c r="B104" s="2" t="s">
        <v>310</v>
      </c>
      <c r="C104" s="2" t="s">
        <v>555</v>
      </c>
      <c r="D104" s="2" t="s">
        <v>39</v>
      </c>
      <c r="E104" s="2" t="s">
        <v>313</v>
      </c>
      <c r="F104" s="2" t="s">
        <v>212</v>
      </c>
      <c r="G104" s="2" t="s">
        <v>214</v>
      </c>
      <c r="H104" s="2" t="s">
        <v>108</v>
      </c>
      <c r="I104" s="2">
        <v>3</v>
      </c>
      <c r="J104" s="2">
        <v>3</v>
      </c>
      <c r="K104" s="2">
        <f t="shared" si="2"/>
        <v>0</v>
      </c>
      <c r="L104" s="2" t="str">
        <f t="shared" si="3"/>
        <v>Conforme</v>
      </c>
      <c r="M104" s="2" t="s">
        <v>448</v>
      </c>
      <c r="N104" s="12">
        <v>45788</v>
      </c>
      <c r="O104" s="2"/>
    </row>
    <row r="105" spans="1:15" x14ac:dyDescent="0.25">
      <c r="A105" s="3" t="s">
        <v>561</v>
      </c>
      <c r="B105" s="3" t="s">
        <v>310</v>
      </c>
      <c r="C105" s="3" t="s">
        <v>555</v>
      </c>
      <c r="D105" s="3" t="s">
        <v>39</v>
      </c>
      <c r="E105" s="3" t="s">
        <v>313</v>
      </c>
      <c r="F105" s="3" t="s">
        <v>218</v>
      </c>
      <c r="G105" s="3" t="s">
        <v>214</v>
      </c>
      <c r="H105" s="3" t="s">
        <v>108</v>
      </c>
      <c r="I105" s="3">
        <v>5</v>
      </c>
      <c r="J105" s="3">
        <v>4</v>
      </c>
      <c r="K105" s="3">
        <f t="shared" si="2"/>
        <v>1</v>
      </c>
      <c r="L105" s="3" t="str">
        <f t="shared" si="3"/>
        <v>Conforme</v>
      </c>
      <c r="M105" s="3" t="s">
        <v>446</v>
      </c>
      <c r="N105" s="11">
        <v>45790</v>
      </c>
      <c r="O105" s="3" t="s">
        <v>461</v>
      </c>
    </row>
    <row r="106" spans="1:15" x14ac:dyDescent="0.25">
      <c r="A106" s="2" t="s">
        <v>562</v>
      </c>
      <c r="B106" s="2" t="s">
        <v>310</v>
      </c>
      <c r="C106" s="2" t="s">
        <v>555</v>
      </c>
      <c r="D106" s="2" t="s">
        <v>39</v>
      </c>
      <c r="E106" s="2" t="s">
        <v>313</v>
      </c>
      <c r="F106" s="2" t="s">
        <v>223</v>
      </c>
      <c r="G106" s="2" t="s">
        <v>214</v>
      </c>
      <c r="H106" s="2" t="s">
        <v>145</v>
      </c>
      <c r="I106" s="2">
        <v>5</v>
      </c>
      <c r="J106" s="2">
        <v>4</v>
      </c>
      <c r="K106" s="2">
        <f t="shared" si="2"/>
        <v>1</v>
      </c>
      <c r="L106" s="2" t="str">
        <f t="shared" si="3"/>
        <v>Conforme</v>
      </c>
      <c r="M106" s="2" t="s">
        <v>446</v>
      </c>
      <c r="N106" s="12">
        <v>45881</v>
      </c>
      <c r="O106" s="2" t="s">
        <v>461</v>
      </c>
    </row>
    <row r="107" spans="1:15" x14ac:dyDescent="0.25">
      <c r="A107" s="3" t="s">
        <v>563</v>
      </c>
      <c r="B107" s="3" t="s">
        <v>310</v>
      </c>
      <c r="C107" s="3" t="s">
        <v>555</v>
      </c>
      <c r="D107" s="3" t="s">
        <v>39</v>
      </c>
      <c r="E107" s="3" t="s">
        <v>313</v>
      </c>
      <c r="F107" s="3" t="s">
        <v>233</v>
      </c>
      <c r="G107" s="3" t="s">
        <v>214</v>
      </c>
      <c r="H107" s="3" t="s">
        <v>108</v>
      </c>
      <c r="I107" s="3">
        <v>4</v>
      </c>
      <c r="J107" s="3">
        <v>3</v>
      </c>
      <c r="K107" s="3">
        <f t="shared" si="2"/>
        <v>1</v>
      </c>
      <c r="L107" s="3" t="str">
        <f t="shared" si="3"/>
        <v>Conforme</v>
      </c>
      <c r="M107" s="3" t="s">
        <v>446</v>
      </c>
      <c r="N107" s="11">
        <v>46032</v>
      </c>
      <c r="O107" s="3" t="s">
        <v>461</v>
      </c>
    </row>
    <row r="108" spans="1:15" x14ac:dyDescent="0.25">
      <c r="A108" s="2" t="s">
        <v>564</v>
      </c>
      <c r="B108" s="2" t="s">
        <v>315</v>
      </c>
      <c r="C108" s="2" t="s">
        <v>565</v>
      </c>
      <c r="D108" s="2" t="s">
        <v>41</v>
      </c>
      <c r="E108" s="2" t="s">
        <v>318</v>
      </c>
      <c r="F108" s="2" t="s">
        <v>202</v>
      </c>
      <c r="G108" s="2" t="s">
        <v>50</v>
      </c>
      <c r="H108" s="2" t="s">
        <v>108</v>
      </c>
      <c r="I108" s="2">
        <v>5</v>
      </c>
      <c r="J108" s="2">
        <v>4</v>
      </c>
      <c r="K108" s="2">
        <f t="shared" si="2"/>
        <v>1</v>
      </c>
      <c r="L108" s="2" t="str">
        <f t="shared" si="3"/>
        <v>Conforme</v>
      </c>
      <c r="M108" s="2" t="s">
        <v>450</v>
      </c>
      <c r="N108" s="12">
        <v>45846</v>
      </c>
      <c r="O108" s="2" t="s">
        <v>461</v>
      </c>
    </row>
    <row r="109" spans="1:15" x14ac:dyDescent="0.25">
      <c r="A109" s="3" t="s">
        <v>566</v>
      </c>
      <c r="B109" s="3" t="s">
        <v>315</v>
      </c>
      <c r="C109" s="3" t="s">
        <v>565</v>
      </c>
      <c r="D109" s="3" t="s">
        <v>41</v>
      </c>
      <c r="E109" s="3" t="s">
        <v>318</v>
      </c>
      <c r="F109" s="3" t="s">
        <v>223</v>
      </c>
      <c r="G109" s="3" t="s">
        <v>214</v>
      </c>
      <c r="H109" s="3" t="s">
        <v>145</v>
      </c>
      <c r="I109" s="3">
        <v>2</v>
      </c>
      <c r="J109" s="3">
        <v>2</v>
      </c>
      <c r="K109" s="3">
        <f t="shared" si="2"/>
        <v>0</v>
      </c>
      <c r="L109" s="3" t="str">
        <f t="shared" si="3"/>
        <v>Conforme</v>
      </c>
      <c r="M109" s="3" t="s">
        <v>450</v>
      </c>
      <c r="N109" s="11">
        <v>46040</v>
      </c>
      <c r="O109" s="3"/>
    </row>
    <row r="110" spans="1:15" x14ac:dyDescent="0.25">
      <c r="A110" s="2" t="s">
        <v>567</v>
      </c>
      <c r="B110" s="2" t="s">
        <v>315</v>
      </c>
      <c r="C110" s="2" t="s">
        <v>565</v>
      </c>
      <c r="D110" s="2" t="s">
        <v>41</v>
      </c>
      <c r="E110" s="2" t="s">
        <v>318</v>
      </c>
      <c r="F110" s="2" t="s">
        <v>228</v>
      </c>
      <c r="G110" s="2" t="s">
        <v>214</v>
      </c>
      <c r="H110" s="2" t="s">
        <v>108</v>
      </c>
      <c r="I110" s="2">
        <v>5</v>
      </c>
      <c r="J110" s="2">
        <v>5</v>
      </c>
      <c r="K110" s="2">
        <f t="shared" si="2"/>
        <v>0</v>
      </c>
      <c r="L110" s="2" t="str">
        <f t="shared" si="3"/>
        <v>Conforme</v>
      </c>
      <c r="M110" s="2" t="s">
        <v>450</v>
      </c>
      <c r="N110" s="12">
        <v>45960</v>
      </c>
      <c r="O110" s="2" t="s">
        <v>461</v>
      </c>
    </row>
    <row r="111" spans="1:15" x14ac:dyDescent="0.25">
      <c r="A111" s="3" t="s">
        <v>568</v>
      </c>
      <c r="B111" s="3" t="s">
        <v>315</v>
      </c>
      <c r="C111" s="3" t="s">
        <v>565</v>
      </c>
      <c r="D111" s="3" t="s">
        <v>41</v>
      </c>
      <c r="E111" s="3" t="s">
        <v>318</v>
      </c>
      <c r="F111" s="3" t="s">
        <v>233</v>
      </c>
      <c r="G111" s="3" t="s">
        <v>214</v>
      </c>
      <c r="H111" s="3" t="s">
        <v>108</v>
      </c>
      <c r="I111" s="3">
        <v>4</v>
      </c>
      <c r="J111" s="3">
        <v>3</v>
      </c>
      <c r="K111" s="3">
        <f t="shared" si="2"/>
        <v>1</v>
      </c>
      <c r="L111" s="3" t="str">
        <f t="shared" si="3"/>
        <v>Conforme</v>
      </c>
      <c r="M111" s="3" t="s">
        <v>448</v>
      </c>
      <c r="N111" s="11">
        <v>45912</v>
      </c>
      <c r="O111" s="3" t="s">
        <v>461</v>
      </c>
    </row>
    <row r="112" spans="1:15" ht="25.5" x14ac:dyDescent="0.25">
      <c r="A112" s="2" t="s">
        <v>569</v>
      </c>
      <c r="B112" s="2" t="s">
        <v>319</v>
      </c>
      <c r="C112" s="2" t="s">
        <v>570</v>
      </c>
      <c r="D112" s="2" t="s">
        <v>43</v>
      </c>
      <c r="E112" s="2" t="s">
        <v>322</v>
      </c>
      <c r="F112" s="2" t="s">
        <v>146</v>
      </c>
      <c r="G112" s="2" t="s">
        <v>141</v>
      </c>
      <c r="H112" s="2" t="s">
        <v>103</v>
      </c>
      <c r="I112" s="2">
        <v>2</v>
      </c>
      <c r="J112" s="2">
        <v>2</v>
      </c>
      <c r="K112" s="2">
        <f t="shared" si="2"/>
        <v>0</v>
      </c>
      <c r="L112" s="2" t="str">
        <f t="shared" si="3"/>
        <v>Conforme</v>
      </c>
      <c r="M112" s="2" t="s">
        <v>448</v>
      </c>
      <c r="N112" s="12">
        <v>46041</v>
      </c>
      <c r="O112" s="2"/>
    </row>
    <row r="113" spans="1:15" ht="25.5" x14ac:dyDescent="0.25">
      <c r="A113" s="3" t="s">
        <v>571</v>
      </c>
      <c r="B113" s="3" t="s">
        <v>319</v>
      </c>
      <c r="C113" s="3" t="s">
        <v>570</v>
      </c>
      <c r="D113" s="3" t="s">
        <v>43</v>
      </c>
      <c r="E113" s="3" t="s">
        <v>322</v>
      </c>
      <c r="F113" s="3" t="s">
        <v>160</v>
      </c>
      <c r="G113" s="3" t="s">
        <v>141</v>
      </c>
      <c r="H113" s="3" t="s">
        <v>108</v>
      </c>
      <c r="I113" s="3">
        <v>5</v>
      </c>
      <c r="J113" s="3">
        <v>4</v>
      </c>
      <c r="K113" s="3">
        <f t="shared" si="2"/>
        <v>1</v>
      </c>
      <c r="L113" s="3" t="str">
        <f t="shared" si="3"/>
        <v>Conforme</v>
      </c>
      <c r="M113" s="3" t="s">
        <v>446</v>
      </c>
      <c r="N113" s="11">
        <v>45754</v>
      </c>
      <c r="O113" s="3" t="s">
        <v>461</v>
      </c>
    </row>
    <row r="114" spans="1:15" x14ac:dyDescent="0.25">
      <c r="A114" s="2" t="s">
        <v>572</v>
      </c>
      <c r="B114" s="2" t="s">
        <v>319</v>
      </c>
      <c r="C114" s="2" t="s">
        <v>570</v>
      </c>
      <c r="D114" s="2" t="s">
        <v>43</v>
      </c>
      <c r="E114" s="2" t="s">
        <v>322</v>
      </c>
      <c r="F114" s="2" t="s">
        <v>186</v>
      </c>
      <c r="G114" s="2" t="s">
        <v>50</v>
      </c>
      <c r="H114" s="2" t="s">
        <v>108</v>
      </c>
      <c r="I114" s="2">
        <v>3</v>
      </c>
      <c r="J114" s="2">
        <v>3</v>
      </c>
      <c r="K114" s="2">
        <f t="shared" si="2"/>
        <v>0</v>
      </c>
      <c r="L114" s="2" t="str">
        <f t="shared" si="3"/>
        <v>Conforme</v>
      </c>
      <c r="M114" s="2" t="s">
        <v>446</v>
      </c>
      <c r="N114" s="12">
        <v>45928</v>
      </c>
      <c r="O114" s="2"/>
    </row>
    <row r="115" spans="1:15" x14ac:dyDescent="0.25">
      <c r="A115" s="3" t="s">
        <v>573</v>
      </c>
      <c r="B115" s="3" t="s">
        <v>319</v>
      </c>
      <c r="C115" s="3" t="s">
        <v>570</v>
      </c>
      <c r="D115" s="3" t="s">
        <v>43</v>
      </c>
      <c r="E115" s="3" t="s">
        <v>322</v>
      </c>
      <c r="F115" s="3" t="s">
        <v>202</v>
      </c>
      <c r="G115" s="3" t="s">
        <v>50</v>
      </c>
      <c r="H115" s="3" t="s">
        <v>108</v>
      </c>
      <c r="I115" s="3">
        <v>4</v>
      </c>
      <c r="J115" s="3">
        <v>3</v>
      </c>
      <c r="K115" s="3">
        <f t="shared" si="2"/>
        <v>1</v>
      </c>
      <c r="L115" s="3" t="str">
        <f t="shared" si="3"/>
        <v>Conforme</v>
      </c>
      <c r="M115" s="3" t="s">
        <v>450</v>
      </c>
      <c r="N115" s="11">
        <v>45803</v>
      </c>
      <c r="O115" s="3" t="s">
        <v>461</v>
      </c>
    </row>
    <row r="116" spans="1:15" x14ac:dyDescent="0.25">
      <c r="A116" s="2" t="s">
        <v>574</v>
      </c>
      <c r="B116" s="2" t="s">
        <v>319</v>
      </c>
      <c r="C116" s="2" t="s">
        <v>570</v>
      </c>
      <c r="D116" s="2" t="s">
        <v>43</v>
      </c>
      <c r="E116" s="2" t="s">
        <v>322</v>
      </c>
      <c r="F116" s="2" t="s">
        <v>218</v>
      </c>
      <c r="G116" s="2" t="s">
        <v>214</v>
      </c>
      <c r="H116" s="2" t="s">
        <v>108</v>
      </c>
      <c r="I116" s="2">
        <v>3</v>
      </c>
      <c r="J116" s="2">
        <v>3</v>
      </c>
      <c r="K116" s="2">
        <f t="shared" si="2"/>
        <v>0</v>
      </c>
      <c r="L116" s="2" t="str">
        <f t="shared" si="3"/>
        <v>Conforme</v>
      </c>
      <c r="M116" s="2" t="s">
        <v>448</v>
      </c>
      <c r="N116" s="12">
        <v>45956</v>
      </c>
      <c r="O116" s="2"/>
    </row>
    <row r="117" spans="1:15" x14ac:dyDescent="0.25">
      <c r="A117" s="3" t="s">
        <v>575</v>
      </c>
      <c r="B117" s="3" t="s">
        <v>319</v>
      </c>
      <c r="C117" s="3" t="s">
        <v>570</v>
      </c>
      <c r="D117" s="3" t="s">
        <v>43</v>
      </c>
      <c r="E117" s="3" t="s">
        <v>322</v>
      </c>
      <c r="F117" s="3" t="s">
        <v>223</v>
      </c>
      <c r="G117" s="3" t="s">
        <v>214</v>
      </c>
      <c r="H117" s="3" t="s">
        <v>145</v>
      </c>
      <c r="I117" s="3">
        <v>2</v>
      </c>
      <c r="J117" s="3">
        <v>3</v>
      </c>
      <c r="K117" s="3">
        <f t="shared" si="2"/>
        <v>-1</v>
      </c>
      <c r="L117" s="3" t="str">
        <f t="shared" si="3"/>
        <v>Ecart mineur</v>
      </c>
      <c r="M117" s="3" t="s">
        <v>450</v>
      </c>
      <c r="N117" s="11">
        <v>45986</v>
      </c>
      <c r="O117" s="3"/>
    </row>
    <row r="118" spans="1:15" x14ac:dyDescent="0.25">
      <c r="A118" s="2" t="s">
        <v>576</v>
      </c>
      <c r="B118" s="2" t="s">
        <v>323</v>
      </c>
      <c r="C118" s="2" t="s">
        <v>577</v>
      </c>
      <c r="D118" s="2" t="s">
        <v>35</v>
      </c>
      <c r="E118" s="2" t="s">
        <v>326</v>
      </c>
      <c r="F118" s="2" t="s">
        <v>118</v>
      </c>
      <c r="G118" s="2" t="s">
        <v>120</v>
      </c>
      <c r="H118" s="2" t="s">
        <v>108</v>
      </c>
      <c r="I118" s="2">
        <v>2</v>
      </c>
      <c r="J118" s="2">
        <v>2</v>
      </c>
      <c r="K118" s="2">
        <f t="shared" si="2"/>
        <v>0</v>
      </c>
      <c r="L118" s="2" t="str">
        <f t="shared" si="3"/>
        <v>Conforme</v>
      </c>
      <c r="M118" s="2" t="s">
        <v>448</v>
      </c>
      <c r="N118" s="12">
        <v>46033</v>
      </c>
      <c r="O118" s="2"/>
    </row>
    <row r="119" spans="1:15" x14ac:dyDescent="0.25">
      <c r="A119" s="3" t="s">
        <v>578</v>
      </c>
      <c r="B119" s="3" t="s">
        <v>323</v>
      </c>
      <c r="C119" s="3" t="s">
        <v>577</v>
      </c>
      <c r="D119" s="3" t="s">
        <v>35</v>
      </c>
      <c r="E119" s="3" t="s">
        <v>326</v>
      </c>
      <c r="F119" s="3" t="s">
        <v>124</v>
      </c>
      <c r="G119" s="3" t="s">
        <v>120</v>
      </c>
      <c r="H119" s="3" t="s">
        <v>108</v>
      </c>
      <c r="I119" s="3">
        <v>2</v>
      </c>
      <c r="J119" s="3">
        <v>2</v>
      </c>
      <c r="K119" s="3">
        <f t="shared" si="2"/>
        <v>0</v>
      </c>
      <c r="L119" s="3" t="str">
        <f t="shared" si="3"/>
        <v>Conforme</v>
      </c>
      <c r="M119" s="3" t="s">
        <v>450</v>
      </c>
      <c r="N119" s="11">
        <v>45968</v>
      </c>
      <c r="O119" s="3"/>
    </row>
    <row r="120" spans="1:15" x14ac:dyDescent="0.25">
      <c r="A120" s="2" t="s">
        <v>579</v>
      </c>
      <c r="B120" s="2" t="s">
        <v>323</v>
      </c>
      <c r="C120" s="2" t="s">
        <v>577</v>
      </c>
      <c r="D120" s="2" t="s">
        <v>35</v>
      </c>
      <c r="E120" s="2" t="s">
        <v>326</v>
      </c>
      <c r="F120" s="2" t="s">
        <v>131</v>
      </c>
      <c r="G120" s="2" t="s">
        <v>120</v>
      </c>
      <c r="H120" s="2" t="s">
        <v>103</v>
      </c>
      <c r="I120" s="2">
        <v>3</v>
      </c>
      <c r="J120" s="2"/>
      <c r="K120" s="2" t="str">
        <f t="shared" si="2"/>
        <v/>
      </c>
      <c r="L120" s="2" t="str">
        <f t="shared" si="3"/>
        <v>Bonus</v>
      </c>
      <c r="M120" s="2" t="s">
        <v>450</v>
      </c>
      <c r="N120" s="12">
        <v>46020</v>
      </c>
      <c r="O120" s="2"/>
    </row>
    <row r="121" spans="1:15" x14ac:dyDescent="0.25">
      <c r="A121" s="3" t="s">
        <v>580</v>
      </c>
      <c r="B121" s="3" t="s">
        <v>323</v>
      </c>
      <c r="C121" s="3" t="s">
        <v>577</v>
      </c>
      <c r="D121" s="3" t="s">
        <v>35</v>
      </c>
      <c r="E121" s="3" t="s">
        <v>326</v>
      </c>
      <c r="F121" s="3" t="s">
        <v>135</v>
      </c>
      <c r="G121" s="3" t="s">
        <v>120</v>
      </c>
      <c r="H121" s="3" t="s">
        <v>108</v>
      </c>
      <c r="I121" s="3">
        <v>1</v>
      </c>
      <c r="J121" s="3"/>
      <c r="K121" s="3" t="str">
        <f t="shared" si="2"/>
        <v/>
      </c>
      <c r="L121" s="3" t="str">
        <f t="shared" si="3"/>
        <v>Bonus</v>
      </c>
      <c r="M121" s="3" t="s">
        <v>450</v>
      </c>
      <c r="N121" s="11">
        <v>45801</v>
      </c>
      <c r="O121" s="3"/>
    </row>
    <row r="122" spans="1:15" ht="25.5" x14ac:dyDescent="0.25">
      <c r="A122" s="2" t="s">
        <v>581</v>
      </c>
      <c r="B122" s="2" t="s">
        <v>323</v>
      </c>
      <c r="C122" s="2" t="s">
        <v>577</v>
      </c>
      <c r="D122" s="2" t="s">
        <v>35</v>
      </c>
      <c r="E122" s="2" t="s">
        <v>326</v>
      </c>
      <c r="F122" s="2" t="s">
        <v>139</v>
      </c>
      <c r="G122" s="2" t="s">
        <v>141</v>
      </c>
      <c r="H122" s="2" t="s">
        <v>145</v>
      </c>
      <c r="I122" s="2">
        <v>3</v>
      </c>
      <c r="J122" s="2">
        <v>3</v>
      </c>
      <c r="K122" s="2">
        <f t="shared" si="2"/>
        <v>0</v>
      </c>
      <c r="L122" s="2" t="str">
        <f t="shared" si="3"/>
        <v>Conforme</v>
      </c>
      <c r="M122" s="2" t="s">
        <v>450</v>
      </c>
      <c r="N122" s="12">
        <v>45758</v>
      </c>
      <c r="O122" s="2"/>
    </row>
    <row r="123" spans="1:15" ht="25.5" x14ac:dyDescent="0.25">
      <c r="A123" s="3" t="s">
        <v>582</v>
      </c>
      <c r="B123" s="3" t="s">
        <v>323</v>
      </c>
      <c r="C123" s="3" t="s">
        <v>577</v>
      </c>
      <c r="D123" s="3" t="s">
        <v>35</v>
      </c>
      <c r="E123" s="3" t="s">
        <v>326</v>
      </c>
      <c r="F123" s="3" t="s">
        <v>149</v>
      </c>
      <c r="G123" s="3" t="s">
        <v>141</v>
      </c>
      <c r="H123" s="3" t="s">
        <v>145</v>
      </c>
      <c r="I123" s="3">
        <v>2</v>
      </c>
      <c r="J123" s="3">
        <v>3</v>
      </c>
      <c r="K123" s="3">
        <f t="shared" si="2"/>
        <v>-1</v>
      </c>
      <c r="L123" s="3" t="str">
        <f t="shared" si="3"/>
        <v>Ecart mineur</v>
      </c>
      <c r="M123" s="3" t="s">
        <v>450</v>
      </c>
      <c r="N123" s="11">
        <v>45791</v>
      </c>
      <c r="O123" s="3"/>
    </row>
    <row r="124" spans="1:15" x14ac:dyDescent="0.25">
      <c r="A124" s="2" t="s">
        <v>583</v>
      </c>
      <c r="B124" s="2" t="s">
        <v>323</v>
      </c>
      <c r="C124" s="2" t="s">
        <v>577</v>
      </c>
      <c r="D124" s="2" t="s">
        <v>35</v>
      </c>
      <c r="E124" s="2" t="s">
        <v>326</v>
      </c>
      <c r="F124" s="2" t="s">
        <v>165</v>
      </c>
      <c r="G124" s="2" t="s">
        <v>167</v>
      </c>
      <c r="H124" s="2" t="s">
        <v>103</v>
      </c>
      <c r="I124" s="2">
        <v>2</v>
      </c>
      <c r="J124" s="2"/>
      <c r="K124" s="2" t="str">
        <f t="shared" si="2"/>
        <v/>
      </c>
      <c r="L124" s="2" t="str">
        <f t="shared" si="3"/>
        <v>Bonus</v>
      </c>
      <c r="M124" s="2" t="s">
        <v>448</v>
      </c>
      <c r="N124" s="12">
        <v>46026</v>
      </c>
      <c r="O124" s="2"/>
    </row>
    <row r="125" spans="1:15" x14ac:dyDescent="0.25">
      <c r="A125" s="3" t="s">
        <v>584</v>
      </c>
      <c r="B125" s="3" t="s">
        <v>323</v>
      </c>
      <c r="C125" s="3" t="s">
        <v>577</v>
      </c>
      <c r="D125" s="3" t="s">
        <v>35</v>
      </c>
      <c r="E125" s="3" t="s">
        <v>326</v>
      </c>
      <c r="F125" s="3" t="s">
        <v>176</v>
      </c>
      <c r="G125" s="3" t="s">
        <v>167</v>
      </c>
      <c r="H125" s="3" t="s">
        <v>108</v>
      </c>
      <c r="I125" s="3">
        <v>3</v>
      </c>
      <c r="J125" s="3"/>
      <c r="K125" s="3" t="str">
        <f t="shared" si="2"/>
        <v/>
      </c>
      <c r="L125" s="3" t="str">
        <f t="shared" si="3"/>
        <v>Bonus</v>
      </c>
      <c r="M125" s="3" t="s">
        <v>448</v>
      </c>
      <c r="N125" s="11">
        <v>46057</v>
      </c>
      <c r="O125" s="3"/>
    </row>
    <row r="126" spans="1:15" x14ac:dyDescent="0.25">
      <c r="A126" s="2" t="s">
        <v>585</v>
      </c>
      <c r="B126" s="2" t="s">
        <v>323</v>
      </c>
      <c r="C126" s="2" t="s">
        <v>577</v>
      </c>
      <c r="D126" s="2" t="s">
        <v>35</v>
      </c>
      <c r="E126" s="2" t="s">
        <v>326</v>
      </c>
      <c r="F126" s="2" t="s">
        <v>223</v>
      </c>
      <c r="G126" s="2" t="s">
        <v>214</v>
      </c>
      <c r="H126" s="2" t="s">
        <v>145</v>
      </c>
      <c r="I126" s="2">
        <v>3</v>
      </c>
      <c r="J126" s="2">
        <v>2</v>
      </c>
      <c r="K126" s="2">
        <f t="shared" si="2"/>
        <v>1</v>
      </c>
      <c r="L126" s="2" t="str">
        <f t="shared" si="3"/>
        <v>Conforme</v>
      </c>
      <c r="M126" s="2" t="s">
        <v>450</v>
      </c>
      <c r="N126" s="12">
        <v>45854</v>
      </c>
      <c r="O126" s="2"/>
    </row>
    <row r="127" spans="1:15" x14ac:dyDescent="0.25">
      <c r="A127" s="3" t="s">
        <v>586</v>
      </c>
      <c r="B127" s="3" t="s">
        <v>327</v>
      </c>
      <c r="C127" s="3" t="s">
        <v>587</v>
      </c>
      <c r="D127" s="3" t="s">
        <v>37</v>
      </c>
      <c r="E127" s="3" t="s">
        <v>330</v>
      </c>
      <c r="F127" s="3" t="s">
        <v>109</v>
      </c>
      <c r="G127" s="3" t="s">
        <v>99</v>
      </c>
      <c r="H127" s="3" t="s">
        <v>103</v>
      </c>
      <c r="I127" s="3">
        <v>3</v>
      </c>
      <c r="J127" s="3"/>
      <c r="K127" s="3" t="str">
        <f t="shared" si="2"/>
        <v/>
      </c>
      <c r="L127" s="3" t="str">
        <f t="shared" si="3"/>
        <v>Bonus</v>
      </c>
      <c r="M127" s="3" t="s">
        <v>448</v>
      </c>
      <c r="N127" s="11">
        <v>46034</v>
      </c>
      <c r="O127" s="3"/>
    </row>
    <row r="128" spans="1:15" ht="25.5" x14ac:dyDescent="0.25">
      <c r="A128" s="2" t="s">
        <v>588</v>
      </c>
      <c r="B128" s="2" t="s">
        <v>327</v>
      </c>
      <c r="C128" s="2" t="s">
        <v>587</v>
      </c>
      <c r="D128" s="2" t="s">
        <v>37</v>
      </c>
      <c r="E128" s="2" t="s">
        <v>330</v>
      </c>
      <c r="F128" s="2" t="s">
        <v>152</v>
      </c>
      <c r="G128" s="2" t="s">
        <v>141</v>
      </c>
      <c r="H128" s="2" t="s">
        <v>108</v>
      </c>
      <c r="I128" s="2">
        <v>2</v>
      </c>
      <c r="J128" s="2"/>
      <c r="K128" s="2" t="str">
        <f t="shared" si="2"/>
        <v/>
      </c>
      <c r="L128" s="2" t="str">
        <f t="shared" si="3"/>
        <v>Bonus</v>
      </c>
      <c r="M128" s="2" t="s">
        <v>446</v>
      </c>
      <c r="N128" s="12">
        <v>45940</v>
      </c>
      <c r="O128" s="2"/>
    </row>
    <row r="129" spans="1:15" ht="25.5" x14ac:dyDescent="0.25">
      <c r="A129" s="3" t="s">
        <v>589</v>
      </c>
      <c r="B129" s="3" t="s">
        <v>327</v>
      </c>
      <c r="C129" s="3" t="s">
        <v>587</v>
      </c>
      <c r="D129" s="3" t="s">
        <v>37</v>
      </c>
      <c r="E129" s="3" t="s">
        <v>330</v>
      </c>
      <c r="F129" s="3" t="s">
        <v>160</v>
      </c>
      <c r="G129" s="3" t="s">
        <v>141</v>
      </c>
      <c r="H129" s="3" t="s">
        <v>108</v>
      </c>
      <c r="I129" s="3">
        <v>1</v>
      </c>
      <c r="J129" s="3"/>
      <c r="K129" s="3" t="str">
        <f t="shared" si="2"/>
        <v/>
      </c>
      <c r="L129" s="3" t="str">
        <f t="shared" si="3"/>
        <v>Bonus</v>
      </c>
      <c r="M129" s="3" t="s">
        <v>446</v>
      </c>
      <c r="N129" s="11">
        <v>45949</v>
      </c>
      <c r="O129" s="3"/>
    </row>
    <row r="130" spans="1:15" x14ac:dyDescent="0.25">
      <c r="A130" s="2" t="s">
        <v>590</v>
      </c>
      <c r="B130" s="2" t="s">
        <v>327</v>
      </c>
      <c r="C130" s="2" t="s">
        <v>587</v>
      </c>
      <c r="D130" s="2" t="s">
        <v>37</v>
      </c>
      <c r="E130" s="2" t="s">
        <v>330</v>
      </c>
      <c r="F130" s="2" t="s">
        <v>165</v>
      </c>
      <c r="G130" s="2" t="s">
        <v>167</v>
      </c>
      <c r="H130" s="2" t="s">
        <v>103</v>
      </c>
      <c r="I130" s="2">
        <v>3</v>
      </c>
      <c r="J130" s="2">
        <v>4</v>
      </c>
      <c r="K130" s="2">
        <f t="shared" si="2"/>
        <v>-1</v>
      </c>
      <c r="L130" s="2" t="str">
        <f t="shared" si="3"/>
        <v>Ecart mineur</v>
      </c>
      <c r="M130" s="2" t="s">
        <v>448</v>
      </c>
      <c r="N130" s="12">
        <v>45867</v>
      </c>
      <c r="O130" s="2"/>
    </row>
    <row r="131" spans="1:15" x14ac:dyDescent="0.25">
      <c r="A131" s="3" t="s">
        <v>591</v>
      </c>
      <c r="B131" s="3" t="s">
        <v>327</v>
      </c>
      <c r="C131" s="3" t="s">
        <v>587</v>
      </c>
      <c r="D131" s="3" t="s">
        <v>37</v>
      </c>
      <c r="E131" s="3" t="s">
        <v>330</v>
      </c>
      <c r="F131" s="3" t="s">
        <v>181</v>
      </c>
      <c r="G131" s="3" t="s">
        <v>167</v>
      </c>
      <c r="H131" s="3" t="s">
        <v>103</v>
      </c>
      <c r="I131" s="3">
        <v>4</v>
      </c>
      <c r="J131" s="3">
        <v>5</v>
      </c>
      <c r="K131" s="3">
        <f t="shared" si="2"/>
        <v>-1</v>
      </c>
      <c r="L131" s="3" t="str">
        <f t="shared" si="3"/>
        <v>Ecart mineur</v>
      </c>
      <c r="M131" s="3" t="s">
        <v>448</v>
      </c>
      <c r="N131" s="11">
        <v>46012</v>
      </c>
      <c r="O131" s="3" t="s">
        <v>461</v>
      </c>
    </row>
    <row r="132" spans="1:15" x14ac:dyDescent="0.25">
      <c r="A132" s="2" t="s">
        <v>592</v>
      </c>
      <c r="B132" s="2" t="s">
        <v>327</v>
      </c>
      <c r="C132" s="2" t="s">
        <v>587</v>
      </c>
      <c r="D132" s="2" t="s">
        <v>37</v>
      </c>
      <c r="E132" s="2" t="s">
        <v>330</v>
      </c>
      <c r="F132" s="2" t="s">
        <v>186</v>
      </c>
      <c r="G132" s="2" t="s">
        <v>50</v>
      </c>
      <c r="H132" s="2" t="s">
        <v>108</v>
      </c>
      <c r="I132" s="2">
        <v>2</v>
      </c>
      <c r="J132" s="2"/>
      <c r="K132" s="2" t="str">
        <f t="shared" si="2"/>
        <v/>
      </c>
      <c r="L132" s="2" t="str">
        <f t="shared" si="3"/>
        <v>Bonus</v>
      </c>
      <c r="M132" s="2" t="s">
        <v>446</v>
      </c>
      <c r="N132" s="12">
        <v>45780</v>
      </c>
      <c r="O132" s="2"/>
    </row>
    <row r="133" spans="1:15" x14ac:dyDescent="0.25">
      <c r="A133" s="3" t="s">
        <v>593</v>
      </c>
      <c r="B133" s="3" t="s">
        <v>327</v>
      </c>
      <c r="C133" s="3" t="s">
        <v>587</v>
      </c>
      <c r="D133" s="3" t="s">
        <v>37</v>
      </c>
      <c r="E133" s="3" t="s">
        <v>330</v>
      </c>
      <c r="F133" s="3" t="s">
        <v>193</v>
      </c>
      <c r="G133" s="3" t="s">
        <v>50</v>
      </c>
      <c r="H133" s="3" t="s">
        <v>103</v>
      </c>
      <c r="I133" s="3">
        <v>2</v>
      </c>
      <c r="J133" s="3">
        <v>3</v>
      </c>
      <c r="K133" s="3">
        <f t="shared" ref="K133:K196" si="4">IF(J133="","",I133-J133)</f>
        <v>-1</v>
      </c>
      <c r="L133" s="3" t="str">
        <f t="shared" ref="L133:L196" si="5">IF(J133="","Bonus",IF(K133&gt;=0,"Conforme",IF(K133=-1,"Ecart mineur","Ecart critique")))</f>
        <v>Ecart mineur</v>
      </c>
      <c r="M133" s="3" t="s">
        <v>448</v>
      </c>
      <c r="N133" s="11">
        <v>45860</v>
      </c>
      <c r="O133" s="3"/>
    </row>
    <row r="134" spans="1:15" x14ac:dyDescent="0.25">
      <c r="A134" s="2" t="s">
        <v>594</v>
      </c>
      <c r="B134" s="2" t="s">
        <v>327</v>
      </c>
      <c r="C134" s="2" t="s">
        <v>587</v>
      </c>
      <c r="D134" s="2" t="s">
        <v>37</v>
      </c>
      <c r="E134" s="2" t="s">
        <v>330</v>
      </c>
      <c r="F134" s="2" t="s">
        <v>198</v>
      </c>
      <c r="G134" s="2" t="s">
        <v>50</v>
      </c>
      <c r="H134" s="2" t="s">
        <v>103</v>
      </c>
      <c r="I134" s="2">
        <v>3</v>
      </c>
      <c r="J134" s="2">
        <v>2</v>
      </c>
      <c r="K134" s="2">
        <f t="shared" si="4"/>
        <v>1</v>
      </c>
      <c r="L134" s="2" t="str">
        <f t="shared" si="5"/>
        <v>Conforme</v>
      </c>
      <c r="M134" s="2" t="s">
        <v>446</v>
      </c>
      <c r="N134" s="12">
        <v>45929</v>
      </c>
      <c r="O134" s="2"/>
    </row>
    <row r="135" spans="1:15" x14ac:dyDescent="0.25">
      <c r="A135" s="3" t="s">
        <v>595</v>
      </c>
      <c r="B135" s="3" t="s">
        <v>327</v>
      </c>
      <c r="C135" s="3" t="s">
        <v>587</v>
      </c>
      <c r="D135" s="3" t="s">
        <v>37</v>
      </c>
      <c r="E135" s="3" t="s">
        <v>330</v>
      </c>
      <c r="F135" s="3" t="s">
        <v>218</v>
      </c>
      <c r="G135" s="3" t="s">
        <v>214</v>
      </c>
      <c r="H135" s="3" t="s">
        <v>108</v>
      </c>
      <c r="I135" s="3">
        <v>4</v>
      </c>
      <c r="J135" s="3">
        <v>3</v>
      </c>
      <c r="K135" s="3">
        <f t="shared" si="4"/>
        <v>1</v>
      </c>
      <c r="L135" s="3" t="str">
        <f t="shared" si="5"/>
        <v>Conforme</v>
      </c>
      <c r="M135" s="3" t="s">
        <v>446</v>
      </c>
      <c r="N135" s="11">
        <v>46043</v>
      </c>
      <c r="O135" s="3" t="s">
        <v>461</v>
      </c>
    </row>
    <row r="136" spans="1:15" x14ac:dyDescent="0.25">
      <c r="A136" s="2" t="s">
        <v>596</v>
      </c>
      <c r="B136" s="2" t="s">
        <v>327</v>
      </c>
      <c r="C136" s="2" t="s">
        <v>587</v>
      </c>
      <c r="D136" s="2" t="s">
        <v>37</v>
      </c>
      <c r="E136" s="2" t="s">
        <v>330</v>
      </c>
      <c r="F136" s="2" t="s">
        <v>223</v>
      </c>
      <c r="G136" s="2" t="s">
        <v>214</v>
      </c>
      <c r="H136" s="2" t="s">
        <v>145</v>
      </c>
      <c r="I136" s="2">
        <v>2</v>
      </c>
      <c r="J136" s="2"/>
      <c r="K136" s="2" t="str">
        <f t="shared" si="4"/>
        <v/>
      </c>
      <c r="L136" s="2" t="str">
        <f t="shared" si="5"/>
        <v>Bonus</v>
      </c>
      <c r="M136" s="2" t="s">
        <v>446</v>
      </c>
      <c r="N136" s="12">
        <v>45919</v>
      </c>
      <c r="O136" s="2"/>
    </row>
    <row r="137" spans="1:15" x14ac:dyDescent="0.25">
      <c r="A137" s="3" t="s">
        <v>597</v>
      </c>
      <c r="B137" s="3" t="s">
        <v>331</v>
      </c>
      <c r="C137" s="3" t="s">
        <v>598</v>
      </c>
      <c r="D137" s="3" t="s">
        <v>39</v>
      </c>
      <c r="E137" s="3" t="s">
        <v>334</v>
      </c>
      <c r="F137" s="3" t="s">
        <v>131</v>
      </c>
      <c r="G137" s="3" t="s">
        <v>120</v>
      </c>
      <c r="H137" s="3" t="s">
        <v>103</v>
      </c>
      <c r="I137" s="3">
        <v>1</v>
      </c>
      <c r="J137" s="3"/>
      <c r="K137" s="3" t="str">
        <f t="shared" si="4"/>
        <v/>
      </c>
      <c r="L137" s="3" t="str">
        <f t="shared" si="5"/>
        <v>Bonus</v>
      </c>
      <c r="M137" s="3" t="s">
        <v>446</v>
      </c>
      <c r="N137" s="11">
        <v>45844</v>
      </c>
      <c r="O137" s="3"/>
    </row>
    <row r="138" spans="1:15" ht="25.5" x14ac:dyDescent="0.25">
      <c r="A138" s="2" t="s">
        <v>599</v>
      </c>
      <c r="B138" s="2" t="s">
        <v>331</v>
      </c>
      <c r="C138" s="2" t="s">
        <v>598</v>
      </c>
      <c r="D138" s="2" t="s">
        <v>39</v>
      </c>
      <c r="E138" s="2" t="s">
        <v>334</v>
      </c>
      <c r="F138" s="2" t="s">
        <v>139</v>
      </c>
      <c r="G138" s="2" t="s">
        <v>141</v>
      </c>
      <c r="H138" s="2" t="s">
        <v>145</v>
      </c>
      <c r="I138" s="2">
        <v>3</v>
      </c>
      <c r="J138" s="2">
        <v>3</v>
      </c>
      <c r="K138" s="2">
        <f t="shared" si="4"/>
        <v>0</v>
      </c>
      <c r="L138" s="2" t="str">
        <f t="shared" si="5"/>
        <v>Conforme</v>
      </c>
      <c r="M138" s="2" t="s">
        <v>446</v>
      </c>
      <c r="N138" s="12">
        <v>45992</v>
      </c>
      <c r="O138" s="2"/>
    </row>
    <row r="139" spans="1:15" ht="25.5" x14ac:dyDescent="0.25">
      <c r="A139" s="3" t="s">
        <v>600</v>
      </c>
      <c r="B139" s="3" t="s">
        <v>331</v>
      </c>
      <c r="C139" s="3" t="s">
        <v>598</v>
      </c>
      <c r="D139" s="3" t="s">
        <v>39</v>
      </c>
      <c r="E139" s="3" t="s">
        <v>334</v>
      </c>
      <c r="F139" s="3" t="s">
        <v>146</v>
      </c>
      <c r="G139" s="3" t="s">
        <v>141</v>
      </c>
      <c r="H139" s="3" t="s">
        <v>103</v>
      </c>
      <c r="I139" s="3">
        <v>4</v>
      </c>
      <c r="J139" s="3">
        <v>3</v>
      </c>
      <c r="K139" s="3">
        <f t="shared" si="4"/>
        <v>1</v>
      </c>
      <c r="L139" s="3" t="str">
        <f t="shared" si="5"/>
        <v>Conforme</v>
      </c>
      <c r="M139" s="3" t="s">
        <v>450</v>
      </c>
      <c r="N139" s="11">
        <v>45759</v>
      </c>
      <c r="O139" s="3" t="s">
        <v>461</v>
      </c>
    </row>
    <row r="140" spans="1:15" ht="25.5" x14ac:dyDescent="0.25">
      <c r="A140" s="2" t="s">
        <v>601</v>
      </c>
      <c r="B140" s="2" t="s">
        <v>331</v>
      </c>
      <c r="C140" s="2" t="s">
        <v>598</v>
      </c>
      <c r="D140" s="2" t="s">
        <v>39</v>
      </c>
      <c r="E140" s="2" t="s">
        <v>334</v>
      </c>
      <c r="F140" s="2" t="s">
        <v>160</v>
      </c>
      <c r="G140" s="2" t="s">
        <v>141</v>
      </c>
      <c r="H140" s="2" t="s">
        <v>108</v>
      </c>
      <c r="I140" s="2">
        <v>5</v>
      </c>
      <c r="J140" s="2">
        <v>4</v>
      </c>
      <c r="K140" s="2">
        <f t="shared" si="4"/>
        <v>1</v>
      </c>
      <c r="L140" s="2" t="str">
        <f t="shared" si="5"/>
        <v>Conforme</v>
      </c>
      <c r="M140" s="2" t="s">
        <v>448</v>
      </c>
      <c r="N140" s="12">
        <v>46031</v>
      </c>
      <c r="O140" s="2" t="s">
        <v>461</v>
      </c>
    </row>
    <row r="141" spans="1:15" x14ac:dyDescent="0.25">
      <c r="A141" s="3" t="s">
        <v>602</v>
      </c>
      <c r="B141" s="3" t="s">
        <v>331</v>
      </c>
      <c r="C141" s="3" t="s">
        <v>598</v>
      </c>
      <c r="D141" s="3" t="s">
        <v>39</v>
      </c>
      <c r="E141" s="3" t="s">
        <v>334</v>
      </c>
      <c r="F141" s="3" t="s">
        <v>186</v>
      </c>
      <c r="G141" s="3" t="s">
        <v>50</v>
      </c>
      <c r="H141" s="3" t="s">
        <v>108</v>
      </c>
      <c r="I141" s="3">
        <v>1</v>
      </c>
      <c r="J141" s="3">
        <v>2</v>
      </c>
      <c r="K141" s="3">
        <f t="shared" si="4"/>
        <v>-1</v>
      </c>
      <c r="L141" s="3" t="str">
        <f t="shared" si="5"/>
        <v>Ecart mineur</v>
      </c>
      <c r="M141" s="3" t="s">
        <v>448</v>
      </c>
      <c r="N141" s="11">
        <v>45852</v>
      </c>
      <c r="O141" s="3"/>
    </row>
    <row r="142" spans="1:15" x14ac:dyDescent="0.25">
      <c r="A142" s="2" t="s">
        <v>603</v>
      </c>
      <c r="B142" s="2" t="s">
        <v>331</v>
      </c>
      <c r="C142" s="2" t="s">
        <v>598</v>
      </c>
      <c r="D142" s="2" t="s">
        <v>39</v>
      </c>
      <c r="E142" s="2" t="s">
        <v>334</v>
      </c>
      <c r="F142" s="2" t="s">
        <v>202</v>
      </c>
      <c r="G142" s="2" t="s">
        <v>50</v>
      </c>
      <c r="H142" s="2" t="s">
        <v>108</v>
      </c>
      <c r="I142" s="2">
        <v>3</v>
      </c>
      <c r="J142" s="2">
        <v>2</v>
      </c>
      <c r="K142" s="2">
        <f t="shared" si="4"/>
        <v>1</v>
      </c>
      <c r="L142" s="2" t="str">
        <f t="shared" si="5"/>
        <v>Conforme</v>
      </c>
      <c r="M142" s="2" t="s">
        <v>448</v>
      </c>
      <c r="N142" s="12">
        <v>45821</v>
      </c>
      <c r="O142" s="2"/>
    </row>
    <row r="143" spans="1:15" x14ac:dyDescent="0.25">
      <c r="A143" s="3" t="s">
        <v>604</v>
      </c>
      <c r="B143" s="3" t="s">
        <v>335</v>
      </c>
      <c r="C143" s="3" t="s">
        <v>605</v>
      </c>
      <c r="D143" s="3" t="s">
        <v>41</v>
      </c>
      <c r="E143" s="3" t="s">
        <v>338</v>
      </c>
      <c r="F143" s="3" t="s">
        <v>207</v>
      </c>
      <c r="G143" s="3" t="s">
        <v>50</v>
      </c>
      <c r="H143" s="3" t="s">
        <v>145</v>
      </c>
      <c r="I143" s="3">
        <v>4</v>
      </c>
      <c r="J143" s="3">
        <v>2</v>
      </c>
      <c r="K143" s="3">
        <f t="shared" si="4"/>
        <v>2</v>
      </c>
      <c r="L143" s="3" t="str">
        <f t="shared" si="5"/>
        <v>Conforme</v>
      </c>
      <c r="M143" s="3" t="s">
        <v>448</v>
      </c>
      <c r="N143" s="11">
        <v>45843</v>
      </c>
      <c r="O143" s="3" t="s">
        <v>461</v>
      </c>
    </row>
    <row r="144" spans="1:15" x14ac:dyDescent="0.25">
      <c r="A144" s="2" t="s">
        <v>606</v>
      </c>
      <c r="B144" s="2" t="s">
        <v>335</v>
      </c>
      <c r="C144" s="2" t="s">
        <v>605</v>
      </c>
      <c r="D144" s="2" t="s">
        <v>41</v>
      </c>
      <c r="E144" s="2" t="s">
        <v>338</v>
      </c>
      <c r="F144" s="2" t="s">
        <v>212</v>
      </c>
      <c r="G144" s="2" t="s">
        <v>214</v>
      </c>
      <c r="H144" s="2" t="s">
        <v>108</v>
      </c>
      <c r="I144" s="2">
        <v>5</v>
      </c>
      <c r="J144" s="2">
        <v>3</v>
      </c>
      <c r="K144" s="2">
        <f t="shared" si="4"/>
        <v>2</v>
      </c>
      <c r="L144" s="2" t="str">
        <f t="shared" si="5"/>
        <v>Conforme</v>
      </c>
      <c r="M144" s="2" t="s">
        <v>448</v>
      </c>
      <c r="N144" s="12">
        <v>45802</v>
      </c>
      <c r="O144" s="2" t="s">
        <v>461</v>
      </c>
    </row>
    <row r="145" spans="1:15" x14ac:dyDescent="0.25">
      <c r="A145" s="3" t="s">
        <v>607</v>
      </c>
      <c r="B145" s="3" t="s">
        <v>335</v>
      </c>
      <c r="C145" s="3" t="s">
        <v>605</v>
      </c>
      <c r="D145" s="3" t="s">
        <v>41</v>
      </c>
      <c r="E145" s="3" t="s">
        <v>338</v>
      </c>
      <c r="F145" s="3" t="s">
        <v>218</v>
      </c>
      <c r="G145" s="3" t="s">
        <v>214</v>
      </c>
      <c r="H145" s="3" t="s">
        <v>108</v>
      </c>
      <c r="I145" s="3">
        <v>4</v>
      </c>
      <c r="J145" s="3">
        <v>3</v>
      </c>
      <c r="K145" s="3">
        <f t="shared" si="4"/>
        <v>1</v>
      </c>
      <c r="L145" s="3" t="str">
        <f t="shared" si="5"/>
        <v>Conforme</v>
      </c>
      <c r="M145" s="3" t="s">
        <v>446</v>
      </c>
      <c r="N145" s="11">
        <v>45987</v>
      </c>
      <c r="O145" s="3" t="s">
        <v>461</v>
      </c>
    </row>
    <row r="146" spans="1:15" x14ac:dyDescent="0.25">
      <c r="A146" s="2" t="s">
        <v>608</v>
      </c>
      <c r="B146" s="2" t="s">
        <v>335</v>
      </c>
      <c r="C146" s="2" t="s">
        <v>605</v>
      </c>
      <c r="D146" s="2" t="s">
        <v>41</v>
      </c>
      <c r="E146" s="2" t="s">
        <v>338</v>
      </c>
      <c r="F146" s="2" t="s">
        <v>223</v>
      </c>
      <c r="G146" s="2" t="s">
        <v>214</v>
      </c>
      <c r="H146" s="2" t="s">
        <v>145</v>
      </c>
      <c r="I146" s="2">
        <v>4</v>
      </c>
      <c r="J146" s="2">
        <v>4</v>
      </c>
      <c r="K146" s="2">
        <f t="shared" si="4"/>
        <v>0</v>
      </c>
      <c r="L146" s="2" t="str">
        <f t="shared" si="5"/>
        <v>Conforme</v>
      </c>
      <c r="M146" s="2" t="s">
        <v>450</v>
      </c>
      <c r="N146" s="12">
        <v>46049</v>
      </c>
      <c r="O146" s="2" t="s">
        <v>461</v>
      </c>
    </row>
    <row r="147" spans="1:15" x14ac:dyDescent="0.25">
      <c r="A147" s="3" t="s">
        <v>609</v>
      </c>
      <c r="B147" s="3" t="s">
        <v>339</v>
      </c>
      <c r="C147" s="3" t="s">
        <v>610</v>
      </c>
      <c r="D147" s="3" t="s">
        <v>43</v>
      </c>
      <c r="E147" s="3" t="s">
        <v>342</v>
      </c>
      <c r="F147" s="3" t="s">
        <v>113</v>
      </c>
      <c r="G147" s="3" t="s">
        <v>99</v>
      </c>
      <c r="H147" s="3" t="s">
        <v>108</v>
      </c>
      <c r="I147" s="3">
        <v>3</v>
      </c>
      <c r="J147" s="3"/>
      <c r="K147" s="3" t="str">
        <f t="shared" si="4"/>
        <v/>
      </c>
      <c r="L147" s="3" t="str">
        <f t="shared" si="5"/>
        <v>Bonus</v>
      </c>
      <c r="M147" s="3" t="s">
        <v>446</v>
      </c>
      <c r="N147" s="11">
        <v>45932</v>
      </c>
      <c r="O147" s="3"/>
    </row>
    <row r="148" spans="1:15" x14ac:dyDescent="0.25">
      <c r="A148" s="2" t="s">
        <v>611</v>
      </c>
      <c r="B148" s="2" t="s">
        <v>339</v>
      </c>
      <c r="C148" s="2" t="s">
        <v>610</v>
      </c>
      <c r="D148" s="2" t="s">
        <v>43</v>
      </c>
      <c r="E148" s="2" t="s">
        <v>342</v>
      </c>
      <c r="F148" s="2" t="s">
        <v>207</v>
      </c>
      <c r="G148" s="2" t="s">
        <v>50</v>
      </c>
      <c r="H148" s="2" t="s">
        <v>145</v>
      </c>
      <c r="I148" s="2">
        <v>4</v>
      </c>
      <c r="J148" s="2">
        <v>4</v>
      </c>
      <c r="K148" s="2">
        <f t="shared" si="4"/>
        <v>0</v>
      </c>
      <c r="L148" s="2" t="str">
        <f t="shared" si="5"/>
        <v>Conforme</v>
      </c>
      <c r="M148" s="2" t="s">
        <v>448</v>
      </c>
      <c r="N148" s="12">
        <v>45831</v>
      </c>
      <c r="O148" s="2" t="s">
        <v>461</v>
      </c>
    </row>
    <row r="149" spans="1:15" x14ac:dyDescent="0.25">
      <c r="A149" s="3" t="s">
        <v>612</v>
      </c>
      <c r="B149" s="3" t="s">
        <v>339</v>
      </c>
      <c r="C149" s="3" t="s">
        <v>610</v>
      </c>
      <c r="D149" s="3" t="s">
        <v>43</v>
      </c>
      <c r="E149" s="3" t="s">
        <v>342</v>
      </c>
      <c r="F149" s="3" t="s">
        <v>218</v>
      </c>
      <c r="G149" s="3" t="s">
        <v>214</v>
      </c>
      <c r="H149" s="3" t="s">
        <v>108</v>
      </c>
      <c r="I149" s="3">
        <v>3</v>
      </c>
      <c r="J149" s="3">
        <v>2</v>
      </c>
      <c r="K149" s="3">
        <f t="shared" si="4"/>
        <v>1</v>
      </c>
      <c r="L149" s="3" t="str">
        <f t="shared" si="5"/>
        <v>Conforme</v>
      </c>
      <c r="M149" s="3" t="s">
        <v>450</v>
      </c>
      <c r="N149" s="11">
        <v>46033</v>
      </c>
      <c r="O149" s="3"/>
    </row>
    <row r="150" spans="1:15" x14ac:dyDescent="0.25">
      <c r="A150" s="2" t="s">
        <v>613</v>
      </c>
      <c r="B150" s="2" t="s">
        <v>339</v>
      </c>
      <c r="C150" s="2" t="s">
        <v>610</v>
      </c>
      <c r="D150" s="2" t="s">
        <v>43</v>
      </c>
      <c r="E150" s="2" t="s">
        <v>342</v>
      </c>
      <c r="F150" s="2" t="s">
        <v>223</v>
      </c>
      <c r="G150" s="2" t="s">
        <v>214</v>
      </c>
      <c r="H150" s="2" t="s">
        <v>145</v>
      </c>
      <c r="I150" s="2">
        <v>2</v>
      </c>
      <c r="J150" s="2">
        <v>3</v>
      </c>
      <c r="K150" s="2">
        <f t="shared" si="4"/>
        <v>-1</v>
      </c>
      <c r="L150" s="2" t="str">
        <f t="shared" si="5"/>
        <v>Ecart mineur</v>
      </c>
      <c r="M150" s="2" t="s">
        <v>450</v>
      </c>
      <c r="N150" s="12">
        <v>45815</v>
      </c>
      <c r="O150" s="2"/>
    </row>
    <row r="151" spans="1:15" x14ac:dyDescent="0.25">
      <c r="A151" s="3" t="s">
        <v>614</v>
      </c>
      <c r="B151" s="3" t="s">
        <v>339</v>
      </c>
      <c r="C151" s="3" t="s">
        <v>610</v>
      </c>
      <c r="D151" s="3" t="s">
        <v>43</v>
      </c>
      <c r="E151" s="3" t="s">
        <v>342</v>
      </c>
      <c r="F151" s="3" t="s">
        <v>228</v>
      </c>
      <c r="G151" s="3" t="s">
        <v>214</v>
      </c>
      <c r="H151" s="3" t="s">
        <v>108</v>
      </c>
      <c r="I151" s="3">
        <v>1</v>
      </c>
      <c r="J151" s="3"/>
      <c r="K151" s="3" t="str">
        <f t="shared" si="4"/>
        <v/>
      </c>
      <c r="L151" s="3" t="str">
        <f t="shared" si="5"/>
        <v>Bonus</v>
      </c>
      <c r="M151" s="3" t="s">
        <v>446</v>
      </c>
      <c r="N151" s="11">
        <v>45875</v>
      </c>
      <c r="O151" s="3"/>
    </row>
    <row r="152" spans="1:15" x14ac:dyDescent="0.25">
      <c r="A152" s="2" t="s">
        <v>615</v>
      </c>
      <c r="B152" s="2" t="s">
        <v>339</v>
      </c>
      <c r="C152" s="2" t="s">
        <v>610</v>
      </c>
      <c r="D152" s="2" t="s">
        <v>43</v>
      </c>
      <c r="E152" s="2" t="s">
        <v>342</v>
      </c>
      <c r="F152" s="2" t="s">
        <v>233</v>
      </c>
      <c r="G152" s="2" t="s">
        <v>214</v>
      </c>
      <c r="H152" s="2" t="s">
        <v>108</v>
      </c>
      <c r="I152" s="2">
        <v>3</v>
      </c>
      <c r="J152" s="2">
        <v>3</v>
      </c>
      <c r="K152" s="2">
        <f t="shared" si="4"/>
        <v>0</v>
      </c>
      <c r="L152" s="2" t="str">
        <f t="shared" si="5"/>
        <v>Conforme</v>
      </c>
      <c r="M152" s="2" t="s">
        <v>450</v>
      </c>
      <c r="N152" s="12">
        <v>46046</v>
      </c>
      <c r="O152" s="2"/>
    </row>
    <row r="153" spans="1:15" x14ac:dyDescent="0.25">
      <c r="A153" s="3" t="s">
        <v>616</v>
      </c>
      <c r="B153" s="3" t="s">
        <v>343</v>
      </c>
      <c r="C153" s="3" t="s">
        <v>617</v>
      </c>
      <c r="D153" s="3" t="s">
        <v>35</v>
      </c>
      <c r="E153" s="3" t="s">
        <v>257</v>
      </c>
      <c r="F153" s="3" t="s">
        <v>97</v>
      </c>
      <c r="G153" s="3" t="s">
        <v>99</v>
      </c>
      <c r="H153" s="3" t="s">
        <v>103</v>
      </c>
      <c r="I153" s="3">
        <v>4</v>
      </c>
      <c r="J153" s="3">
        <v>4</v>
      </c>
      <c r="K153" s="3">
        <f t="shared" si="4"/>
        <v>0</v>
      </c>
      <c r="L153" s="3" t="str">
        <f t="shared" si="5"/>
        <v>Conforme</v>
      </c>
      <c r="M153" s="3" t="s">
        <v>446</v>
      </c>
      <c r="N153" s="11">
        <v>45911</v>
      </c>
      <c r="O153" s="3" t="s">
        <v>461</v>
      </c>
    </row>
    <row r="154" spans="1:15" x14ac:dyDescent="0.25">
      <c r="A154" s="2" t="s">
        <v>618</v>
      </c>
      <c r="B154" s="2" t="s">
        <v>343</v>
      </c>
      <c r="C154" s="2" t="s">
        <v>617</v>
      </c>
      <c r="D154" s="2" t="s">
        <v>35</v>
      </c>
      <c r="E154" s="2" t="s">
        <v>257</v>
      </c>
      <c r="F154" s="2" t="s">
        <v>104</v>
      </c>
      <c r="G154" s="2" t="s">
        <v>99</v>
      </c>
      <c r="H154" s="2" t="s">
        <v>108</v>
      </c>
      <c r="I154" s="2">
        <v>4</v>
      </c>
      <c r="J154" s="2">
        <v>3</v>
      </c>
      <c r="K154" s="2">
        <f t="shared" si="4"/>
        <v>1</v>
      </c>
      <c r="L154" s="2" t="str">
        <f t="shared" si="5"/>
        <v>Conforme</v>
      </c>
      <c r="M154" s="2" t="s">
        <v>448</v>
      </c>
      <c r="N154" s="12">
        <v>45752</v>
      </c>
      <c r="O154" s="2" t="s">
        <v>461</v>
      </c>
    </row>
    <row r="155" spans="1:15" x14ac:dyDescent="0.25">
      <c r="A155" s="3" t="s">
        <v>619</v>
      </c>
      <c r="B155" s="3" t="s">
        <v>343</v>
      </c>
      <c r="C155" s="3" t="s">
        <v>617</v>
      </c>
      <c r="D155" s="3" t="s">
        <v>35</v>
      </c>
      <c r="E155" s="3" t="s">
        <v>257</v>
      </c>
      <c r="F155" s="3" t="s">
        <v>118</v>
      </c>
      <c r="G155" s="3" t="s">
        <v>120</v>
      </c>
      <c r="H155" s="3" t="s">
        <v>108</v>
      </c>
      <c r="I155" s="3">
        <v>3</v>
      </c>
      <c r="J155" s="3">
        <v>2</v>
      </c>
      <c r="K155" s="3">
        <f t="shared" si="4"/>
        <v>1</v>
      </c>
      <c r="L155" s="3" t="str">
        <f t="shared" si="5"/>
        <v>Conforme</v>
      </c>
      <c r="M155" s="3" t="s">
        <v>446</v>
      </c>
      <c r="N155" s="11">
        <v>45922</v>
      </c>
      <c r="O155" s="3"/>
    </row>
    <row r="156" spans="1:15" x14ac:dyDescent="0.25">
      <c r="A156" s="2" t="s">
        <v>620</v>
      </c>
      <c r="B156" s="2" t="s">
        <v>343</v>
      </c>
      <c r="C156" s="2" t="s">
        <v>617</v>
      </c>
      <c r="D156" s="2" t="s">
        <v>35</v>
      </c>
      <c r="E156" s="2" t="s">
        <v>257</v>
      </c>
      <c r="F156" s="2" t="s">
        <v>135</v>
      </c>
      <c r="G156" s="2" t="s">
        <v>120</v>
      </c>
      <c r="H156" s="2" t="s">
        <v>108</v>
      </c>
      <c r="I156" s="2">
        <v>1</v>
      </c>
      <c r="J156" s="2"/>
      <c r="K156" s="2" t="str">
        <f t="shared" si="4"/>
        <v/>
      </c>
      <c r="L156" s="2" t="str">
        <f t="shared" si="5"/>
        <v>Bonus</v>
      </c>
      <c r="M156" s="2" t="s">
        <v>446</v>
      </c>
      <c r="N156" s="12">
        <v>45964</v>
      </c>
      <c r="O156" s="2"/>
    </row>
    <row r="157" spans="1:15" x14ac:dyDescent="0.25">
      <c r="A157" s="3" t="s">
        <v>621</v>
      </c>
      <c r="B157" s="3" t="s">
        <v>343</v>
      </c>
      <c r="C157" s="3" t="s">
        <v>617</v>
      </c>
      <c r="D157" s="3" t="s">
        <v>35</v>
      </c>
      <c r="E157" s="3" t="s">
        <v>257</v>
      </c>
      <c r="F157" s="3" t="s">
        <v>186</v>
      </c>
      <c r="G157" s="3" t="s">
        <v>50</v>
      </c>
      <c r="H157" s="3" t="s">
        <v>108</v>
      </c>
      <c r="I157" s="3">
        <v>2</v>
      </c>
      <c r="J157" s="3"/>
      <c r="K157" s="3" t="str">
        <f t="shared" si="4"/>
        <v/>
      </c>
      <c r="L157" s="3" t="str">
        <f t="shared" si="5"/>
        <v>Bonus</v>
      </c>
      <c r="M157" s="3" t="s">
        <v>450</v>
      </c>
      <c r="N157" s="11">
        <v>46056</v>
      </c>
      <c r="O157" s="3"/>
    </row>
    <row r="158" spans="1:15" x14ac:dyDescent="0.25">
      <c r="A158" s="2" t="s">
        <v>622</v>
      </c>
      <c r="B158" s="2" t="s">
        <v>343</v>
      </c>
      <c r="C158" s="2" t="s">
        <v>617</v>
      </c>
      <c r="D158" s="2" t="s">
        <v>35</v>
      </c>
      <c r="E158" s="2" t="s">
        <v>257</v>
      </c>
      <c r="F158" s="2" t="s">
        <v>202</v>
      </c>
      <c r="G158" s="2" t="s">
        <v>50</v>
      </c>
      <c r="H158" s="2" t="s">
        <v>108</v>
      </c>
      <c r="I158" s="2">
        <v>3</v>
      </c>
      <c r="J158" s="2">
        <v>2</v>
      </c>
      <c r="K158" s="2">
        <f t="shared" si="4"/>
        <v>1</v>
      </c>
      <c r="L158" s="2" t="str">
        <f t="shared" si="5"/>
        <v>Conforme</v>
      </c>
      <c r="M158" s="2" t="s">
        <v>446</v>
      </c>
      <c r="N158" s="12">
        <v>45795</v>
      </c>
      <c r="O158" s="2"/>
    </row>
    <row r="159" spans="1:15" x14ac:dyDescent="0.25">
      <c r="A159" s="3" t="s">
        <v>623</v>
      </c>
      <c r="B159" s="3" t="s">
        <v>343</v>
      </c>
      <c r="C159" s="3" t="s">
        <v>617</v>
      </c>
      <c r="D159" s="3" t="s">
        <v>35</v>
      </c>
      <c r="E159" s="3" t="s">
        <v>257</v>
      </c>
      <c r="F159" s="3" t="s">
        <v>218</v>
      </c>
      <c r="G159" s="3" t="s">
        <v>214</v>
      </c>
      <c r="H159" s="3" t="s">
        <v>108</v>
      </c>
      <c r="I159" s="3">
        <v>1</v>
      </c>
      <c r="J159" s="3">
        <v>2</v>
      </c>
      <c r="K159" s="3">
        <f t="shared" si="4"/>
        <v>-1</v>
      </c>
      <c r="L159" s="3" t="str">
        <f t="shared" si="5"/>
        <v>Ecart mineur</v>
      </c>
      <c r="M159" s="3" t="s">
        <v>450</v>
      </c>
      <c r="N159" s="11">
        <v>45772</v>
      </c>
      <c r="O159" s="3"/>
    </row>
    <row r="160" spans="1:15" x14ac:dyDescent="0.25">
      <c r="A160" s="2" t="s">
        <v>624</v>
      </c>
      <c r="B160" s="2" t="s">
        <v>343</v>
      </c>
      <c r="C160" s="2" t="s">
        <v>617</v>
      </c>
      <c r="D160" s="2" t="s">
        <v>35</v>
      </c>
      <c r="E160" s="2" t="s">
        <v>257</v>
      </c>
      <c r="F160" s="2" t="s">
        <v>223</v>
      </c>
      <c r="G160" s="2" t="s">
        <v>214</v>
      </c>
      <c r="H160" s="2" t="s">
        <v>145</v>
      </c>
      <c r="I160" s="2">
        <v>1</v>
      </c>
      <c r="J160" s="2">
        <v>1</v>
      </c>
      <c r="K160" s="2">
        <f t="shared" si="4"/>
        <v>0</v>
      </c>
      <c r="L160" s="2" t="str">
        <f t="shared" si="5"/>
        <v>Conforme</v>
      </c>
      <c r="M160" s="2" t="s">
        <v>446</v>
      </c>
      <c r="N160" s="12">
        <v>45830</v>
      </c>
      <c r="O160" s="2"/>
    </row>
    <row r="161" spans="1:15" x14ac:dyDescent="0.25">
      <c r="A161" s="3" t="s">
        <v>625</v>
      </c>
      <c r="B161" s="3" t="s">
        <v>346</v>
      </c>
      <c r="C161" s="3" t="s">
        <v>626</v>
      </c>
      <c r="D161" s="3" t="s">
        <v>37</v>
      </c>
      <c r="E161" s="3" t="s">
        <v>264</v>
      </c>
      <c r="F161" s="3" t="s">
        <v>97</v>
      </c>
      <c r="G161" s="3" t="s">
        <v>99</v>
      </c>
      <c r="H161" s="3" t="s">
        <v>103</v>
      </c>
      <c r="I161" s="3">
        <v>4</v>
      </c>
      <c r="J161" s="3">
        <v>3</v>
      </c>
      <c r="K161" s="3">
        <f t="shared" si="4"/>
        <v>1</v>
      </c>
      <c r="L161" s="3" t="str">
        <f t="shared" si="5"/>
        <v>Conforme</v>
      </c>
      <c r="M161" s="3" t="s">
        <v>450</v>
      </c>
      <c r="N161" s="11">
        <v>45849</v>
      </c>
      <c r="O161" s="3" t="s">
        <v>461</v>
      </c>
    </row>
    <row r="162" spans="1:15" x14ac:dyDescent="0.25">
      <c r="A162" s="2" t="s">
        <v>627</v>
      </c>
      <c r="B162" s="2" t="s">
        <v>346</v>
      </c>
      <c r="C162" s="2" t="s">
        <v>626</v>
      </c>
      <c r="D162" s="2" t="s">
        <v>37</v>
      </c>
      <c r="E162" s="2" t="s">
        <v>264</v>
      </c>
      <c r="F162" s="2" t="s">
        <v>104</v>
      </c>
      <c r="G162" s="2" t="s">
        <v>99</v>
      </c>
      <c r="H162" s="2" t="s">
        <v>108</v>
      </c>
      <c r="I162" s="2">
        <v>4</v>
      </c>
      <c r="J162" s="2">
        <v>4</v>
      </c>
      <c r="K162" s="2">
        <f t="shared" si="4"/>
        <v>0</v>
      </c>
      <c r="L162" s="2" t="str">
        <f t="shared" si="5"/>
        <v>Conforme</v>
      </c>
      <c r="M162" s="2" t="s">
        <v>450</v>
      </c>
      <c r="N162" s="12">
        <v>45846</v>
      </c>
      <c r="O162" s="2" t="s">
        <v>461</v>
      </c>
    </row>
    <row r="163" spans="1:15" x14ac:dyDescent="0.25">
      <c r="A163" s="3" t="s">
        <v>628</v>
      </c>
      <c r="B163" s="3" t="s">
        <v>346</v>
      </c>
      <c r="C163" s="3" t="s">
        <v>626</v>
      </c>
      <c r="D163" s="3" t="s">
        <v>37</v>
      </c>
      <c r="E163" s="3" t="s">
        <v>264</v>
      </c>
      <c r="F163" s="3" t="s">
        <v>113</v>
      </c>
      <c r="G163" s="3" t="s">
        <v>99</v>
      </c>
      <c r="H163" s="3" t="s">
        <v>108</v>
      </c>
      <c r="I163" s="3">
        <v>4</v>
      </c>
      <c r="J163" s="3">
        <v>3</v>
      </c>
      <c r="K163" s="3">
        <f t="shared" si="4"/>
        <v>1</v>
      </c>
      <c r="L163" s="3" t="str">
        <f t="shared" si="5"/>
        <v>Conforme</v>
      </c>
      <c r="M163" s="3" t="s">
        <v>450</v>
      </c>
      <c r="N163" s="11">
        <v>46047</v>
      </c>
      <c r="O163" s="3" t="s">
        <v>461</v>
      </c>
    </row>
    <row r="164" spans="1:15" x14ac:dyDescent="0.25">
      <c r="A164" s="2" t="s">
        <v>629</v>
      </c>
      <c r="B164" s="2" t="s">
        <v>346</v>
      </c>
      <c r="C164" s="2" t="s">
        <v>626</v>
      </c>
      <c r="D164" s="2" t="s">
        <v>37</v>
      </c>
      <c r="E164" s="2" t="s">
        <v>264</v>
      </c>
      <c r="F164" s="2" t="s">
        <v>118</v>
      </c>
      <c r="G164" s="2" t="s">
        <v>120</v>
      </c>
      <c r="H164" s="2" t="s">
        <v>108</v>
      </c>
      <c r="I164" s="2">
        <v>4</v>
      </c>
      <c r="J164" s="2">
        <v>2</v>
      </c>
      <c r="K164" s="2">
        <f t="shared" si="4"/>
        <v>2</v>
      </c>
      <c r="L164" s="2" t="str">
        <f t="shared" si="5"/>
        <v>Conforme</v>
      </c>
      <c r="M164" s="2" t="s">
        <v>450</v>
      </c>
      <c r="N164" s="12">
        <v>45784</v>
      </c>
      <c r="O164" s="2" t="s">
        <v>461</v>
      </c>
    </row>
    <row r="165" spans="1:15" x14ac:dyDescent="0.25">
      <c r="A165" s="3" t="s">
        <v>630</v>
      </c>
      <c r="B165" s="3" t="s">
        <v>346</v>
      </c>
      <c r="C165" s="3" t="s">
        <v>626</v>
      </c>
      <c r="D165" s="3" t="s">
        <v>37</v>
      </c>
      <c r="E165" s="3" t="s">
        <v>264</v>
      </c>
      <c r="F165" s="3" t="s">
        <v>202</v>
      </c>
      <c r="G165" s="3" t="s">
        <v>50</v>
      </c>
      <c r="H165" s="3" t="s">
        <v>108</v>
      </c>
      <c r="I165" s="3">
        <v>3</v>
      </c>
      <c r="J165" s="3"/>
      <c r="K165" s="3" t="str">
        <f t="shared" si="4"/>
        <v/>
      </c>
      <c r="L165" s="3" t="str">
        <f t="shared" si="5"/>
        <v>Bonus</v>
      </c>
      <c r="M165" s="3" t="s">
        <v>450</v>
      </c>
      <c r="N165" s="11">
        <v>45830</v>
      </c>
      <c r="O165" s="3"/>
    </row>
    <row r="166" spans="1:15" x14ac:dyDescent="0.25">
      <c r="A166" s="2" t="s">
        <v>631</v>
      </c>
      <c r="B166" s="2" t="s">
        <v>346</v>
      </c>
      <c r="C166" s="2" t="s">
        <v>626</v>
      </c>
      <c r="D166" s="2" t="s">
        <v>37</v>
      </c>
      <c r="E166" s="2" t="s">
        <v>264</v>
      </c>
      <c r="F166" s="2" t="s">
        <v>223</v>
      </c>
      <c r="G166" s="2" t="s">
        <v>214</v>
      </c>
      <c r="H166" s="2" t="s">
        <v>145</v>
      </c>
      <c r="I166" s="2">
        <v>2</v>
      </c>
      <c r="J166" s="2">
        <v>1</v>
      </c>
      <c r="K166" s="2">
        <f t="shared" si="4"/>
        <v>1</v>
      </c>
      <c r="L166" s="2" t="str">
        <f t="shared" si="5"/>
        <v>Conforme</v>
      </c>
      <c r="M166" s="2" t="s">
        <v>448</v>
      </c>
      <c r="N166" s="12">
        <v>45759</v>
      </c>
      <c r="O166" s="2"/>
    </row>
    <row r="167" spans="1:15" x14ac:dyDescent="0.25">
      <c r="A167" s="3" t="s">
        <v>632</v>
      </c>
      <c r="B167" s="3" t="s">
        <v>349</v>
      </c>
      <c r="C167" s="3" t="s">
        <v>633</v>
      </c>
      <c r="D167" s="3" t="s">
        <v>39</v>
      </c>
      <c r="E167" s="3" t="s">
        <v>268</v>
      </c>
      <c r="F167" s="3" t="s">
        <v>118</v>
      </c>
      <c r="G167" s="3" t="s">
        <v>120</v>
      </c>
      <c r="H167" s="3" t="s">
        <v>108</v>
      </c>
      <c r="I167" s="3">
        <v>3</v>
      </c>
      <c r="J167" s="3">
        <v>4</v>
      </c>
      <c r="K167" s="3">
        <f t="shared" si="4"/>
        <v>-1</v>
      </c>
      <c r="L167" s="3" t="str">
        <f t="shared" si="5"/>
        <v>Ecart mineur</v>
      </c>
      <c r="M167" s="3" t="s">
        <v>450</v>
      </c>
      <c r="N167" s="11">
        <v>45926</v>
      </c>
      <c r="O167" s="3"/>
    </row>
    <row r="168" spans="1:15" x14ac:dyDescent="0.25">
      <c r="A168" s="2" t="s">
        <v>634</v>
      </c>
      <c r="B168" s="2" t="s">
        <v>349</v>
      </c>
      <c r="C168" s="2" t="s">
        <v>633</v>
      </c>
      <c r="D168" s="2" t="s">
        <v>39</v>
      </c>
      <c r="E168" s="2" t="s">
        <v>268</v>
      </c>
      <c r="F168" s="2" t="s">
        <v>124</v>
      </c>
      <c r="G168" s="2" t="s">
        <v>120</v>
      </c>
      <c r="H168" s="2" t="s">
        <v>108</v>
      </c>
      <c r="I168" s="2">
        <v>3</v>
      </c>
      <c r="J168" s="2">
        <v>4</v>
      </c>
      <c r="K168" s="2">
        <f t="shared" si="4"/>
        <v>-1</v>
      </c>
      <c r="L168" s="2" t="str">
        <f t="shared" si="5"/>
        <v>Ecart mineur</v>
      </c>
      <c r="M168" s="2" t="s">
        <v>450</v>
      </c>
      <c r="N168" s="12">
        <v>45788</v>
      </c>
      <c r="O168" s="2"/>
    </row>
    <row r="169" spans="1:15" x14ac:dyDescent="0.25">
      <c r="A169" s="3" t="s">
        <v>635</v>
      </c>
      <c r="B169" s="3" t="s">
        <v>349</v>
      </c>
      <c r="C169" s="3" t="s">
        <v>633</v>
      </c>
      <c r="D169" s="3" t="s">
        <v>39</v>
      </c>
      <c r="E169" s="3" t="s">
        <v>268</v>
      </c>
      <c r="F169" s="3" t="s">
        <v>127</v>
      </c>
      <c r="G169" s="3" t="s">
        <v>120</v>
      </c>
      <c r="H169" s="3" t="s">
        <v>103</v>
      </c>
      <c r="I169" s="3">
        <v>3</v>
      </c>
      <c r="J169" s="3">
        <v>3</v>
      </c>
      <c r="K169" s="3">
        <f t="shared" si="4"/>
        <v>0</v>
      </c>
      <c r="L169" s="3" t="str">
        <f t="shared" si="5"/>
        <v>Conforme</v>
      </c>
      <c r="M169" s="3" t="s">
        <v>450</v>
      </c>
      <c r="N169" s="11">
        <v>46038</v>
      </c>
      <c r="O169" s="3"/>
    </row>
    <row r="170" spans="1:15" x14ac:dyDescent="0.25">
      <c r="A170" s="2" t="s">
        <v>636</v>
      </c>
      <c r="B170" s="2" t="s">
        <v>349</v>
      </c>
      <c r="C170" s="2" t="s">
        <v>633</v>
      </c>
      <c r="D170" s="2" t="s">
        <v>39</v>
      </c>
      <c r="E170" s="2" t="s">
        <v>268</v>
      </c>
      <c r="F170" s="2" t="s">
        <v>131</v>
      </c>
      <c r="G170" s="2" t="s">
        <v>120</v>
      </c>
      <c r="H170" s="2" t="s">
        <v>103</v>
      </c>
      <c r="I170" s="2">
        <v>4</v>
      </c>
      <c r="J170" s="2">
        <v>3</v>
      </c>
      <c r="K170" s="2">
        <f t="shared" si="4"/>
        <v>1</v>
      </c>
      <c r="L170" s="2" t="str">
        <f t="shared" si="5"/>
        <v>Conforme</v>
      </c>
      <c r="M170" s="2" t="s">
        <v>448</v>
      </c>
      <c r="N170" s="12">
        <v>45872</v>
      </c>
      <c r="O170" s="2" t="s">
        <v>461</v>
      </c>
    </row>
    <row r="171" spans="1:15" x14ac:dyDescent="0.25">
      <c r="A171" s="3" t="s">
        <v>637</v>
      </c>
      <c r="B171" s="3" t="s">
        <v>349</v>
      </c>
      <c r="C171" s="3" t="s">
        <v>633</v>
      </c>
      <c r="D171" s="3" t="s">
        <v>39</v>
      </c>
      <c r="E171" s="3" t="s">
        <v>268</v>
      </c>
      <c r="F171" s="3" t="s">
        <v>135</v>
      </c>
      <c r="G171" s="3" t="s">
        <v>120</v>
      </c>
      <c r="H171" s="3" t="s">
        <v>108</v>
      </c>
      <c r="I171" s="3">
        <v>3</v>
      </c>
      <c r="J171" s="3">
        <v>3</v>
      </c>
      <c r="K171" s="3">
        <f t="shared" si="4"/>
        <v>0</v>
      </c>
      <c r="L171" s="3" t="str">
        <f t="shared" si="5"/>
        <v>Conforme</v>
      </c>
      <c r="M171" s="3" t="s">
        <v>446</v>
      </c>
      <c r="N171" s="11">
        <v>46017</v>
      </c>
      <c r="O171" s="3"/>
    </row>
    <row r="172" spans="1:15" x14ac:dyDescent="0.25">
      <c r="A172" s="2" t="s">
        <v>638</v>
      </c>
      <c r="B172" s="2" t="s">
        <v>349</v>
      </c>
      <c r="C172" s="2" t="s">
        <v>633</v>
      </c>
      <c r="D172" s="2" t="s">
        <v>39</v>
      </c>
      <c r="E172" s="2" t="s">
        <v>268</v>
      </c>
      <c r="F172" s="2" t="s">
        <v>193</v>
      </c>
      <c r="G172" s="2" t="s">
        <v>50</v>
      </c>
      <c r="H172" s="2" t="s">
        <v>103</v>
      </c>
      <c r="I172" s="2">
        <v>1</v>
      </c>
      <c r="J172" s="2"/>
      <c r="K172" s="2" t="str">
        <f t="shared" si="4"/>
        <v/>
      </c>
      <c r="L172" s="2" t="str">
        <f t="shared" si="5"/>
        <v>Bonus</v>
      </c>
      <c r="M172" s="2" t="s">
        <v>446</v>
      </c>
      <c r="N172" s="12">
        <v>45881</v>
      </c>
      <c r="O172" s="2"/>
    </row>
    <row r="173" spans="1:15" x14ac:dyDescent="0.25">
      <c r="A173" s="3" t="s">
        <v>639</v>
      </c>
      <c r="B173" s="3" t="s">
        <v>349</v>
      </c>
      <c r="C173" s="3" t="s">
        <v>633</v>
      </c>
      <c r="D173" s="3" t="s">
        <v>39</v>
      </c>
      <c r="E173" s="3" t="s">
        <v>268</v>
      </c>
      <c r="F173" s="3" t="s">
        <v>207</v>
      </c>
      <c r="G173" s="3" t="s">
        <v>50</v>
      </c>
      <c r="H173" s="3" t="s">
        <v>145</v>
      </c>
      <c r="I173" s="3">
        <v>3</v>
      </c>
      <c r="J173" s="3"/>
      <c r="K173" s="3" t="str">
        <f t="shared" si="4"/>
        <v/>
      </c>
      <c r="L173" s="3" t="str">
        <f t="shared" si="5"/>
        <v>Bonus</v>
      </c>
      <c r="M173" s="3" t="s">
        <v>450</v>
      </c>
      <c r="N173" s="11">
        <v>46021</v>
      </c>
      <c r="O173" s="3"/>
    </row>
    <row r="174" spans="1:15" x14ac:dyDescent="0.25">
      <c r="A174" s="2" t="s">
        <v>640</v>
      </c>
      <c r="B174" s="2" t="s">
        <v>349</v>
      </c>
      <c r="C174" s="2" t="s">
        <v>633</v>
      </c>
      <c r="D174" s="2" t="s">
        <v>39</v>
      </c>
      <c r="E174" s="2" t="s">
        <v>268</v>
      </c>
      <c r="F174" s="2" t="s">
        <v>233</v>
      </c>
      <c r="G174" s="2" t="s">
        <v>214</v>
      </c>
      <c r="H174" s="2" t="s">
        <v>108</v>
      </c>
      <c r="I174" s="2">
        <v>3</v>
      </c>
      <c r="J174" s="2">
        <v>2</v>
      </c>
      <c r="K174" s="2">
        <f t="shared" si="4"/>
        <v>1</v>
      </c>
      <c r="L174" s="2" t="str">
        <f t="shared" si="5"/>
        <v>Conforme</v>
      </c>
      <c r="M174" s="2" t="s">
        <v>446</v>
      </c>
      <c r="N174" s="12">
        <v>46029</v>
      </c>
      <c r="O174" s="2"/>
    </row>
    <row r="175" spans="1:15" x14ac:dyDescent="0.25">
      <c r="A175" s="3" t="s">
        <v>641</v>
      </c>
      <c r="B175" s="3" t="s">
        <v>352</v>
      </c>
      <c r="C175" s="3" t="s">
        <v>642</v>
      </c>
      <c r="D175" s="3" t="s">
        <v>41</v>
      </c>
      <c r="E175" s="3" t="s">
        <v>273</v>
      </c>
      <c r="F175" s="3" t="s">
        <v>104</v>
      </c>
      <c r="G175" s="3" t="s">
        <v>99</v>
      </c>
      <c r="H175" s="3" t="s">
        <v>108</v>
      </c>
      <c r="I175" s="3">
        <v>3</v>
      </c>
      <c r="J175" s="3"/>
      <c r="K175" s="3" t="str">
        <f t="shared" si="4"/>
        <v/>
      </c>
      <c r="L175" s="3" t="str">
        <f t="shared" si="5"/>
        <v>Bonus</v>
      </c>
      <c r="M175" s="3" t="s">
        <v>446</v>
      </c>
      <c r="N175" s="11">
        <v>45917</v>
      </c>
      <c r="O175" s="3"/>
    </row>
    <row r="176" spans="1:15" x14ac:dyDescent="0.25">
      <c r="A176" s="2" t="s">
        <v>643</v>
      </c>
      <c r="B176" s="2" t="s">
        <v>352</v>
      </c>
      <c r="C176" s="2" t="s">
        <v>642</v>
      </c>
      <c r="D176" s="2" t="s">
        <v>41</v>
      </c>
      <c r="E176" s="2" t="s">
        <v>273</v>
      </c>
      <c r="F176" s="2" t="s">
        <v>113</v>
      </c>
      <c r="G176" s="2" t="s">
        <v>99</v>
      </c>
      <c r="H176" s="2" t="s">
        <v>108</v>
      </c>
      <c r="I176" s="2">
        <v>2</v>
      </c>
      <c r="J176" s="2"/>
      <c r="K176" s="2" t="str">
        <f t="shared" si="4"/>
        <v/>
      </c>
      <c r="L176" s="2" t="str">
        <f t="shared" si="5"/>
        <v>Bonus</v>
      </c>
      <c r="M176" s="2" t="s">
        <v>446</v>
      </c>
      <c r="N176" s="12">
        <v>45930</v>
      </c>
      <c r="O176" s="2"/>
    </row>
    <row r="177" spans="1:15" x14ac:dyDescent="0.25">
      <c r="A177" s="3" t="s">
        <v>644</v>
      </c>
      <c r="B177" s="3" t="s">
        <v>352</v>
      </c>
      <c r="C177" s="3" t="s">
        <v>642</v>
      </c>
      <c r="D177" s="3" t="s">
        <v>41</v>
      </c>
      <c r="E177" s="3" t="s">
        <v>273</v>
      </c>
      <c r="F177" s="3" t="s">
        <v>118</v>
      </c>
      <c r="G177" s="3" t="s">
        <v>120</v>
      </c>
      <c r="H177" s="3" t="s">
        <v>108</v>
      </c>
      <c r="I177" s="3">
        <v>5</v>
      </c>
      <c r="J177" s="3">
        <v>5</v>
      </c>
      <c r="K177" s="3">
        <f t="shared" si="4"/>
        <v>0</v>
      </c>
      <c r="L177" s="3" t="str">
        <f t="shared" si="5"/>
        <v>Conforme</v>
      </c>
      <c r="M177" s="3" t="s">
        <v>448</v>
      </c>
      <c r="N177" s="11">
        <v>46025</v>
      </c>
      <c r="O177" s="3" t="s">
        <v>461</v>
      </c>
    </row>
    <row r="178" spans="1:15" x14ac:dyDescent="0.25">
      <c r="A178" s="2" t="s">
        <v>645</v>
      </c>
      <c r="B178" s="2" t="s">
        <v>352</v>
      </c>
      <c r="C178" s="2" t="s">
        <v>642</v>
      </c>
      <c r="D178" s="2" t="s">
        <v>41</v>
      </c>
      <c r="E178" s="2" t="s">
        <v>273</v>
      </c>
      <c r="F178" s="2" t="s">
        <v>124</v>
      </c>
      <c r="G178" s="2" t="s">
        <v>120</v>
      </c>
      <c r="H178" s="2" t="s">
        <v>108</v>
      </c>
      <c r="I178" s="2">
        <v>4</v>
      </c>
      <c r="J178" s="2">
        <v>5</v>
      </c>
      <c r="K178" s="2">
        <f t="shared" si="4"/>
        <v>-1</v>
      </c>
      <c r="L178" s="2" t="str">
        <f t="shared" si="5"/>
        <v>Ecart mineur</v>
      </c>
      <c r="M178" s="2" t="s">
        <v>450</v>
      </c>
      <c r="N178" s="12">
        <v>46065</v>
      </c>
      <c r="O178" s="2" t="s">
        <v>461</v>
      </c>
    </row>
    <row r="179" spans="1:15" x14ac:dyDescent="0.25">
      <c r="A179" s="3" t="s">
        <v>646</v>
      </c>
      <c r="B179" s="3" t="s">
        <v>352</v>
      </c>
      <c r="C179" s="3" t="s">
        <v>642</v>
      </c>
      <c r="D179" s="3" t="s">
        <v>41</v>
      </c>
      <c r="E179" s="3" t="s">
        <v>273</v>
      </c>
      <c r="F179" s="3" t="s">
        <v>127</v>
      </c>
      <c r="G179" s="3" t="s">
        <v>120</v>
      </c>
      <c r="H179" s="3" t="s">
        <v>103</v>
      </c>
      <c r="I179" s="3">
        <v>5</v>
      </c>
      <c r="J179" s="3">
        <v>5</v>
      </c>
      <c r="K179" s="3">
        <f t="shared" si="4"/>
        <v>0</v>
      </c>
      <c r="L179" s="3" t="str">
        <f t="shared" si="5"/>
        <v>Conforme</v>
      </c>
      <c r="M179" s="3" t="s">
        <v>448</v>
      </c>
      <c r="N179" s="11">
        <v>46025</v>
      </c>
      <c r="O179" s="3" t="s">
        <v>461</v>
      </c>
    </row>
    <row r="180" spans="1:15" x14ac:dyDescent="0.25">
      <c r="A180" s="2" t="s">
        <v>647</v>
      </c>
      <c r="B180" s="2" t="s">
        <v>352</v>
      </c>
      <c r="C180" s="2" t="s">
        <v>642</v>
      </c>
      <c r="D180" s="2" t="s">
        <v>41</v>
      </c>
      <c r="E180" s="2" t="s">
        <v>273</v>
      </c>
      <c r="F180" s="2" t="s">
        <v>131</v>
      </c>
      <c r="G180" s="2" t="s">
        <v>120</v>
      </c>
      <c r="H180" s="2" t="s">
        <v>103</v>
      </c>
      <c r="I180" s="2">
        <v>4</v>
      </c>
      <c r="J180" s="2">
        <v>4</v>
      </c>
      <c r="K180" s="2">
        <f t="shared" si="4"/>
        <v>0</v>
      </c>
      <c r="L180" s="2" t="str">
        <f t="shared" si="5"/>
        <v>Conforme</v>
      </c>
      <c r="M180" s="2" t="s">
        <v>448</v>
      </c>
      <c r="N180" s="12">
        <v>45809</v>
      </c>
      <c r="O180" s="2" t="s">
        <v>461</v>
      </c>
    </row>
    <row r="181" spans="1:15" x14ac:dyDescent="0.25">
      <c r="A181" s="3" t="s">
        <v>648</v>
      </c>
      <c r="B181" s="3" t="s">
        <v>352</v>
      </c>
      <c r="C181" s="3" t="s">
        <v>642</v>
      </c>
      <c r="D181" s="3" t="s">
        <v>41</v>
      </c>
      <c r="E181" s="3" t="s">
        <v>273</v>
      </c>
      <c r="F181" s="3" t="s">
        <v>135</v>
      </c>
      <c r="G181" s="3" t="s">
        <v>120</v>
      </c>
      <c r="H181" s="3" t="s">
        <v>108</v>
      </c>
      <c r="I181" s="3">
        <v>5</v>
      </c>
      <c r="J181" s="3">
        <v>4</v>
      </c>
      <c r="K181" s="3">
        <f t="shared" si="4"/>
        <v>1</v>
      </c>
      <c r="L181" s="3" t="str">
        <f t="shared" si="5"/>
        <v>Conforme</v>
      </c>
      <c r="M181" s="3" t="s">
        <v>450</v>
      </c>
      <c r="N181" s="11">
        <v>45852</v>
      </c>
      <c r="O181" s="3" t="s">
        <v>461</v>
      </c>
    </row>
    <row r="182" spans="1:15" x14ac:dyDescent="0.25">
      <c r="A182" s="2" t="s">
        <v>649</v>
      </c>
      <c r="B182" s="2" t="s">
        <v>352</v>
      </c>
      <c r="C182" s="2" t="s">
        <v>642</v>
      </c>
      <c r="D182" s="2" t="s">
        <v>41</v>
      </c>
      <c r="E182" s="2" t="s">
        <v>273</v>
      </c>
      <c r="F182" s="2" t="s">
        <v>190</v>
      </c>
      <c r="G182" s="2" t="s">
        <v>50</v>
      </c>
      <c r="H182" s="2" t="s">
        <v>145</v>
      </c>
      <c r="I182" s="2">
        <v>2</v>
      </c>
      <c r="J182" s="2"/>
      <c r="K182" s="2" t="str">
        <f t="shared" si="4"/>
        <v/>
      </c>
      <c r="L182" s="2" t="str">
        <f t="shared" si="5"/>
        <v>Bonus</v>
      </c>
      <c r="M182" s="2" t="s">
        <v>450</v>
      </c>
      <c r="N182" s="12">
        <v>45973</v>
      </c>
      <c r="O182" s="2"/>
    </row>
    <row r="183" spans="1:15" x14ac:dyDescent="0.25">
      <c r="A183" s="3" t="s">
        <v>650</v>
      </c>
      <c r="B183" s="3" t="s">
        <v>352</v>
      </c>
      <c r="C183" s="3" t="s">
        <v>642</v>
      </c>
      <c r="D183" s="3" t="s">
        <v>41</v>
      </c>
      <c r="E183" s="3" t="s">
        <v>273</v>
      </c>
      <c r="F183" s="3" t="s">
        <v>212</v>
      </c>
      <c r="G183" s="3" t="s">
        <v>214</v>
      </c>
      <c r="H183" s="3" t="s">
        <v>108</v>
      </c>
      <c r="I183" s="3">
        <v>4</v>
      </c>
      <c r="J183" s="3">
        <v>3</v>
      </c>
      <c r="K183" s="3">
        <f t="shared" si="4"/>
        <v>1</v>
      </c>
      <c r="L183" s="3" t="str">
        <f t="shared" si="5"/>
        <v>Conforme</v>
      </c>
      <c r="M183" s="3" t="s">
        <v>446</v>
      </c>
      <c r="N183" s="11">
        <v>45806</v>
      </c>
      <c r="O183" s="3" t="s">
        <v>461</v>
      </c>
    </row>
    <row r="184" spans="1:15" x14ac:dyDescent="0.25">
      <c r="A184" s="2" t="s">
        <v>651</v>
      </c>
      <c r="B184" s="2" t="s">
        <v>352</v>
      </c>
      <c r="C184" s="2" t="s">
        <v>642</v>
      </c>
      <c r="D184" s="2" t="s">
        <v>41</v>
      </c>
      <c r="E184" s="2" t="s">
        <v>273</v>
      </c>
      <c r="F184" s="2" t="s">
        <v>233</v>
      </c>
      <c r="G184" s="2" t="s">
        <v>214</v>
      </c>
      <c r="H184" s="2" t="s">
        <v>108</v>
      </c>
      <c r="I184" s="2">
        <v>2</v>
      </c>
      <c r="J184" s="2">
        <v>3</v>
      </c>
      <c r="K184" s="2">
        <f t="shared" si="4"/>
        <v>-1</v>
      </c>
      <c r="L184" s="2" t="str">
        <f t="shared" si="5"/>
        <v>Ecart mineur</v>
      </c>
      <c r="M184" s="2" t="s">
        <v>448</v>
      </c>
      <c r="N184" s="12">
        <v>45852</v>
      </c>
      <c r="O184" s="2"/>
    </row>
    <row r="185" spans="1:15" x14ac:dyDescent="0.25">
      <c r="A185" s="3" t="s">
        <v>652</v>
      </c>
      <c r="B185" s="3" t="s">
        <v>355</v>
      </c>
      <c r="C185" s="3" t="s">
        <v>653</v>
      </c>
      <c r="D185" s="3" t="s">
        <v>43</v>
      </c>
      <c r="E185" s="3" t="s">
        <v>277</v>
      </c>
      <c r="F185" s="3" t="s">
        <v>113</v>
      </c>
      <c r="G185" s="3" t="s">
        <v>99</v>
      </c>
      <c r="H185" s="3" t="s">
        <v>108</v>
      </c>
      <c r="I185" s="3">
        <v>2</v>
      </c>
      <c r="J185" s="3"/>
      <c r="K185" s="3" t="str">
        <f t="shared" si="4"/>
        <v/>
      </c>
      <c r="L185" s="3" t="str">
        <f t="shared" si="5"/>
        <v>Bonus</v>
      </c>
      <c r="M185" s="3" t="s">
        <v>448</v>
      </c>
      <c r="N185" s="11">
        <v>45960</v>
      </c>
      <c r="O185" s="3"/>
    </row>
    <row r="186" spans="1:15" ht="25.5" x14ac:dyDescent="0.25">
      <c r="A186" s="2" t="s">
        <v>654</v>
      </c>
      <c r="B186" s="2" t="s">
        <v>355</v>
      </c>
      <c r="C186" s="2" t="s">
        <v>653</v>
      </c>
      <c r="D186" s="2" t="s">
        <v>43</v>
      </c>
      <c r="E186" s="2" t="s">
        <v>277</v>
      </c>
      <c r="F186" s="2" t="s">
        <v>139</v>
      </c>
      <c r="G186" s="2" t="s">
        <v>141</v>
      </c>
      <c r="H186" s="2" t="s">
        <v>145</v>
      </c>
      <c r="I186" s="2">
        <v>3</v>
      </c>
      <c r="J186" s="2">
        <v>3</v>
      </c>
      <c r="K186" s="2">
        <f t="shared" si="4"/>
        <v>0</v>
      </c>
      <c r="L186" s="2" t="str">
        <f t="shared" si="5"/>
        <v>Conforme</v>
      </c>
      <c r="M186" s="2" t="s">
        <v>448</v>
      </c>
      <c r="N186" s="12">
        <v>45916</v>
      </c>
      <c r="O186" s="2"/>
    </row>
    <row r="187" spans="1:15" ht="25.5" x14ac:dyDescent="0.25">
      <c r="A187" s="3" t="s">
        <v>655</v>
      </c>
      <c r="B187" s="3" t="s">
        <v>355</v>
      </c>
      <c r="C187" s="3" t="s">
        <v>653</v>
      </c>
      <c r="D187" s="3" t="s">
        <v>43</v>
      </c>
      <c r="E187" s="3" t="s">
        <v>277</v>
      </c>
      <c r="F187" s="3" t="s">
        <v>146</v>
      </c>
      <c r="G187" s="3" t="s">
        <v>141</v>
      </c>
      <c r="H187" s="3" t="s">
        <v>103</v>
      </c>
      <c r="I187" s="3">
        <v>3</v>
      </c>
      <c r="J187" s="3">
        <v>4</v>
      </c>
      <c r="K187" s="3">
        <f t="shared" si="4"/>
        <v>-1</v>
      </c>
      <c r="L187" s="3" t="str">
        <f t="shared" si="5"/>
        <v>Ecart mineur</v>
      </c>
      <c r="M187" s="3" t="s">
        <v>448</v>
      </c>
      <c r="N187" s="11">
        <v>45943</v>
      </c>
      <c r="O187" s="3"/>
    </row>
    <row r="188" spans="1:15" ht="25.5" x14ac:dyDescent="0.25">
      <c r="A188" s="2" t="s">
        <v>656</v>
      </c>
      <c r="B188" s="2" t="s">
        <v>355</v>
      </c>
      <c r="C188" s="2" t="s">
        <v>653</v>
      </c>
      <c r="D188" s="2" t="s">
        <v>43</v>
      </c>
      <c r="E188" s="2" t="s">
        <v>277</v>
      </c>
      <c r="F188" s="2" t="s">
        <v>160</v>
      </c>
      <c r="G188" s="2" t="s">
        <v>141</v>
      </c>
      <c r="H188" s="2" t="s">
        <v>108</v>
      </c>
      <c r="I188" s="2">
        <v>2</v>
      </c>
      <c r="J188" s="2">
        <v>3</v>
      </c>
      <c r="K188" s="2">
        <f t="shared" si="4"/>
        <v>-1</v>
      </c>
      <c r="L188" s="2" t="str">
        <f t="shared" si="5"/>
        <v>Ecart mineur</v>
      </c>
      <c r="M188" s="2" t="s">
        <v>448</v>
      </c>
      <c r="N188" s="12">
        <v>46071</v>
      </c>
      <c r="O188" s="2"/>
    </row>
    <row r="189" spans="1:15" x14ac:dyDescent="0.25">
      <c r="A189" s="3" t="s">
        <v>657</v>
      </c>
      <c r="B189" s="3" t="s">
        <v>355</v>
      </c>
      <c r="C189" s="3" t="s">
        <v>653</v>
      </c>
      <c r="D189" s="3" t="s">
        <v>43</v>
      </c>
      <c r="E189" s="3" t="s">
        <v>277</v>
      </c>
      <c r="F189" s="3" t="s">
        <v>165</v>
      </c>
      <c r="G189" s="3" t="s">
        <v>167</v>
      </c>
      <c r="H189" s="3" t="s">
        <v>103</v>
      </c>
      <c r="I189" s="3">
        <v>1</v>
      </c>
      <c r="J189" s="3"/>
      <c r="K189" s="3" t="str">
        <f t="shared" si="4"/>
        <v/>
      </c>
      <c r="L189" s="3" t="str">
        <f t="shared" si="5"/>
        <v>Bonus</v>
      </c>
      <c r="M189" s="3" t="s">
        <v>450</v>
      </c>
      <c r="N189" s="11">
        <v>45783</v>
      </c>
      <c r="O189" s="3"/>
    </row>
    <row r="190" spans="1:15" x14ac:dyDescent="0.25">
      <c r="A190" s="2" t="s">
        <v>658</v>
      </c>
      <c r="B190" s="2" t="s">
        <v>355</v>
      </c>
      <c r="C190" s="2" t="s">
        <v>653</v>
      </c>
      <c r="D190" s="2" t="s">
        <v>43</v>
      </c>
      <c r="E190" s="2" t="s">
        <v>277</v>
      </c>
      <c r="F190" s="2" t="s">
        <v>171</v>
      </c>
      <c r="G190" s="2" t="s">
        <v>167</v>
      </c>
      <c r="H190" s="2" t="s">
        <v>108</v>
      </c>
      <c r="I190" s="2">
        <v>2</v>
      </c>
      <c r="J190" s="2"/>
      <c r="K190" s="2" t="str">
        <f t="shared" si="4"/>
        <v/>
      </c>
      <c r="L190" s="2" t="str">
        <f t="shared" si="5"/>
        <v>Bonus</v>
      </c>
      <c r="M190" s="2" t="s">
        <v>448</v>
      </c>
      <c r="N190" s="12">
        <v>46058</v>
      </c>
      <c r="O190" s="2"/>
    </row>
    <row r="191" spans="1:15" x14ac:dyDescent="0.25">
      <c r="A191" s="3" t="s">
        <v>659</v>
      </c>
      <c r="B191" s="3" t="s">
        <v>355</v>
      </c>
      <c r="C191" s="3" t="s">
        <v>653</v>
      </c>
      <c r="D191" s="3" t="s">
        <v>43</v>
      </c>
      <c r="E191" s="3" t="s">
        <v>277</v>
      </c>
      <c r="F191" s="3" t="s">
        <v>202</v>
      </c>
      <c r="G191" s="3" t="s">
        <v>50</v>
      </c>
      <c r="H191" s="3" t="s">
        <v>108</v>
      </c>
      <c r="I191" s="3">
        <v>1</v>
      </c>
      <c r="J191" s="3">
        <v>2</v>
      </c>
      <c r="K191" s="3">
        <f t="shared" si="4"/>
        <v>-1</v>
      </c>
      <c r="L191" s="3" t="str">
        <f t="shared" si="5"/>
        <v>Ecart mineur</v>
      </c>
      <c r="M191" s="3" t="s">
        <v>446</v>
      </c>
      <c r="N191" s="11">
        <v>45853</v>
      </c>
      <c r="O191" s="3"/>
    </row>
    <row r="192" spans="1:15" x14ac:dyDescent="0.25">
      <c r="A192" s="2" t="s">
        <v>660</v>
      </c>
      <c r="B192" s="2" t="s">
        <v>355</v>
      </c>
      <c r="C192" s="2" t="s">
        <v>653</v>
      </c>
      <c r="D192" s="2" t="s">
        <v>43</v>
      </c>
      <c r="E192" s="2" t="s">
        <v>277</v>
      </c>
      <c r="F192" s="2" t="s">
        <v>228</v>
      </c>
      <c r="G192" s="2" t="s">
        <v>214</v>
      </c>
      <c r="H192" s="2" t="s">
        <v>108</v>
      </c>
      <c r="I192" s="2">
        <v>2</v>
      </c>
      <c r="J192" s="2">
        <v>2</v>
      </c>
      <c r="K192" s="2">
        <f t="shared" si="4"/>
        <v>0</v>
      </c>
      <c r="L192" s="2" t="str">
        <f t="shared" si="5"/>
        <v>Conforme</v>
      </c>
      <c r="M192" s="2" t="s">
        <v>446</v>
      </c>
      <c r="N192" s="12">
        <v>45850</v>
      </c>
      <c r="O192" s="2"/>
    </row>
    <row r="193" spans="1:15" x14ac:dyDescent="0.25">
      <c r="A193" s="3" t="s">
        <v>661</v>
      </c>
      <c r="B193" s="3" t="s">
        <v>358</v>
      </c>
      <c r="C193" s="3" t="s">
        <v>662</v>
      </c>
      <c r="D193" s="3" t="s">
        <v>35</v>
      </c>
      <c r="E193" s="3" t="s">
        <v>282</v>
      </c>
      <c r="F193" s="3" t="s">
        <v>97</v>
      </c>
      <c r="G193" s="3" t="s">
        <v>99</v>
      </c>
      <c r="H193" s="3" t="s">
        <v>103</v>
      </c>
      <c r="I193" s="3">
        <v>2</v>
      </c>
      <c r="J193" s="3"/>
      <c r="K193" s="3" t="str">
        <f t="shared" si="4"/>
        <v/>
      </c>
      <c r="L193" s="3" t="str">
        <f t="shared" si="5"/>
        <v>Bonus</v>
      </c>
      <c r="M193" s="3" t="s">
        <v>450</v>
      </c>
      <c r="N193" s="11">
        <v>45879</v>
      </c>
      <c r="O193" s="3"/>
    </row>
    <row r="194" spans="1:15" x14ac:dyDescent="0.25">
      <c r="A194" s="2" t="s">
        <v>663</v>
      </c>
      <c r="B194" s="2" t="s">
        <v>358</v>
      </c>
      <c r="C194" s="2" t="s">
        <v>662</v>
      </c>
      <c r="D194" s="2" t="s">
        <v>35</v>
      </c>
      <c r="E194" s="2" t="s">
        <v>282</v>
      </c>
      <c r="F194" s="2" t="s">
        <v>118</v>
      </c>
      <c r="G194" s="2" t="s">
        <v>120</v>
      </c>
      <c r="H194" s="2" t="s">
        <v>108</v>
      </c>
      <c r="I194" s="2">
        <v>1</v>
      </c>
      <c r="J194" s="2"/>
      <c r="K194" s="2" t="str">
        <f t="shared" si="4"/>
        <v/>
      </c>
      <c r="L194" s="2" t="str">
        <f t="shared" si="5"/>
        <v>Bonus</v>
      </c>
      <c r="M194" s="2" t="s">
        <v>446</v>
      </c>
      <c r="N194" s="12">
        <v>45920</v>
      </c>
      <c r="O194" s="2"/>
    </row>
    <row r="195" spans="1:15" ht="25.5" x14ac:dyDescent="0.25">
      <c r="A195" s="3" t="s">
        <v>664</v>
      </c>
      <c r="B195" s="3" t="s">
        <v>358</v>
      </c>
      <c r="C195" s="3" t="s">
        <v>662</v>
      </c>
      <c r="D195" s="3" t="s">
        <v>35</v>
      </c>
      <c r="E195" s="3" t="s">
        <v>282</v>
      </c>
      <c r="F195" s="3" t="s">
        <v>139</v>
      </c>
      <c r="G195" s="3" t="s">
        <v>141</v>
      </c>
      <c r="H195" s="3" t="s">
        <v>145</v>
      </c>
      <c r="I195" s="3">
        <v>5</v>
      </c>
      <c r="J195" s="3">
        <v>4</v>
      </c>
      <c r="K195" s="3">
        <f t="shared" si="4"/>
        <v>1</v>
      </c>
      <c r="L195" s="3" t="str">
        <f t="shared" si="5"/>
        <v>Conforme</v>
      </c>
      <c r="M195" s="3" t="s">
        <v>446</v>
      </c>
      <c r="N195" s="11">
        <v>45889</v>
      </c>
      <c r="O195" s="3" t="s">
        <v>461</v>
      </c>
    </row>
    <row r="196" spans="1:15" ht="25.5" x14ac:dyDescent="0.25">
      <c r="A196" s="2" t="s">
        <v>665</v>
      </c>
      <c r="B196" s="2" t="s">
        <v>358</v>
      </c>
      <c r="C196" s="2" t="s">
        <v>662</v>
      </c>
      <c r="D196" s="2" t="s">
        <v>35</v>
      </c>
      <c r="E196" s="2" t="s">
        <v>282</v>
      </c>
      <c r="F196" s="2" t="s">
        <v>149</v>
      </c>
      <c r="G196" s="2" t="s">
        <v>141</v>
      </c>
      <c r="H196" s="2" t="s">
        <v>145</v>
      </c>
      <c r="I196" s="2">
        <v>5</v>
      </c>
      <c r="J196" s="2">
        <v>3</v>
      </c>
      <c r="K196" s="2">
        <f t="shared" si="4"/>
        <v>2</v>
      </c>
      <c r="L196" s="2" t="str">
        <f t="shared" si="5"/>
        <v>Conforme</v>
      </c>
      <c r="M196" s="2" t="s">
        <v>446</v>
      </c>
      <c r="N196" s="12">
        <v>45826</v>
      </c>
      <c r="O196" s="2" t="s">
        <v>461</v>
      </c>
    </row>
    <row r="197" spans="1:15" ht="25.5" x14ac:dyDescent="0.25">
      <c r="A197" s="3" t="s">
        <v>666</v>
      </c>
      <c r="B197" s="3" t="s">
        <v>358</v>
      </c>
      <c r="C197" s="3" t="s">
        <v>662</v>
      </c>
      <c r="D197" s="3" t="s">
        <v>35</v>
      </c>
      <c r="E197" s="3" t="s">
        <v>282</v>
      </c>
      <c r="F197" s="3" t="s">
        <v>160</v>
      </c>
      <c r="G197" s="3" t="s">
        <v>141</v>
      </c>
      <c r="H197" s="3" t="s">
        <v>108</v>
      </c>
      <c r="I197" s="3">
        <v>1</v>
      </c>
      <c r="J197" s="3">
        <v>2</v>
      </c>
      <c r="K197" s="3">
        <f t="shared" ref="K197:K260" si="6">IF(J197="","",I197-J197)</f>
        <v>-1</v>
      </c>
      <c r="L197" s="3" t="str">
        <f t="shared" ref="L197:L260" si="7">IF(J197="","Bonus",IF(K197&gt;=0,"Conforme",IF(K197=-1,"Ecart mineur","Ecart critique")))</f>
        <v>Ecart mineur</v>
      </c>
      <c r="M197" s="3" t="s">
        <v>446</v>
      </c>
      <c r="N197" s="11">
        <v>45749</v>
      </c>
      <c r="O197" s="3"/>
    </row>
    <row r="198" spans="1:15" x14ac:dyDescent="0.25">
      <c r="A198" s="2" t="s">
        <v>667</v>
      </c>
      <c r="B198" s="2" t="s">
        <v>358</v>
      </c>
      <c r="C198" s="2" t="s">
        <v>662</v>
      </c>
      <c r="D198" s="2" t="s">
        <v>35</v>
      </c>
      <c r="E198" s="2" t="s">
        <v>282</v>
      </c>
      <c r="F198" s="2" t="s">
        <v>228</v>
      </c>
      <c r="G198" s="2" t="s">
        <v>214</v>
      </c>
      <c r="H198" s="2" t="s">
        <v>108</v>
      </c>
      <c r="I198" s="2">
        <v>4</v>
      </c>
      <c r="J198" s="2">
        <v>2</v>
      </c>
      <c r="K198" s="2">
        <f t="shared" si="6"/>
        <v>2</v>
      </c>
      <c r="L198" s="2" t="str">
        <f t="shared" si="7"/>
        <v>Conforme</v>
      </c>
      <c r="M198" s="2" t="s">
        <v>448</v>
      </c>
      <c r="N198" s="12">
        <v>46050</v>
      </c>
      <c r="O198" s="2" t="s">
        <v>461</v>
      </c>
    </row>
    <row r="199" spans="1:15" ht="25.5" x14ac:dyDescent="0.25">
      <c r="A199" s="3" t="s">
        <v>668</v>
      </c>
      <c r="B199" s="3" t="s">
        <v>361</v>
      </c>
      <c r="C199" s="3" t="s">
        <v>669</v>
      </c>
      <c r="D199" s="3" t="s">
        <v>37</v>
      </c>
      <c r="E199" s="3" t="s">
        <v>286</v>
      </c>
      <c r="F199" s="3" t="s">
        <v>165</v>
      </c>
      <c r="G199" s="3" t="s">
        <v>167</v>
      </c>
      <c r="H199" s="3" t="s">
        <v>103</v>
      </c>
      <c r="I199" s="3">
        <v>5</v>
      </c>
      <c r="J199" s="3">
        <v>4</v>
      </c>
      <c r="K199" s="3">
        <f t="shared" si="6"/>
        <v>1</v>
      </c>
      <c r="L199" s="3" t="str">
        <f t="shared" si="7"/>
        <v>Conforme</v>
      </c>
      <c r="M199" s="3" t="s">
        <v>448</v>
      </c>
      <c r="N199" s="11">
        <v>45904</v>
      </c>
      <c r="O199" s="3" t="s">
        <v>461</v>
      </c>
    </row>
    <row r="200" spans="1:15" ht="25.5" x14ac:dyDescent="0.25">
      <c r="A200" s="2" t="s">
        <v>670</v>
      </c>
      <c r="B200" s="2" t="s">
        <v>361</v>
      </c>
      <c r="C200" s="2" t="s">
        <v>669</v>
      </c>
      <c r="D200" s="2" t="s">
        <v>37</v>
      </c>
      <c r="E200" s="2" t="s">
        <v>286</v>
      </c>
      <c r="F200" s="2" t="s">
        <v>181</v>
      </c>
      <c r="G200" s="2" t="s">
        <v>167</v>
      </c>
      <c r="H200" s="2" t="s">
        <v>103</v>
      </c>
      <c r="I200" s="2">
        <v>5</v>
      </c>
      <c r="J200" s="2">
        <v>3</v>
      </c>
      <c r="K200" s="2">
        <f t="shared" si="6"/>
        <v>2</v>
      </c>
      <c r="L200" s="2" t="str">
        <f t="shared" si="7"/>
        <v>Conforme</v>
      </c>
      <c r="M200" s="2" t="s">
        <v>448</v>
      </c>
      <c r="N200" s="12">
        <v>45970</v>
      </c>
      <c r="O200" s="2" t="s">
        <v>461</v>
      </c>
    </row>
    <row r="201" spans="1:15" ht="25.5" x14ac:dyDescent="0.25">
      <c r="A201" s="3" t="s">
        <v>671</v>
      </c>
      <c r="B201" s="3" t="s">
        <v>361</v>
      </c>
      <c r="C201" s="3" t="s">
        <v>669</v>
      </c>
      <c r="D201" s="3" t="s">
        <v>37</v>
      </c>
      <c r="E201" s="3" t="s">
        <v>286</v>
      </c>
      <c r="F201" s="3" t="s">
        <v>218</v>
      </c>
      <c r="G201" s="3" t="s">
        <v>214</v>
      </c>
      <c r="H201" s="3" t="s">
        <v>108</v>
      </c>
      <c r="I201" s="3">
        <v>2</v>
      </c>
      <c r="J201" s="3">
        <v>2</v>
      </c>
      <c r="K201" s="3">
        <f t="shared" si="6"/>
        <v>0</v>
      </c>
      <c r="L201" s="3" t="str">
        <f t="shared" si="7"/>
        <v>Conforme</v>
      </c>
      <c r="M201" s="3" t="s">
        <v>446</v>
      </c>
      <c r="N201" s="11">
        <v>45773</v>
      </c>
      <c r="O201" s="3"/>
    </row>
    <row r="202" spans="1:15" ht="25.5" x14ac:dyDescent="0.25">
      <c r="A202" s="2" t="s">
        <v>672</v>
      </c>
      <c r="B202" s="2" t="s">
        <v>361</v>
      </c>
      <c r="C202" s="2" t="s">
        <v>669</v>
      </c>
      <c r="D202" s="2" t="s">
        <v>37</v>
      </c>
      <c r="E202" s="2" t="s">
        <v>286</v>
      </c>
      <c r="F202" s="2" t="s">
        <v>223</v>
      </c>
      <c r="G202" s="2" t="s">
        <v>214</v>
      </c>
      <c r="H202" s="2" t="s">
        <v>145</v>
      </c>
      <c r="I202" s="2">
        <v>3</v>
      </c>
      <c r="J202" s="2">
        <v>2</v>
      </c>
      <c r="K202" s="2">
        <f t="shared" si="6"/>
        <v>1</v>
      </c>
      <c r="L202" s="2" t="str">
        <f t="shared" si="7"/>
        <v>Conforme</v>
      </c>
      <c r="M202" s="2" t="s">
        <v>448</v>
      </c>
      <c r="N202" s="12">
        <v>46070</v>
      </c>
      <c r="O202" s="2"/>
    </row>
    <row r="203" spans="1:15" ht="25.5" x14ac:dyDescent="0.25">
      <c r="A203" s="3" t="s">
        <v>673</v>
      </c>
      <c r="B203" s="3" t="s">
        <v>361</v>
      </c>
      <c r="C203" s="3" t="s">
        <v>669</v>
      </c>
      <c r="D203" s="3" t="s">
        <v>37</v>
      </c>
      <c r="E203" s="3" t="s">
        <v>286</v>
      </c>
      <c r="F203" s="3" t="s">
        <v>228</v>
      </c>
      <c r="G203" s="3" t="s">
        <v>214</v>
      </c>
      <c r="H203" s="3" t="s">
        <v>108</v>
      </c>
      <c r="I203" s="3">
        <v>3</v>
      </c>
      <c r="J203" s="3">
        <v>2</v>
      </c>
      <c r="K203" s="3">
        <f t="shared" si="6"/>
        <v>1</v>
      </c>
      <c r="L203" s="3" t="str">
        <f t="shared" si="7"/>
        <v>Conforme</v>
      </c>
      <c r="M203" s="3" t="s">
        <v>450</v>
      </c>
      <c r="N203" s="11">
        <v>45926</v>
      </c>
      <c r="O203" s="3"/>
    </row>
    <row r="204" spans="1:15" x14ac:dyDescent="0.25">
      <c r="A204" s="2" t="s">
        <v>674</v>
      </c>
      <c r="B204" s="2" t="s">
        <v>364</v>
      </c>
      <c r="C204" s="2" t="s">
        <v>675</v>
      </c>
      <c r="D204" s="2" t="s">
        <v>39</v>
      </c>
      <c r="E204" s="2" t="s">
        <v>290</v>
      </c>
      <c r="F204" s="2" t="s">
        <v>113</v>
      </c>
      <c r="G204" s="2" t="s">
        <v>99</v>
      </c>
      <c r="H204" s="2" t="s">
        <v>108</v>
      </c>
      <c r="I204" s="2">
        <v>3</v>
      </c>
      <c r="J204" s="2"/>
      <c r="K204" s="2" t="str">
        <f t="shared" si="6"/>
        <v/>
      </c>
      <c r="L204" s="2" t="str">
        <f t="shared" si="7"/>
        <v>Bonus</v>
      </c>
      <c r="M204" s="2" t="s">
        <v>448</v>
      </c>
      <c r="N204" s="12">
        <v>45760</v>
      </c>
      <c r="O204" s="2"/>
    </row>
    <row r="205" spans="1:15" x14ac:dyDescent="0.25">
      <c r="A205" s="3" t="s">
        <v>676</v>
      </c>
      <c r="B205" s="3" t="s">
        <v>364</v>
      </c>
      <c r="C205" s="3" t="s">
        <v>675</v>
      </c>
      <c r="D205" s="3" t="s">
        <v>39</v>
      </c>
      <c r="E205" s="3" t="s">
        <v>290</v>
      </c>
      <c r="F205" s="3" t="s">
        <v>171</v>
      </c>
      <c r="G205" s="3" t="s">
        <v>167</v>
      </c>
      <c r="H205" s="3" t="s">
        <v>108</v>
      </c>
      <c r="I205" s="3">
        <v>4</v>
      </c>
      <c r="J205" s="3">
        <v>4</v>
      </c>
      <c r="K205" s="3">
        <f t="shared" si="6"/>
        <v>0</v>
      </c>
      <c r="L205" s="3" t="str">
        <f t="shared" si="7"/>
        <v>Conforme</v>
      </c>
      <c r="M205" s="3" t="s">
        <v>450</v>
      </c>
      <c r="N205" s="11">
        <v>46043</v>
      </c>
      <c r="O205" s="3" t="s">
        <v>461</v>
      </c>
    </row>
    <row r="206" spans="1:15" x14ac:dyDescent="0.25">
      <c r="A206" s="2" t="s">
        <v>677</v>
      </c>
      <c r="B206" s="2" t="s">
        <v>364</v>
      </c>
      <c r="C206" s="2" t="s">
        <v>675</v>
      </c>
      <c r="D206" s="2" t="s">
        <v>39</v>
      </c>
      <c r="E206" s="2" t="s">
        <v>290</v>
      </c>
      <c r="F206" s="2" t="s">
        <v>176</v>
      </c>
      <c r="G206" s="2" t="s">
        <v>167</v>
      </c>
      <c r="H206" s="2" t="s">
        <v>108</v>
      </c>
      <c r="I206" s="2">
        <v>5</v>
      </c>
      <c r="J206" s="2">
        <v>3</v>
      </c>
      <c r="K206" s="2">
        <f t="shared" si="6"/>
        <v>2</v>
      </c>
      <c r="L206" s="2" t="str">
        <f t="shared" si="7"/>
        <v>Conforme</v>
      </c>
      <c r="M206" s="2" t="s">
        <v>450</v>
      </c>
      <c r="N206" s="12">
        <v>45867</v>
      </c>
      <c r="O206" s="2" t="s">
        <v>461</v>
      </c>
    </row>
    <row r="207" spans="1:15" x14ac:dyDescent="0.25">
      <c r="A207" s="3" t="s">
        <v>678</v>
      </c>
      <c r="B207" s="3" t="s">
        <v>364</v>
      </c>
      <c r="C207" s="3" t="s">
        <v>675</v>
      </c>
      <c r="D207" s="3" t="s">
        <v>39</v>
      </c>
      <c r="E207" s="3" t="s">
        <v>290</v>
      </c>
      <c r="F207" s="3" t="s">
        <v>181</v>
      </c>
      <c r="G207" s="3" t="s">
        <v>167</v>
      </c>
      <c r="H207" s="3" t="s">
        <v>103</v>
      </c>
      <c r="I207" s="3">
        <v>5</v>
      </c>
      <c r="J207" s="3">
        <v>2</v>
      </c>
      <c r="K207" s="3">
        <f t="shared" si="6"/>
        <v>3</v>
      </c>
      <c r="L207" s="3" t="str">
        <f t="shared" si="7"/>
        <v>Conforme</v>
      </c>
      <c r="M207" s="3" t="s">
        <v>450</v>
      </c>
      <c r="N207" s="11">
        <v>45872</v>
      </c>
      <c r="O207" s="3" t="s">
        <v>461</v>
      </c>
    </row>
    <row r="208" spans="1:15" x14ac:dyDescent="0.25">
      <c r="A208" s="2" t="s">
        <v>679</v>
      </c>
      <c r="B208" s="2" t="s">
        <v>364</v>
      </c>
      <c r="C208" s="2" t="s">
        <v>675</v>
      </c>
      <c r="D208" s="2" t="s">
        <v>39</v>
      </c>
      <c r="E208" s="2" t="s">
        <v>290</v>
      </c>
      <c r="F208" s="2" t="s">
        <v>228</v>
      </c>
      <c r="G208" s="2" t="s">
        <v>214</v>
      </c>
      <c r="H208" s="2" t="s">
        <v>108</v>
      </c>
      <c r="I208" s="2">
        <v>2</v>
      </c>
      <c r="J208" s="2">
        <v>2</v>
      </c>
      <c r="K208" s="2">
        <f t="shared" si="6"/>
        <v>0</v>
      </c>
      <c r="L208" s="2" t="str">
        <f t="shared" si="7"/>
        <v>Conforme</v>
      </c>
      <c r="M208" s="2" t="s">
        <v>448</v>
      </c>
      <c r="N208" s="12">
        <v>46081</v>
      </c>
      <c r="O208" s="2"/>
    </row>
    <row r="209" spans="1:15" x14ac:dyDescent="0.25">
      <c r="A209" s="3" t="s">
        <v>680</v>
      </c>
      <c r="B209" s="3" t="s">
        <v>367</v>
      </c>
      <c r="C209" s="3" t="s">
        <v>681</v>
      </c>
      <c r="D209" s="3" t="s">
        <v>41</v>
      </c>
      <c r="E209" s="3" t="s">
        <v>295</v>
      </c>
      <c r="F209" s="3" t="s">
        <v>118</v>
      </c>
      <c r="G209" s="3" t="s">
        <v>120</v>
      </c>
      <c r="H209" s="3" t="s">
        <v>108</v>
      </c>
      <c r="I209" s="3">
        <v>3</v>
      </c>
      <c r="J209" s="3"/>
      <c r="K209" s="3" t="str">
        <f t="shared" si="6"/>
        <v/>
      </c>
      <c r="L209" s="3" t="str">
        <f t="shared" si="7"/>
        <v>Bonus</v>
      </c>
      <c r="M209" s="3" t="s">
        <v>448</v>
      </c>
      <c r="N209" s="11">
        <v>45864</v>
      </c>
      <c r="O209" s="3"/>
    </row>
    <row r="210" spans="1:15" x14ac:dyDescent="0.25">
      <c r="A210" s="2" t="s">
        <v>682</v>
      </c>
      <c r="B210" s="2" t="s">
        <v>367</v>
      </c>
      <c r="C210" s="2" t="s">
        <v>681</v>
      </c>
      <c r="D210" s="2" t="s">
        <v>41</v>
      </c>
      <c r="E210" s="2" t="s">
        <v>295</v>
      </c>
      <c r="F210" s="2" t="s">
        <v>165</v>
      </c>
      <c r="G210" s="2" t="s">
        <v>167</v>
      </c>
      <c r="H210" s="2" t="s">
        <v>103</v>
      </c>
      <c r="I210" s="2">
        <v>2</v>
      </c>
      <c r="J210" s="2"/>
      <c r="K210" s="2" t="str">
        <f t="shared" si="6"/>
        <v/>
      </c>
      <c r="L210" s="2" t="str">
        <f t="shared" si="7"/>
        <v>Bonus</v>
      </c>
      <c r="M210" s="2" t="s">
        <v>450</v>
      </c>
      <c r="N210" s="12">
        <v>45790</v>
      </c>
      <c r="O210" s="2"/>
    </row>
    <row r="211" spans="1:15" x14ac:dyDescent="0.25">
      <c r="A211" s="3" t="s">
        <v>683</v>
      </c>
      <c r="B211" s="3" t="s">
        <v>367</v>
      </c>
      <c r="C211" s="3" t="s">
        <v>681</v>
      </c>
      <c r="D211" s="3" t="s">
        <v>41</v>
      </c>
      <c r="E211" s="3" t="s">
        <v>295</v>
      </c>
      <c r="F211" s="3" t="s">
        <v>186</v>
      </c>
      <c r="G211" s="3" t="s">
        <v>50</v>
      </c>
      <c r="H211" s="3" t="s">
        <v>108</v>
      </c>
      <c r="I211" s="3">
        <v>4</v>
      </c>
      <c r="J211" s="3">
        <v>5</v>
      </c>
      <c r="K211" s="3">
        <f t="shared" si="6"/>
        <v>-1</v>
      </c>
      <c r="L211" s="3" t="str">
        <f t="shared" si="7"/>
        <v>Ecart mineur</v>
      </c>
      <c r="M211" s="3" t="s">
        <v>448</v>
      </c>
      <c r="N211" s="11">
        <v>45877</v>
      </c>
      <c r="O211" s="3" t="s">
        <v>461</v>
      </c>
    </row>
    <row r="212" spans="1:15" x14ac:dyDescent="0.25">
      <c r="A212" s="2" t="s">
        <v>684</v>
      </c>
      <c r="B212" s="2" t="s">
        <v>367</v>
      </c>
      <c r="C212" s="2" t="s">
        <v>681</v>
      </c>
      <c r="D212" s="2" t="s">
        <v>41</v>
      </c>
      <c r="E212" s="2" t="s">
        <v>295</v>
      </c>
      <c r="F212" s="2" t="s">
        <v>193</v>
      </c>
      <c r="G212" s="2" t="s">
        <v>50</v>
      </c>
      <c r="H212" s="2" t="s">
        <v>103</v>
      </c>
      <c r="I212" s="2">
        <v>2</v>
      </c>
      <c r="J212" s="2">
        <v>2</v>
      </c>
      <c r="K212" s="2">
        <f t="shared" si="6"/>
        <v>0</v>
      </c>
      <c r="L212" s="2" t="str">
        <f t="shared" si="7"/>
        <v>Conforme</v>
      </c>
      <c r="M212" s="2" t="s">
        <v>450</v>
      </c>
      <c r="N212" s="12">
        <v>45768</v>
      </c>
      <c r="O212" s="2"/>
    </row>
    <row r="213" spans="1:15" x14ac:dyDescent="0.25">
      <c r="A213" s="3" t="s">
        <v>685</v>
      </c>
      <c r="B213" s="3" t="s">
        <v>367</v>
      </c>
      <c r="C213" s="3" t="s">
        <v>681</v>
      </c>
      <c r="D213" s="3" t="s">
        <v>41</v>
      </c>
      <c r="E213" s="3" t="s">
        <v>295</v>
      </c>
      <c r="F213" s="3" t="s">
        <v>202</v>
      </c>
      <c r="G213" s="3" t="s">
        <v>50</v>
      </c>
      <c r="H213" s="3" t="s">
        <v>108</v>
      </c>
      <c r="I213" s="3">
        <v>5</v>
      </c>
      <c r="J213" s="3">
        <v>4</v>
      </c>
      <c r="K213" s="3">
        <f t="shared" si="6"/>
        <v>1</v>
      </c>
      <c r="L213" s="3" t="str">
        <f t="shared" si="7"/>
        <v>Conforme</v>
      </c>
      <c r="M213" s="3" t="s">
        <v>450</v>
      </c>
      <c r="N213" s="11">
        <v>46039</v>
      </c>
      <c r="O213" s="3" t="s">
        <v>461</v>
      </c>
    </row>
    <row r="214" spans="1:15" x14ac:dyDescent="0.25">
      <c r="A214" s="2" t="s">
        <v>686</v>
      </c>
      <c r="B214" s="2" t="s">
        <v>367</v>
      </c>
      <c r="C214" s="2" t="s">
        <v>681</v>
      </c>
      <c r="D214" s="2" t="s">
        <v>41</v>
      </c>
      <c r="E214" s="2" t="s">
        <v>295</v>
      </c>
      <c r="F214" s="2" t="s">
        <v>207</v>
      </c>
      <c r="G214" s="2" t="s">
        <v>50</v>
      </c>
      <c r="H214" s="2" t="s">
        <v>145</v>
      </c>
      <c r="I214" s="2">
        <v>2</v>
      </c>
      <c r="J214" s="2">
        <v>3</v>
      </c>
      <c r="K214" s="2">
        <f t="shared" si="6"/>
        <v>-1</v>
      </c>
      <c r="L214" s="2" t="str">
        <f t="shared" si="7"/>
        <v>Ecart mineur</v>
      </c>
      <c r="M214" s="2" t="s">
        <v>450</v>
      </c>
      <c r="N214" s="12">
        <v>45960</v>
      </c>
      <c r="O214" s="2"/>
    </row>
    <row r="215" spans="1:15" x14ac:dyDescent="0.25">
      <c r="A215" s="3" t="s">
        <v>687</v>
      </c>
      <c r="B215" s="3" t="s">
        <v>367</v>
      </c>
      <c r="C215" s="3" t="s">
        <v>681</v>
      </c>
      <c r="D215" s="3" t="s">
        <v>41</v>
      </c>
      <c r="E215" s="3" t="s">
        <v>295</v>
      </c>
      <c r="F215" s="3" t="s">
        <v>218</v>
      </c>
      <c r="G215" s="3" t="s">
        <v>214</v>
      </c>
      <c r="H215" s="3" t="s">
        <v>108</v>
      </c>
      <c r="I215" s="3">
        <v>2</v>
      </c>
      <c r="J215" s="3">
        <v>3</v>
      </c>
      <c r="K215" s="3">
        <f t="shared" si="6"/>
        <v>-1</v>
      </c>
      <c r="L215" s="3" t="str">
        <f t="shared" si="7"/>
        <v>Ecart mineur</v>
      </c>
      <c r="M215" s="3" t="s">
        <v>450</v>
      </c>
      <c r="N215" s="11">
        <v>45882</v>
      </c>
      <c r="O215" s="3"/>
    </row>
    <row r="216" spans="1:15" x14ac:dyDescent="0.25">
      <c r="A216" s="2" t="s">
        <v>688</v>
      </c>
      <c r="B216" s="2" t="s">
        <v>370</v>
      </c>
      <c r="C216" s="2" t="s">
        <v>689</v>
      </c>
      <c r="D216" s="2" t="s">
        <v>43</v>
      </c>
      <c r="E216" s="2" t="s">
        <v>300</v>
      </c>
      <c r="F216" s="2" t="s">
        <v>97</v>
      </c>
      <c r="G216" s="2" t="s">
        <v>99</v>
      </c>
      <c r="H216" s="2" t="s">
        <v>103</v>
      </c>
      <c r="I216" s="2">
        <v>3</v>
      </c>
      <c r="J216" s="2"/>
      <c r="K216" s="2" t="str">
        <f t="shared" si="6"/>
        <v/>
      </c>
      <c r="L216" s="2" t="str">
        <f t="shared" si="7"/>
        <v>Bonus</v>
      </c>
      <c r="M216" s="2" t="s">
        <v>446</v>
      </c>
      <c r="N216" s="12">
        <v>46026</v>
      </c>
      <c r="O216" s="2"/>
    </row>
    <row r="217" spans="1:15" x14ac:dyDescent="0.25">
      <c r="A217" s="3" t="s">
        <v>690</v>
      </c>
      <c r="B217" s="3" t="s">
        <v>370</v>
      </c>
      <c r="C217" s="3" t="s">
        <v>689</v>
      </c>
      <c r="D217" s="3" t="s">
        <v>43</v>
      </c>
      <c r="E217" s="3" t="s">
        <v>300</v>
      </c>
      <c r="F217" s="3" t="s">
        <v>186</v>
      </c>
      <c r="G217" s="3" t="s">
        <v>50</v>
      </c>
      <c r="H217" s="3" t="s">
        <v>108</v>
      </c>
      <c r="I217" s="3">
        <v>3</v>
      </c>
      <c r="J217" s="3">
        <v>3</v>
      </c>
      <c r="K217" s="3">
        <f t="shared" si="6"/>
        <v>0</v>
      </c>
      <c r="L217" s="3" t="str">
        <f t="shared" si="7"/>
        <v>Conforme</v>
      </c>
      <c r="M217" s="3" t="s">
        <v>450</v>
      </c>
      <c r="N217" s="11">
        <v>45763</v>
      </c>
      <c r="O217" s="3"/>
    </row>
    <row r="218" spans="1:15" x14ac:dyDescent="0.25">
      <c r="A218" s="2" t="s">
        <v>691</v>
      </c>
      <c r="B218" s="2" t="s">
        <v>370</v>
      </c>
      <c r="C218" s="2" t="s">
        <v>689</v>
      </c>
      <c r="D218" s="2" t="s">
        <v>43</v>
      </c>
      <c r="E218" s="2" t="s">
        <v>300</v>
      </c>
      <c r="F218" s="2" t="s">
        <v>193</v>
      </c>
      <c r="G218" s="2" t="s">
        <v>50</v>
      </c>
      <c r="H218" s="2" t="s">
        <v>103</v>
      </c>
      <c r="I218" s="2">
        <v>3</v>
      </c>
      <c r="J218" s="2">
        <v>5</v>
      </c>
      <c r="K218" s="2">
        <f t="shared" si="6"/>
        <v>-2</v>
      </c>
      <c r="L218" s="2" t="str">
        <f t="shared" si="7"/>
        <v>Ecart critique</v>
      </c>
      <c r="M218" s="2" t="s">
        <v>450</v>
      </c>
      <c r="N218" s="12">
        <v>45844</v>
      </c>
      <c r="O218" s="2"/>
    </row>
    <row r="219" spans="1:15" x14ac:dyDescent="0.25">
      <c r="A219" s="3" t="s">
        <v>692</v>
      </c>
      <c r="B219" s="3" t="s">
        <v>370</v>
      </c>
      <c r="C219" s="3" t="s">
        <v>689</v>
      </c>
      <c r="D219" s="3" t="s">
        <v>43</v>
      </c>
      <c r="E219" s="3" t="s">
        <v>300</v>
      </c>
      <c r="F219" s="3" t="s">
        <v>198</v>
      </c>
      <c r="G219" s="3" t="s">
        <v>50</v>
      </c>
      <c r="H219" s="3" t="s">
        <v>103</v>
      </c>
      <c r="I219" s="3">
        <v>3</v>
      </c>
      <c r="J219" s="3">
        <v>4</v>
      </c>
      <c r="K219" s="3">
        <f t="shared" si="6"/>
        <v>-1</v>
      </c>
      <c r="L219" s="3" t="str">
        <f t="shared" si="7"/>
        <v>Ecart mineur</v>
      </c>
      <c r="M219" s="3" t="s">
        <v>446</v>
      </c>
      <c r="N219" s="11">
        <v>45944</v>
      </c>
      <c r="O219" s="3"/>
    </row>
    <row r="220" spans="1:15" x14ac:dyDescent="0.25">
      <c r="A220" s="2" t="s">
        <v>693</v>
      </c>
      <c r="B220" s="2" t="s">
        <v>370</v>
      </c>
      <c r="C220" s="2" t="s">
        <v>689</v>
      </c>
      <c r="D220" s="2" t="s">
        <v>43</v>
      </c>
      <c r="E220" s="2" t="s">
        <v>300</v>
      </c>
      <c r="F220" s="2" t="s">
        <v>202</v>
      </c>
      <c r="G220" s="2" t="s">
        <v>50</v>
      </c>
      <c r="H220" s="2" t="s">
        <v>108</v>
      </c>
      <c r="I220" s="2">
        <v>1</v>
      </c>
      <c r="J220" s="2">
        <v>3</v>
      </c>
      <c r="K220" s="2">
        <f t="shared" si="6"/>
        <v>-2</v>
      </c>
      <c r="L220" s="2" t="str">
        <f t="shared" si="7"/>
        <v>Ecart critique</v>
      </c>
      <c r="M220" s="2" t="s">
        <v>446</v>
      </c>
      <c r="N220" s="12">
        <v>45904</v>
      </c>
      <c r="O220" s="2"/>
    </row>
    <row r="221" spans="1:15" x14ac:dyDescent="0.25">
      <c r="A221" s="3" t="s">
        <v>694</v>
      </c>
      <c r="B221" s="3" t="s">
        <v>370</v>
      </c>
      <c r="C221" s="3" t="s">
        <v>689</v>
      </c>
      <c r="D221" s="3" t="s">
        <v>43</v>
      </c>
      <c r="E221" s="3" t="s">
        <v>300</v>
      </c>
      <c r="F221" s="3" t="s">
        <v>207</v>
      </c>
      <c r="G221" s="3" t="s">
        <v>50</v>
      </c>
      <c r="H221" s="3" t="s">
        <v>145</v>
      </c>
      <c r="I221" s="3">
        <v>2</v>
      </c>
      <c r="J221" s="3"/>
      <c r="K221" s="3" t="str">
        <f t="shared" si="6"/>
        <v/>
      </c>
      <c r="L221" s="3" t="str">
        <f t="shared" si="7"/>
        <v>Bonus</v>
      </c>
      <c r="M221" s="3" t="s">
        <v>448</v>
      </c>
      <c r="N221" s="11">
        <v>45853</v>
      </c>
      <c r="O221" s="3"/>
    </row>
    <row r="222" spans="1:15" x14ac:dyDescent="0.25">
      <c r="A222" s="2" t="s">
        <v>695</v>
      </c>
      <c r="B222" s="2" t="s">
        <v>370</v>
      </c>
      <c r="C222" s="2" t="s">
        <v>689</v>
      </c>
      <c r="D222" s="2" t="s">
        <v>43</v>
      </c>
      <c r="E222" s="2" t="s">
        <v>300</v>
      </c>
      <c r="F222" s="2" t="s">
        <v>212</v>
      </c>
      <c r="G222" s="2" t="s">
        <v>214</v>
      </c>
      <c r="H222" s="2" t="s">
        <v>108</v>
      </c>
      <c r="I222" s="2">
        <v>2</v>
      </c>
      <c r="J222" s="2"/>
      <c r="K222" s="2" t="str">
        <f t="shared" si="6"/>
        <v/>
      </c>
      <c r="L222" s="2" t="str">
        <f t="shared" si="7"/>
        <v>Bonus</v>
      </c>
      <c r="M222" s="2" t="s">
        <v>446</v>
      </c>
      <c r="N222" s="12">
        <v>46045</v>
      </c>
      <c r="O222" s="2"/>
    </row>
    <row r="223" spans="1:15" x14ac:dyDescent="0.25">
      <c r="A223" s="3" t="s">
        <v>696</v>
      </c>
      <c r="B223" s="3" t="s">
        <v>370</v>
      </c>
      <c r="C223" s="3" t="s">
        <v>689</v>
      </c>
      <c r="D223" s="3" t="s">
        <v>43</v>
      </c>
      <c r="E223" s="3" t="s">
        <v>300</v>
      </c>
      <c r="F223" s="3" t="s">
        <v>218</v>
      </c>
      <c r="G223" s="3" t="s">
        <v>214</v>
      </c>
      <c r="H223" s="3" t="s">
        <v>108</v>
      </c>
      <c r="I223" s="3">
        <v>1</v>
      </c>
      <c r="J223" s="3">
        <v>3</v>
      </c>
      <c r="K223" s="3">
        <f t="shared" si="6"/>
        <v>-2</v>
      </c>
      <c r="L223" s="3" t="str">
        <f t="shared" si="7"/>
        <v>Ecart critique</v>
      </c>
      <c r="M223" s="3" t="s">
        <v>446</v>
      </c>
      <c r="N223" s="11">
        <v>45770</v>
      </c>
      <c r="O223" s="3"/>
    </row>
    <row r="224" spans="1:15" x14ac:dyDescent="0.25">
      <c r="A224" s="2" t="s">
        <v>697</v>
      </c>
      <c r="B224" s="2" t="s">
        <v>373</v>
      </c>
      <c r="C224" s="2" t="s">
        <v>698</v>
      </c>
      <c r="D224" s="2" t="s">
        <v>35</v>
      </c>
      <c r="E224" s="2" t="s">
        <v>304</v>
      </c>
      <c r="F224" s="2" t="s">
        <v>135</v>
      </c>
      <c r="G224" s="2" t="s">
        <v>120</v>
      </c>
      <c r="H224" s="2" t="s">
        <v>108</v>
      </c>
      <c r="I224" s="2">
        <v>1</v>
      </c>
      <c r="J224" s="2"/>
      <c r="K224" s="2" t="str">
        <f t="shared" si="6"/>
        <v/>
      </c>
      <c r="L224" s="2" t="str">
        <f t="shared" si="7"/>
        <v>Bonus</v>
      </c>
      <c r="M224" s="2" t="s">
        <v>446</v>
      </c>
      <c r="N224" s="12">
        <v>45909</v>
      </c>
      <c r="O224" s="2"/>
    </row>
    <row r="225" spans="1:15" ht="25.5" x14ac:dyDescent="0.25">
      <c r="A225" s="3" t="s">
        <v>699</v>
      </c>
      <c r="B225" s="3" t="s">
        <v>373</v>
      </c>
      <c r="C225" s="3" t="s">
        <v>698</v>
      </c>
      <c r="D225" s="3" t="s">
        <v>35</v>
      </c>
      <c r="E225" s="3" t="s">
        <v>304</v>
      </c>
      <c r="F225" s="3" t="s">
        <v>149</v>
      </c>
      <c r="G225" s="3" t="s">
        <v>141</v>
      </c>
      <c r="H225" s="3" t="s">
        <v>145</v>
      </c>
      <c r="I225" s="3">
        <v>3</v>
      </c>
      <c r="J225" s="3"/>
      <c r="K225" s="3" t="str">
        <f t="shared" si="6"/>
        <v/>
      </c>
      <c r="L225" s="3" t="str">
        <f t="shared" si="7"/>
        <v>Bonus</v>
      </c>
      <c r="M225" s="3" t="s">
        <v>450</v>
      </c>
      <c r="N225" s="11">
        <v>45860</v>
      </c>
      <c r="O225" s="3"/>
    </row>
    <row r="226" spans="1:15" x14ac:dyDescent="0.25">
      <c r="A226" s="2" t="s">
        <v>700</v>
      </c>
      <c r="B226" s="2" t="s">
        <v>373</v>
      </c>
      <c r="C226" s="2" t="s">
        <v>698</v>
      </c>
      <c r="D226" s="2" t="s">
        <v>35</v>
      </c>
      <c r="E226" s="2" t="s">
        <v>304</v>
      </c>
      <c r="F226" s="2" t="s">
        <v>186</v>
      </c>
      <c r="G226" s="2" t="s">
        <v>50</v>
      </c>
      <c r="H226" s="2" t="s">
        <v>108</v>
      </c>
      <c r="I226" s="2">
        <v>3</v>
      </c>
      <c r="J226" s="2"/>
      <c r="K226" s="2" t="str">
        <f t="shared" si="6"/>
        <v/>
      </c>
      <c r="L226" s="2" t="str">
        <f t="shared" si="7"/>
        <v>Bonus</v>
      </c>
      <c r="M226" s="2" t="s">
        <v>450</v>
      </c>
      <c r="N226" s="12">
        <v>45753</v>
      </c>
      <c r="O226" s="2"/>
    </row>
    <row r="227" spans="1:15" x14ac:dyDescent="0.25">
      <c r="A227" s="3" t="s">
        <v>701</v>
      </c>
      <c r="B227" s="3" t="s">
        <v>373</v>
      </c>
      <c r="C227" s="3" t="s">
        <v>698</v>
      </c>
      <c r="D227" s="3" t="s">
        <v>35</v>
      </c>
      <c r="E227" s="3" t="s">
        <v>304</v>
      </c>
      <c r="F227" s="3" t="s">
        <v>190</v>
      </c>
      <c r="G227" s="3" t="s">
        <v>50</v>
      </c>
      <c r="H227" s="3" t="s">
        <v>145</v>
      </c>
      <c r="I227" s="3">
        <v>1</v>
      </c>
      <c r="J227" s="3"/>
      <c r="K227" s="3" t="str">
        <f t="shared" si="6"/>
        <v/>
      </c>
      <c r="L227" s="3" t="str">
        <f t="shared" si="7"/>
        <v>Bonus</v>
      </c>
      <c r="M227" s="3" t="s">
        <v>446</v>
      </c>
      <c r="N227" s="11">
        <v>45799</v>
      </c>
      <c r="O227" s="3"/>
    </row>
    <row r="228" spans="1:15" x14ac:dyDescent="0.25">
      <c r="A228" s="2" t="s">
        <v>702</v>
      </c>
      <c r="B228" s="2" t="s">
        <v>373</v>
      </c>
      <c r="C228" s="2" t="s">
        <v>698</v>
      </c>
      <c r="D228" s="2" t="s">
        <v>35</v>
      </c>
      <c r="E228" s="2" t="s">
        <v>304</v>
      </c>
      <c r="F228" s="2" t="s">
        <v>207</v>
      </c>
      <c r="G228" s="2" t="s">
        <v>50</v>
      </c>
      <c r="H228" s="2" t="s">
        <v>145</v>
      </c>
      <c r="I228" s="2">
        <v>4</v>
      </c>
      <c r="J228" s="2">
        <v>3</v>
      </c>
      <c r="K228" s="2">
        <f t="shared" si="6"/>
        <v>1</v>
      </c>
      <c r="L228" s="2" t="str">
        <f t="shared" si="7"/>
        <v>Conforme</v>
      </c>
      <c r="M228" s="2" t="s">
        <v>448</v>
      </c>
      <c r="N228" s="12">
        <v>45914</v>
      </c>
      <c r="O228" s="2" t="s">
        <v>461</v>
      </c>
    </row>
    <row r="229" spans="1:15" x14ac:dyDescent="0.25">
      <c r="A229" s="3" t="s">
        <v>703</v>
      </c>
      <c r="B229" s="3" t="s">
        <v>373</v>
      </c>
      <c r="C229" s="3" t="s">
        <v>698</v>
      </c>
      <c r="D229" s="3" t="s">
        <v>35</v>
      </c>
      <c r="E229" s="3" t="s">
        <v>304</v>
      </c>
      <c r="F229" s="3" t="s">
        <v>212</v>
      </c>
      <c r="G229" s="3" t="s">
        <v>214</v>
      </c>
      <c r="H229" s="3" t="s">
        <v>108</v>
      </c>
      <c r="I229" s="3">
        <v>5</v>
      </c>
      <c r="J229" s="3">
        <v>5</v>
      </c>
      <c r="K229" s="3">
        <f t="shared" si="6"/>
        <v>0</v>
      </c>
      <c r="L229" s="3" t="str">
        <f t="shared" si="7"/>
        <v>Conforme</v>
      </c>
      <c r="M229" s="3" t="s">
        <v>450</v>
      </c>
      <c r="N229" s="11">
        <v>45905</v>
      </c>
      <c r="O229" s="3" t="s">
        <v>461</v>
      </c>
    </row>
    <row r="230" spans="1:15" x14ac:dyDescent="0.25">
      <c r="A230" s="2" t="s">
        <v>704</v>
      </c>
      <c r="B230" s="2" t="s">
        <v>373</v>
      </c>
      <c r="C230" s="2" t="s">
        <v>698</v>
      </c>
      <c r="D230" s="2" t="s">
        <v>35</v>
      </c>
      <c r="E230" s="2" t="s">
        <v>304</v>
      </c>
      <c r="F230" s="2" t="s">
        <v>218</v>
      </c>
      <c r="G230" s="2" t="s">
        <v>214</v>
      </c>
      <c r="H230" s="2" t="s">
        <v>108</v>
      </c>
      <c r="I230" s="2">
        <v>5</v>
      </c>
      <c r="J230" s="2">
        <v>4</v>
      </c>
      <c r="K230" s="2">
        <f t="shared" si="6"/>
        <v>1</v>
      </c>
      <c r="L230" s="2" t="str">
        <f t="shared" si="7"/>
        <v>Conforme</v>
      </c>
      <c r="M230" s="2" t="s">
        <v>446</v>
      </c>
      <c r="N230" s="12">
        <v>46018</v>
      </c>
      <c r="O230" s="2" t="s">
        <v>461</v>
      </c>
    </row>
    <row r="231" spans="1:15" x14ac:dyDescent="0.25">
      <c r="A231" s="3" t="s">
        <v>705</v>
      </c>
      <c r="B231" s="3" t="s">
        <v>373</v>
      </c>
      <c r="C231" s="3" t="s">
        <v>698</v>
      </c>
      <c r="D231" s="3" t="s">
        <v>35</v>
      </c>
      <c r="E231" s="3" t="s">
        <v>304</v>
      </c>
      <c r="F231" s="3" t="s">
        <v>223</v>
      </c>
      <c r="G231" s="3" t="s">
        <v>214</v>
      </c>
      <c r="H231" s="3" t="s">
        <v>145</v>
      </c>
      <c r="I231" s="3">
        <v>3</v>
      </c>
      <c r="J231" s="3">
        <v>3</v>
      </c>
      <c r="K231" s="3">
        <f t="shared" si="6"/>
        <v>0</v>
      </c>
      <c r="L231" s="3" t="str">
        <f t="shared" si="7"/>
        <v>Conforme</v>
      </c>
      <c r="M231" s="3" t="s">
        <v>446</v>
      </c>
      <c r="N231" s="11">
        <v>45926</v>
      </c>
      <c r="O231" s="3"/>
    </row>
    <row r="232" spans="1:15" x14ac:dyDescent="0.25">
      <c r="A232" s="2" t="s">
        <v>706</v>
      </c>
      <c r="B232" s="2" t="s">
        <v>373</v>
      </c>
      <c r="C232" s="2" t="s">
        <v>698</v>
      </c>
      <c r="D232" s="2" t="s">
        <v>35</v>
      </c>
      <c r="E232" s="2" t="s">
        <v>304</v>
      </c>
      <c r="F232" s="2" t="s">
        <v>228</v>
      </c>
      <c r="G232" s="2" t="s">
        <v>214</v>
      </c>
      <c r="H232" s="2" t="s">
        <v>108</v>
      </c>
      <c r="I232" s="2">
        <v>5</v>
      </c>
      <c r="J232" s="2">
        <v>3</v>
      </c>
      <c r="K232" s="2">
        <f t="shared" si="6"/>
        <v>2</v>
      </c>
      <c r="L232" s="2" t="str">
        <f t="shared" si="7"/>
        <v>Conforme</v>
      </c>
      <c r="M232" s="2" t="s">
        <v>450</v>
      </c>
      <c r="N232" s="12">
        <v>45755</v>
      </c>
      <c r="O232" s="2" t="s">
        <v>461</v>
      </c>
    </row>
    <row r="233" spans="1:15" x14ac:dyDescent="0.25">
      <c r="A233" s="3" t="s">
        <v>707</v>
      </c>
      <c r="B233" s="3" t="s">
        <v>373</v>
      </c>
      <c r="C233" s="3" t="s">
        <v>698</v>
      </c>
      <c r="D233" s="3" t="s">
        <v>35</v>
      </c>
      <c r="E233" s="3" t="s">
        <v>304</v>
      </c>
      <c r="F233" s="3" t="s">
        <v>233</v>
      </c>
      <c r="G233" s="3" t="s">
        <v>214</v>
      </c>
      <c r="H233" s="3" t="s">
        <v>108</v>
      </c>
      <c r="I233" s="3">
        <v>5</v>
      </c>
      <c r="J233" s="3">
        <v>4</v>
      </c>
      <c r="K233" s="3">
        <f t="shared" si="6"/>
        <v>1</v>
      </c>
      <c r="L233" s="3" t="str">
        <f t="shared" si="7"/>
        <v>Conforme</v>
      </c>
      <c r="M233" s="3" t="s">
        <v>448</v>
      </c>
      <c r="N233" s="11">
        <v>45815</v>
      </c>
      <c r="O233" s="3" t="s">
        <v>461</v>
      </c>
    </row>
    <row r="234" spans="1:15" ht="25.5" x14ac:dyDescent="0.25">
      <c r="A234" s="2" t="s">
        <v>708</v>
      </c>
      <c r="B234" s="2" t="s">
        <v>375</v>
      </c>
      <c r="C234" s="2" t="s">
        <v>709</v>
      </c>
      <c r="D234" s="2" t="s">
        <v>37</v>
      </c>
      <c r="E234" s="2" t="s">
        <v>309</v>
      </c>
      <c r="F234" s="2" t="s">
        <v>146</v>
      </c>
      <c r="G234" s="2" t="s">
        <v>141</v>
      </c>
      <c r="H234" s="2" t="s">
        <v>103</v>
      </c>
      <c r="I234" s="2">
        <v>1</v>
      </c>
      <c r="J234" s="2"/>
      <c r="K234" s="2" t="str">
        <f t="shared" si="6"/>
        <v/>
      </c>
      <c r="L234" s="2" t="str">
        <f t="shared" si="7"/>
        <v>Bonus</v>
      </c>
      <c r="M234" s="2" t="s">
        <v>446</v>
      </c>
      <c r="N234" s="12">
        <v>45825</v>
      </c>
      <c r="O234" s="2"/>
    </row>
    <row r="235" spans="1:15" ht="25.5" x14ac:dyDescent="0.25">
      <c r="A235" s="3" t="s">
        <v>710</v>
      </c>
      <c r="B235" s="3" t="s">
        <v>375</v>
      </c>
      <c r="C235" s="3" t="s">
        <v>709</v>
      </c>
      <c r="D235" s="3" t="s">
        <v>37</v>
      </c>
      <c r="E235" s="3" t="s">
        <v>309</v>
      </c>
      <c r="F235" s="3" t="s">
        <v>156</v>
      </c>
      <c r="G235" s="3" t="s">
        <v>141</v>
      </c>
      <c r="H235" s="3" t="s">
        <v>108</v>
      </c>
      <c r="I235" s="3">
        <v>2</v>
      </c>
      <c r="J235" s="3"/>
      <c r="K235" s="3" t="str">
        <f t="shared" si="6"/>
        <v/>
      </c>
      <c r="L235" s="3" t="str">
        <f t="shared" si="7"/>
        <v>Bonus</v>
      </c>
      <c r="M235" s="3" t="s">
        <v>448</v>
      </c>
      <c r="N235" s="11">
        <v>45768</v>
      </c>
      <c r="O235" s="3"/>
    </row>
    <row r="236" spans="1:15" x14ac:dyDescent="0.25">
      <c r="A236" s="2" t="s">
        <v>711</v>
      </c>
      <c r="B236" s="2" t="s">
        <v>375</v>
      </c>
      <c r="C236" s="2" t="s">
        <v>709</v>
      </c>
      <c r="D236" s="2" t="s">
        <v>37</v>
      </c>
      <c r="E236" s="2" t="s">
        <v>309</v>
      </c>
      <c r="F236" s="2" t="s">
        <v>193</v>
      </c>
      <c r="G236" s="2" t="s">
        <v>50</v>
      </c>
      <c r="H236" s="2" t="s">
        <v>103</v>
      </c>
      <c r="I236" s="2">
        <v>2</v>
      </c>
      <c r="J236" s="2"/>
      <c r="K236" s="2" t="str">
        <f t="shared" si="6"/>
        <v/>
      </c>
      <c r="L236" s="2" t="str">
        <f t="shared" si="7"/>
        <v>Bonus</v>
      </c>
      <c r="M236" s="2" t="s">
        <v>450</v>
      </c>
      <c r="N236" s="12">
        <v>45963</v>
      </c>
      <c r="O236" s="2"/>
    </row>
    <row r="237" spans="1:15" x14ac:dyDescent="0.25">
      <c r="A237" s="3" t="s">
        <v>712</v>
      </c>
      <c r="B237" s="3" t="s">
        <v>375</v>
      </c>
      <c r="C237" s="3" t="s">
        <v>709</v>
      </c>
      <c r="D237" s="3" t="s">
        <v>37</v>
      </c>
      <c r="E237" s="3" t="s">
        <v>309</v>
      </c>
      <c r="F237" s="3" t="s">
        <v>207</v>
      </c>
      <c r="G237" s="3" t="s">
        <v>50</v>
      </c>
      <c r="H237" s="3" t="s">
        <v>145</v>
      </c>
      <c r="I237" s="3">
        <v>4</v>
      </c>
      <c r="J237" s="3">
        <v>3</v>
      </c>
      <c r="K237" s="3">
        <f t="shared" si="6"/>
        <v>1</v>
      </c>
      <c r="L237" s="3" t="str">
        <f t="shared" si="7"/>
        <v>Conforme</v>
      </c>
      <c r="M237" s="3" t="s">
        <v>446</v>
      </c>
      <c r="N237" s="11">
        <v>45965</v>
      </c>
      <c r="O237" s="3" t="s">
        <v>461</v>
      </c>
    </row>
    <row r="238" spans="1:15" x14ac:dyDescent="0.25">
      <c r="A238" s="2" t="s">
        <v>713</v>
      </c>
      <c r="B238" s="2" t="s">
        <v>375</v>
      </c>
      <c r="C238" s="2" t="s">
        <v>709</v>
      </c>
      <c r="D238" s="2" t="s">
        <v>37</v>
      </c>
      <c r="E238" s="2" t="s">
        <v>309</v>
      </c>
      <c r="F238" s="2" t="s">
        <v>212</v>
      </c>
      <c r="G238" s="2" t="s">
        <v>214</v>
      </c>
      <c r="H238" s="2" t="s">
        <v>108</v>
      </c>
      <c r="I238" s="2">
        <v>4</v>
      </c>
      <c r="J238" s="2">
        <v>5</v>
      </c>
      <c r="K238" s="2">
        <f t="shared" si="6"/>
        <v>-1</v>
      </c>
      <c r="L238" s="2" t="str">
        <f t="shared" si="7"/>
        <v>Ecart mineur</v>
      </c>
      <c r="M238" s="2" t="s">
        <v>450</v>
      </c>
      <c r="N238" s="12">
        <v>45926</v>
      </c>
      <c r="O238" s="2" t="s">
        <v>461</v>
      </c>
    </row>
    <row r="239" spans="1:15" x14ac:dyDescent="0.25">
      <c r="A239" s="3" t="s">
        <v>714</v>
      </c>
      <c r="B239" s="3" t="s">
        <v>375</v>
      </c>
      <c r="C239" s="3" t="s">
        <v>709</v>
      </c>
      <c r="D239" s="3" t="s">
        <v>37</v>
      </c>
      <c r="E239" s="3" t="s">
        <v>309</v>
      </c>
      <c r="F239" s="3" t="s">
        <v>218</v>
      </c>
      <c r="G239" s="3" t="s">
        <v>214</v>
      </c>
      <c r="H239" s="3" t="s">
        <v>108</v>
      </c>
      <c r="I239" s="3">
        <v>3</v>
      </c>
      <c r="J239" s="3">
        <v>4</v>
      </c>
      <c r="K239" s="3">
        <f t="shared" si="6"/>
        <v>-1</v>
      </c>
      <c r="L239" s="3" t="str">
        <f t="shared" si="7"/>
        <v>Ecart mineur</v>
      </c>
      <c r="M239" s="3" t="s">
        <v>446</v>
      </c>
      <c r="N239" s="11">
        <v>45896</v>
      </c>
      <c r="O239" s="3"/>
    </row>
    <row r="240" spans="1:15" x14ac:dyDescent="0.25">
      <c r="A240" s="2" t="s">
        <v>715</v>
      </c>
      <c r="B240" s="2" t="s">
        <v>375</v>
      </c>
      <c r="C240" s="2" t="s">
        <v>709</v>
      </c>
      <c r="D240" s="2" t="s">
        <v>37</v>
      </c>
      <c r="E240" s="2" t="s">
        <v>309</v>
      </c>
      <c r="F240" s="2" t="s">
        <v>223</v>
      </c>
      <c r="G240" s="2" t="s">
        <v>214</v>
      </c>
      <c r="H240" s="2" t="s">
        <v>145</v>
      </c>
      <c r="I240" s="2">
        <v>4</v>
      </c>
      <c r="J240" s="2">
        <v>3</v>
      </c>
      <c r="K240" s="2">
        <f t="shared" si="6"/>
        <v>1</v>
      </c>
      <c r="L240" s="2" t="str">
        <f t="shared" si="7"/>
        <v>Conforme</v>
      </c>
      <c r="M240" s="2" t="s">
        <v>450</v>
      </c>
      <c r="N240" s="12">
        <v>45848</v>
      </c>
      <c r="O240" s="2" t="s">
        <v>461</v>
      </c>
    </row>
    <row r="241" spans="1:15" x14ac:dyDescent="0.25">
      <c r="A241" s="3" t="s">
        <v>716</v>
      </c>
      <c r="B241" s="3" t="s">
        <v>375</v>
      </c>
      <c r="C241" s="3" t="s">
        <v>709</v>
      </c>
      <c r="D241" s="3" t="s">
        <v>37</v>
      </c>
      <c r="E241" s="3" t="s">
        <v>309</v>
      </c>
      <c r="F241" s="3" t="s">
        <v>233</v>
      </c>
      <c r="G241" s="3" t="s">
        <v>214</v>
      </c>
      <c r="H241" s="3" t="s">
        <v>108</v>
      </c>
      <c r="I241" s="3">
        <v>3</v>
      </c>
      <c r="J241" s="3">
        <v>3</v>
      </c>
      <c r="K241" s="3">
        <f t="shared" si="6"/>
        <v>0</v>
      </c>
      <c r="L241" s="3" t="str">
        <f t="shared" si="7"/>
        <v>Conforme</v>
      </c>
      <c r="M241" s="3" t="s">
        <v>448</v>
      </c>
      <c r="N241" s="11">
        <v>46002</v>
      </c>
      <c r="O241" s="3"/>
    </row>
    <row r="242" spans="1:15" x14ac:dyDescent="0.25">
      <c r="A242" s="2" t="s">
        <v>717</v>
      </c>
      <c r="B242" s="2" t="s">
        <v>377</v>
      </c>
      <c r="C242" s="2" t="s">
        <v>718</v>
      </c>
      <c r="D242" s="2" t="s">
        <v>39</v>
      </c>
      <c r="E242" s="2" t="s">
        <v>313</v>
      </c>
      <c r="F242" s="2" t="s">
        <v>186</v>
      </c>
      <c r="G242" s="2" t="s">
        <v>50</v>
      </c>
      <c r="H242" s="2" t="s">
        <v>108</v>
      </c>
      <c r="I242" s="2">
        <v>1</v>
      </c>
      <c r="J242" s="2"/>
      <c r="K242" s="2" t="str">
        <f t="shared" si="6"/>
        <v/>
      </c>
      <c r="L242" s="2" t="str">
        <f t="shared" si="7"/>
        <v>Bonus</v>
      </c>
      <c r="M242" s="2" t="s">
        <v>446</v>
      </c>
      <c r="N242" s="12">
        <v>45882</v>
      </c>
      <c r="O242" s="2"/>
    </row>
    <row r="243" spans="1:15" x14ac:dyDescent="0.25">
      <c r="A243" s="3" t="s">
        <v>719</v>
      </c>
      <c r="B243" s="3" t="s">
        <v>377</v>
      </c>
      <c r="C243" s="3" t="s">
        <v>718</v>
      </c>
      <c r="D243" s="3" t="s">
        <v>39</v>
      </c>
      <c r="E243" s="3" t="s">
        <v>313</v>
      </c>
      <c r="F243" s="3" t="s">
        <v>202</v>
      </c>
      <c r="G243" s="3" t="s">
        <v>50</v>
      </c>
      <c r="H243" s="3" t="s">
        <v>108</v>
      </c>
      <c r="I243" s="3">
        <v>3</v>
      </c>
      <c r="J243" s="3">
        <v>2</v>
      </c>
      <c r="K243" s="3">
        <f t="shared" si="6"/>
        <v>1</v>
      </c>
      <c r="L243" s="3" t="str">
        <f t="shared" si="7"/>
        <v>Conforme</v>
      </c>
      <c r="M243" s="3" t="s">
        <v>450</v>
      </c>
      <c r="N243" s="11">
        <v>46070</v>
      </c>
      <c r="O243" s="3"/>
    </row>
    <row r="244" spans="1:15" x14ac:dyDescent="0.25">
      <c r="A244" s="2" t="s">
        <v>720</v>
      </c>
      <c r="B244" s="2" t="s">
        <v>377</v>
      </c>
      <c r="C244" s="2" t="s">
        <v>718</v>
      </c>
      <c r="D244" s="2" t="s">
        <v>39</v>
      </c>
      <c r="E244" s="2" t="s">
        <v>313</v>
      </c>
      <c r="F244" s="2" t="s">
        <v>207</v>
      </c>
      <c r="G244" s="2" t="s">
        <v>50</v>
      </c>
      <c r="H244" s="2" t="s">
        <v>145</v>
      </c>
      <c r="I244" s="2">
        <v>3</v>
      </c>
      <c r="J244" s="2">
        <v>3</v>
      </c>
      <c r="K244" s="2">
        <f t="shared" si="6"/>
        <v>0</v>
      </c>
      <c r="L244" s="2" t="str">
        <f t="shared" si="7"/>
        <v>Conforme</v>
      </c>
      <c r="M244" s="2" t="s">
        <v>450</v>
      </c>
      <c r="N244" s="12">
        <v>45752</v>
      </c>
      <c r="O244" s="2"/>
    </row>
    <row r="245" spans="1:15" x14ac:dyDescent="0.25">
      <c r="A245" s="3" t="s">
        <v>721</v>
      </c>
      <c r="B245" s="3" t="s">
        <v>377</v>
      </c>
      <c r="C245" s="3" t="s">
        <v>718</v>
      </c>
      <c r="D245" s="3" t="s">
        <v>39</v>
      </c>
      <c r="E245" s="3" t="s">
        <v>313</v>
      </c>
      <c r="F245" s="3" t="s">
        <v>212</v>
      </c>
      <c r="G245" s="3" t="s">
        <v>214</v>
      </c>
      <c r="H245" s="3" t="s">
        <v>108</v>
      </c>
      <c r="I245" s="3">
        <v>4</v>
      </c>
      <c r="J245" s="3">
        <v>3</v>
      </c>
      <c r="K245" s="3">
        <f t="shared" si="6"/>
        <v>1</v>
      </c>
      <c r="L245" s="3" t="str">
        <f t="shared" si="7"/>
        <v>Conforme</v>
      </c>
      <c r="M245" s="3" t="s">
        <v>448</v>
      </c>
      <c r="N245" s="11">
        <v>46014</v>
      </c>
      <c r="O245" s="3" t="s">
        <v>461</v>
      </c>
    </row>
    <row r="246" spans="1:15" x14ac:dyDescent="0.25">
      <c r="A246" s="2" t="s">
        <v>722</v>
      </c>
      <c r="B246" s="2" t="s">
        <v>377</v>
      </c>
      <c r="C246" s="2" t="s">
        <v>718</v>
      </c>
      <c r="D246" s="2" t="s">
        <v>39</v>
      </c>
      <c r="E246" s="2" t="s">
        <v>313</v>
      </c>
      <c r="F246" s="2" t="s">
        <v>218</v>
      </c>
      <c r="G246" s="2" t="s">
        <v>214</v>
      </c>
      <c r="H246" s="2" t="s">
        <v>108</v>
      </c>
      <c r="I246" s="2">
        <v>5</v>
      </c>
      <c r="J246" s="2">
        <v>4</v>
      </c>
      <c r="K246" s="2">
        <f t="shared" si="6"/>
        <v>1</v>
      </c>
      <c r="L246" s="2" t="str">
        <f t="shared" si="7"/>
        <v>Conforme</v>
      </c>
      <c r="M246" s="2" t="s">
        <v>446</v>
      </c>
      <c r="N246" s="12">
        <v>45843</v>
      </c>
      <c r="O246" s="2" t="s">
        <v>461</v>
      </c>
    </row>
    <row r="247" spans="1:15" x14ac:dyDescent="0.25">
      <c r="A247" s="3" t="s">
        <v>723</v>
      </c>
      <c r="B247" s="3" t="s">
        <v>377</v>
      </c>
      <c r="C247" s="3" t="s">
        <v>718</v>
      </c>
      <c r="D247" s="3" t="s">
        <v>39</v>
      </c>
      <c r="E247" s="3" t="s">
        <v>313</v>
      </c>
      <c r="F247" s="3" t="s">
        <v>223</v>
      </c>
      <c r="G247" s="3" t="s">
        <v>214</v>
      </c>
      <c r="H247" s="3" t="s">
        <v>145</v>
      </c>
      <c r="I247" s="3">
        <v>5</v>
      </c>
      <c r="J247" s="3">
        <v>4</v>
      </c>
      <c r="K247" s="3">
        <f t="shared" si="6"/>
        <v>1</v>
      </c>
      <c r="L247" s="3" t="str">
        <f t="shared" si="7"/>
        <v>Conforme</v>
      </c>
      <c r="M247" s="3" t="s">
        <v>450</v>
      </c>
      <c r="N247" s="11">
        <v>45844</v>
      </c>
      <c r="O247" s="3" t="s">
        <v>461</v>
      </c>
    </row>
    <row r="248" spans="1:15" x14ac:dyDescent="0.25">
      <c r="A248" s="2" t="s">
        <v>724</v>
      </c>
      <c r="B248" s="2" t="s">
        <v>377</v>
      </c>
      <c r="C248" s="2" t="s">
        <v>718</v>
      </c>
      <c r="D248" s="2" t="s">
        <v>39</v>
      </c>
      <c r="E248" s="2" t="s">
        <v>313</v>
      </c>
      <c r="F248" s="2" t="s">
        <v>233</v>
      </c>
      <c r="G248" s="2" t="s">
        <v>214</v>
      </c>
      <c r="H248" s="2" t="s">
        <v>108</v>
      </c>
      <c r="I248" s="2">
        <v>3</v>
      </c>
      <c r="J248" s="2">
        <v>3</v>
      </c>
      <c r="K248" s="2">
        <f t="shared" si="6"/>
        <v>0</v>
      </c>
      <c r="L248" s="2" t="str">
        <f t="shared" si="7"/>
        <v>Conforme</v>
      </c>
      <c r="M248" s="2" t="s">
        <v>450</v>
      </c>
      <c r="N248" s="12">
        <v>46075</v>
      </c>
      <c r="O248" s="2"/>
    </row>
    <row r="249" spans="1:15" ht="25.5" x14ac:dyDescent="0.25">
      <c r="A249" s="3" t="s">
        <v>725</v>
      </c>
      <c r="B249" s="3" t="s">
        <v>379</v>
      </c>
      <c r="C249" s="3" t="s">
        <v>726</v>
      </c>
      <c r="D249" s="3" t="s">
        <v>41</v>
      </c>
      <c r="E249" s="3" t="s">
        <v>318</v>
      </c>
      <c r="F249" s="3" t="s">
        <v>149</v>
      </c>
      <c r="G249" s="3" t="s">
        <v>141</v>
      </c>
      <c r="H249" s="3" t="s">
        <v>145</v>
      </c>
      <c r="I249" s="3">
        <v>2</v>
      </c>
      <c r="J249" s="3"/>
      <c r="K249" s="3" t="str">
        <f t="shared" si="6"/>
        <v/>
      </c>
      <c r="L249" s="3" t="str">
        <f t="shared" si="7"/>
        <v>Bonus</v>
      </c>
      <c r="M249" s="3" t="s">
        <v>446</v>
      </c>
      <c r="N249" s="11">
        <v>45779</v>
      </c>
      <c r="O249" s="3"/>
    </row>
    <row r="250" spans="1:15" ht="25.5" x14ac:dyDescent="0.25">
      <c r="A250" s="2" t="s">
        <v>727</v>
      </c>
      <c r="B250" s="2" t="s">
        <v>379</v>
      </c>
      <c r="C250" s="2" t="s">
        <v>726</v>
      </c>
      <c r="D250" s="2" t="s">
        <v>41</v>
      </c>
      <c r="E250" s="2" t="s">
        <v>318</v>
      </c>
      <c r="F250" s="2" t="s">
        <v>152</v>
      </c>
      <c r="G250" s="2" t="s">
        <v>141</v>
      </c>
      <c r="H250" s="2" t="s">
        <v>108</v>
      </c>
      <c r="I250" s="2">
        <v>3</v>
      </c>
      <c r="J250" s="2"/>
      <c r="K250" s="2" t="str">
        <f t="shared" si="6"/>
        <v/>
      </c>
      <c r="L250" s="2" t="str">
        <f t="shared" si="7"/>
        <v>Bonus</v>
      </c>
      <c r="M250" s="2" t="s">
        <v>448</v>
      </c>
      <c r="N250" s="12">
        <v>45790</v>
      </c>
      <c r="O250" s="2"/>
    </row>
    <row r="251" spans="1:15" x14ac:dyDescent="0.25">
      <c r="A251" s="3" t="s">
        <v>728</v>
      </c>
      <c r="B251" s="3" t="s">
        <v>379</v>
      </c>
      <c r="C251" s="3" t="s">
        <v>726</v>
      </c>
      <c r="D251" s="3" t="s">
        <v>41</v>
      </c>
      <c r="E251" s="3" t="s">
        <v>318</v>
      </c>
      <c r="F251" s="3" t="s">
        <v>165</v>
      </c>
      <c r="G251" s="3" t="s">
        <v>167</v>
      </c>
      <c r="H251" s="3" t="s">
        <v>103</v>
      </c>
      <c r="I251" s="3">
        <v>2</v>
      </c>
      <c r="J251" s="3"/>
      <c r="K251" s="3" t="str">
        <f t="shared" si="6"/>
        <v/>
      </c>
      <c r="L251" s="3" t="str">
        <f t="shared" si="7"/>
        <v>Bonus</v>
      </c>
      <c r="M251" s="3" t="s">
        <v>446</v>
      </c>
      <c r="N251" s="11">
        <v>45961</v>
      </c>
      <c r="O251" s="3"/>
    </row>
    <row r="252" spans="1:15" x14ac:dyDescent="0.25">
      <c r="A252" s="2" t="s">
        <v>729</v>
      </c>
      <c r="B252" s="2" t="s">
        <v>379</v>
      </c>
      <c r="C252" s="2" t="s">
        <v>726</v>
      </c>
      <c r="D252" s="2" t="s">
        <v>41</v>
      </c>
      <c r="E252" s="2" t="s">
        <v>318</v>
      </c>
      <c r="F252" s="2" t="s">
        <v>190</v>
      </c>
      <c r="G252" s="2" t="s">
        <v>50</v>
      </c>
      <c r="H252" s="2" t="s">
        <v>145</v>
      </c>
      <c r="I252" s="2">
        <v>3</v>
      </c>
      <c r="J252" s="2"/>
      <c r="K252" s="2" t="str">
        <f t="shared" si="6"/>
        <v/>
      </c>
      <c r="L252" s="2" t="str">
        <f t="shared" si="7"/>
        <v>Bonus</v>
      </c>
      <c r="M252" s="2" t="s">
        <v>446</v>
      </c>
      <c r="N252" s="12">
        <v>45806</v>
      </c>
      <c r="O252" s="2"/>
    </row>
    <row r="253" spans="1:15" x14ac:dyDescent="0.25">
      <c r="A253" s="3" t="s">
        <v>730</v>
      </c>
      <c r="B253" s="3" t="s">
        <v>379</v>
      </c>
      <c r="C253" s="3" t="s">
        <v>726</v>
      </c>
      <c r="D253" s="3" t="s">
        <v>41</v>
      </c>
      <c r="E253" s="3" t="s">
        <v>318</v>
      </c>
      <c r="F253" s="3" t="s">
        <v>202</v>
      </c>
      <c r="G253" s="3" t="s">
        <v>50</v>
      </c>
      <c r="H253" s="3" t="s">
        <v>108</v>
      </c>
      <c r="I253" s="3">
        <v>3</v>
      </c>
      <c r="J253" s="3">
        <v>4</v>
      </c>
      <c r="K253" s="3">
        <f t="shared" si="6"/>
        <v>-1</v>
      </c>
      <c r="L253" s="3" t="str">
        <f t="shared" si="7"/>
        <v>Ecart mineur</v>
      </c>
      <c r="M253" s="3" t="s">
        <v>450</v>
      </c>
      <c r="N253" s="11">
        <v>45885</v>
      </c>
      <c r="O253" s="3"/>
    </row>
    <row r="254" spans="1:15" x14ac:dyDescent="0.25">
      <c r="A254" s="2" t="s">
        <v>731</v>
      </c>
      <c r="B254" s="2" t="s">
        <v>379</v>
      </c>
      <c r="C254" s="2" t="s">
        <v>726</v>
      </c>
      <c r="D254" s="2" t="s">
        <v>41</v>
      </c>
      <c r="E254" s="2" t="s">
        <v>318</v>
      </c>
      <c r="F254" s="2" t="s">
        <v>207</v>
      </c>
      <c r="G254" s="2" t="s">
        <v>50</v>
      </c>
      <c r="H254" s="2" t="s">
        <v>145</v>
      </c>
      <c r="I254" s="2">
        <v>2</v>
      </c>
      <c r="J254" s="2"/>
      <c r="K254" s="2" t="str">
        <f t="shared" si="6"/>
        <v/>
      </c>
      <c r="L254" s="2" t="str">
        <f t="shared" si="7"/>
        <v>Bonus</v>
      </c>
      <c r="M254" s="2" t="s">
        <v>450</v>
      </c>
      <c r="N254" s="12">
        <v>45893</v>
      </c>
      <c r="O254" s="2"/>
    </row>
    <row r="255" spans="1:15" x14ac:dyDescent="0.25">
      <c r="A255" s="3" t="s">
        <v>732</v>
      </c>
      <c r="B255" s="3" t="s">
        <v>379</v>
      </c>
      <c r="C255" s="3" t="s">
        <v>726</v>
      </c>
      <c r="D255" s="3" t="s">
        <v>41</v>
      </c>
      <c r="E255" s="3" t="s">
        <v>318</v>
      </c>
      <c r="F255" s="3" t="s">
        <v>223</v>
      </c>
      <c r="G255" s="3" t="s">
        <v>214</v>
      </c>
      <c r="H255" s="3" t="s">
        <v>145</v>
      </c>
      <c r="I255" s="3">
        <v>1</v>
      </c>
      <c r="J255" s="3">
        <v>2</v>
      </c>
      <c r="K255" s="3">
        <f t="shared" si="6"/>
        <v>-1</v>
      </c>
      <c r="L255" s="3" t="str">
        <f t="shared" si="7"/>
        <v>Ecart mineur</v>
      </c>
      <c r="M255" s="3" t="s">
        <v>448</v>
      </c>
      <c r="N255" s="11">
        <v>45908</v>
      </c>
      <c r="O255" s="3"/>
    </row>
    <row r="256" spans="1:15" x14ac:dyDescent="0.25">
      <c r="A256" s="2" t="s">
        <v>733</v>
      </c>
      <c r="B256" s="2" t="s">
        <v>379</v>
      </c>
      <c r="C256" s="2" t="s">
        <v>726</v>
      </c>
      <c r="D256" s="2" t="s">
        <v>41</v>
      </c>
      <c r="E256" s="2" t="s">
        <v>318</v>
      </c>
      <c r="F256" s="2" t="s">
        <v>228</v>
      </c>
      <c r="G256" s="2" t="s">
        <v>214</v>
      </c>
      <c r="H256" s="2" t="s">
        <v>108</v>
      </c>
      <c r="I256" s="2">
        <v>4</v>
      </c>
      <c r="J256" s="2">
        <v>5</v>
      </c>
      <c r="K256" s="2">
        <f t="shared" si="6"/>
        <v>-1</v>
      </c>
      <c r="L256" s="2" t="str">
        <f t="shared" si="7"/>
        <v>Ecart mineur</v>
      </c>
      <c r="M256" s="2" t="s">
        <v>446</v>
      </c>
      <c r="N256" s="12">
        <v>45787</v>
      </c>
      <c r="O256" s="2" t="s">
        <v>461</v>
      </c>
    </row>
    <row r="257" spans="1:15" x14ac:dyDescent="0.25">
      <c r="A257" s="3" t="s">
        <v>734</v>
      </c>
      <c r="B257" s="3" t="s">
        <v>379</v>
      </c>
      <c r="C257" s="3" t="s">
        <v>726</v>
      </c>
      <c r="D257" s="3" t="s">
        <v>41</v>
      </c>
      <c r="E257" s="3" t="s">
        <v>318</v>
      </c>
      <c r="F257" s="3" t="s">
        <v>233</v>
      </c>
      <c r="G257" s="3" t="s">
        <v>214</v>
      </c>
      <c r="H257" s="3" t="s">
        <v>108</v>
      </c>
      <c r="I257" s="3">
        <v>4</v>
      </c>
      <c r="J257" s="3">
        <v>3</v>
      </c>
      <c r="K257" s="3">
        <f t="shared" si="6"/>
        <v>1</v>
      </c>
      <c r="L257" s="3" t="str">
        <f t="shared" si="7"/>
        <v>Conforme</v>
      </c>
      <c r="M257" s="3" t="s">
        <v>448</v>
      </c>
      <c r="N257" s="11">
        <v>46016</v>
      </c>
      <c r="O257" s="3" t="s">
        <v>461</v>
      </c>
    </row>
    <row r="258" spans="1:15" ht="25.5" x14ac:dyDescent="0.25">
      <c r="A258" s="2" t="s">
        <v>735</v>
      </c>
      <c r="B258" s="2" t="s">
        <v>381</v>
      </c>
      <c r="C258" s="2" t="s">
        <v>736</v>
      </c>
      <c r="D258" s="2" t="s">
        <v>43</v>
      </c>
      <c r="E258" s="2" t="s">
        <v>322</v>
      </c>
      <c r="F258" s="2" t="s">
        <v>146</v>
      </c>
      <c r="G258" s="2" t="s">
        <v>141</v>
      </c>
      <c r="H258" s="2" t="s">
        <v>103</v>
      </c>
      <c r="I258" s="2">
        <v>4</v>
      </c>
      <c r="J258" s="2">
        <v>2</v>
      </c>
      <c r="K258" s="2">
        <f t="shared" si="6"/>
        <v>2</v>
      </c>
      <c r="L258" s="2" t="str">
        <f t="shared" si="7"/>
        <v>Conforme</v>
      </c>
      <c r="M258" s="2" t="s">
        <v>450</v>
      </c>
      <c r="N258" s="12">
        <v>46066</v>
      </c>
      <c r="O258" s="2" t="s">
        <v>461</v>
      </c>
    </row>
    <row r="259" spans="1:15" ht="25.5" x14ac:dyDescent="0.25">
      <c r="A259" s="3" t="s">
        <v>737</v>
      </c>
      <c r="B259" s="3" t="s">
        <v>381</v>
      </c>
      <c r="C259" s="3" t="s">
        <v>736</v>
      </c>
      <c r="D259" s="3" t="s">
        <v>43</v>
      </c>
      <c r="E259" s="3" t="s">
        <v>322</v>
      </c>
      <c r="F259" s="3" t="s">
        <v>160</v>
      </c>
      <c r="G259" s="3" t="s">
        <v>141</v>
      </c>
      <c r="H259" s="3" t="s">
        <v>108</v>
      </c>
      <c r="I259" s="3">
        <v>5</v>
      </c>
      <c r="J259" s="3">
        <v>4</v>
      </c>
      <c r="K259" s="3">
        <f t="shared" si="6"/>
        <v>1</v>
      </c>
      <c r="L259" s="3" t="str">
        <f t="shared" si="7"/>
        <v>Conforme</v>
      </c>
      <c r="M259" s="3" t="s">
        <v>446</v>
      </c>
      <c r="N259" s="11">
        <v>45926</v>
      </c>
      <c r="O259" s="3" t="s">
        <v>461</v>
      </c>
    </row>
    <row r="260" spans="1:15" x14ac:dyDescent="0.25">
      <c r="A260" s="2" t="s">
        <v>738</v>
      </c>
      <c r="B260" s="2" t="s">
        <v>381</v>
      </c>
      <c r="C260" s="2" t="s">
        <v>736</v>
      </c>
      <c r="D260" s="2" t="s">
        <v>43</v>
      </c>
      <c r="E260" s="2" t="s">
        <v>322</v>
      </c>
      <c r="F260" s="2" t="s">
        <v>181</v>
      </c>
      <c r="G260" s="2" t="s">
        <v>167</v>
      </c>
      <c r="H260" s="2" t="s">
        <v>103</v>
      </c>
      <c r="I260" s="2">
        <v>3</v>
      </c>
      <c r="J260" s="2"/>
      <c r="K260" s="2" t="str">
        <f t="shared" si="6"/>
        <v/>
      </c>
      <c r="L260" s="2" t="str">
        <f t="shared" si="7"/>
        <v>Bonus</v>
      </c>
      <c r="M260" s="2" t="s">
        <v>450</v>
      </c>
      <c r="N260" s="12">
        <v>45987</v>
      </c>
      <c r="O260" s="2"/>
    </row>
    <row r="261" spans="1:15" x14ac:dyDescent="0.25">
      <c r="A261" s="3" t="s">
        <v>739</v>
      </c>
      <c r="B261" s="3" t="s">
        <v>381</v>
      </c>
      <c r="C261" s="3" t="s">
        <v>736</v>
      </c>
      <c r="D261" s="3" t="s">
        <v>43</v>
      </c>
      <c r="E261" s="3" t="s">
        <v>322</v>
      </c>
      <c r="F261" s="3" t="s">
        <v>186</v>
      </c>
      <c r="G261" s="3" t="s">
        <v>50</v>
      </c>
      <c r="H261" s="3" t="s">
        <v>108</v>
      </c>
      <c r="I261" s="3">
        <v>4</v>
      </c>
      <c r="J261" s="3">
        <v>3</v>
      </c>
      <c r="K261" s="3">
        <f t="shared" ref="K261:K324" si="8">IF(J261="","",I261-J261)</f>
        <v>1</v>
      </c>
      <c r="L261" s="3" t="str">
        <f t="shared" ref="L261:L324" si="9">IF(J261="","Bonus",IF(K261&gt;=0,"Conforme",IF(K261=-1,"Ecart mineur","Ecart critique")))</f>
        <v>Conforme</v>
      </c>
      <c r="M261" s="3" t="s">
        <v>446</v>
      </c>
      <c r="N261" s="11">
        <v>46060</v>
      </c>
      <c r="O261" s="3" t="s">
        <v>461</v>
      </c>
    </row>
    <row r="262" spans="1:15" x14ac:dyDescent="0.25">
      <c r="A262" s="2" t="s">
        <v>740</v>
      </c>
      <c r="B262" s="2" t="s">
        <v>381</v>
      </c>
      <c r="C262" s="2" t="s">
        <v>736</v>
      </c>
      <c r="D262" s="2" t="s">
        <v>43</v>
      </c>
      <c r="E262" s="2" t="s">
        <v>322</v>
      </c>
      <c r="F262" s="2" t="s">
        <v>202</v>
      </c>
      <c r="G262" s="2" t="s">
        <v>50</v>
      </c>
      <c r="H262" s="2" t="s">
        <v>108</v>
      </c>
      <c r="I262" s="2">
        <v>4</v>
      </c>
      <c r="J262" s="2">
        <v>3</v>
      </c>
      <c r="K262" s="2">
        <f t="shared" si="8"/>
        <v>1</v>
      </c>
      <c r="L262" s="2" t="str">
        <f t="shared" si="9"/>
        <v>Conforme</v>
      </c>
      <c r="M262" s="2" t="s">
        <v>450</v>
      </c>
      <c r="N262" s="12">
        <v>45859</v>
      </c>
      <c r="O262" s="2" t="s">
        <v>461</v>
      </c>
    </row>
    <row r="263" spans="1:15" x14ac:dyDescent="0.25">
      <c r="A263" s="3" t="s">
        <v>741</v>
      </c>
      <c r="B263" s="3" t="s">
        <v>381</v>
      </c>
      <c r="C263" s="3" t="s">
        <v>736</v>
      </c>
      <c r="D263" s="3" t="s">
        <v>43</v>
      </c>
      <c r="E263" s="3" t="s">
        <v>322</v>
      </c>
      <c r="F263" s="3" t="s">
        <v>218</v>
      </c>
      <c r="G263" s="3" t="s">
        <v>214</v>
      </c>
      <c r="H263" s="3" t="s">
        <v>108</v>
      </c>
      <c r="I263" s="3">
        <v>5</v>
      </c>
      <c r="J263" s="3">
        <v>3</v>
      </c>
      <c r="K263" s="3">
        <f t="shared" si="8"/>
        <v>2</v>
      </c>
      <c r="L263" s="3" t="str">
        <f t="shared" si="9"/>
        <v>Conforme</v>
      </c>
      <c r="M263" s="3" t="s">
        <v>446</v>
      </c>
      <c r="N263" s="11">
        <v>45896</v>
      </c>
      <c r="O263" s="3" t="s">
        <v>461</v>
      </c>
    </row>
    <row r="264" spans="1:15" x14ac:dyDescent="0.25">
      <c r="A264" s="2" t="s">
        <v>742</v>
      </c>
      <c r="B264" s="2" t="s">
        <v>381</v>
      </c>
      <c r="C264" s="2" t="s">
        <v>736</v>
      </c>
      <c r="D264" s="2" t="s">
        <v>43</v>
      </c>
      <c r="E264" s="2" t="s">
        <v>322</v>
      </c>
      <c r="F264" s="2" t="s">
        <v>223</v>
      </c>
      <c r="G264" s="2" t="s">
        <v>214</v>
      </c>
      <c r="H264" s="2" t="s">
        <v>145</v>
      </c>
      <c r="I264" s="2">
        <v>3</v>
      </c>
      <c r="J264" s="2">
        <v>3</v>
      </c>
      <c r="K264" s="2">
        <f t="shared" si="8"/>
        <v>0</v>
      </c>
      <c r="L264" s="2" t="str">
        <f t="shared" si="9"/>
        <v>Conforme</v>
      </c>
      <c r="M264" s="2" t="s">
        <v>446</v>
      </c>
      <c r="N264" s="12">
        <v>46042</v>
      </c>
      <c r="O264" s="2"/>
    </row>
    <row r="265" spans="1:15" x14ac:dyDescent="0.25">
      <c r="A265" s="3" t="s">
        <v>743</v>
      </c>
      <c r="B265" s="3" t="s">
        <v>383</v>
      </c>
      <c r="C265" s="3" t="s">
        <v>744</v>
      </c>
      <c r="D265" s="3" t="s">
        <v>35</v>
      </c>
      <c r="E265" s="3" t="s">
        <v>326</v>
      </c>
      <c r="F265" s="3" t="s">
        <v>118</v>
      </c>
      <c r="G265" s="3" t="s">
        <v>120</v>
      </c>
      <c r="H265" s="3" t="s">
        <v>108</v>
      </c>
      <c r="I265" s="3">
        <v>4</v>
      </c>
      <c r="J265" s="3">
        <v>2</v>
      </c>
      <c r="K265" s="3">
        <f t="shared" si="8"/>
        <v>2</v>
      </c>
      <c r="L265" s="3" t="str">
        <f t="shared" si="9"/>
        <v>Conforme</v>
      </c>
      <c r="M265" s="3" t="s">
        <v>450</v>
      </c>
      <c r="N265" s="11">
        <v>45933</v>
      </c>
      <c r="O265" s="3" t="s">
        <v>461</v>
      </c>
    </row>
    <row r="266" spans="1:15" x14ac:dyDescent="0.25">
      <c r="A266" s="2" t="s">
        <v>745</v>
      </c>
      <c r="B266" s="2" t="s">
        <v>383</v>
      </c>
      <c r="C266" s="2" t="s">
        <v>744</v>
      </c>
      <c r="D266" s="2" t="s">
        <v>35</v>
      </c>
      <c r="E266" s="2" t="s">
        <v>326</v>
      </c>
      <c r="F266" s="2" t="s">
        <v>124</v>
      </c>
      <c r="G266" s="2" t="s">
        <v>120</v>
      </c>
      <c r="H266" s="2" t="s">
        <v>108</v>
      </c>
      <c r="I266" s="2">
        <v>5</v>
      </c>
      <c r="J266" s="2">
        <v>2</v>
      </c>
      <c r="K266" s="2">
        <f t="shared" si="8"/>
        <v>3</v>
      </c>
      <c r="L266" s="2" t="str">
        <f t="shared" si="9"/>
        <v>Conforme</v>
      </c>
      <c r="M266" s="2" t="s">
        <v>446</v>
      </c>
      <c r="N266" s="12">
        <v>45776</v>
      </c>
      <c r="O266" s="2" t="s">
        <v>461</v>
      </c>
    </row>
    <row r="267" spans="1:15" ht="25.5" x14ac:dyDescent="0.25">
      <c r="A267" s="3" t="s">
        <v>746</v>
      </c>
      <c r="B267" s="3" t="s">
        <v>383</v>
      </c>
      <c r="C267" s="3" t="s">
        <v>744</v>
      </c>
      <c r="D267" s="3" t="s">
        <v>35</v>
      </c>
      <c r="E267" s="3" t="s">
        <v>326</v>
      </c>
      <c r="F267" s="3" t="s">
        <v>139</v>
      </c>
      <c r="G267" s="3" t="s">
        <v>141</v>
      </c>
      <c r="H267" s="3" t="s">
        <v>145</v>
      </c>
      <c r="I267" s="3">
        <v>3</v>
      </c>
      <c r="J267" s="3">
        <v>3</v>
      </c>
      <c r="K267" s="3">
        <f t="shared" si="8"/>
        <v>0</v>
      </c>
      <c r="L267" s="3" t="str">
        <f t="shared" si="9"/>
        <v>Conforme</v>
      </c>
      <c r="M267" s="3" t="s">
        <v>446</v>
      </c>
      <c r="N267" s="11">
        <v>45904</v>
      </c>
      <c r="O267" s="3"/>
    </row>
    <row r="268" spans="1:15" ht="25.5" x14ac:dyDescent="0.25">
      <c r="A268" s="2" t="s">
        <v>747</v>
      </c>
      <c r="B268" s="2" t="s">
        <v>383</v>
      </c>
      <c r="C268" s="2" t="s">
        <v>744</v>
      </c>
      <c r="D268" s="2" t="s">
        <v>35</v>
      </c>
      <c r="E268" s="2" t="s">
        <v>326</v>
      </c>
      <c r="F268" s="2" t="s">
        <v>149</v>
      </c>
      <c r="G268" s="2" t="s">
        <v>141</v>
      </c>
      <c r="H268" s="2" t="s">
        <v>145</v>
      </c>
      <c r="I268" s="2">
        <v>4</v>
      </c>
      <c r="J268" s="2">
        <v>3</v>
      </c>
      <c r="K268" s="2">
        <f t="shared" si="8"/>
        <v>1</v>
      </c>
      <c r="L268" s="2" t="str">
        <f t="shared" si="9"/>
        <v>Conforme</v>
      </c>
      <c r="M268" s="2" t="s">
        <v>448</v>
      </c>
      <c r="N268" s="12">
        <v>45757</v>
      </c>
      <c r="O268" s="2" t="s">
        <v>461</v>
      </c>
    </row>
    <row r="269" spans="1:15" ht="25.5" x14ac:dyDescent="0.25">
      <c r="A269" s="3" t="s">
        <v>748</v>
      </c>
      <c r="B269" s="3" t="s">
        <v>383</v>
      </c>
      <c r="C269" s="3" t="s">
        <v>744</v>
      </c>
      <c r="D269" s="3" t="s">
        <v>35</v>
      </c>
      <c r="E269" s="3" t="s">
        <v>326</v>
      </c>
      <c r="F269" s="3" t="s">
        <v>152</v>
      </c>
      <c r="G269" s="3" t="s">
        <v>141</v>
      </c>
      <c r="H269" s="3" t="s">
        <v>108</v>
      </c>
      <c r="I269" s="3">
        <v>3</v>
      </c>
      <c r="J269" s="3"/>
      <c r="K269" s="3" t="str">
        <f t="shared" si="8"/>
        <v/>
      </c>
      <c r="L269" s="3" t="str">
        <f t="shared" si="9"/>
        <v>Bonus</v>
      </c>
      <c r="M269" s="3" t="s">
        <v>450</v>
      </c>
      <c r="N269" s="11">
        <v>45877</v>
      </c>
      <c r="O269" s="3"/>
    </row>
    <row r="270" spans="1:15" x14ac:dyDescent="0.25">
      <c r="A270" s="2" t="s">
        <v>749</v>
      </c>
      <c r="B270" s="2" t="s">
        <v>383</v>
      </c>
      <c r="C270" s="2" t="s">
        <v>744</v>
      </c>
      <c r="D270" s="2" t="s">
        <v>35</v>
      </c>
      <c r="E270" s="2" t="s">
        <v>326</v>
      </c>
      <c r="F270" s="2" t="s">
        <v>171</v>
      </c>
      <c r="G270" s="2" t="s">
        <v>167</v>
      </c>
      <c r="H270" s="2" t="s">
        <v>108</v>
      </c>
      <c r="I270" s="2">
        <v>3</v>
      </c>
      <c r="J270" s="2"/>
      <c r="K270" s="2" t="str">
        <f t="shared" si="8"/>
        <v/>
      </c>
      <c r="L270" s="2" t="str">
        <f t="shared" si="9"/>
        <v>Bonus</v>
      </c>
      <c r="M270" s="2" t="s">
        <v>448</v>
      </c>
      <c r="N270" s="12">
        <v>45860</v>
      </c>
      <c r="O270" s="2"/>
    </row>
    <row r="271" spans="1:15" x14ac:dyDescent="0.25">
      <c r="A271" s="3" t="s">
        <v>750</v>
      </c>
      <c r="B271" s="3" t="s">
        <v>383</v>
      </c>
      <c r="C271" s="3" t="s">
        <v>744</v>
      </c>
      <c r="D271" s="3" t="s">
        <v>35</v>
      </c>
      <c r="E271" s="3" t="s">
        <v>326</v>
      </c>
      <c r="F271" s="3" t="s">
        <v>198</v>
      </c>
      <c r="G271" s="3" t="s">
        <v>50</v>
      </c>
      <c r="H271" s="3" t="s">
        <v>103</v>
      </c>
      <c r="I271" s="3">
        <v>1</v>
      </c>
      <c r="J271" s="3"/>
      <c r="K271" s="3" t="str">
        <f t="shared" si="8"/>
        <v/>
      </c>
      <c r="L271" s="3" t="str">
        <f t="shared" si="9"/>
        <v>Bonus</v>
      </c>
      <c r="M271" s="3" t="s">
        <v>450</v>
      </c>
      <c r="N271" s="11">
        <v>45854</v>
      </c>
      <c r="O271" s="3"/>
    </row>
    <row r="272" spans="1:15" x14ac:dyDescent="0.25">
      <c r="A272" s="2" t="s">
        <v>751</v>
      </c>
      <c r="B272" s="2" t="s">
        <v>383</v>
      </c>
      <c r="C272" s="2" t="s">
        <v>744</v>
      </c>
      <c r="D272" s="2" t="s">
        <v>35</v>
      </c>
      <c r="E272" s="2" t="s">
        <v>326</v>
      </c>
      <c r="F272" s="2" t="s">
        <v>223</v>
      </c>
      <c r="G272" s="2" t="s">
        <v>214</v>
      </c>
      <c r="H272" s="2" t="s">
        <v>145</v>
      </c>
      <c r="I272" s="2">
        <v>4</v>
      </c>
      <c r="J272" s="2">
        <v>2</v>
      </c>
      <c r="K272" s="2">
        <f t="shared" si="8"/>
        <v>2</v>
      </c>
      <c r="L272" s="2" t="str">
        <f t="shared" si="9"/>
        <v>Conforme</v>
      </c>
      <c r="M272" s="2" t="s">
        <v>446</v>
      </c>
      <c r="N272" s="12">
        <v>45924</v>
      </c>
      <c r="O272" s="2" t="s">
        <v>461</v>
      </c>
    </row>
    <row r="273" spans="1:15" x14ac:dyDescent="0.25">
      <c r="A273" s="3" t="s">
        <v>752</v>
      </c>
      <c r="B273" s="3" t="s">
        <v>385</v>
      </c>
      <c r="C273" s="3" t="s">
        <v>753</v>
      </c>
      <c r="D273" s="3" t="s">
        <v>37</v>
      </c>
      <c r="E273" s="3" t="s">
        <v>330</v>
      </c>
      <c r="F273" s="3" t="s">
        <v>97</v>
      </c>
      <c r="G273" s="3" t="s">
        <v>99</v>
      </c>
      <c r="H273" s="3" t="s">
        <v>103</v>
      </c>
      <c r="I273" s="3">
        <v>1</v>
      </c>
      <c r="J273" s="3"/>
      <c r="K273" s="3" t="str">
        <f t="shared" si="8"/>
        <v/>
      </c>
      <c r="L273" s="3" t="str">
        <f t="shared" si="9"/>
        <v>Bonus</v>
      </c>
      <c r="M273" s="3" t="s">
        <v>446</v>
      </c>
      <c r="N273" s="11">
        <v>45829</v>
      </c>
      <c r="O273" s="3"/>
    </row>
    <row r="274" spans="1:15" x14ac:dyDescent="0.25">
      <c r="A274" s="2" t="s">
        <v>754</v>
      </c>
      <c r="B274" s="2" t="s">
        <v>385</v>
      </c>
      <c r="C274" s="2" t="s">
        <v>753</v>
      </c>
      <c r="D274" s="2" t="s">
        <v>37</v>
      </c>
      <c r="E274" s="2" t="s">
        <v>330</v>
      </c>
      <c r="F274" s="2" t="s">
        <v>165</v>
      </c>
      <c r="G274" s="2" t="s">
        <v>167</v>
      </c>
      <c r="H274" s="2" t="s">
        <v>103</v>
      </c>
      <c r="I274" s="2">
        <v>4</v>
      </c>
      <c r="J274" s="2">
        <v>4</v>
      </c>
      <c r="K274" s="2">
        <f t="shared" si="8"/>
        <v>0</v>
      </c>
      <c r="L274" s="2" t="str">
        <f t="shared" si="9"/>
        <v>Conforme</v>
      </c>
      <c r="M274" s="2" t="s">
        <v>446</v>
      </c>
      <c r="N274" s="12">
        <v>45921</v>
      </c>
      <c r="O274" s="2" t="s">
        <v>461</v>
      </c>
    </row>
    <row r="275" spans="1:15" x14ac:dyDescent="0.25">
      <c r="A275" s="3" t="s">
        <v>755</v>
      </c>
      <c r="B275" s="3" t="s">
        <v>385</v>
      </c>
      <c r="C275" s="3" t="s">
        <v>753</v>
      </c>
      <c r="D275" s="3" t="s">
        <v>37</v>
      </c>
      <c r="E275" s="3" t="s">
        <v>330</v>
      </c>
      <c r="F275" s="3" t="s">
        <v>176</v>
      </c>
      <c r="G275" s="3" t="s">
        <v>167</v>
      </c>
      <c r="H275" s="3" t="s">
        <v>108</v>
      </c>
      <c r="I275" s="3">
        <v>3</v>
      </c>
      <c r="J275" s="3"/>
      <c r="K275" s="3" t="str">
        <f t="shared" si="8"/>
        <v/>
      </c>
      <c r="L275" s="3" t="str">
        <f t="shared" si="9"/>
        <v>Bonus</v>
      </c>
      <c r="M275" s="3" t="s">
        <v>450</v>
      </c>
      <c r="N275" s="11">
        <v>45936</v>
      </c>
      <c r="O275" s="3"/>
    </row>
    <row r="276" spans="1:15" x14ac:dyDescent="0.25">
      <c r="A276" s="2" t="s">
        <v>756</v>
      </c>
      <c r="B276" s="2" t="s">
        <v>385</v>
      </c>
      <c r="C276" s="2" t="s">
        <v>753</v>
      </c>
      <c r="D276" s="2" t="s">
        <v>37</v>
      </c>
      <c r="E276" s="2" t="s">
        <v>330</v>
      </c>
      <c r="F276" s="2" t="s">
        <v>181</v>
      </c>
      <c r="G276" s="2" t="s">
        <v>167</v>
      </c>
      <c r="H276" s="2" t="s">
        <v>103</v>
      </c>
      <c r="I276" s="2">
        <v>5</v>
      </c>
      <c r="J276" s="2">
        <v>5</v>
      </c>
      <c r="K276" s="2">
        <f t="shared" si="8"/>
        <v>0</v>
      </c>
      <c r="L276" s="2" t="str">
        <f t="shared" si="9"/>
        <v>Conforme</v>
      </c>
      <c r="M276" s="2" t="s">
        <v>448</v>
      </c>
      <c r="N276" s="12">
        <v>45758</v>
      </c>
      <c r="O276" s="2" t="s">
        <v>461</v>
      </c>
    </row>
    <row r="277" spans="1:15" x14ac:dyDescent="0.25">
      <c r="A277" s="3" t="s">
        <v>757</v>
      </c>
      <c r="B277" s="3" t="s">
        <v>385</v>
      </c>
      <c r="C277" s="3" t="s">
        <v>753</v>
      </c>
      <c r="D277" s="3" t="s">
        <v>37</v>
      </c>
      <c r="E277" s="3" t="s">
        <v>330</v>
      </c>
      <c r="F277" s="3" t="s">
        <v>193</v>
      </c>
      <c r="G277" s="3" t="s">
        <v>50</v>
      </c>
      <c r="H277" s="3" t="s">
        <v>103</v>
      </c>
      <c r="I277" s="3">
        <v>3</v>
      </c>
      <c r="J277" s="3">
        <v>3</v>
      </c>
      <c r="K277" s="3">
        <f t="shared" si="8"/>
        <v>0</v>
      </c>
      <c r="L277" s="3" t="str">
        <f t="shared" si="9"/>
        <v>Conforme</v>
      </c>
      <c r="M277" s="3" t="s">
        <v>448</v>
      </c>
      <c r="N277" s="11">
        <v>45982</v>
      </c>
      <c r="O277" s="3"/>
    </row>
    <row r="278" spans="1:15" x14ac:dyDescent="0.25">
      <c r="A278" s="2" t="s">
        <v>758</v>
      </c>
      <c r="B278" s="2" t="s">
        <v>385</v>
      </c>
      <c r="C278" s="2" t="s">
        <v>753</v>
      </c>
      <c r="D278" s="2" t="s">
        <v>37</v>
      </c>
      <c r="E278" s="2" t="s">
        <v>330</v>
      </c>
      <c r="F278" s="2" t="s">
        <v>198</v>
      </c>
      <c r="G278" s="2" t="s">
        <v>50</v>
      </c>
      <c r="H278" s="2" t="s">
        <v>103</v>
      </c>
      <c r="I278" s="2">
        <v>3</v>
      </c>
      <c r="J278" s="2">
        <v>2</v>
      </c>
      <c r="K278" s="2">
        <f t="shared" si="8"/>
        <v>1</v>
      </c>
      <c r="L278" s="2" t="str">
        <f t="shared" si="9"/>
        <v>Conforme</v>
      </c>
      <c r="M278" s="2" t="s">
        <v>448</v>
      </c>
      <c r="N278" s="12">
        <v>45832</v>
      </c>
      <c r="O278" s="2"/>
    </row>
    <row r="279" spans="1:15" x14ac:dyDescent="0.25">
      <c r="A279" s="3" t="s">
        <v>759</v>
      </c>
      <c r="B279" s="3" t="s">
        <v>385</v>
      </c>
      <c r="C279" s="3" t="s">
        <v>753</v>
      </c>
      <c r="D279" s="3" t="s">
        <v>37</v>
      </c>
      <c r="E279" s="3" t="s">
        <v>330</v>
      </c>
      <c r="F279" s="3" t="s">
        <v>218</v>
      </c>
      <c r="G279" s="3" t="s">
        <v>214</v>
      </c>
      <c r="H279" s="3" t="s">
        <v>108</v>
      </c>
      <c r="I279" s="3">
        <v>4</v>
      </c>
      <c r="J279" s="3">
        <v>3</v>
      </c>
      <c r="K279" s="3">
        <f t="shared" si="8"/>
        <v>1</v>
      </c>
      <c r="L279" s="3" t="str">
        <f t="shared" si="9"/>
        <v>Conforme</v>
      </c>
      <c r="M279" s="3" t="s">
        <v>448</v>
      </c>
      <c r="N279" s="11">
        <v>45771</v>
      </c>
      <c r="O279" s="3" t="s">
        <v>461</v>
      </c>
    </row>
    <row r="280" spans="1:15" x14ac:dyDescent="0.25">
      <c r="A280" s="2" t="s">
        <v>760</v>
      </c>
      <c r="B280" s="2" t="s">
        <v>385</v>
      </c>
      <c r="C280" s="2" t="s">
        <v>753</v>
      </c>
      <c r="D280" s="2" t="s">
        <v>37</v>
      </c>
      <c r="E280" s="2" t="s">
        <v>330</v>
      </c>
      <c r="F280" s="2" t="s">
        <v>223</v>
      </c>
      <c r="G280" s="2" t="s">
        <v>214</v>
      </c>
      <c r="H280" s="2" t="s">
        <v>145</v>
      </c>
      <c r="I280" s="2">
        <v>2</v>
      </c>
      <c r="J280" s="2"/>
      <c r="K280" s="2" t="str">
        <f t="shared" si="8"/>
        <v/>
      </c>
      <c r="L280" s="2" t="str">
        <f t="shared" si="9"/>
        <v>Bonus</v>
      </c>
      <c r="M280" s="2" t="s">
        <v>446</v>
      </c>
      <c r="N280" s="12">
        <v>45839</v>
      </c>
      <c r="O280" s="2"/>
    </row>
    <row r="281" spans="1:15" x14ac:dyDescent="0.25">
      <c r="A281" s="3" t="s">
        <v>761</v>
      </c>
      <c r="B281" s="3" t="s">
        <v>387</v>
      </c>
      <c r="C281" s="3" t="s">
        <v>762</v>
      </c>
      <c r="D281" s="3" t="s">
        <v>39</v>
      </c>
      <c r="E281" s="3" t="s">
        <v>334</v>
      </c>
      <c r="F281" s="3" t="s">
        <v>113</v>
      </c>
      <c r="G281" s="3" t="s">
        <v>99</v>
      </c>
      <c r="H281" s="3" t="s">
        <v>108</v>
      </c>
      <c r="I281" s="3">
        <v>2</v>
      </c>
      <c r="J281" s="3"/>
      <c r="K281" s="3" t="str">
        <f t="shared" si="8"/>
        <v/>
      </c>
      <c r="L281" s="3" t="str">
        <f t="shared" si="9"/>
        <v>Bonus</v>
      </c>
      <c r="M281" s="3" t="s">
        <v>450</v>
      </c>
      <c r="N281" s="11">
        <v>45820</v>
      </c>
      <c r="O281" s="3"/>
    </row>
    <row r="282" spans="1:15" ht="25.5" x14ac:dyDescent="0.25">
      <c r="A282" s="2" t="s">
        <v>763</v>
      </c>
      <c r="B282" s="2" t="s">
        <v>387</v>
      </c>
      <c r="C282" s="2" t="s">
        <v>762</v>
      </c>
      <c r="D282" s="2" t="s">
        <v>39</v>
      </c>
      <c r="E282" s="2" t="s">
        <v>334</v>
      </c>
      <c r="F282" s="2" t="s">
        <v>139</v>
      </c>
      <c r="G282" s="2" t="s">
        <v>141</v>
      </c>
      <c r="H282" s="2" t="s">
        <v>145</v>
      </c>
      <c r="I282" s="2">
        <v>4</v>
      </c>
      <c r="J282" s="2">
        <v>3</v>
      </c>
      <c r="K282" s="2">
        <f t="shared" si="8"/>
        <v>1</v>
      </c>
      <c r="L282" s="2" t="str">
        <f t="shared" si="9"/>
        <v>Conforme</v>
      </c>
      <c r="M282" s="2" t="s">
        <v>446</v>
      </c>
      <c r="N282" s="12">
        <v>45863</v>
      </c>
      <c r="O282" s="2" t="s">
        <v>461</v>
      </c>
    </row>
    <row r="283" spans="1:15" ht="25.5" x14ac:dyDescent="0.25">
      <c r="A283" s="3" t="s">
        <v>764</v>
      </c>
      <c r="B283" s="3" t="s">
        <v>387</v>
      </c>
      <c r="C283" s="3" t="s">
        <v>762</v>
      </c>
      <c r="D283" s="3" t="s">
        <v>39</v>
      </c>
      <c r="E283" s="3" t="s">
        <v>334</v>
      </c>
      <c r="F283" s="3" t="s">
        <v>146</v>
      </c>
      <c r="G283" s="3" t="s">
        <v>141</v>
      </c>
      <c r="H283" s="3" t="s">
        <v>103</v>
      </c>
      <c r="I283" s="3">
        <v>3</v>
      </c>
      <c r="J283" s="3">
        <v>3</v>
      </c>
      <c r="K283" s="3">
        <f t="shared" si="8"/>
        <v>0</v>
      </c>
      <c r="L283" s="3" t="str">
        <f t="shared" si="9"/>
        <v>Conforme</v>
      </c>
      <c r="M283" s="3" t="s">
        <v>446</v>
      </c>
      <c r="N283" s="11">
        <v>46021</v>
      </c>
      <c r="O283" s="3"/>
    </row>
    <row r="284" spans="1:15" ht="25.5" x14ac:dyDescent="0.25">
      <c r="A284" s="2" t="s">
        <v>765</v>
      </c>
      <c r="B284" s="2" t="s">
        <v>387</v>
      </c>
      <c r="C284" s="2" t="s">
        <v>762</v>
      </c>
      <c r="D284" s="2" t="s">
        <v>39</v>
      </c>
      <c r="E284" s="2" t="s">
        <v>334</v>
      </c>
      <c r="F284" s="2" t="s">
        <v>160</v>
      </c>
      <c r="G284" s="2" t="s">
        <v>141</v>
      </c>
      <c r="H284" s="2" t="s">
        <v>108</v>
      </c>
      <c r="I284" s="2">
        <v>5</v>
      </c>
      <c r="J284" s="2">
        <v>4</v>
      </c>
      <c r="K284" s="2">
        <f t="shared" si="8"/>
        <v>1</v>
      </c>
      <c r="L284" s="2" t="str">
        <f t="shared" si="9"/>
        <v>Conforme</v>
      </c>
      <c r="M284" s="2" t="s">
        <v>446</v>
      </c>
      <c r="N284" s="12">
        <v>45907</v>
      </c>
      <c r="O284" s="2" t="s">
        <v>461</v>
      </c>
    </row>
    <row r="285" spans="1:15" x14ac:dyDescent="0.25">
      <c r="A285" s="3" t="s">
        <v>766</v>
      </c>
      <c r="B285" s="3" t="s">
        <v>387</v>
      </c>
      <c r="C285" s="3" t="s">
        <v>762</v>
      </c>
      <c r="D285" s="3" t="s">
        <v>39</v>
      </c>
      <c r="E285" s="3" t="s">
        <v>334</v>
      </c>
      <c r="F285" s="3" t="s">
        <v>186</v>
      </c>
      <c r="G285" s="3" t="s">
        <v>50</v>
      </c>
      <c r="H285" s="3" t="s">
        <v>108</v>
      </c>
      <c r="I285" s="3">
        <v>3</v>
      </c>
      <c r="J285" s="3">
        <v>2</v>
      </c>
      <c r="K285" s="3">
        <f t="shared" si="8"/>
        <v>1</v>
      </c>
      <c r="L285" s="3" t="str">
        <f t="shared" si="9"/>
        <v>Conforme</v>
      </c>
      <c r="M285" s="3" t="s">
        <v>446</v>
      </c>
      <c r="N285" s="11">
        <v>46020</v>
      </c>
      <c r="O285" s="3"/>
    </row>
    <row r="286" spans="1:15" x14ac:dyDescent="0.25">
      <c r="A286" s="2" t="s">
        <v>767</v>
      </c>
      <c r="B286" s="2" t="s">
        <v>387</v>
      </c>
      <c r="C286" s="2" t="s">
        <v>762</v>
      </c>
      <c r="D286" s="2" t="s">
        <v>39</v>
      </c>
      <c r="E286" s="2" t="s">
        <v>334</v>
      </c>
      <c r="F286" s="2" t="s">
        <v>202</v>
      </c>
      <c r="G286" s="2" t="s">
        <v>50</v>
      </c>
      <c r="H286" s="2" t="s">
        <v>108</v>
      </c>
      <c r="I286" s="2">
        <v>3</v>
      </c>
      <c r="J286" s="2">
        <v>2</v>
      </c>
      <c r="K286" s="2">
        <f t="shared" si="8"/>
        <v>1</v>
      </c>
      <c r="L286" s="2" t="str">
        <f t="shared" si="9"/>
        <v>Conforme</v>
      </c>
      <c r="M286" s="2" t="s">
        <v>446</v>
      </c>
      <c r="N286" s="12">
        <v>45781</v>
      </c>
      <c r="O286" s="2"/>
    </row>
    <row r="287" spans="1:15" x14ac:dyDescent="0.25">
      <c r="A287" s="3" t="s">
        <v>768</v>
      </c>
      <c r="B287" s="3" t="s">
        <v>389</v>
      </c>
      <c r="C287" s="3" t="s">
        <v>769</v>
      </c>
      <c r="D287" s="3" t="s">
        <v>41</v>
      </c>
      <c r="E287" s="3" t="s">
        <v>338</v>
      </c>
      <c r="F287" s="3" t="s">
        <v>104</v>
      </c>
      <c r="G287" s="3" t="s">
        <v>99</v>
      </c>
      <c r="H287" s="3" t="s">
        <v>108</v>
      </c>
      <c r="I287" s="3">
        <v>1</v>
      </c>
      <c r="J287" s="3"/>
      <c r="K287" s="3" t="str">
        <f t="shared" si="8"/>
        <v/>
      </c>
      <c r="L287" s="3" t="str">
        <f t="shared" si="9"/>
        <v>Bonus</v>
      </c>
      <c r="M287" s="3" t="s">
        <v>446</v>
      </c>
      <c r="N287" s="11">
        <v>45756</v>
      </c>
      <c r="O287" s="3"/>
    </row>
    <row r="288" spans="1:15" x14ac:dyDescent="0.25">
      <c r="A288" s="2" t="s">
        <v>770</v>
      </c>
      <c r="B288" s="2" t="s">
        <v>389</v>
      </c>
      <c r="C288" s="2" t="s">
        <v>769</v>
      </c>
      <c r="D288" s="2" t="s">
        <v>41</v>
      </c>
      <c r="E288" s="2" t="s">
        <v>338</v>
      </c>
      <c r="F288" s="2" t="s">
        <v>127</v>
      </c>
      <c r="G288" s="2" t="s">
        <v>120</v>
      </c>
      <c r="H288" s="2" t="s">
        <v>103</v>
      </c>
      <c r="I288" s="2">
        <v>3</v>
      </c>
      <c r="J288" s="2"/>
      <c r="K288" s="2" t="str">
        <f t="shared" si="8"/>
        <v/>
      </c>
      <c r="L288" s="2" t="str">
        <f t="shared" si="9"/>
        <v>Bonus</v>
      </c>
      <c r="M288" s="2" t="s">
        <v>450</v>
      </c>
      <c r="N288" s="12">
        <v>45805</v>
      </c>
      <c r="O288" s="2"/>
    </row>
    <row r="289" spans="1:15" x14ac:dyDescent="0.25">
      <c r="A289" s="3" t="s">
        <v>771</v>
      </c>
      <c r="B289" s="3" t="s">
        <v>389</v>
      </c>
      <c r="C289" s="3" t="s">
        <v>769</v>
      </c>
      <c r="D289" s="3" t="s">
        <v>41</v>
      </c>
      <c r="E289" s="3" t="s">
        <v>338</v>
      </c>
      <c r="F289" s="3" t="s">
        <v>207</v>
      </c>
      <c r="G289" s="3" t="s">
        <v>50</v>
      </c>
      <c r="H289" s="3" t="s">
        <v>145</v>
      </c>
      <c r="I289" s="3">
        <v>3</v>
      </c>
      <c r="J289" s="3">
        <v>2</v>
      </c>
      <c r="K289" s="3">
        <f t="shared" si="8"/>
        <v>1</v>
      </c>
      <c r="L289" s="3" t="str">
        <f t="shared" si="9"/>
        <v>Conforme</v>
      </c>
      <c r="M289" s="3" t="s">
        <v>446</v>
      </c>
      <c r="N289" s="11">
        <v>45821</v>
      </c>
      <c r="O289" s="3"/>
    </row>
    <row r="290" spans="1:15" x14ac:dyDescent="0.25">
      <c r="A290" s="2" t="s">
        <v>772</v>
      </c>
      <c r="B290" s="2" t="s">
        <v>389</v>
      </c>
      <c r="C290" s="2" t="s">
        <v>769</v>
      </c>
      <c r="D290" s="2" t="s">
        <v>41</v>
      </c>
      <c r="E290" s="2" t="s">
        <v>338</v>
      </c>
      <c r="F290" s="2" t="s">
        <v>212</v>
      </c>
      <c r="G290" s="2" t="s">
        <v>214</v>
      </c>
      <c r="H290" s="2" t="s">
        <v>108</v>
      </c>
      <c r="I290" s="2">
        <v>2</v>
      </c>
      <c r="J290" s="2">
        <v>3</v>
      </c>
      <c r="K290" s="2">
        <f t="shared" si="8"/>
        <v>-1</v>
      </c>
      <c r="L290" s="2" t="str">
        <f t="shared" si="9"/>
        <v>Ecart mineur</v>
      </c>
      <c r="M290" s="2" t="s">
        <v>448</v>
      </c>
      <c r="N290" s="12">
        <v>45921</v>
      </c>
      <c r="O290" s="2"/>
    </row>
    <row r="291" spans="1:15" x14ac:dyDescent="0.25">
      <c r="A291" s="3" t="s">
        <v>773</v>
      </c>
      <c r="B291" s="3" t="s">
        <v>389</v>
      </c>
      <c r="C291" s="3" t="s">
        <v>769</v>
      </c>
      <c r="D291" s="3" t="s">
        <v>41</v>
      </c>
      <c r="E291" s="3" t="s">
        <v>338</v>
      </c>
      <c r="F291" s="3" t="s">
        <v>218</v>
      </c>
      <c r="G291" s="3" t="s">
        <v>214</v>
      </c>
      <c r="H291" s="3" t="s">
        <v>108</v>
      </c>
      <c r="I291" s="3">
        <v>5</v>
      </c>
      <c r="J291" s="3">
        <v>3</v>
      </c>
      <c r="K291" s="3">
        <f t="shared" si="8"/>
        <v>2</v>
      </c>
      <c r="L291" s="3" t="str">
        <f t="shared" si="9"/>
        <v>Conforme</v>
      </c>
      <c r="M291" s="3" t="s">
        <v>450</v>
      </c>
      <c r="N291" s="11">
        <v>46022</v>
      </c>
      <c r="O291" s="3" t="s">
        <v>461</v>
      </c>
    </row>
    <row r="292" spans="1:15" x14ac:dyDescent="0.25">
      <c r="A292" s="2" t="s">
        <v>774</v>
      </c>
      <c r="B292" s="2" t="s">
        <v>389</v>
      </c>
      <c r="C292" s="2" t="s">
        <v>769</v>
      </c>
      <c r="D292" s="2" t="s">
        <v>41</v>
      </c>
      <c r="E292" s="2" t="s">
        <v>338</v>
      </c>
      <c r="F292" s="2" t="s">
        <v>223</v>
      </c>
      <c r="G292" s="2" t="s">
        <v>214</v>
      </c>
      <c r="H292" s="2" t="s">
        <v>145</v>
      </c>
      <c r="I292" s="2">
        <v>5</v>
      </c>
      <c r="J292" s="2">
        <v>4</v>
      </c>
      <c r="K292" s="2">
        <f t="shared" si="8"/>
        <v>1</v>
      </c>
      <c r="L292" s="2" t="str">
        <f t="shared" si="9"/>
        <v>Conforme</v>
      </c>
      <c r="M292" s="2" t="s">
        <v>448</v>
      </c>
      <c r="N292" s="12">
        <v>45958</v>
      </c>
      <c r="O292" s="2" t="s">
        <v>461</v>
      </c>
    </row>
    <row r="293" spans="1:15" ht="25.5" x14ac:dyDescent="0.25">
      <c r="A293" s="3" t="s">
        <v>775</v>
      </c>
      <c r="B293" s="3" t="s">
        <v>391</v>
      </c>
      <c r="C293" s="3" t="s">
        <v>776</v>
      </c>
      <c r="D293" s="3" t="s">
        <v>43</v>
      </c>
      <c r="E293" s="3" t="s">
        <v>342</v>
      </c>
      <c r="F293" s="3" t="s">
        <v>156</v>
      </c>
      <c r="G293" s="3" t="s">
        <v>141</v>
      </c>
      <c r="H293" s="3" t="s">
        <v>108</v>
      </c>
      <c r="I293" s="3">
        <v>2</v>
      </c>
      <c r="J293" s="3"/>
      <c r="K293" s="3" t="str">
        <f t="shared" si="8"/>
        <v/>
      </c>
      <c r="L293" s="3" t="str">
        <f t="shared" si="9"/>
        <v>Bonus</v>
      </c>
      <c r="M293" s="3" t="s">
        <v>450</v>
      </c>
      <c r="N293" s="11">
        <v>45826</v>
      </c>
      <c r="O293" s="3"/>
    </row>
    <row r="294" spans="1:15" x14ac:dyDescent="0.25">
      <c r="A294" s="2" t="s">
        <v>777</v>
      </c>
      <c r="B294" s="2" t="s">
        <v>391</v>
      </c>
      <c r="C294" s="2" t="s">
        <v>776</v>
      </c>
      <c r="D294" s="2" t="s">
        <v>43</v>
      </c>
      <c r="E294" s="2" t="s">
        <v>342</v>
      </c>
      <c r="F294" s="2" t="s">
        <v>176</v>
      </c>
      <c r="G294" s="2" t="s">
        <v>167</v>
      </c>
      <c r="H294" s="2" t="s">
        <v>108</v>
      </c>
      <c r="I294" s="2">
        <v>2</v>
      </c>
      <c r="J294" s="2"/>
      <c r="K294" s="2" t="str">
        <f t="shared" si="8"/>
        <v/>
      </c>
      <c r="L294" s="2" t="str">
        <f t="shared" si="9"/>
        <v>Bonus</v>
      </c>
      <c r="M294" s="2" t="s">
        <v>446</v>
      </c>
      <c r="N294" s="12">
        <v>45779</v>
      </c>
      <c r="O294" s="2"/>
    </row>
    <row r="295" spans="1:15" x14ac:dyDescent="0.25">
      <c r="A295" s="3" t="s">
        <v>778</v>
      </c>
      <c r="B295" s="3" t="s">
        <v>391</v>
      </c>
      <c r="C295" s="3" t="s">
        <v>776</v>
      </c>
      <c r="D295" s="3" t="s">
        <v>43</v>
      </c>
      <c r="E295" s="3" t="s">
        <v>342</v>
      </c>
      <c r="F295" s="3" t="s">
        <v>190</v>
      </c>
      <c r="G295" s="3" t="s">
        <v>50</v>
      </c>
      <c r="H295" s="3" t="s">
        <v>145</v>
      </c>
      <c r="I295" s="3">
        <v>1</v>
      </c>
      <c r="J295" s="3"/>
      <c r="K295" s="3" t="str">
        <f t="shared" si="8"/>
        <v/>
      </c>
      <c r="L295" s="3" t="str">
        <f t="shared" si="9"/>
        <v>Bonus</v>
      </c>
      <c r="M295" s="3" t="s">
        <v>448</v>
      </c>
      <c r="N295" s="11">
        <v>45864</v>
      </c>
      <c r="O295" s="3"/>
    </row>
    <row r="296" spans="1:15" x14ac:dyDescent="0.25">
      <c r="A296" s="2" t="s">
        <v>779</v>
      </c>
      <c r="B296" s="2" t="s">
        <v>391</v>
      </c>
      <c r="C296" s="2" t="s">
        <v>776</v>
      </c>
      <c r="D296" s="2" t="s">
        <v>43</v>
      </c>
      <c r="E296" s="2" t="s">
        <v>342</v>
      </c>
      <c r="F296" s="2" t="s">
        <v>207</v>
      </c>
      <c r="G296" s="2" t="s">
        <v>50</v>
      </c>
      <c r="H296" s="2" t="s">
        <v>145</v>
      </c>
      <c r="I296" s="2">
        <v>5</v>
      </c>
      <c r="J296" s="2">
        <v>4</v>
      </c>
      <c r="K296" s="2">
        <f t="shared" si="8"/>
        <v>1</v>
      </c>
      <c r="L296" s="2" t="str">
        <f t="shared" si="9"/>
        <v>Conforme</v>
      </c>
      <c r="M296" s="2" t="s">
        <v>450</v>
      </c>
      <c r="N296" s="12">
        <v>46061</v>
      </c>
      <c r="O296" s="2" t="s">
        <v>461</v>
      </c>
    </row>
    <row r="297" spans="1:15" x14ac:dyDescent="0.25">
      <c r="A297" s="3" t="s">
        <v>780</v>
      </c>
      <c r="B297" s="3" t="s">
        <v>391</v>
      </c>
      <c r="C297" s="3" t="s">
        <v>776</v>
      </c>
      <c r="D297" s="3" t="s">
        <v>43</v>
      </c>
      <c r="E297" s="3" t="s">
        <v>342</v>
      </c>
      <c r="F297" s="3" t="s">
        <v>212</v>
      </c>
      <c r="G297" s="3" t="s">
        <v>214</v>
      </c>
      <c r="H297" s="3" t="s">
        <v>108</v>
      </c>
      <c r="I297" s="3">
        <v>3</v>
      </c>
      <c r="J297" s="3"/>
      <c r="K297" s="3" t="str">
        <f t="shared" si="8"/>
        <v/>
      </c>
      <c r="L297" s="3" t="str">
        <f t="shared" si="9"/>
        <v>Bonus</v>
      </c>
      <c r="M297" s="3" t="s">
        <v>450</v>
      </c>
      <c r="N297" s="11">
        <v>45985</v>
      </c>
      <c r="O297" s="3"/>
    </row>
    <row r="298" spans="1:15" x14ac:dyDescent="0.25">
      <c r="A298" s="2" t="s">
        <v>781</v>
      </c>
      <c r="B298" s="2" t="s">
        <v>391</v>
      </c>
      <c r="C298" s="2" t="s">
        <v>776</v>
      </c>
      <c r="D298" s="2" t="s">
        <v>43</v>
      </c>
      <c r="E298" s="2" t="s">
        <v>342</v>
      </c>
      <c r="F298" s="2" t="s">
        <v>218</v>
      </c>
      <c r="G298" s="2" t="s">
        <v>214</v>
      </c>
      <c r="H298" s="2" t="s">
        <v>108</v>
      </c>
      <c r="I298" s="2">
        <v>2</v>
      </c>
      <c r="J298" s="2">
        <v>2</v>
      </c>
      <c r="K298" s="2">
        <f t="shared" si="8"/>
        <v>0</v>
      </c>
      <c r="L298" s="2" t="str">
        <f t="shared" si="9"/>
        <v>Conforme</v>
      </c>
      <c r="M298" s="2" t="s">
        <v>450</v>
      </c>
      <c r="N298" s="12">
        <v>46047</v>
      </c>
      <c r="O298" s="2"/>
    </row>
    <row r="299" spans="1:15" x14ac:dyDescent="0.25">
      <c r="A299" s="3" t="s">
        <v>782</v>
      </c>
      <c r="B299" s="3" t="s">
        <v>391</v>
      </c>
      <c r="C299" s="3" t="s">
        <v>776</v>
      </c>
      <c r="D299" s="3" t="s">
        <v>43</v>
      </c>
      <c r="E299" s="3" t="s">
        <v>342</v>
      </c>
      <c r="F299" s="3" t="s">
        <v>223</v>
      </c>
      <c r="G299" s="3" t="s">
        <v>214</v>
      </c>
      <c r="H299" s="3" t="s">
        <v>145</v>
      </c>
      <c r="I299" s="3">
        <v>5</v>
      </c>
      <c r="J299" s="3">
        <v>3</v>
      </c>
      <c r="K299" s="3">
        <f t="shared" si="8"/>
        <v>2</v>
      </c>
      <c r="L299" s="3" t="str">
        <f t="shared" si="9"/>
        <v>Conforme</v>
      </c>
      <c r="M299" s="3" t="s">
        <v>450</v>
      </c>
      <c r="N299" s="11">
        <v>45803</v>
      </c>
      <c r="O299" s="3" t="s">
        <v>461</v>
      </c>
    </row>
    <row r="300" spans="1:15" x14ac:dyDescent="0.25">
      <c r="A300" s="2" t="s">
        <v>783</v>
      </c>
      <c r="B300" s="2" t="s">
        <v>391</v>
      </c>
      <c r="C300" s="2" t="s">
        <v>776</v>
      </c>
      <c r="D300" s="2" t="s">
        <v>43</v>
      </c>
      <c r="E300" s="2" t="s">
        <v>342</v>
      </c>
      <c r="F300" s="2" t="s">
        <v>233</v>
      </c>
      <c r="G300" s="2" t="s">
        <v>214</v>
      </c>
      <c r="H300" s="2" t="s">
        <v>108</v>
      </c>
      <c r="I300" s="2">
        <v>2</v>
      </c>
      <c r="J300" s="2">
        <v>3</v>
      </c>
      <c r="K300" s="2">
        <f t="shared" si="8"/>
        <v>-1</v>
      </c>
      <c r="L300" s="2" t="str">
        <f t="shared" si="9"/>
        <v>Ecart mineur</v>
      </c>
      <c r="M300" s="2" t="s">
        <v>448</v>
      </c>
      <c r="N300" s="12">
        <v>46019</v>
      </c>
      <c r="O300" s="2"/>
    </row>
    <row r="301" spans="1:15" x14ac:dyDescent="0.25">
      <c r="A301" s="3" t="s">
        <v>784</v>
      </c>
      <c r="B301" s="3" t="s">
        <v>393</v>
      </c>
      <c r="C301" s="3" t="s">
        <v>785</v>
      </c>
      <c r="D301" s="3" t="s">
        <v>35</v>
      </c>
      <c r="E301" s="3" t="s">
        <v>257</v>
      </c>
      <c r="F301" s="3" t="s">
        <v>97</v>
      </c>
      <c r="G301" s="3" t="s">
        <v>99</v>
      </c>
      <c r="H301" s="3" t="s">
        <v>103</v>
      </c>
      <c r="I301" s="3">
        <v>5</v>
      </c>
      <c r="J301" s="3">
        <v>4</v>
      </c>
      <c r="K301" s="3">
        <f t="shared" si="8"/>
        <v>1</v>
      </c>
      <c r="L301" s="3" t="str">
        <f t="shared" si="9"/>
        <v>Conforme</v>
      </c>
      <c r="M301" s="3" t="s">
        <v>450</v>
      </c>
      <c r="N301" s="11">
        <v>45893</v>
      </c>
      <c r="O301" s="3" t="s">
        <v>461</v>
      </c>
    </row>
    <row r="302" spans="1:15" x14ac:dyDescent="0.25">
      <c r="A302" s="2" t="s">
        <v>786</v>
      </c>
      <c r="B302" s="2" t="s">
        <v>393</v>
      </c>
      <c r="C302" s="2" t="s">
        <v>785</v>
      </c>
      <c r="D302" s="2" t="s">
        <v>35</v>
      </c>
      <c r="E302" s="2" t="s">
        <v>257</v>
      </c>
      <c r="F302" s="2" t="s">
        <v>104</v>
      </c>
      <c r="G302" s="2" t="s">
        <v>99</v>
      </c>
      <c r="H302" s="2" t="s">
        <v>108</v>
      </c>
      <c r="I302" s="2">
        <v>4</v>
      </c>
      <c r="J302" s="2">
        <v>3</v>
      </c>
      <c r="K302" s="2">
        <f t="shared" si="8"/>
        <v>1</v>
      </c>
      <c r="L302" s="2" t="str">
        <f t="shared" si="9"/>
        <v>Conforme</v>
      </c>
      <c r="M302" s="2" t="s">
        <v>448</v>
      </c>
      <c r="N302" s="12">
        <v>46011</v>
      </c>
      <c r="O302" s="2" t="s">
        <v>461</v>
      </c>
    </row>
    <row r="303" spans="1:15" x14ac:dyDescent="0.25">
      <c r="A303" s="3" t="s">
        <v>787</v>
      </c>
      <c r="B303" s="3" t="s">
        <v>393</v>
      </c>
      <c r="C303" s="3" t="s">
        <v>785</v>
      </c>
      <c r="D303" s="3" t="s">
        <v>35</v>
      </c>
      <c r="E303" s="3" t="s">
        <v>257</v>
      </c>
      <c r="F303" s="3" t="s">
        <v>118</v>
      </c>
      <c r="G303" s="3" t="s">
        <v>120</v>
      </c>
      <c r="H303" s="3" t="s">
        <v>108</v>
      </c>
      <c r="I303" s="3">
        <v>1</v>
      </c>
      <c r="J303" s="3">
        <v>2</v>
      </c>
      <c r="K303" s="3">
        <f t="shared" si="8"/>
        <v>-1</v>
      </c>
      <c r="L303" s="3" t="str">
        <f t="shared" si="9"/>
        <v>Ecart mineur</v>
      </c>
      <c r="M303" s="3" t="s">
        <v>448</v>
      </c>
      <c r="N303" s="11">
        <v>46061</v>
      </c>
      <c r="O303" s="3"/>
    </row>
    <row r="304" spans="1:15" x14ac:dyDescent="0.25">
      <c r="A304" s="2" t="s">
        <v>788</v>
      </c>
      <c r="B304" s="2" t="s">
        <v>393</v>
      </c>
      <c r="C304" s="2" t="s">
        <v>785</v>
      </c>
      <c r="D304" s="2" t="s">
        <v>35</v>
      </c>
      <c r="E304" s="2" t="s">
        <v>257</v>
      </c>
      <c r="F304" s="2" t="s">
        <v>202</v>
      </c>
      <c r="G304" s="2" t="s">
        <v>50</v>
      </c>
      <c r="H304" s="2" t="s">
        <v>108</v>
      </c>
      <c r="I304" s="2">
        <v>3</v>
      </c>
      <c r="J304" s="2">
        <v>2</v>
      </c>
      <c r="K304" s="2">
        <f t="shared" si="8"/>
        <v>1</v>
      </c>
      <c r="L304" s="2" t="str">
        <f t="shared" si="9"/>
        <v>Conforme</v>
      </c>
      <c r="M304" s="2" t="s">
        <v>446</v>
      </c>
      <c r="N304" s="12">
        <v>45915</v>
      </c>
      <c r="O304" s="2"/>
    </row>
    <row r="305" spans="1:15" x14ac:dyDescent="0.25">
      <c r="A305" s="3" t="s">
        <v>789</v>
      </c>
      <c r="B305" s="3" t="s">
        <v>393</v>
      </c>
      <c r="C305" s="3" t="s">
        <v>785</v>
      </c>
      <c r="D305" s="3" t="s">
        <v>35</v>
      </c>
      <c r="E305" s="3" t="s">
        <v>257</v>
      </c>
      <c r="F305" s="3" t="s">
        <v>218</v>
      </c>
      <c r="G305" s="3" t="s">
        <v>214</v>
      </c>
      <c r="H305" s="3" t="s">
        <v>108</v>
      </c>
      <c r="I305" s="3">
        <v>2</v>
      </c>
      <c r="J305" s="3">
        <v>2</v>
      </c>
      <c r="K305" s="3">
        <f t="shared" si="8"/>
        <v>0</v>
      </c>
      <c r="L305" s="3" t="str">
        <f t="shared" si="9"/>
        <v>Conforme</v>
      </c>
      <c r="M305" s="3" t="s">
        <v>448</v>
      </c>
      <c r="N305" s="11">
        <v>45762</v>
      </c>
      <c r="O305" s="3"/>
    </row>
    <row r="306" spans="1:15" x14ac:dyDescent="0.25">
      <c r="A306" s="2" t="s">
        <v>790</v>
      </c>
      <c r="B306" s="2" t="s">
        <v>393</v>
      </c>
      <c r="C306" s="2" t="s">
        <v>785</v>
      </c>
      <c r="D306" s="2" t="s">
        <v>35</v>
      </c>
      <c r="E306" s="2" t="s">
        <v>257</v>
      </c>
      <c r="F306" s="2" t="s">
        <v>223</v>
      </c>
      <c r="G306" s="2" t="s">
        <v>214</v>
      </c>
      <c r="H306" s="2" t="s">
        <v>145</v>
      </c>
      <c r="I306" s="2">
        <v>3</v>
      </c>
      <c r="J306" s="2">
        <v>1</v>
      </c>
      <c r="K306" s="2">
        <f t="shared" si="8"/>
        <v>2</v>
      </c>
      <c r="L306" s="2" t="str">
        <f t="shared" si="9"/>
        <v>Conforme</v>
      </c>
      <c r="M306" s="2" t="s">
        <v>446</v>
      </c>
      <c r="N306" s="12">
        <v>45949</v>
      </c>
      <c r="O306" s="2"/>
    </row>
    <row r="307" spans="1:15" x14ac:dyDescent="0.25">
      <c r="A307" s="3" t="s">
        <v>791</v>
      </c>
      <c r="B307" s="3" t="s">
        <v>395</v>
      </c>
      <c r="C307" s="3" t="s">
        <v>792</v>
      </c>
      <c r="D307" s="3" t="s">
        <v>37</v>
      </c>
      <c r="E307" s="3" t="s">
        <v>264</v>
      </c>
      <c r="F307" s="3" t="s">
        <v>97</v>
      </c>
      <c r="G307" s="3" t="s">
        <v>99</v>
      </c>
      <c r="H307" s="3" t="s">
        <v>103</v>
      </c>
      <c r="I307" s="3">
        <v>3</v>
      </c>
      <c r="J307" s="3">
        <v>3</v>
      </c>
      <c r="K307" s="3">
        <f t="shared" si="8"/>
        <v>0</v>
      </c>
      <c r="L307" s="3" t="str">
        <f t="shared" si="9"/>
        <v>Conforme</v>
      </c>
      <c r="M307" s="3" t="s">
        <v>446</v>
      </c>
      <c r="N307" s="11">
        <v>46058</v>
      </c>
      <c r="O307" s="3"/>
    </row>
    <row r="308" spans="1:15" x14ac:dyDescent="0.25">
      <c r="A308" s="2" t="s">
        <v>793</v>
      </c>
      <c r="B308" s="2" t="s">
        <v>395</v>
      </c>
      <c r="C308" s="2" t="s">
        <v>792</v>
      </c>
      <c r="D308" s="2" t="s">
        <v>37</v>
      </c>
      <c r="E308" s="2" t="s">
        <v>264</v>
      </c>
      <c r="F308" s="2" t="s">
        <v>104</v>
      </c>
      <c r="G308" s="2" t="s">
        <v>99</v>
      </c>
      <c r="H308" s="2" t="s">
        <v>108</v>
      </c>
      <c r="I308" s="2">
        <v>5</v>
      </c>
      <c r="J308" s="2">
        <v>4</v>
      </c>
      <c r="K308" s="2">
        <f t="shared" si="8"/>
        <v>1</v>
      </c>
      <c r="L308" s="2" t="str">
        <f t="shared" si="9"/>
        <v>Conforme</v>
      </c>
      <c r="M308" s="2" t="s">
        <v>446</v>
      </c>
      <c r="N308" s="12">
        <v>45997</v>
      </c>
      <c r="O308" s="2" t="s">
        <v>461</v>
      </c>
    </row>
    <row r="309" spans="1:15" x14ac:dyDescent="0.25">
      <c r="A309" s="3" t="s">
        <v>794</v>
      </c>
      <c r="B309" s="3" t="s">
        <v>395</v>
      </c>
      <c r="C309" s="3" t="s">
        <v>792</v>
      </c>
      <c r="D309" s="3" t="s">
        <v>37</v>
      </c>
      <c r="E309" s="3" t="s">
        <v>264</v>
      </c>
      <c r="F309" s="3" t="s">
        <v>113</v>
      </c>
      <c r="G309" s="3" t="s">
        <v>99</v>
      </c>
      <c r="H309" s="3" t="s">
        <v>108</v>
      </c>
      <c r="I309" s="3">
        <v>4</v>
      </c>
      <c r="J309" s="3">
        <v>3</v>
      </c>
      <c r="K309" s="3">
        <f t="shared" si="8"/>
        <v>1</v>
      </c>
      <c r="L309" s="3" t="str">
        <f t="shared" si="9"/>
        <v>Conforme</v>
      </c>
      <c r="M309" s="3" t="s">
        <v>446</v>
      </c>
      <c r="N309" s="11">
        <v>46009</v>
      </c>
      <c r="O309" s="3" t="s">
        <v>461</v>
      </c>
    </row>
    <row r="310" spans="1:15" x14ac:dyDescent="0.25">
      <c r="A310" s="2" t="s">
        <v>795</v>
      </c>
      <c r="B310" s="2" t="s">
        <v>395</v>
      </c>
      <c r="C310" s="2" t="s">
        <v>792</v>
      </c>
      <c r="D310" s="2" t="s">
        <v>37</v>
      </c>
      <c r="E310" s="2" t="s">
        <v>264</v>
      </c>
      <c r="F310" s="2" t="s">
        <v>118</v>
      </c>
      <c r="G310" s="2" t="s">
        <v>120</v>
      </c>
      <c r="H310" s="2" t="s">
        <v>108</v>
      </c>
      <c r="I310" s="2">
        <v>2</v>
      </c>
      <c r="J310" s="2">
        <v>2</v>
      </c>
      <c r="K310" s="2">
        <f t="shared" si="8"/>
        <v>0</v>
      </c>
      <c r="L310" s="2" t="str">
        <f t="shared" si="9"/>
        <v>Conforme</v>
      </c>
      <c r="M310" s="2" t="s">
        <v>446</v>
      </c>
      <c r="N310" s="12">
        <v>46068</v>
      </c>
      <c r="O310" s="2"/>
    </row>
    <row r="311" spans="1:15" x14ac:dyDescent="0.25">
      <c r="A311" s="3" t="s">
        <v>796</v>
      </c>
      <c r="B311" s="3" t="s">
        <v>395</v>
      </c>
      <c r="C311" s="3" t="s">
        <v>792</v>
      </c>
      <c r="D311" s="3" t="s">
        <v>37</v>
      </c>
      <c r="E311" s="3" t="s">
        <v>264</v>
      </c>
      <c r="F311" s="3" t="s">
        <v>131</v>
      </c>
      <c r="G311" s="3" t="s">
        <v>120</v>
      </c>
      <c r="H311" s="3" t="s">
        <v>103</v>
      </c>
      <c r="I311" s="3">
        <v>2</v>
      </c>
      <c r="J311" s="3"/>
      <c r="K311" s="3" t="str">
        <f t="shared" si="8"/>
        <v/>
      </c>
      <c r="L311" s="3" t="str">
        <f t="shared" si="9"/>
        <v>Bonus</v>
      </c>
      <c r="M311" s="3" t="s">
        <v>448</v>
      </c>
      <c r="N311" s="11">
        <v>45870</v>
      </c>
      <c r="O311" s="3"/>
    </row>
    <row r="312" spans="1:15" x14ac:dyDescent="0.25">
      <c r="A312" s="2" t="s">
        <v>797</v>
      </c>
      <c r="B312" s="2" t="s">
        <v>395</v>
      </c>
      <c r="C312" s="2" t="s">
        <v>792</v>
      </c>
      <c r="D312" s="2" t="s">
        <v>37</v>
      </c>
      <c r="E312" s="2" t="s">
        <v>264</v>
      </c>
      <c r="F312" s="2" t="s">
        <v>223</v>
      </c>
      <c r="G312" s="2" t="s">
        <v>214</v>
      </c>
      <c r="H312" s="2" t="s">
        <v>145</v>
      </c>
      <c r="I312" s="2">
        <v>1</v>
      </c>
      <c r="J312" s="2">
        <v>1</v>
      </c>
      <c r="K312" s="2">
        <f t="shared" si="8"/>
        <v>0</v>
      </c>
      <c r="L312" s="2" t="str">
        <f t="shared" si="9"/>
        <v>Conforme</v>
      </c>
      <c r="M312" s="2" t="s">
        <v>450</v>
      </c>
      <c r="N312" s="12">
        <v>45772</v>
      </c>
      <c r="O312" s="2"/>
    </row>
    <row r="313" spans="1:15" x14ac:dyDescent="0.25">
      <c r="A313" s="3" t="s">
        <v>798</v>
      </c>
      <c r="B313" s="3" t="s">
        <v>397</v>
      </c>
      <c r="C313" s="3" t="s">
        <v>799</v>
      </c>
      <c r="D313" s="3" t="s">
        <v>39</v>
      </c>
      <c r="E313" s="3" t="s">
        <v>268</v>
      </c>
      <c r="F313" s="3" t="s">
        <v>118</v>
      </c>
      <c r="G313" s="3" t="s">
        <v>120</v>
      </c>
      <c r="H313" s="3" t="s">
        <v>108</v>
      </c>
      <c r="I313" s="3">
        <v>4</v>
      </c>
      <c r="J313" s="3">
        <v>4</v>
      </c>
      <c r="K313" s="3">
        <f t="shared" si="8"/>
        <v>0</v>
      </c>
      <c r="L313" s="3" t="str">
        <f t="shared" si="9"/>
        <v>Conforme</v>
      </c>
      <c r="M313" s="3" t="s">
        <v>446</v>
      </c>
      <c r="N313" s="11">
        <v>45978</v>
      </c>
      <c r="O313" s="3" t="s">
        <v>461</v>
      </c>
    </row>
    <row r="314" spans="1:15" x14ac:dyDescent="0.25">
      <c r="A314" s="2" t="s">
        <v>800</v>
      </c>
      <c r="B314" s="2" t="s">
        <v>397</v>
      </c>
      <c r="C314" s="2" t="s">
        <v>799</v>
      </c>
      <c r="D314" s="2" t="s">
        <v>39</v>
      </c>
      <c r="E314" s="2" t="s">
        <v>268</v>
      </c>
      <c r="F314" s="2" t="s">
        <v>124</v>
      </c>
      <c r="G314" s="2" t="s">
        <v>120</v>
      </c>
      <c r="H314" s="2" t="s">
        <v>108</v>
      </c>
      <c r="I314" s="2">
        <v>5</v>
      </c>
      <c r="J314" s="2">
        <v>4</v>
      </c>
      <c r="K314" s="2">
        <f t="shared" si="8"/>
        <v>1</v>
      </c>
      <c r="L314" s="2" t="str">
        <f t="shared" si="9"/>
        <v>Conforme</v>
      </c>
      <c r="M314" s="2" t="s">
        <v>450</v>
      </c>
      <c r="N314" s="12">
        <v>45922</v>
      </c>
      <c r="O314" s="2" t="s">
        <v>461</v>
      </c>
    </row>
    <row r="315" spans="1:15" x14ac:dyDescent="0.25">
      <c r="A315" s="3" t="s">
        <v>801</v>
      </c>
      <c r="B315" s="3" t="s">
        <v>397</v>
      </c>
      <c r="C315" s="3" t="s">
        <v>799</v>
      </c>
      <c r="D315" s="3" t="s">
        <v>39</v>
      </c>
      <c r="E315" s="3" t="s">
        <v>268</v>
      </c>
      <c r="F315" s="3" t="s">
        <v>127</v>
      </c>
      <c r="G315" s="3" t="s">
        <v>120</v>
      </c>
      <c r="H315" s="3" t="s">
        <v>103</v>
      </c>
      <c r="I315" s="3">
        <v>4</v>
      </c>
      <c r="J315" s="3">
        <v>3</v>
      </c>
      <c r="K315" s="3">
        <f t="shared" si="8"/>
        <v>1</v>
      </c>
      <c r="L315" s="3" t="str">
        <f t="shared" si="9"/>
        <v>Conforme</v>
      </c>
      <c r="M315" s="3" t="s">
        <v>446</v>
      </c>
      <c r="N315" s="11">
        <v>45798</v>
      </c>
      <c r="O315" s="3" t="s">
        <v>461</v>
      </c>
    </row>
    <row r="316" spans="1:15" x14ac:dyDescent="0.25">
      <c r="A316" s="2" t="s">
        <v>802</v>
      </c>
      <c r="B316" s="2" t="s">
        <v>397</v>
      </c>
      <c r="C316" s="2" t="s">
        <v>799</v>
      </c>
      <c r="D316" s="2" t="s">
        <v>39</v>
      </c>
      <c r="E316" s="2" t="s">
        <v>268</v>
      </c>
      <c r="F316" s="2" t="s">
        <v>131</v>
      </c>
      <c r="G316" s="2" t="s">
        <v>120</v>
      </c>
      <c r="H316" s="2" t="s">
        <v>103</v>
      </c>
      <c r="I316" s="2">
        <v>3</v>
      </c>
      <c r="J316" s="2">
        <v>3</v>
      </c>
      <c r="K316" s="2">
        <f t="shared" si="8"/>
        <v>0</v>
      </c>
      <c r="L316" s="2" t="str">
        <f t="shared" si="9"/>
        <v>Conforme</v>
      </c>
      <c r="M316" s="2" t="s">
        <v>448</v>
      </c>
      <c r="N316" s="12">
        <v>45937</v>
      </c>
      <c r="O316" s="2"/>
    </row>
    <row r="317" spans="1:15" x14ac:dyDescent="0.25">
      <c r="A317" s="3" t="s">
        <v>803</v>
      </c>
      <c r="B317" s="3" t="s">
        <v>397</v>
      </c>
      <c r="C317" s="3" t="s">
        <v>799</v>
      </c>
      <c r="D317" s="3" t="s">
        <v>39</v>
      </c>
      <c r="E317" s="3" t="s">
        <v>268</v>
      </c>
      <c r="F317" s="3" t="s">
        <v>135</v>
      </c>
      <c r="G317" s="3" t="s">
        <v>120</v>
      </c>
      <c r="H317" s="3" t="s">
        <v>108</v>
      </c>
      <c r="I317" s="3">
        <v>4</v>
      </c>
      <c r="J317" s="3">
        <v>3</v>
      </c>
      <c r="K317" s="3">
        <f t="shared" si="8"/>
        <v>1</v>
      </c>
      <c r="L317" s="3" t="str">
        <f t="shared" si="9"/>
        <v>Conforme</v>
      </c>
      <c r="M317" s="3" t="s">
        <v>450</v>
      </c>
      <c r="N317" s="11">
        <v>45882</v>
      </c>
      <c r="O317" s="3" t="s">
        <v>461</v>
      </c>
    </row>
    <row r="318" spans="1:15" x14ac:dyDescent="0.25">
      <c r="A318" s="2" t="s">
        <v>804</v>
      </c>
      <c r="B318" s="2" t="s">
        <v>397</v>
      </c>
      <c r="C318" s="2" t="s">
        <v>799</v>
      </c>
      <c r="D318" s="2" t="s">
        <v>39</v>
      </c>
      <c r="E318" s="2" t="s">
        <v>268</v>
      </c>
      <c r="F318" s="2" t="s">
        <v>233</v>
      </c>
      <c r="G318" s="2" t="s">
        <v>214</v>
      </c>
      <c r="H318" s="2" t="s">
        <v>108</v>
      </c>
      <c r="I318" s="2">
        <v>1</v>
      </c>
      <c r="J318" s="2">
        <v>2</v>
      </c>
      <c r="K318" s="2">
        <f t="shared" si="8"/>
        <v>-1</v>
      </c>
      <c r="L318" s="2" t="str">
        <f t="shared" si="9"/>
        <v>Ecart mineur</v>
      </c>
      <c r="M318" s="2" t="s">
        <v>450</v>
      </c>
      <c r="N318" s="12">
        <v>46033</v>
      </c>
      <c r="O318" s="2"/>
    </row>
    <row r="319" spans="1:15" x14ac:dyDescent="0.25">
      <c r="A319" s="3" t="s">
        <v>805</v>
      </c>
      <c r="B319" s="3" t="s">
        <v>399</v>
      </c>
      <c r="C319" s="3" t="s">
        <v>806</v>
      </c>
      <c r="D319" s="3" t="s">
        <v>41</v>
      </c>
      <c r="E319" s="3" t="s">
        <v>273</v>
      </c>
      <c r="F319" s="3" t="s">
        <v>118</v>
      </c>
      <c r="G319" s="3" t="s">
        <v>120</v>
      </c>
      <c r="H319" s="3" t="s">
        <v>108</v>
      </c>
      <c r="I319" s="3">
        <v>5</v>
      </c>
      <c r="J319" s="3">
        <v>5</v>
      </c>
      <c r="K319" s="3">
        <f t="shared" si="8"/>
        <v>0</v>
      </c>
      <c r="L319" s="3" t="str">
        <f t="shared" si="9"/>
        <v>Conforme</v>
      </c>
      <c r="M319" s="3" t="s">
        <v>446</v>
      </c>
      <c r="N319" s="11">
        <v>45876</v>
      </c>
      <c r="O319" s="3" t="s">
        <v>461</v>
      </c>
    </row>
    <row r="320" spans="1:15" x14ac:dyDescent="0.25">
      <c r="A320" s="2" t="s">
        <v>807</v>
      </c>
      <c r="B320" s="2" t="s">
        <v>399</v>
      </c>
      <c r="C320" s="2" t="s">
        <v>806</v>
      </c>
      <c r="D320" s="2" t="s">
        <v>41</v>
      </c>
      <c r="E320" s="2" t="s">
        <v>273</v>
      </c>
      <c r="F320" s="2" t="s">
        <v>124</v>
      </c>
      <c r="G320" s="2" t="s">
        <v>120</v>
      </c>
      <c r="H320" s="2" t="s">
        <v>108</v>
      </c>
      <c r="I320" s="2">
        <v>5</v>
      </c>
      <c r="J320" s="2">
        <v>5</v>
      </c>
      <c r="K320" s="2">
        <f t="shared" si="8"/>
        <v>0</v>
      </c>
      <c r="L320" s="2" t="str">
        <f t="shared" si="9"/>
        <v>Conforme</v>
      </c>
      <c r="M320" s="2" t="s">
        <v>446</v>
      </c>
      <c r="N320" s="12">
        <v>45840</v>
      </c>
      <c r="O320" s="2" t="s">
        <v>461</v>
      </c>
    </row>
    <row r="321" spans="1:15" x14ac:dyDescent="0.25">
      <c r="A321" s="3" t="s">
        <v>808</v>
      </c>
      <c r="B321" s="3" t="s">
        <v>399</v>
      </c>
      <c r="C321" s="3" t="s">
        <v>806</v>
      </c>
      <c r="D321" s="3" t="s">
        <v>41</v>
      </c>
      <c r="E321" s="3" t="s">
        <v>273</v>
      </c>
      <c r="F321" s="3" t="s">
        <v>127</v>
      </c>
      <c r="G321" s="3" t="s">
        <v>120</v>
      </c>
      <c r="H321" s="3" t="s">
        <v>103</v>
      </c>
      <c r="I321" s="3">
        <v>5</v>
      </c>
      <c r="J321" s="3">
        <v>5</v>
      </c>
      <c r="K321" s="3">
        <f t="shared" si="8"/>
        <v>0</v>
      </c>
      <c r="L321" s="3" t="str">
        <f t="shared" si="9"/>
        <v>Conforme</v>
      </c>
      <c r="M321" s="3" t="s">
        <v>450</v>
      </c>
      <c r="N321" s="11">
        <v>45937</v>
      </c>
      <c r="O321" s="3" t="s">
        <v>461</v>
      </c>
    </row>
    <row r="322" spans="1:15" x14ac:dyDescent="0.25">
      <c r="A322" s="2" t="s">
        <v>809</v>
      </c>
      <c r="B322" s="2" t="s">
        <v>399</v>
      </c>
      <c r="C322" s="2" t="s">
        <v>806</v>
      </c>
      <c r="D322" s="2" t="s">
        <v>41</v>
      </c>
      <c r="E322" s="2" t="s">
        <v>273</v>
      </c>
      <c r="F322" s="2" t="s">
        <v>131</v>
      </c>
      <c r="G322" s="2" t="s">
        <v>120</v>
      </c>
      <c r="H322" s="2" t="s">
        <v>103</v>
      </c>
      <c r="I322" s="2">
        <v>5</v>
      </c>
      <c r="J322" s="2">
        <v>4</v>
      </c>
      <c r="K322" s="2">
        <f t="shared" si="8"/>
        <v>1</v>
      </c>
      <c r="L322" s="2" t="str">
        <f t="shared" si="9"/>
        <v>Conforme</v>
      </c>
      <c r="M322" s="2" t="s">
        <v>448</v>
      </c>
      <c r="N322" s="12">
        <v>45754</v>
      </c>
      <c r="O322" s="2" t="s">
        <v>461</v>
      </c>
    </row>
    <row r="323" spans="1:15" x14ac:dyDescent="0.25">
      <c r="A323" s="3" t="s">
        <v>810</v>
      </c>
      <c r="B323" s="3" t="s">
        <v>399</v>
      </c>
      <c r="C323" s="3" t="s">
        <v>806</v>
      </c>
      <c r="D323" s="3" t="s">
        <v>41</v>
      </c>
      <c r="E323" s="3" t="s">
        <v>273</v>
      </c>
      <c r="F323" s="3" t="s">
        <v>135</v>
      </c>
      <c r="G323" s="3" t="s">
        <v>120</v>
      </c>
      <c r="H323" s="3" t="s">
        <v>108</v>
      </c>
      <c r="I323" s="3">
        <v>4</v>
      </c>
      <c r="J323" s="3">
        <v>4</v>
      </c>
      <c r="K323" s="3">
        <f t="shared" si="8"/>
        <v>0</v>
      </c>
      <c r="L323" s="3" t="str">
        <f t="shared" si="9"/>
        <v>Conforme</v>
      </c>
      <c r="M323" s="3" t="s">
        <v>446</v>
      </c>
      <c r="N323" s="11">
        <v>45751</v>
      </c>
      <c r="O323" s="3" t="s">
        <v>461</v>
      </c>
    </row>
    <row r="324" spans="1:15" ht="25.5" x14ac:dyDescent="0.25">
      <c r="A324" s="2" t="s">
        <v>811</v>
      </c>
      <c r="B324" s="2" t="s">
        <v>399</v>
      </c>
      <c r="C324" s="2" t="s">
        <v>806</v>
      </c>
      <c r="D324" s="2" t="s">
        <v>41</v>
      </c>
      <c r="E324" s="2" t="s">
        <v>273</v>
      </c>
      <c r="F324" s="2" t="s">
        <v>152</v>
      </c>
      <c r="G324" s="2" t="s">
        <v>141</v>
      </c>
      <c r="H324" s="2" t="s">
        <v>108</v>
      </c>
      <c r="I324" s="2">
        <v>1</v>
      </c>
      <c r="J324" s="2"/>
      <c r="K324" s="2" t="str">
        <f t="shared" si="8"/>
        <v/>
      </c>
      <c r="L324" s="2" t="str">
        <f t="shared" si="9"/>
        <v>Bonus</v>
      </c>
      <c r="M324" s="2" t="s">
        <v>448</v>
      </c>
      <c r="N324" s="12">
        <v>45871</v>
      </c>
      <c r="O324" s="2"/>
    </row>
    <row r="325" spans="1:15" ht="25.5" x14ac:dyDescent="0.25">
      <c r="A325" s="3" t="s">
        <v>812</v>
      </c>
      <c r="B325" s="3" t="s">
        <v>399</v>
      </c>
      <c r="C325" s="3" t="s">
        <v>806</v>
      </c>
      <c r="D325" s="3" t="s">
        <v>41</v>
      </c>
      <c r="E325" s="3" t="s">
        <v>273</v>
      </c>
      <c r="F325" s="3" t="s">
        <v>160</v>
      </c>
      <c r="G325" s="3" t="s">
        <v>141</v>
      </c>
      <c r="H325" s="3" t="s">
        <v>108</v>
      </c>
      <c r="I325" s="3">
        <v>2</v>
      </c>
      <c r="J325" s="3"/>
      <c r="K325" s="3" t="str">
        <f t="shared" ref="K325:K388" si="10">IF(J325="","",I325-J325)</f>
        <v/>
      </c>
      <c r="L325" s="3" t="str">
        <f t="shared" ref="L325:L388" si="11">IF(J325="","Bonus",IF(K325&gt;=0,"Conforme",IF(K325=-1,"Ecart mineur","Ecart critique")))</f>
        <v>Bonus</v>
      </c>
      <c r="M325" s="3" t="s">
        <v>448</v>
      </c>
      <c r="N325" s="11">
        <v>45831</v>
      </c>
      <c r="O325" s="3"/>
    </row>
    <row r="326" spans="1:15" x14ac:dyDescent="0.25">
      <c r="A326" s="2" t="s">
        <v>813</v>
      </c>
      <c r="B326" s="2" t="s">
        <v>399</v>
      </c>
      <c r="C326" s="2" t="s">
        <v>806</v>
      </c>
      <c r="D326" s="2" t="s">
        <v>41</v>
      </c>
      <c r="E326" s="2" t="s">
        <v>273</v>
      </c>
      <c r="F326" s="2" t="s">
        <v>186</v>
      </c>
      <c r="G326" s="2" t="s">
        <v>50</v>
      </c>
      <c r="H326" s="2" t="s">
        <v>108</v>
      </c>
      <c r="I326" s="2">
        <v>3</v>
      </c>
      <c r="J326" s="2"/>
      <c r="K326" s="2" t="str">
        <f t="shared" si="10"/>
        <v/>
      </c>
      <c r="L326" s="2" t="str">
        <f t="shared" si="11"/>
        <v>Bonus</v>
      </c>
      <c r="M326" s="2" t="s">
        <v>448</v>
      </c>
      <c r="N326" s="12">
        <v>45776</v>
      </c>
      <c r="O326" s="2"/>
    </row>
    <row r="327" spans="1:15" x14ac:dyDescent="0.25">
      <c r="A327" s="3" t="s">
        <v>814</v>
      </c>
      <c r="B327" s="3" t="s">
        <v>399</v>
      </c>
      <c r="C327" s="3" t="s">
        <v>806</v>
      </c>
      <c r="D327" s="3" t="s">
        <v>41</v>
      </c>
      <c r="E327" s="3" t="s">
        <v>273</v>
      </c>
      <c r="F327" s="3" t="s">
        <v>212</v>
      </c>
      <c r="G327" s="3" t="s">
        <v>214</v>
      </c>
      <c r="H327" s="3" t="s">
        <v>108</v>
      </c>
      <c r="I327" s="3">
        <v>4</v>
      </c>
      <c r="J327" s="3">
        <v>3</v>
      </c>
      <c r="K327" s="3">
        <f t="shared" si="10"/>
        <v>1</v>
      </c>
      <c r="L327" s="3" t="str">
        <f t="shared" si="11"/>
        <v>Conforme</v>
      </c>
      <c r="M327" s="3" t="s">
        <v>450</v>
      </c>
      <c r="N327" s="11">
        <v>45826</v>
      </c>
      <c r="O327" s="3" t="s">
        <v>461</v>
      </c>
    </row>
    <row r="328" spans="1:15" x14ac:dyDescent="0.25">
      <c r="A328" s="2" t="s">
        <v>815</v>
      </c>
      <c r="B328" s="2" t="s">
        <v>399</v>
      </c>
      <c r="C328" s="2" t="s">
        <v>806</v>
      </c>
      <c r="D328" s="2" t="s">
        <v>41</v>
      </c>
      <c r="E328" s="2" t="s">
        <v>273</v>
      </c>
      <c r="F328" s="2" t="s">
        <v>233</v>
      </c>
      <c r="G328" s="2" t="s">
        <v>214</v>
      </c>
      <c r="H328" s="2" t="s">
        <v>108</v>
      </c>
      <c r="I328" s="2">
        <v>5</v>
      </c>
      <c r="J328" s="2">
        <v>3</v>
      </c>
      <c r="K328" s="2">
        <f t="shared" si="10"/>
        <v>2</v>
      </c>
      <c r="L328" s="2" t="str">
        <f t="shared" si="11"/>
        <v>Conforme</v>
      </c>
      <c r="M328" s="2" t="s">
        <v>450</v>
      </c>
      <c r="N328" s="12">
        <v>45753</v>
      </c>
      <c r="O328" s="2" t="s">
        <v>461</v>
      </c>
    </row>
    <row r="329" spans="1:15" x14ac:dyDescent="0.25">
      <c r="A329" s="3" t="s">
        <v>816</v>
      </c>
      <c r="B329" s="3" t="s">
        <v>401</v>
      </c>
      <c r="C329" s="3" t="s">
        <v>817</v>
      </c>
      <c r="D329" s="3" t="s">
        <v>43</v>
      </c>
      <c r="E329" s="3" t="s">
        <v>277</v>
      </c>
      <c r="F329" s="3" t="s">
        <v>104</v>
      </c>
      <c r="G329" s="3" t="s">
        <v>99</v>
      </c>
      <c r="H329" s="3" t="s">
        <v>108</v>
      </c>
      <c r="I329" s="3">
        <v>2</v>
      </c>
      <c r="J329" s="3"/>
      <c r="K329" s="3" t="str">
        <f t="shared" si="10"/>
        <v/>
      </c>
      <c r="L329" s="3" t="str">
        <f t="shared" si="11"/>
        <v>Bonus</v>
      </c>
      <c r="M329" s="3" t="s">
        <v>446</v>
      </c>
      <c r="N329" s="11">
        <v>45933</v>
      </c>
      <c r="O329" s="3"/>
    </row>
    <row r="330" spans="1:15" ht="25.5" x14ac:dyDescent="0.25">
      <c r="A330" s="2" t="s">
        <v>818</v>
      </c>
      <c r="B330" s="2" t="s">
        <v>401</v>
      </c>
      <c r="C330" s="2" t="s">
        <v>817</v>
      </c>
      <c r="D330" s="2" t="s">
        <v>43</v>
      </c>
      <c r="E330" s="2" t="s">
        <v>277</v>
      </c>
      <c r="F330" s="2" t="s">
        <v>139</v>
      </c>
      <c r="G330" s="2" t="s">
        <v>141</v>
      </c>
      <c r="H330" s="2" t="s">
        <v>145</v>
      </c>
      <c r="I330" s="2">
        <v>5</v>
      </c>
      <c r="J330" s="2">
        <v>3</v>
      </c>
      <c r="K330" s="2">
        <f t="shared" si="10"/>
        <v>2</v>
      </c>
      <c r="L330" s="2" t="str">
        <f t="shared" si="11"/>
        <v>Conforme</v>
      </c>
      <c r="M330" s="2" t="s">
        <v>448</v>
      </c>
      <c r="N330" s="12">
        <v>46036</v>
      </c>
      <c r="O330" s="2" t="s">
        <v>461</v>
      </c>
    </row>
    <row r="331" spans="1:15" ht="25.5" x14ac:dyDescent="0.25">
      <c r="A331" s="3" t="s">
        <v>819</v>
      </c>
      <c r="B331" s="3" t="s">
        <v>401</v>
      </c>
      <c r="C331" s="3" t="s">
        <v>817</v>
      </c>
      <c r="D331" s="3" t="s">
        <v>43</v>
      </c>
      <c r="E331" s="3" t="s">
        <v>277</v>
      </c>
      <c r="F331" s="3" t="s">
        <v>146</v>
      </c>
      <c r="G331" s="3" t="s">
        <v>141</v>
      </c>
      <c r="H331" s="3" t="s">
        <v>103</v>
      </c>
      <c r="I331" s="3">
        <v>5</v>
      </c>
      <c r="J331" s="3">
        <v>4</v>
      </c>
      <c r="K331" s="3">
        <f t="shared" si="10"/>
        <v>1</v>
      </c>
      <c r="L331" s="3" t="str">
        <f t="shared" si="11"/>
        <v>Conforme</v>
      </c>
      <c r="M331" s="3" t="s">
        <v>450</v>
      </c>
      <c r="N331" s="11">
        <v>45840</v>
      </c>
      <c r="O331" s="3" t="s">
        <v>461</v>
      </c>
    </row>
    <row r="332" spans="1:15" ht="25.5" x14ac:dyDescent="0.25">
      <c r="A332" s="2" t="s">
        <v>820</v>
      </c>
      <c r="B332" s="2" t="s">
        <v>401</v>
      </c>
      <c r="C332" s="2" t="s">
        <v>817</v>
      </c>
      <c r="D332" s="2" t="s">
        <v>43</v>
      </c>
      <c r="E332" s="2" t="s">
        <v>277</v>
      </c>
      <c r="F332" s="2" t="s">
        <v>152</v>
      </c>
      <c r="G332" s="2" t="s">
        <v>141</v>
      </c>
      <c r="H332" s="2" t="s">
        <v>108</v>
      </c>
      <c r="I332" s="2">
        <v>2</v>
      </c>
      <c r="J332" s="2"/>
      <c r="K332" s="2" t="str">
        <f t="shared" si="10"/>
        <v/>
      </c>
      <c r="L332" s="2" t="str">
        <f t="shared" si="11"/>
        <v>Bonus</v>
      </c>
      <c r="M332" s="2" t="s">
        <v>450</v>
      </c>
      <c r="N332" s="12">
        <v>45964</v>
      </c>
      <c r="O332" s="2"/>
    </row>
    <row r="333" spans="1:15" ht="25.5" x14ac:dyDescent="0.25">
      <c r="A333" s="3" t="s">
        <v>821</v>
      </c>
      <c r="B333" s="3" t="s">
        <v>401</v>
      </c>
      <c r="C333" s="3" t="s">
        <v>817</v>
      </c>
      <c r="D333" s="3" t="s">
        <v>43</v>
      </c>
      <c r="E333" s="3" t="s">
        <v>277</v>
      </c>
      <c r="F333" s="3" t="s">
        <v>160</v>
      </c>
      <c r="G333" s="3" t="s">
        <v>141</v>
      </c>
      <c r="H333" s="3" t="s">
        <v>108</v>
      </c>
      <c r="I333" s="3">
        <v>5</v>
      </c>
      <c r="J333" s="3">
        <v>3</v>
      </c>
      <c r="K333" s="3">
        <f t="shared" si="10"/>
        <v>2</v>
      </c>
      <c r="L333" s="3" t="str">
        <f t="shared" si="11"/>
        <v>Conforme</v>
      </c>
      <c r="M333" s="3" t="s">
        <v>446</v>
      </c>
      <c r="N333" s="11">
        <v>45930</v>
      </c>
      <c r="O333" s="3" t="s">
        <v>461</v>
      </c>
    </row>
    <row r="334" spans="1:15" x14ac:dyDescent="0.25">
      <c r="A334" s="2" t="s">
        <v>822</v>
      </c>
      <c r="B334" s="2" t="s">
        <v>401</v>
      </c>
      <c r="C334" s="2" t="s">
        <v>817</v>
      </c>
      <c r="D334" s="2" t="s">
        <v>43</v>
      </c>
      <c r="E334" s="2" t="s">
        <v>277</v>
      </c>
      <c r="F334" s="2" t="s">
        <v>171</v>
      </c>
      <c r="G334" s="2" t="s">
        <v>167</v>
      </c>
      <c r="H334" s="2" t="s">
        <v>108</v>
      </c>
      <c r="I334" s="2">
        <v>3</v>
      </c>
      <c r="J334" s="2"/>
      <c r="K334" s="2" t="str">
        <f t="shared" si="10"/>
        <v/>
      </c>
      <c r="L334" s="2" t="str">
        <f t="shared" si="11"/>
        <v>Bonus</v>
      </c>
      <c r="M334" s="2" t="s">
        <v>446</v>
      </c>
      <c r="N334" s="12">
        <v>45900</v>
      </c>
      <c r="O334" s="2"/>
    </row>
    <row r="335" spans="1:15" x14ac:dyDescent="0.25">
      <c r="A335" s="3" t="s">
        <v>823</v>
      </c>
      <c r="B335" s="3" t="s">
        <v>401</v>
      </c>
      <c r="C335" s="3" t="s">
        <v>817</v>
      </c>
      <c r="D335" s="3" t="s">
        <v>43</v>
      </c>
      <c r="E335" s="3" t="s">
        <v>277</v>
      </c>
      <c r="F335" s="3" t="s">
        <v>202</v>
      </c>
      <c r="G335" s="3" t="s">
        <v>50</v>
      </c>
      <c r="H335" s="3" t="s">
        <v>108</v>
      </c>
      <c r="I335" s="3">
        <v>3</v>
      </c>
      <c r="J335" s="3">
        <v>2</v>
      </c>
      <c r="K335" s="3">
        <f t="shared" si="10"/>
        <v>1</v>
      </c>
      <c r="L335" s="3" t="str">
        <f t="shared" si="11"/>
        <v>Conforme</v>
      </c>
      <c r="M335" s="3" t="s">
        <v>446</v>
      </c>
      <c r="N335" s="11">
        <v>46024</v>
      </c>
      <c r="O335" s="3"/>
    </row>
    <row r="336" spans="1:15" x14ac:dyDescent="0.25">
      <c r="A336" s="2" t="s">
        <v>824</v>
      </c>
      <c r="B336" s="2" t="s">
        <v>401</v>
      </c>
      <c r="C336" s="2" t="s">
        <v>817</v>
      </c>
      <c r="D336" s="2" t="s">
        <v>43</v>
      </c>
      <c r="E336" s="2" t="s">
        <v>277</v>
      </c>
      <c r="F336" s="2" t="s">
        <v>228</v>
      </c>
      <c r="G336" s="2" t="s">
        <v>214</v>
      </c>
      <c r="H336" s="2" t="s">
        <v>108</v>
      </c>
      <c r="I336" s="2">
        <v>3</v>
      </c>
      <c r="J336" s="2">
        <v>2</v>
      </c>
      <c r="K336" s="2">
        <f t="shared" si="10"/>
        <v>1</v>
      </c>
      <c r="L336" s="2" t="str">
        <f t="shared" si="11"/>
        <v>Conforme</v>
      </c>
      <c r="M336" s="2" t="s">
        <v>448</v>
      </c>
      <c r="N336" s="12">
        <v>45840</v>
      </c>
      <c r="O336" s="2"/>
    </row>
    <row r="337" spans="1:15" ht="25.5" x14ac:dyDescent="0.25">
      <c r="A337" s="3" t="s">
        <v>825</v>
      </c>
      <c r="B337" s="3" t="s">
        <v>403</v>
      </c>
      <c r="C337" s="3" t="s">
        <v>826</v>
      </c>
      <c r="D337" s="3" t="s">
        <v>35</v>
      </c>
      <c r="E337" s="3" t="s">
        <v>282</v>
      </c>
      <c r="F337" s="3" t="s">
        <v>139</v>
      </c>
      <c r="G337" s="3" t="s">
        <v>141</v>
      </c>
      <c r="H337" s="3" t="s">
        <v>145</v>
      </c>
      <c r="I337" s="3">
        <v>3</v>
      </c>
      <c r="J337" s="3">
        <v>4</v>
      </c>
      <c r="K337" s="3">
        <f t="shared" si="10"/>
        <v>-1</v>
      </c>
      <c r="L337" s="3" t="str">
        <f t="shared" si="11"/>
        <v>Ecart mineur</v>
      </c>
      <c r="M337" s="3" t="s">
        <v>450</v>
      </c>
      <c r="N337" s="11">
        <v>45815</v>
      </c>
      <c r="O337" s="3"/>
    </row>
    <row r="338" spans="1:15" ht="25.5" x14ac:dyDescent="0.25">
      <c r="A338" s="2" t="s">
        <v>827</v>
      </c>
      <c r="B338" s="2" t="s">
        <v>403</v>
      </c>
      <c r="C338" s="2" t="s">
        <v>826</v>
      </c>
      <c r="D338" s="2" t="s">
        <v>35</v>
      </c>
      <c r="E338" s="2" t="s">
        <v>282</v>
      </c>
      <c r="F338" s="2" t="s">
        <v>149</v>
      </c>
      <c r="G338" s="2" t="s">
        <v>141</v>
      </c>
      <c r="H338" s="2" t="s">
        <v>145</v>
      </c>
      <c r="I338" s="2">
        <v>4</v>
      </c>
      <c r="J338" s="2">
        <v>3</v>
      </c>
      <c r="K338" s="2">
        <f t="shared" si="10"/>
        <v>1</v>
      </c>
      <c r="L338" s="2" t="str">
        <f t="shared" si="11"/>
        <v>Conforme</v>
      </c>
      <c r="M338" s="2" t="s">
        <v>446</v>
      </c>
      <c r="N338" s="12">
        <v>46045</v>
      </c>
      <c r="O338" s="2" t="s">
        <v>461</v>
      </c>
    </row>
    <row r="339" spans="1:15" ht="25.5" x14ac:dyDescent="0.25">
      <c r="A339" s="3" t="s">
        <v>828</v>
      </c>
      <c r="B339" s="3" t="s">
        <v>403</v>
      </c>
      <c r="C339" s="3" t="s">
        <v>826</v>
      </c>
      <c r="D339" s="3" t="s">
        <v>35</v>
      </c>
      <c r="E339" s="3" t="s">
        <v>282</v>
      </c>
      <c r="F339" s="3" t="s">
        <v>160</v>
      </c>
      <c r="G339" s="3" t="s">
        <v>141</v>
      </c>
      <c r="H339" s="3" t="s">
        <v>108</v>
      </c>
      <c r="I339" s="3">
        <v>2</v>
      </c>
      <c r="J339" s="3">
        <v>2</v>
      </c>
      <c r="K339" s="3">
        <f t="shared" si="10"/>
        <v>0</v>
      </c>
      <c r="L339" s="3" t="str">
        <f t="shared" si="11"/>
        <v>Conforme</v>
      </c>
      <c r="M339" s="3" t="s">
        <v>446</v>
      </c>
      <c r="N339" s="11">
        <v>45791</v>
      </c>
      <c r="O339" s="3"/>
    </row>
    <row r="340" spans="1:15" x14ac:dyDescent="0.25">
      <c r="A340" s="2" t="s">
        <v>829</v>
      </c>
      <c r="B340" s="2" t="s">
        <v>403</v>
      </c>
      <c r="C340" s="2" t="s">
        <v>826</v>
      </c>
      <c r="D340" s="2" t="s">
        <v>35</v>
      </c>
      <c r="E340" s="2" t="s">
        <v>282</v>
      </c>
      <c r="F340" s="2" t="s">
        <v>223</v>
      </c>
      <c r="G340" s="2" t="s">
        <v>214</v>
      </c>
      <c r="H340" s="2" t="s">
        <v>145</v>
      </c>
      <c r="I340" s="2">
        <v>2</v>
      </c>
      <c r="J340" s="2"/>
      <c r="K340" s="2" t="str">
        <f t="shared" si="10"/>
        <v/>
      </c>
      <c r="L340" s="2" t="str">
        <f t="shared" si="11"/>
        <v>Bonus</v>
      </c>
      <c r="M340" s="2" t="s">
        <v>446</v>
      </c>
      <c r="N340" s="12">
        <v>45927</v>
      </c>
      <c r="O340" s="2"/>
    </row>
    <row r="341" spans="1:15" x14ac:dyDescent="0.25">
      <c r="A341" s="3" t="s">
        <v>830</v>
      </c>
      <c r="B341" s="3" t="s">
        <v>403</v>
      </c>
      <c r="C341" s="3" t="s">
        <v>826</v>
      </c>
      <c r="D341" s="3" t="s">
        <v>35</v>
      </c>
      <c r="E341" s="3" t="s">
        <v>282</v>
      </c>
      <c r="F341" s="3" t="s">
        <v>228</v>
      </c>
      <c r="G341" s="3" t="s">
        <v>214</v>
      </c>
      <c r="H341" s="3" t="s">
        <v>108</v>
      </c>
      <c r="I341" s="3">
        <v>1</v>
      </c>
      <c r="J341" s="3">
        <v>2</v>
      </c>
      <c r="K341" s="3">
        <f t="shared" si="10"/>
        <v>-1</v>
      </c>
      <c r="L341" s="3" t="str">
        <f t="shared" si="11"/>
        <v>Ecart mineur</v>
      </c>
      <c r="M341" s="3" t="s">
        <v>450</v>
      </c>
      <c r="N341" s="11">
        <v>45882</v>
      </c>
      <c r="O341" s="3"/>
    </row>
    <row r="342" spans="1:15" ht="25.5" x14ac:dyDescent="0.25">
      <c r="A342" s="2" t="s">
        <v>831</v>
      </c>
      <c r="B342" s="2" t="s">
        <v>405</v>
      </c>
      <c r="C342" s="2" t="s">
        <v>832</v>
      </c>
      <c r="D342" s="2" t="s">
        <v>37</v>
      </c>
      <c r="E342" s="2" t="s">
        <v>286</v>
      </c>
      <c r="F342" s="2" t="s">
        <v>109</v>
      </c>
      <c r="G342" s="2" t="s">
        <v>99</v>
      </c>
      <c r="H342" s="2" t="s">
        <v>103</v>
      </c>
      <c r="I342" s="2">
        <v>2</v>
      </c>
      <c r="J342" s="2"/>
      <c r="K342" s="2" t="str">
        <f t="shared" si="10"/>
        <v/>
      </c>
      <c r="L342" s="2" t="str">
        <f t="shared" si="11"/>
        <v>Bonus</v>
      </c>
      <c r="M342" s="2" t="s">
        <v>446</v>
      </c>
      <c r="N342" s="12">
        <v>46052</v>
      </c>
      <c r="O342" s="2"/>
    </row>
    <row r="343" spans="1:15" ht="25.5" x14ac:dyDescent="0.25">
      <c r="A343" s="3" t="s">
        <v>833</v>
      </c>
      <c r="B343" s="3" t="s">
        <v>405</v>
      </c>
      <c r="C343" s="3" t="s">
        <v>832</v>
      </c>
      <c r="D343" s="3" t="s">
        <v>37</v>
      </c>
      <c r="E343" s="3" t="s">
        <v>286</v>
      </c>
      <c r="F343" s="3" t="s">
        <v>124</v>
      </c>
      <c r="G343" s="3" t="s">
        <v>120</v>
      </c>
      <c r="H343" s="3" t="s">
        <v>108</v>
      </c>
      <c r="I343" s="3">
        <v>2</v>
      </c>
      <c r="J343" s="3"/>
      <c r="K343" s="3" t="str">
        <f t="shared" si="10"/>
        <v/>
      </c>
      <c r="L343" s="3" t="str">
        <f t="shared" si="11"/>
        <v>Bonus</v>
      </c>
      <c r="M343" s="3" t="s">
        <v>450</v>
      </c>
      <c r="N343" s="11">
        <v>46068</v>
      </c>
      <c r="O343" s="3"/>
    </row>
    <row r="344" spans="1:15" ht="25.5" x14ac:dyDescent="0.25">
      <c r="A344" s="2" t="s">
        <v>834</v>
      </c>
      <c r="B344" s="2" t="s">
        <v>405</v>
      </c>
      <c r="C344" s="2" t="s">
        <v>832</v>
      </c>
      <c r="D344" s="2" t="s">
        <v>37</v>
      </c>
      <c r="E344" s="2" t="s">
        <v>286</v>
      </c>
      <c r="F344" s="2" t="s">
        <v>165</v>
      </c>
      <c r="G344" s="2" t="s">
        <v>167</v>
      </c>
      <c r="H344" s="2" t="s">
        <v>103</v>
      </c>
      <c r="I344" s="2">
        <v>5</v>
      </c>
      <c r="J344" s="2">
        <v>4</v>
      </c>
      <c r="K344" s="2">
        <f t="shared" si="10"/>
        <v>1</v>
      </c>
      <c r="L344" s="2" t="str">
        <f t="shared" si="11"/>
        <v>Conforme</v>
      </c>
      <c r="M344" s="2" t="s">
        <v>448</v>
      </c>
      <c r="N344" s="12">
        <v>45892</v>
      </c>
      <c r="O344" s="2" t="s">
        <v>461</v>
      </c>
    </row>
    <row r="345" spans="1:15" ht="25.5" x14ac:dyDescent="0.25">
      <c r="A345" s="3" t="s">
        <v>835</v>
      </c>
      <c r="B345" s="3" t="s">
        <v>405</v>
      </c>
      <c r="C345" s="3" t="s">
        <v>832</v>
      </c>
      <c r="D345" s="3" t="s">
        <v>37</v>
      </c>
      <c r="E345" s="3" t="s">
        <v>286</v>
      </c>
      <c r="F345" s="3" t="s">
        <v>181</v>
      </c>
      <c r="G345" s="3" t="s">
        <v>167</v>
      </c>
      <c r="H345" s="3" t="s">
        <v>103</v>
      </c>
      <c r="I345" s="3">
        <v>3</v>
      </c>
      <c r="J345" s="3">
        <v>3</v>
      </c>
      <c r="K345" s="3">
        <f t="shared" si="10"/>
        <v>0</v>
      </c>
      <c r="L345" s="3" t="str">
        <f t="shared" si="11"/>
        <v>Conforme</v>
      </c>
      <c r="M345" s="3" t="s">
        <v>450</v>
      </c>
      <c r="N345" s="11">
        <v>45750</v>
      </c>
      <c r="O345" s="3"/>
    </row>
    <row r="346" spans="1:15" ht="25.5" x14ac:dyDescent="0.25">
      <c r="A346" s="2" t="s">
        <v>836</v>
      </c>
      <c r="B346" s="2" t="s">
        <v>405</v>
      </c>
      <c r="C346" s="2" t="s">
        <v>832</v>
      </c>
      <c r="D346" s="2" t="s">
        <v>37</v>
      </c>
      <c r="E346" s="2" t="s">
        <v>286</v>
      </c>
      <c r="F346" s="2" t="s">
        <v>218</v>
      </c>
      <c r="G346" s="2" t="s">
        <v>214</v>
      </c>
      <c r="H346" s="2" t="s">
        <v>108</v>
      </c>
      <c r="I346" s="2">
        <v>2</v>
      </c>
      <c r="J346" s="2">
        <v>2</v>
      </c>
      <c r="K346" s="2">
        <f t="shared" si="10"/>
        <v>0</v>
      </c>
      <c r="L346" s="2" t="str">
        <f t="shared" si="11"/>
        <v>Conforme</v>
      </c>
      <c r="M346" s="2" t="s">
        <v>446</v>
      </c>
      <c r="N346" s="12">
        <v>45847</v>
      </c>
      <c r="O346" s="2"/>
    </row>
    <row r="347" spans="1:15" ht="25.5" x14ac:dyDescent="0.25">
      <c r="A347" s="3" t="s">
        <v>837</v>
      </c>
      <c r="B347" s="3" t="s">
        <v>405</v>
      </c>
      <c r="C347" s="3" t="s">
        <v>832</v>
      </c>
      <c r="D347" s="3" t="s">
        <v>37</v>
      </c>
      <c r="E347" s="3" t="s">
        <v>286</v>
      </c>
      <c r="F347" s="3" t="s">
        <v>223</v>
      </c>
      <c r="G347" s="3" t="s">
        <v>214</v>
      </c>
      <c r="H347" s="3" t="s">
        <v>145</v>
      </c>
      <c r="I347" s="3">
        <v>3</v>
      </c>
      <c r="J347" s="3">
        <v>2</v>
      </c>
      <c r="K347" s="3">
        <f t="shared" si="10"/>
        <v>1</v>
      </c>
      <c r="L347" s="3" t="str">
        <f t="shared" si="11"/>
        <v>Conforme</v>
      </c>
      <c r="M347" s="3" t="s">
        <v>450</v>
      </c>
      <c r="N347" s="11">
        <v>45812</v>
      </c>
      <c r="O347" s="3"/>
    </row>
    <row r="348" spans="1:15" ht="25.5" x14ac:dyDescent="0.25">
      <c r="A348" s="2" t="s">
        <v>838</v>
      </c>
      <c r="B348" s="2" t="s">
        <v>405</v>
      </c>
      <c r="C348" s="2" t="s">
        <v>832</v>
      </c>
      <c r="D348" s="2" t="s">
        <v>37</v>
      </c>
      <c r="E348" s="2" t="s">
        <v>286</v>
      </c>
      <c r="F348" s="2" t="s">
        <v>228</v>
      </c>
      <c r="G348" s="2" t="s">
        <v>214</v>
      </c>
      <c r="H348" s="2" t="s">
        <v>108</v>
      </c>
      <c r="I348" s="2">
        <v>2</v>
      </c>
      <c r="J348" s="2">
        <v>2</v>
      </c>
      <c r="K348" s="2">
        <f t="shared" si="10"/>
        <v>0</v>
      </c>
      <c r="L348" s="2" t="str">
        <f t="shared" si="11"/>
        <v>Conforme</v>
      </c>
      <c r="M348" s="2" t="s">
        <v>450</v>
      </c>
      <c r="N348" s="12">
        <v>45958</v>
      </c>
      <c r="O348" s="2"/>
    </row>
    <row r="349" spans="1:15" x14ac:dyDescent="0.25">
      <c r="A349" s="3" t="s">
        <v>839</v>
      </c>
      <c r="B349" s="3" t="s">
        <v>407</v>
      </c>
      <c r="C349" s="3" t="s">
        <v>840</v>
      </c>
      <c r="D349" s="3" t="s">
        <v>39</v>
      </c>
      <c r="E349" s="3" t="s">
        <v>290</v>
      </c>
      <c r="F349" s="3" t="s">
        <v>135</v>
      </c>
      <c r="G349" s="3" t="s">
        <v>120</v>
      </c>
      <c r="H349" s="3" t="s">
        <v>108</v>
      </c>
      <c r="I349" s="3">
        <v>1</v>
      </c>
      <c r="J349" s="3"/>
      <c r="K349" s="3" t="str">
        <f t="shared" si="10"/>
        <v/>
      </c>
      <c r="L349" s="3" t="str">
        <f t="shared" si="11"/>
        <v>Bonus</v>
      </c>
      <c r="M349" s="3" t="s">
        <v>448</v>
      </c>
      <c r="N349" s="11">
        <v>46050</v>
      </c>
      <c r="O349" s="3"/>
    </row>
    <row r="350" spans="1:15" ht="25.5" x14ac:dyDescent="0.25">
      <c r="A350" s="2" t="s">
        <v>841</v>
      </c>
      <c r="B350" s="2" t="s">
        <v>407</v>
      </c>
      <c r="C350" s="2" t="s">
        <v>840</v>
      </c>
      <c r="D350" s="2" t="s">
        <v>39</v>
      </c>
      <c r="E350" s="2" t="s">
        <v>290</v>
      </c>
      <c r="F350" s="2" t="s">
        <v>160</v>
      </c>
      <c r="G350" s="2" t="s">
        <v>141</v>
      </c>
      <c r="H350" s="2" t="s">
        <v>108</v>
      </c>
      <c r="I350" s="2">
        <v>2</v>
      </c>
      <c r="J350" s="2"/>
      <c r="K350" s="2" t="str">
        <f t="shared" si="10"/>
        <v/>
      </c>
      <c r="L350" s="2" t="str">
        <f t="shared" si="11"/>
        <v>Bonus</v>
      </c>
      <c r="M350" s="2" t="s">
        <v>446</v>
      </c>
      <c r="N350" s="12">
        <v>45965</v>
      </c>
      <c r="O350" s="2"/>
    </row>
    <row r="351" spans="1:15" x14ac:dyDescent="0.25">
      <c r="A351" s="3" t="s">
        <v>842</v>
      </c>
      <c r="B351" s="3" t="s">
        <v>407</v>
      </c>
      <c r="C351" s="3" t="s">
        <v>840</v>
      </c>
      <c r="D351" s="3" t="s">
        <v>39</v>
      </c>
      <c r="E351" s="3" t="s">
        <v>290</v>
      </c>
      <c r="F351" s="3" t="s">
        <v>171</v>
      </c>
      <c r="G351" s="3" t="s">
        <v>167</v>
      </c>
      <c r="H351" s="3" t="s">
        <v>108</v>
      </c>
      <c r="I351" s="3">
        <v>3</v>
      </c>
      <c r="J351" s="3">
        <v>4</v>
      </c>
      <c r="K351" s="3">
        <f t="shared" si="10"/>
        <v>-1</v>
      </c>
      <c r="L351" s="3" t="str">
        <f t="shared" si="11"/>
        <v>Ecart mineur</v>
      </c>
      <c r="M351" s="3" t="s">
        <v>446</v>
      </c>
      <c r="N351" s="11">
        <v>46013</v>
      </c>
      <c r="O351" s="3"/>
    </row>
    <row r="352" spans="1:15" x14ac:dyDescent="0.25">
      <c r="A352" s="2" t="s">
        <v>843</v>
      </c>
      <c r="B352" s="2" t="s">
        <v>407</v>
      </c>
      <c r="C352" s="2" t="s">
        <v>840</v>
      </c>
      <c r="D352" s="2" t="s">
        <v>39</v>
      </c>
      <c r="E352" s="2" t="s">
        <v>290</v>
      </c>
      <c r="F352" s="2" t="s">
        <v>176</v>
      </c>
      <c r="G352" s="2" t="s">
        <v>167</v>
      </c>
      <c r="H352" s="2" t="s">
        <v>108</v>
      </c>
      <c r="I352" s="2">
        <v>3</v>
      </c>
      <c r="J352" s="2">
        <v>3</v>
      </c>
      <c r="K352" s="2">
        <f t="shared" si="10"/>
        <v>0</v>
      </c>
      <c r="L352" s="2" t="str">
        <f t="shared" si="11"/>
        <v>Conforme</v>
      </c>
      <c r="M352" s="2" t="s">
        <v>446</v>
      </c>
      <c r="N352" s="12">
        <v>45965</v>
      </c>
      <c r="O352" s="2"/>
    </row>
    <row r="353" spans="1:15" x14ac:dyDescent="0.25">
      <c r="A353" s="3" t="s">
        <v>844</v>
      </c>
      <c r="B353" s="3" t="s">
        <v>407</v>
      </c>
      <c r="C353" s="3" t="s">
        <v>840</v>
      </c>
      <c r="D353" s="3" t="s">
        <v>39</v>
      </c>
      <c r="E353" s="3" t="s">
        <v>290</v>
      </c>
      <c r="F353" s="3" t="s">
        <v>181</v>
      </c>
      <c r="G353" s="3" t="s">
        <v>167</v>
      </c>
      <c r="H353" s="3" t="s">
        <v>103</v>
      </c>
      <c r="I353" s="3">
        <v>3</v>
      </c>
      <c r="J353" s="3">
        <v>2</v>
      </c>
      <c r="K353" s="3">
        <f t="shared" si="10"/>
        <v>1</v>
      </c>
      <c r="L353" s="3" t="str">
        <f t="shared" si="11"/>
        <v>Conforme</v>
      </c>
      <c r="M353" s="3" t="s">
        <v>446</v>
      </c>
      <c r="N353" s="11">
        <v>45789</v>
      </c>
      <c r="O353" s="3"/>
    </row>
    <row r="354" spans="1:15" x14ac:dyDescent="0.25">
      <c r="A354" s="2" t="s">
        <v>845</v>
      </c>
      <c r="B354" s="2" t="s">
        <v>407</v>
      </c>
      <c r="C354" s="2" t="s">
        <v>840</v>
      </c>
      <c r="D354" s="2" t="s">
        <v>39</v>
      </c>
      <c r="E354" s="2" t="s">
        <v>290</v>
      </c>
      <c r="F354" s="2" t="s">
        <v>228</v>
      </c>
      <c r="G354" s="2" t="s">
        <v>214</v>
      </c>
      <c r="H354" s="2" t="s">
        <v>108</v>
      </c>
      <c r="I354" s="2">
        <v>2</v>
      </c>
      <c r="J354" s="2">
        <v>2</v>
      </c>
      <c r="K354" s="2">
        <f t="shared" si="10"/>
        <v>0</v>
      </c>
      <c r="L354" s="2" t="str">
        <f t="shared" si="11"/>
        <v>Conforme</v>
      </c>
      <c r="M354" s="2" t="s">
        <v>446</v>
      </c>
      <c r="N354" s="12">
        <v>45764</v>
      </c>
      <c r="O354" s="2"/>
    </row>
    <row r="355" spans="1:15" x14ac:dyDescent="0.25">
      <c r="A355" s="3" t="s">
        <v>846</v>
      </c>
      <c r="B355" s="3" t="s">
        <v>409</v>
      </c>
      <c r="C355" s="3" t="s">
        <v>847</v>
      </c>
      <c r="D355" s="3" t="s">
        <v>41</v>
      </c>
      <c r="E355" s="3" t="s">
        <v>295</v>
      </c>
      <c r="F355" s="3" t="s">
        <v>186</v>
      </c>
      <c r="G355" s="3" t="s">
        <v>50</v>
      </c>
      <c r="H355" s="3" t="s">
        <v>108</v>
      </c>
      <c r="I355" s="3">
        <v>5</v>
      </c>
      <c r="J355" s="3">
        <v>5</v>
      </c>
      <c r="K355" s="3">
        <f t="shared" si="10"/>
        <v>0</v>
      </c>
      <c r="L355" s="3" t="str">
        <f t="shared" si="11"/>
        <v>Conforme</v>
      </c>
      <c r="M355" s="3" t="s">
        <v>448</v>
      </c>
      <c r="N355" s="11">
        <v>45886</v>
      </c>
      <c r="O355" s="3" t="s">
        <v>461</v>
      </c>
    </row>
    <row r="356" spans="1:15" x14ac:dyDescent="0.25">
      <c r="A356" s="2" t="s">
        <v>848</v>
      </c>
      <c r="B356" s="2" t="s">
        <v>409</v>
      </c>
      <c r="C356" s="2" t="s">
        <v>847</v>
      </c>
      <c r="D356" s="2" t="s">
        <v>41</v>
      </c>
      <c r="E356" s="2" t="s">
        <v>295</v>
      </c>
      <c r="F356" s="2" t="s">
        <v>193</v>
      </c>
      <c r="G356" s="2" t="s">
        <v>50</v>
      </c>
      <c r="H356" s="2" t="s">
        <v>103</v>
      </c>
      <c r="I356" s="2">
        <v>3</v>
      </c>
      <c r="J356" s="2">
        <v>2</v>
      </c>
      <c r="K356" s="2">
        <f t="shared" si="10"/>
        <v>1</v>
      </c>
      <c r="L356" s="2" t="str">
        <f t="shared" si="11"/>
        <v>Conforme</v>
      </c>
      <c r="M356" s="2" t="s">
        <v>448</v>
      </c>
      <c r="N356" s="12">
        <v>45753</v>
      </c>
      <c r="O356" s="2"/>
    </row>
    <row r="357" spans="1:15" x14ac:dyDescent="0.25">
      <c r="A357" s="3" t="s">
        <v>849</v>
      </c>
      <c r="B357" s="3" t="s">
        <v>409</v>
      </c>
      <c r="C357" s="3" t="s">
        <v>847</v>
      </c>
      <c r="D357" s="3" t="s">
        <v>41</v>
      </c>
      <c r="E357" s="3" t="s">
        <v>295</v>
      </c>
      <c r="F357" s="3" t="s">
        <v>202</v>
      </c>
      <c r="G357" s="3" t="s">
        <v>50</v>
      </c>
      <c r="H357" s="3" t="s">
        <v>108</v>
      </c>
      <c r="I357" s="3">
        <v>5</v>
      </c>
      <c r="J357" s="3">
        <v>4</v>
      </c>
      <c r="K357" s="3">
        <f t="shared" si="10"/>
        <v>1</v>
      </c>
      <c r="L357" s="3" t="str">
        <f t="shared" si="11"/>
        <v>Conforme</v>
      </c>
      <c r="M357" s="3" t="s">
        <v>446</v>
      </c>
      <c r="N357" s="11">
        <v>46037</v>
      </c>
      <c r="O357" s="3" t="s">
        <v>461</v>
      </c>
    </row>
    <row r="358" spans="1:15" x14ac:dyDescent="0.25">
      <c r="A358" s="2" t="s">
        <v>850</v>
      </c>
      <c r="B358" s="2" t="s">
        <v>409</v>
      </c>
      <c r="C358" s="2" t="s">
        <v>847</v>
      </c>
      <c r="D358" s="2" t="s">
        <v>41</v>
      </c>
      <c r="E358" s="2" t="s">
        <v>295</v>
      </c>
      <c r="F358" s="2" t="s">
        <v>207</v>
      </c>
      <c r="G358" s="2" t="s">
        <v>50</v>
      </c>
      <c r="H358" s="2" t="s">
        <v>145</v>
      </c>
      <c r="I358" s="2">
        <v>3</v>
      </c>
      <c r="J358" s="2">
        <v>3</v>
      </c>
      <c r="K358" s="2">
        <f t="shared" si="10"/>
        <v>0</v>
      </c>
      <c r="L358" s="2" t="str">
        <f t="shared" si="11"/>
        <v>Conforme</v>
      </c>
      <c r="M358" s="2" t="s">
        <v>450</v>
      </c>
      <c r="N358" s="12">
        <v>46058</v>
      </c>
      <c r="O358" s="2"/>
    </row>
    <row r="359" spans="1:15" x14ac:dyDescent="0.25">
      <c r="A359" s="3" t="s">
        <v>851</v>
      </c>
      <c r="B359" s="3" t="s">
        <v>409</v>
      </c>
      <c r="C359" s="3" t="s">
        <v>847</v>
      </c>
      <c r="D359" s="3" t="s">
        <v>41</v>
      </c>
      <c r="E359" s="3" t="s">
        <v>295</v>
      </c>
      <c r="F359" s="3" t="s">
        <v>218</v>
      </c>
      <c r="G359" s="3" t="s">
        <v>214</v>
      </c>
      <c r="H359" s="3" t="s">
        <v>108</v>
      </c>
      <c r="I359" s="3">
        <v>2</v>
      </c>
      <c r="J359" s="3">
        <v>3</v>
      </c>
      <c r="K359" s="3">
        <f t="shared" si="10"/>
        <v>-1</v>
      </c>
      <c r="L359" s="3" t="str">
        <f t="shared" si="11"/>
        <v>Ecart mineur</v>
      </c>
      <c r="M359" s="3" t="s">
        <v>448</v>
      </c>
      <c r="N359" s="11">
        <v>46047</v>
      </c>
      <c r="O359" s="3"/>
    </row>
    <row r="360" spans="1:15" x14ac:dyDescent="0.25">
      <c r="A360" s="2" t="s">
        <v>852</v>
      </c>
      <c r="B360" s="2" t="s">
        <v>411</v>
      </c>
      <c r="C360" s="2" t="s">
        <v>853</v>
      </c>
      <c r="D360" s="2" t="s">
        <v>43</v>
      </c>
      <c r="E360" s="2" t="s">
        <v>300</v>
      </c>
      <c r="F360" s="2" t="s">
        <v>186</v>
      </c>
      <c r="G360" s="2" t="s">
        <v>50</v>
      </c>
      <c r="H360" s="2" t="s">
        <v>108</v>
      </c>
      <c r="I360" s="2">
        <v>3</v>
      </c>
      <c r="J360" s="2">
        <v>3</v>
      </c>
      <c r="K360" s="2">
        <f t="shared" si="10"/>
        <v>0</v>
      </c>
      <c r="L360" s="2" t="str">
        <f t="shared" si="11"/>
        <v>Conforme</v>
      </c>
      <c r="M360" s="2" t="s">
        <v>450</v>
      </c>
      <c r="N360" s="12">
        <v>45951</v>
      </c>
      <c r="O360" s="2"/>
    </row>
    <row r="361" spans="1:15" x14ac:dyDescent="0.25">
      <c r="A361" s="3" t="s">
        <v>854</v>
      </c>
      <c r="B361" s="3" t="s">
        <v>411</v>
      </c>
      <c r="C361" s="3" t="s">
        <v>853</v>
      </c>
      <c r="D361" s="3" t="s">
        <v>43</v>
      </c>
      <c r="E361" s="3" t="s">
        <v>300</v>
      </c>
      <c r="F361" s="3" t="s">
        <v>193</v>
      </c>
      <c r="G361" s="3" t="s">
        <v>50</v>
      </c>
      <c r="H361" s="3" t="s">
        <v>103</v>
      </c>
      <c r="I361" s="3">
        <v>5</v>
      </c>
      <c r="J361" s="3">
        <v>5</v>
      </c>
      <c r="K361" s="3">
        <f t="shared" si="10"/>
        <v>0</v>
      </c>
      <c r="L361" s="3" t="str">
        <f t="shared" si="11"/>
        <v>Conforme</v>
      </c>
      <c r="M361" s="3" t="s">
        <v>448</v>
      </c>
      <c r="N361" s="11">
        <v>45846</v>
      </c>
      <c r="O361" s="3" t="s">
        <v>461</v>
      </c>
    </row>
    <row r="362" spans="1:15" x14ac:dyDescent="0.25">
      <c r="A362" s="2" t="s">
        <v>855</v>
      </c>
      <c r="B362" s="2" t="s">
        <v>411</v>
      </c>
      <c r="C362" s="2" t="s">
        <v>853</v>
      </c>
      <c r="D362" s="2" t="s">
        <v>43</v>
      </c>
      <c r="E362" s="2" t="s">
        <v>300</v>
      </c>
      <c r="F362" s="2" t="s">
        <v>198</v>
      </c>
      <c r="G362" s="2" t="s">
        <v>50</v>
      </c>
      <c r="H362" s="2" t="s">
        <v>103</v>
      </c>
      <c r="I362" s="2">
        <v>5</v>
      </c>
      <c r="J362" s="2">
        <v>4</v>
      </c>
      <c r="K362" s="2">
        <f t="shared" si="10"/>
        <v>1</v>
      </c>
      <c r="L362" s="2" t="str">
        <f t="shared" si="11"/>
        <v>Conforme</v>
      </c>
      <c r="M362" s="2" t="s">
        <v>448</v>
      </c>
      <c r="N362" s="12">
        <v>45921</v>
      </c>
      <c r="O362" s="2" t="s">
        <v>461</v>
      </c>
    </row>
    <row r="363" spans="1:15" x14ac:dyDescent="0.25">
      <c r="A363" s="3" t="s">
        <v>856</v>
      </c>
      <c r="B363" s="3" t="s">
        <v>411</v>
      </c>
      <c r="C363" s="3" t="s">
        <v>853</v>
      </c>
      <c r="D363" s="3" t="s">
        <v>43</v>
      </c>
      <c r="E363" s="3" t="s">
        <v>300</v>
      </c>
      <c r="F363" s="3" t="s">
        <v>202</v>
      </c>
      <c r="G363" s="3" t="s">
        <v>50</v>
      </c>
      <c r="H363" s="3" t="s">
        <v>108</v>
      </c>
      <c r="I363" s="3">
        <v>4</v>
      </c>
      <c r="J363" s="3">
        <v>3</v>
      </c>
      <c r="K363" s="3">
        <f t="shared" si="10"/>
        <v>1</v>
      </c>
      <c r="L363" s="3" t="str">
        <f t="shared" si="11"/>
        <v>Conforme</v>
      </c>
      <c r="M363" s="3" t="s">
        <v>450</v>
      </c>
      <c r="N363" s="11">
        <v>45924</v>
      </c>
      <c r="O363" s="3" t="s">
        <v>461</v>
      </c>
    </row>
    <row r="364" spans="1:15" x14ac:dyDescent="0.25">
      <c r="A364" s="2" t="s">
        <v>857</v>
      </c>
      <c r="B364" s="2" t="s">
        <v>411</v>
      </c>
      <c r="C364" s="2" t="s">
        <v>853</v>
      </c>
      <c r="D364" s="2" t="s">
        <v>43</v>
      </c>
      <c r="E364" s="2" t="s">
        <v>300</v>
      </c>
      <c r="F364" s="2" t="s">
        <v>207</v>
      </c>
      <c r="G364" s="2" t="s">
        <v>50</v>
      </c>
      <c r="H364" s="2" t="s">
        <v>145</v>
      </c>
      <c r="I364" s="2">
        <v>1</v>
      </c>
      <c r="J364" s="2"/>
      <c r="K364" s="2" t="str">
        <f t="shared" si="10"/>
        <v/>
      </c>
      <c r="L364" s="2" t="str">
        <f t="shared" si="11"/>
        <v>Bonus</v>
      </c>
      <c r="M364" s="2" t="s">
        <v>448</v>
      </c>
      <c r="N364" s="12">
        <v>46010</v>
      </c>
      <c r="O364" s="2"/>
    </row>
    <row r="365" spans="1:15" x14ac:dyDescent="0.25">
      <c r="A365" s="3" t="s">
        <v>858</v>
      </c>
      <c r="B365" s="3" t="s">
        <v>411</v>
      </c>
      <c r="C365" s="3" t="s">
        <v>853</v>
      </c>
      <c r="D365" s="3" t="s">
        <v>43</v>
      </c>
      <c r="E365" s="3" t="s">
        <v>300</v>
      </c>
      <c r="F365" s="3" t="s">
        <v>218</v>
      </c>
      <c r="G365" s="3" t="s">
        <v>214</v>
      </c>
      <c r="H365" s="3" t="s">
        <v>108</v>
      </c>
      <c r="I365" s="3">
        <v>4</v>
      </c>
      <c r="J365" s="3">
        <v>3</v>
      </c>
      <c r="K365" s="3">
        <f t="shared" si="10"/>
        <v>1</v>
      </c>
      <c r="L365" s="3" t="str">
        <f t="shared" si="11"/>
        <v>Conforme</v>
      </c>
      <c r="M365" s="3" t="s">
        <v>448</v>
      </c>
      <c r="N365" s="11">
        <v>45933</v>
      </c>
      <c r="O365" s="3" t="s">
        <v>461</v>
      </c>
    </row>
    <row r="366" spans="1:15" x14ac:dyDescent="0.25">
      <c r="A366" s="2" t="s">
        <v>859</v>
      </c>
      <c r="B366" s="2" t="s">
        <v>413</v>
      </c>
      <c r="C366" s="2" t="s">
        <v>860</v>
      </c>
      <c r="D366" s="2" t="s">
        <v>35</v>
      </c>
      <c r="E366" s="2" t="s">
        <v>304</v>
      </c>
      <c r="F366" s="2" t="s">
        <v>186</v>
      </c>
      <c r="G366" s="2" t="s">
        <v>50</v>
      </c>
      <c r="H366" s="2" t="s">
        <v>108</v>
      </c>
      <c r="I366" s="2">
        <v>3</v>
      </c>
      <c r="J366" s="2"/>
      <c r="K366" s="2" t="str">
        <f t="shared" si="10"/>
        <v/>
      </c>
      <c r="L366" s="2" t="str">
        <f t="shared" si="11"/>
        <v>Bonus</v>
      </c>
      <c r="M366" s="2" t="s">
        <v>448</v>
      </c>
      <c r="N366" s="12">
        <v>46060</v>
      </c>
      <c r="O366" s="2"/>
    </row>
    <row r="367" spans="1:15" x14ac:dyDescent="0.25">
      <c r="A367" s="3" t="s">
        <v>861</v>
      </c>
      <c r="B367" s="3" t="s">
        <v>413</v>
      </c>
      <c r="C367" s="3" t="s">
        <v>860</v>
      </c>
      <c r="D367" s="3" t="s">
        <v>35</v>
      </c>
      <c r="E367" s="3" t="s">
        <v>304</v>
      </c>
      <c r="F367" s="3" t="s">
        <v>207</v>
      </c>
      <c r="G367" s="3" t="s">
        <v>50</v>
      </c>
      <c r="H367" s="3" t="s">
        <v>145</v>
      </c>
      <c r="I367" s="3">
        <v>2</v>
      </c>
      <c r="J367" s="3">
        <v>3</v>
      </c>
      <c r="K367" s="3">
        <f t="shared" si="10"/>
        <v>-1</v>
      </c>
      <c r="L367" s="3" t="str">
        <f t="shared" si="11"/>
        <v>Ecart mineur</v>
      </c>
      <c r="M367" s="3" t="s">
        <v>446</v>
      </c>
      <c r="N367" s="11">
        <v>45973</v>
      </c>
      <c r="O367" s="3"/>
    </row>
    <row r="368" spans="1:15" x14ac:dyDescent="0.25">
      <c r="A368" s="2" t="s">
        <v>862</v>
      </c>
      <c r="B368" s="2" t="s">
        <v>413</v>
      </c>
      <c r="C368" s="2" t="s">
        <v>860</v>
      </c>
      <c r="D368" s="2" t="s">
        <v>35</v>
      </c>
      <c r="E368" s="2" t="s">
        <v>304</v>
      </c>
      <c r="F368" s="2" t="s">
        <v>212</v>
      </c>
      <c r="G368" s="2" t="s">
        <v>214</v>
      </c>
      <c r="H368" s="2" t="s">
        <v>108</v>
      </c>
      <c r="I368" s="2">
        <v>5</v>
      </c>
      <c r="J368" s="2">
        <v>5</v>
      </c>
      <c r="K368" s="2">
        <f t="shared" si="10"/>
        <v>0</v>
      </c>
      <c r="L368" s="2" t="str">
        <f t="shared" si="11"/>
        <v>Conforme</v>
      </c>
      <c r="M368" s="2" t="s">
        <v>448</v>
      </c>
      <c r="N368" s="12">
        <v>45893</v>
      </c>
      <c r="O368" s="2" t="s">
        <v>461</v>
      </c>
    </row>
    <row r="369" spans="1:15" x14ac:dyDescent="0.25">
      <c r="A369" s="3" t="s">
        <v>863</v>
      </c>
      <c r="B369" s="3" t="s">
        <v>413</v>
      </c>
      <c r="C369" s="3" t="s">
        <v>860</v>
      </c>
      <c r="D369" s="3" t="s">
        <v>35</v>
      </c>
      <c r="E369" s="3" t="s">
        <v>304</v>
      </c>
      <c r="F369" s="3" t="s">
        <v>218</v>
      </c>
      <c r="G369" s="3" t="s">
        <v>214</v>
      </c>
      <c r="H369" s="3" t="s">
        <v>108</v>
      </c>
      <c r="I369" s="3">
        <v>5</v>
      </c>
      <c r="J369" s="3">
        <v>4</v>
      </c>
      <c r="K369" s="3">
        <f t="shared" si="10"/>
        <v>1</v>
      </c>
      <c r="L369" s="3" t="str">
        <f t="shared" si="11"/>
        <v>Conforme</v>
      </c>
      <c r="M369" s="3" t="s">
        <v>448</v>
      </c>
      <c r="N369" s="11">
        <v>45835</v>
      </c>
      <c r="O369" s="3" t="s">
        <v>461</v>
      </c>
    </row>
    <row r="370" spans="1:15" x14ac:dyDescent="0.25">
      <c r="A370" s="2" t="s">
        <v>864</v>
      </c>
      <c r="B370" s="2" t="s">
        <v>413</v>
      </c>
      <c r="C370" s="2" t="s">
        <v>860</v>
      </c>
      <c r="D370" s="2" t="s">
        <v>35</v>
      </c>
      <c r="E370" s="2" t="s">
        <v>304</v>
      </c>
      <c r="F370" s="2" t="s">
        <v>223</v>
      </c>
      <c r="G370" s="2" t="s">
        <v>214</v>
      </c>
      <c r="H370" s="2" t="s">
        <v>145</v>
      </c>
      <c r="I370" s="2">
        <v>2</v>
      </c>
      <c r="J370" s="2">
        <v>3</v>
      </c>
      <c r="K370" s="2">
        <f t="shared" si="10"/>
        <v>-1</v>
      </c>
      <c r="L370" s="2" t="str">
        <f t="shared" si="11"/>
        <v>Ecart mineur</v>
      </c>
      <c r="M370" s="2" t="s">
        <v>446</v>
      </c>
      <c r="N370" s="12">
        <v>45812</v>
      </c>
      <c r="O370" s="2"/>
    </row>
    <row r="371" spans="1:15" x14ac:dyDescent="0.25">
      <c r="A371" s="3" t="s">
        <v>865</v>
      </c>
      <c r="B371" s="3" t="s">
        <v>413</v>
      </c>
      <c r="C371" s="3" t="s">
        <v>860</v>
      </c>
      <c r="D371" s="3" t="s">
        <v>35</v>
      </c>
      <c r="E371" s="3" t="s">
        <v>304</v>
      </c>
      <c r="F371" s="3" t="s">
        <v>228</v>
      </c>
      <c r="G371" s="3" t="s">
        <v>214</v>
      </c>
      <c r="H371" s="3" t="s">
        <v>108</v>
      </c>
      <c r="I371" s="3">
        <v>4</v>
      </c>
      <c r="J371" s="3">
        <v>3</v>
      </c>
      <c r="K371" s="3">
        <f t="shared" si="10"/>
        <v>1</v>
      </c>
      <c r="L371" s="3" t="str">
        <f t="shared" si="11"/>
        <v>Conforme</v>
      </c>
      <c r="M371" s="3" t="s">
        <v>448</v>
      </c>
      <c r="N371" s="11">
        <v>46078</v>
      </c>
      <c r="O371" s="3" t="s">
        <v>461</v>
      </c>
    </row>
    <row r="372" spans="1:15" x14ac:dyDescent="0.25">
      <c r="A372" s="2" t="s">
        <v>866</v>
      </c>
      <c r="B372" s="2" t="s">
        <v>413</v>
      </c>
      <c r="C372" s="2" t="s">
        <v>860</v>
      </c>
      <c r="D372" s="2" t="s">
        <v>35</v>
      </c>
      <c r="E372" s="2" t="s">
        <v>304</v>
      </c>
      <c r="F372" s="2" t="s">
        <v>233</v>
      </c>
      <c r="G372" s="2" t="s">
        <v>214</v>
      </c>
      <c r="H372" s="2" t="s">
        <v>108</v>
      </c>
      <c r="I372" s="2">
        <v>4</v>
      </c>
      <c r="J372" s="2">
        <v>4</v>
      </c>
      <c r="K372" s="2">
        <f t="shared" si="10"/>
        <v>0</v>
      </c>
      <c r="L372" s="2" t="str">
        <f t="shared" si="11"/>
        <v>Conforme</v>
      </c>
      <c r="M372" s="2" t="s">
        <v>450</v>
      </c>
      <c r="N372" s="12">
        <v>45810</v>
      </c>
      <c r="O372" s="2" t="s">
        <v>461</v>
      </c>
    </row>
    <row r="373" spans="1:15" x14ac:dyDescent="0.25">
      <c r="A373" s="3" t="s">
        <v>867</v>
      </c>
      <c r="B373" s="3" t="s">
        <v>415</v>
      </c>
      <c r="C373" s="3" t="s">
        <v>868</v>
      </c>
      <c r="D373" s="3" t="s">
        <v>37</v>
      </c>
      <c r="E373" s="3" t="s">
        <v>309</v>
      </c>
      <c r="F373" s="3" t="s">
        <v>97</v>
      </c>
      <c r="G373" s="3" t="s">
        <v>99</v>
      </c>
      <c r="H373" s="3" t="s">
        <v>103</v>
      </c>
      <c r="I373" s="3">
        <v>3</v>
      </c>
      <c r="J373" s="3"/>
      <c r="K373" s="3" t="str">
        <f t="shared" si="10"/>
        <v/>
      </c>
      <c r="L373" s="3" t="str">
        <f t="shared" si="11"/>
        <v>Bonus</v>
      </c>
      <c r="M373" s="3" t="s">
        <v>448</v>
      </c>
      <c r="N373" s="11">
        <v>45864</v>
      </c>
      <c r="O373" s="3"/>
    </row>
    <row r="374" spans="1:15" x14ac:dyDescent="0.25">
      <c r="A374" s="2" t="s">
        <v>869</v>
      </c>
      <c r="B374" s="2" t="s">
        <v>415</v>
      </c>
      <c r="C374" s="2" t="s">
        <v>868</v>
      </c>
      <c r="D374" s="2" t="s">
        <v>37</v>
      </c>
      <c r="E374" s="2" t="s">
        <v>309</v>
      </c>
      <c r="F374" s="2" t="s">
        <v>198</v>
      </c>
      <c r="G374" s="2" t="s">
        <v>50</v>
      </c>
      <c r="H374" s="2" t="s">
        <v>103</v>
      </c>
      <c r="I374" s="2">
        <v>1</v>
      </c>
      <c r="J374" s="2"/>
      <c r="K374" s="2" t="str">
        <f t="shared" si="10"/>
        <v/>
      </c>
      <c r="L374" s="2" t="str">
        <f t="shared" si="11"/>
        <v>Bonus</v>
      </c>
      <c r="M374" s="2" t="s">
        <v>448</v>
      </c>
      <c r="N374" s="12">
        <v>45997</v>
      </c>
      <c r="O374" s="2"/>
    </row>
    <row r="375" spans="1:15" x14ac:dyDescent="0.25">
      <c r="A375" s="3" t="s">
        <v>870</v>
      </c>
      <c r="B375" s="3" t="s">
        <v>415</v>
      </c>
      <c r="C375" s="3" t="s">
        <v>868</v>
      </c>
      <c r="D375" s="3" t="s">
        <v>37</v>
      </c>
      <c r="E375" s="3" t="s">
        <v>309</v>
      </c>
      <c r="F375" s="3" t="s">
        <v>207</v>
      </c>
      <c r="G375" s="3" t="s">
        <v>50</v>
      </c>
      <c r="H375" s="3" t="s">
        <v>145</v>
      </c>
      <c r="I375" s="3">
        <v>3</v>
      </c>
      <c r="J375" s="3">
        <v>3</v>
      </c>
      <c r="K375" s="3">
        <f t="shared" si="10"/>
        <v>0</v>
      </c>
      <c r="L375" s="3" t="str">
        <f t="shared" si="11"/>
        <v>Conforme</v>
      </c>
      <c r="M375" s="3" t="s">
        <v>450</v>
      </c>
      <c r="N375" s="11">
        <v>45754</v>
      </c>
      <c r="O375" s="3"/>
    </row>
    <row r="376" spans="1:15" x14ac:dyDescent="0.25">
      <c r="A376" s="2" t="s">
        <v>871</v>
      </c>
      <c r="B376" s="2" t="s">
        <v>415</v>
      </c>
      <c r="C376" s="2" t="s">
        <v>868</v>
      </c>
      <c r="D376" s="2" t="s">
        <v>37</v>
      </c>
      <c r="E376" s="2" t="s">
        <v>309</v>
      </c>
      <c r="F376" s="2" t="s">
        <v>212</v>
      </c>
      <c r="G376" s="2" t="s">
        <v>214</v>
      </c>
      <c r="H376" s="2" t="s">
        <v>108</v>
      </c>
      <c r="I376" s="2">
        <v>3</v>
      </c>
      <c r="J376" s="2">
        <v>5</v>
      </c>
      <c r="K376" s="2">
        <f t="shared" si="10"/>
        <v>-2</v>
      </c>
      <c r="L376" s="2" t="str">
        <f t="shared" si="11"/>
        <v>Ecart critique</v>
      </c>
      <c r="M376" s="2" t="s">
        <v>448</v>
      </c>
      <c r="N376" s="12">
        <v>45814</v>
      </c>
      <c r="O376" s="2"/>
    </row>
    <row r="377" spans="1:15" x14ac:dyDescent="0.25">
      <c r="A377" s="3" t="s">
        <v>872</v>
      </c>
      <c r="B377" s="3" t="s">
        <v>415</v>
      </c>
      <c r="C377" s="3" t="s">
        <v>868</v>
      </c>
      <c r="D377" s="3" t="s">
        <v>37</v>
      </c>
      <c r="E377" s="3" t="s">
        <v>309</v>
      </c>
      <c r="F377" s="3" t="s">
        <v>218</v>
      </c>
      <c r="G377" s="3" t="s">
        <v>214</v>
      </c>
      <c r="H377" s="3" t="s">
        <v>108</v>
      </c>
      <c r="I377" s="3">
        <v>3</v>
      </c>
      <c r="J377" s="3">
        <v>4</v>
      </c>
      <c r="K377" s="3">
        <f t="shared" si="10"/>
        <v>-1</v>
      </c>
      <c r="L377" s="3" t="str">
        <f t="shared" si="11"/>
        <v>Ecart mineur</v>
      </c>
      <c r="M377" s="3" t="s">
        <v>446</v>
      </c>
      <c r="N377" s="11">
        <v>45976</v>
      </c>
      <c r="O377" s="3"/>
    </row>
    <row r="378" spans="1:15" x14ac:dyDescent="0.25">
      <c r="A378" s="2" t="s">
        <v>873</v>
      </c>
      <c r="B378" s="2" t="s">
        <v>415</v>
      </c>
      <c r="C378" s="2" t="s">
        <v>868</v>
      </c>
      <c r="D378" s="2" t="s">
        <v>37</v>
      </c>
      <c r="E378" s="2" t="s">
        <v>309</v>
      </c>
      <c r="F378" s="2" t="s">
        <v>223</v>
      </c>
      <c r="G378" s="2" t="s">
        <v>214</v>
      </c>
      <c r="H378" s="2" t="s">
        <v>145</v>
      </c>
      <c r="I378" s="2">
        <v>4</v>
      </c>
      <c r="J378" s="2">
        <v>3</v>
      </c>
      <c r="K378" s="2">
        <f t="shared" si="10"/>
        <v>1</v>
      </c>
      <c r="L378" s="2" t="str">
        <f t="shared" si="11"/>
        <v>Conforme</v>
      </c>
      <c r="M378" s="2" t="s">
        <v>448</v>
      </c>
      <c r="N378" s="12">
        <v>45946</v>
      </c>
      <c r="O378" s="2" t="s">
        <v>461</v>
      </c>
    </row>
    <row r="379" spans="1:15" x14ac:dyDescent="0.25">
      <c r="A379" s="3" t="s">
        <v>874</v>
      </c>
      <c r="B379" s="3" t="s">
        <v>415</v>
      </c>
      <c r="C379" s="3" t="s">
        <v>868</v>
      </c>
      <c r="D379" s="3" t="s">
        <v>37</v>
      </c>
      <c r="E379" s="3" t="s">
        <v>309</v>
      </c>
      <c r="F379" s="3" t="s">
        <v>233</v>
      </c>
      <c r="G379" s="3" t="s">
        <v>214</v>
      </c>
      <c r="H379" s="3" t="s">
        <v>108</v>
      </c>
      <c r="I379" s="3">
        <v>2</v>
      </c>
      <c r="J379" s="3">
        <v>3</v>
      </c>
      <c r="K379" s="3">
        <f t="shared" si="10"/>
        <v>-1</v>
      </c>
      <c r="L379" s="3" t="str">
        <f t="shared" si="11"/>
        <v>Ecart mineur</v>
      </c>
      <c r="M379" s="3" t="s">
        <v>446</v>
      </c>
      <c r="N379" s="11">
        <v>45806</v>
      </c>
      <c r="O379" s="3"/>
    </row>
    <row r="380" spans="1:15" x14ac:dyDescent="0.25">
      <c r="A380" s="2" t="s">
        <v>875</v>
      </c>
      <c r="B380" s="2" t="s">
        <v>417</v>
      </c>
      <c r="C380" s="2" t="s">
        <v>876</v>
      </c>
      <c r="D380" s="2" t="s">
        <v>39</v>
      </c>
      <c r="E380" s="2" t="s">
        <v>313</v>
      </c>
      <c r="F380" s="2" t="s">
        <v>113</v>
      </c>
      <c r="G380" s="2" t="s">
        <v>99</v>
      </c>
      <c r="H380" s="2" t="s">
        <v>108</v>
      </c>
      <c r="I380" s="2">
        <v>1</v>
      </c>
      <c r="J380" s="2"/>
      <c r="K380" s="2" t="str">
        <f t="shared" si="10"/>
        <v/>
      </c>
      <c r="L380" s="2" t="str">
        <f t="shared" si="11"/>
        <v>Bonus</v>
      </c>
      <c r="M380" s="2" t="s">
        <v>448</v>
      </c>
      <c r="N380" s="12">
        <v>45784</v>
      </c>
      <c r="O380" s="2"/>
    </row>
    <row r="381" spans="1:15" x14ac:dyDescent="0.25">
      <c r="A381" s="3" t="s">
        <v>877</v>
      </c>
      <c r="B381" s="3" t="s">
        <v>417</v>
      </c>
      <c r="C381" s="3" t="s">
        <v>876</v>
      </c>
      <c r="D381" s="3" t="s">
        <v>39</v>
      </c>
      <c r="E381" s="3" t="s">
        <v>313</v>
      </c>
      <c r="F381" s="3" t="s">
        <v>131</v>
      </c>
      <c r="G381" s="3" t="s">
        <v>120</v>
      </c>
      <c r="H381" s="3" t="s">
        <v>103</v>
      </c>
      <c r="I381" s="3">
        <v>1</v>
      </c>
      <c r="J381" s="3"/>
      <c r="K381" s="3" t="str">
        <f t="shared" si="10"/>
        <v/>
      </c>
      <c r="L381" s="3" t="str">
        <f t="shared" si="11"/>
        <v>Bonus</v>
      </c>
      <c r="M381" s="3" t="s">
        <v>448</v>
      </c>
      <c r="N381" s="11">
        <v>45796</v>
      </c>
      <c r="O381" s="3"/>
    </row>
    <row r="382" spans="1:15" x14ac:dyDescent="0.25">
      <c r="A382" s="2" t="s">
        <v>878</v>
      </c>
      <c r="B382" s="2" t="s">
        <v>417</v>
      </c>
      <c r="C382" s="2" t="s">
        <v>876</v>
      </c>
      <c r="D382" s="2" t="s">
        <v>39</v>
      </c>
      <c r="E382" s="2" t="s">
        <v>313</v>
      </c>
      <c r="F382" s="2" t="s">
        <v>171</v>
      </c>
      <c r="G382" s="2" t="s">
        <v>167</v>
      </c>
      <c r="H382" s="2" t="s">
        <v>108</v>
      </c>
      <c r="I382" s="2">
        <v>3</v>
      </c>
      <c r="J382" s="2"/>
      <c r="K382" s="2" t="str">
        <f t="shared" si="10"/>
        <v/>
      </c>
      <c r="L382" s="2" t="str">
        <f t="shared" si="11"/>
        <v>Bonus</v>
      </c>
      <c r="M382" s="2" t="s">
        <v>448</v>
      </c>
      <c r="N382" s="12">
        <v>45907</v>
      </c>
      <c r="O382" s="2"/>
    </row>
    <row r="383" spans="1:15" x14ac:dyDescent="0.25">
      <c r="A383" s="3" t="s">
        <v>879</v>
      </c>
      <c r="B383" s="3" t="s">
        <v>417</v>
      </c>
      <c r="C383" s="3" t="s">
        <v>876</v>
      </c>
      <c r="D383" s="3" t="s">
        <v>39</v>
      </c>
      <c r="E383" s="3" t="s">
        <v>313</v>
      </c>
      <c r="F383" s="3" t="s">
        <v>186</v>
      </c>
      <c r="G383" s="3" t="s">
        <v>50</v>
      </c>
      <c r="H383" s="3" t="s">
        <v>108</v>
      </c>
      <c r="I383" s="3">
        <v>3</v>
      </c>
      <c r="J383" s="3"/>
      <c r="K383" s="3" t="str">
        <f t="shared" si="10"/>
        <v/>
      </c>
      <c r="L383" s="3" t="str">
        <f t="shared" si="11"/>
        <v>Bonus</v>
      </c>
      <c r="M383" s="3" t="s">
        <v>446</v>
      </c>
      <c r="N383" s="11">
        <v>45770</v>
      </c>
      <c r="O383" s="3"/>
    </row>
    <row r="384" spans="1:15" x14ac:dyDescent="0.25">
      <c r="A384" s="2" t="s">
        <v>880</v>
      </c>
      <c r="B384" s="2" t="s">
        <v>417</v>
      </c>
      <c r="C384" s="2" t="s">
        <v>876</v>
      </c>
      <c r="D384" s="2" t="s">
        <v>39</v>
      </c>
      <c r="E384" s="2" t="s">
        <v>313</v>
      </c>
      <c r="F384" s="2" t="s">
        <v>198</v>
      </c>
      <c r="G384" s="2" t="s">
        <v>50</v>
      </c>
      <c r="H384" s="2" t="s">
        <v>103</v>
      </c>
      <c r="I384" s="2">
        <v>2</v>
      </c>
      <c r="J384" s="2"/>
      <c r="K384" s="2" t="str">
        <f t="shared" si="10"/>
        <v/>
      </c>
      <c r="L384" s="2" t="str">
        <f t="shared" si="11"/>
        <v>Bonus</v>
      </c>
      <c r="M384" s="2" t="s">
        <v>450</v>
      </c>
      <c r="N384" s="12">
        <v>45854</v>
      </c>
      <c r="O384" s="2"/>
    </row>
    <row r="385" spans="1:15" x14ac:dyDescent="0.25">
      <c r="A385" s="3" t="s">
        <v>881</v>
      </c>
      <c r="B385" s="3" t="s">
        <v>417</v>
      </c>
      <c r="C385" s="3" t="s">
        <v>876</v>
      </c>
      <c r="D385" s="3" t="s">
        <v>39</v>
      </c>
      <c r="E385" s="3" t="s">
        <v>313</v>
      </c>
      <c r="F385" s="3" t="s">
        <v>202</v>
      </c>
      <c r="G385" s="3" t="s">
        <v>50</v>
      </c>
      <c r="H385" s="3" t="s">
        <v>108</v>
      </c>
      <c r="I385" s="3">
        <v>3</v>
      </c>
      <c r="J385" s="3">
        <v>2</v>
      </c>
      <c r="K385" s="3">
        <f t="shared" si="10"/>
        <v>1</v>
      </c>
      <c r="L385" s="3" t="str">
        <f t="shared" si="11"/>
        <v>Conforme</v>
      </c>
      <c r="M385" s="3" t="s">
        <v>446</v>
      </c>
      <c r="N385" s="11">
        <v>45902</v>
      </c>
      <c r="O385" s="3"/>
    </row>
    <row r="386" spans="1:15" x14ac:dyDescent="0.25">
      <c r="A386" s="2" t="s">
        <v>882</v>
      </c>
      <c r="B386" s="2" t="s">
        <v>417</v>
      </c>
      <c r="C386" s="2" t="s">
        <v>876</v>
      </c>
      <c r="D386" s="2" t="s">
        <v>39</v>
      </c>
      <c r="E386" s="2" t="s">
        <v>313</v>
      </c>
      <c r="F386" s="2" t="s">
        <v>207</v>
      </c>
      <c r="G386" s="2" t="s">
        <v>50</v>
      </c>
      <c r="H386" s="2" t="s">
        <v>145</v>
      </c>
      <c r="I386" s="2">
        <v>5</v>
      </c>
      <c r="J386" s="2">
        <v>3</v>
      </c>
      <c r="K386" s="2">
        <f t="shared" si="10"/>
        <v>2</v>
      </c>
      <c r="L386" s="2" t="str">
        <f t="shared" si="11"/>
        <v>Conforme</v>
      </c>
      <c r="M386" s="2" t="s">
        <v>448</v>
      </c>
      <c r="N386" s="12">
        <v>45863</v>
      </c>
      <c r="O386" s="2" t="s">
        <v>461</v>
      </c>
    </row>
    <row r="387" spans="1:15" x14ac:dyDescent="0.25">
      <c r="A387" s="3" t="s">
        <v>883</v>
      </c>
      <c r="B387" s="3" t="s">
        <v>417</v>
      </c>
      <c r="C387" s="3" t="s">
        <v>876</v>
      </c>
      <c r="D387" s="3" t="s">
        <v>39</v>
      </c>
      <c r="E387" s="3" t="s">
        <v>313</v>
      </c>
      <c r="F387" s="3" t="s">
        <v>212</v>
      </c>
      <c r="G387" s="3" t="s">
        <v>214</v>
      </c>
      <c r="H387" s="3" t="s">
        <v>108</v>
      </c>
      <c r="I387" s="3">
        <v>5</v>
      </c>
      <c r="J387" s="3">
        <v>3</v>
      </c>
      <c r="K387" s="3">
        <f t="shared" si="10"/>
        <v>2</v>
      </c>
      <c r="L387" s="3" t="str">
        <f t="shared" si="11"/>
        <v>Conforme</v>
      </c>
      <c r="M387" s="3" t="s">
        <v>446</v>
      </c>
      <c r="N387" s="11">
        <v>46041</v>
      </c>
      <c r="O387" s="3" t="s">
        <v>461</v>
      </c>
    </row>
    <row r="388" spans="1:15" x14ac:dyDescent="0.25">
      <c r="A388" s="2" t="s">
        <v>884</v>
      </c>
      <c r="B388" s="2" t="s">
        <v>417</v>
      </c>
      <c r="C388" s="2" t="s">
        <v>876</v>
      </c>
      <c r="D388" s="2" t="s">
        <v>39</v>
      </c>
      <c r="E388" s="2" t="s">
        <v>313</v>
      </c>
      <c r="F388" s="2" t="s">
        <v>218</v>
      </c>
      <c r="G388" s="2" t="s">
        <v>214</v>
      </c>
      <c r="H388" s="2" t="s">
        <v>108</v>
      </c>
      <c r="I388" s="2">
        <v>5</v>
      </c>
      <c r="J388" s="2">
        <v>4</v>
      </c>
      <c r="K388" s="2">
        <f t="shared" si="10"/>
        <v>1</v>
      </c>
      <c r="L388" s="2" t="str">
        <f t="shared" si="11"/>
        <v>Conforme</v>
      </c>
      <c r="M388" s="2" t="s">
        <v>446</v>
      </c>
      <c r="N388" s="12">
        <v>45958</v>
      </c>
      <c r="O388" s="2" t="s">
        <v>461</v>
      </c>
    </row>
    <row r="389" spans="1:15" x14ac:dyDescent="0.25">
      <c r="A389" s="3" t="s">
        <v>885</v>
      </c>
      <c r="B389" s="3" t="s">
        <v>417</v>
      </c>
      <c r="C389" s="3" t="s">
        <v>876</v>
      </c>
      <c r="D389" s="3" t="s">
        <v>39</v>
      </c>
      <c r="E389" s="3" t="s">
        <v>313</v>
      </c>
      <c r="F389" s="3" t="s">
        <v>223</v>
      </c>
      <c r="G389" s="3" t="s">
        <v>214</v>
      </c>
      <c r="H389" s="3" t="s">
        <v>145</v>
      </c>
      <c r="I389" s="3">
        <v>4</v>
      </c>
      <c r="J389" s="3">
        <v>4</v>
      </c>
      <c r="K389" s="3">
        <f t="shared" ref="K389:K452" si="12">IF(J389="","",I389-J389)</f>
        <v>0</v>
      </c>
      <c r="L389" s="3" t="str">
        <f t="shared" ref="L389:L452" si="13">IF(J389="","Bonus",IF(K389&gt;=0,"Conforme",IF(K389=-1,"Ecart mineur","Ecart critique")))</f>
        <v>Conforme</v>
      </c>
      <c r="M389" s="3" t="s">
        <v>450</v>
      </c>
      <c r="N389" s="11">
        <v>46042</v>
      </c>
      <c r="O389" s="3" t="s">
        <v>461</v>
      </c>
    </row>
    <row r="390" spans="1:15" x14ac:dyDescent="0.25">
      <c r="A390" s="2" t="s">
        <v>886</v>
      </c>
      <c r="B390" s="2" t="s">
        <v>417</v>
      </c>
      <c r="C390" s="2" t="s">
        <v>876</v>
      </c>
      <c r="D390" s="2" t="s">
        <v>39</v>
      </c>
      <c r="E390" s="2" t="s">
        <v>313</v>
      </c>
      <c r="F390" s="2" t="s">
        <v>233</v>
      </c>
      <c r="G390" s="2" t="s">
        <v>214</v>
      </c>
      <c r="H390" s="2" t="s">
        <v>108</v>
      </c>
      <c r="I390" s="2">
        <v>4</v>
      </c>
      <c r="J390" s="2">
        <v>3</v>
      </c>
      <c r="K390" s="2">
        <f t="shared" si="12"/>
        <v>1</v>
      </c>
      <c r="L390" s="2" t="str">
        <f t="shared" si="13"/>
        <v>Conforme</v>
      </c>
      <c r="M390" s="2" t="s">
        <v>450</v>
      </c>
      <c r="N390" s="12">
        <v>45885</v>
      </c>
      <c r="O390" s="2" t="s">
        <v>461</v>
      </c>
    </row>
    <row r="391" spans="1:15" x14ac:dyDescent="0.25">
      <c r="A391" s="3" t="s">
        <v>887</v>
      </c>
      <c r="B391" s="3" t="s">
        <v>419</v>
      </c>
      <c r="C391" s="3" t="s">
        <v>888</v>
      </c>
      <c r="D391" s="3" t="s">
        <v>41</v>
      </c>
      <c r="E391" s="3" t="s">
        <v>318</v>
      </c>
      <c r="F391" s="3" t="s">
        <v>171</v>
      </c>
      <c r="G391" s="3" t="s">
        <v>167</v>
      </c>
      <c r="H391" s="3" t="s">
        <v>108</v>
      </c>
      <c r="I391" s="3">
        <v>2</v>
      </c>
      <c r="J391" s="3"/>
      <c r="K391" s="3" t="str">
        <f t="shared" si="12"/>
        <v/>
      </c>
      <c r="L391" s="3" t="str">
        <f t="shared" si="13"/>
        <v>Bonus</v>
      </c>
      <c r="M391" s="3" t="s">
        <v>448</v>
      </c>
      <c r="N391" s="11">
        <v>45886</v>
      </c>
      <c r="O391" s="3"/>
    </row>
    <row r="392" spans="1:15" x14ac:dyDescent="0.25">
      <c r="A392" s="2" t="s">
        <v>889</v>
      </c>
      <c r="B392" s="2" t="s">
        <v>419</v>
      </c>
      <c r="C392" s="2" t="s">
        <v>888</v>
      </c>
      <c r="D392" s="2" t="s">
        <v>41</v>
      </c>
      <c r="E392" s="2" t="s">
        <v>318</v>
      </c>
      <c r="F392" s="2" t="s">
        <v>202</v>
      </c>
      <c r="G392" s="2" t="s">
        <v>50</v>
      </c>
      <c r="H392" s="2" t="s">
        <v>108</v>
      </c>
      <c r="I392" s="2">
        <v>4</v>
      </c>
      <c r="J392" s="2">
        <v>4</v>
      </c>
      <c r="K392" s="2">
        <f t="shared" si="12"/>
        <v>0</v>
      </c>
      <c r="L392" s="2" t="str">
        <f t="shared" si="13"/>
        <v>Conforme</v>
      </c>
      <c r="M392" s="2" t="s">
        <v>450</v>
      </c>
      <c r="N392" s="12">
        <v>46013</v>
      </c>
      <c r="O392" s="2" t="s">
        <v>461</v>
      </c>
    </row>
    <row r="393" spans="1:15" x14ac:dyDescent="0.25">
      <c r="A393" s="3" t="s">
        <v>890</v>
      </c>
      <c r="B393" s="3" t="s">
        <v>419</v>
      </c>
      <c r="C393" s="3" t="s">
        <v>888</v>
      </c>
      <c r="D393" s="3" t="s">
        <v>41</v>
      </c>
      <c r="E393" s="3" t="s">
        <v>318</v>
      </c>
      <c r="F393" s="3" t="s">
        <v>218</v>
      </c>
      <c r="G393" s="3" t="s">
        <v>214</v>
      </c>
      <c r="H393" s="3" t="s">
        <v>108</v>
      </c>
      <c r="I393" s="3">
        <v>2</v>
      </c>
      <c r="J393" s="3"/>
      <c r="K393" s="3" t="str">
        <f t="shared" si="12"/>
        <v/>
      </c>
      <c r="L393" s="3" t="str">
        <f t="shared" si="13"/>
        <v>Bonus</v>
      </c>
      <c r="M393" s="3" t="s">
        <v>450</v>
      </c>
      <c r="N393" s="11">
        <v>45943</v>
      </c>
      <c r="O393" s="3"/>
    </row>
    <row r="394" spans="1:15" x14ac:dyDescent="0.25">
      <c r="A394" s="2" t="s">
        <v>891</v>
      </c>
      <c r="B394" s="2" t="s">
        <v>419</v>
      </c>
      <c r="C394" s="2" t="s">
        <v>888</v>
      </c>
      <c r="D394" s="2" t="s">
        <v>41</v>
      </c>
      <c r="E394" s="2" t="s">
        <v>318</v>
      </c>
      <c r="F394" s="2" t="s">
        <v>223</v>
      </c>
      <c r="G394" s="2" t="s">
        <v>214</v>
      </c>
      <c r="H394" s="2" t="s">
        <v>145</v>
      </c>
      <c r="I394" s="2">
        <v>2</v>
      </c>
      <c r="J394" s="2">
        <v>2</v>
      </c>
      <c r="K394" s="2">
        <f t="shared" si="12"/>
        <v>0</v>
      </c>
      <c r="L394" s="2" t="str">
        <f t="shared" si="13"/>
        <v>Conforme</v>
      </c>
      <c r="M394" s="2" t="s">
        <v>448</v>
      </c>
      <c r="N394" s="12">
        <v>45837</v>
      </c>
      <c r="O394" s="2"/>
    </row>
    <row r="395" spans="1:15" x14ac:dyDescent="0.25">
      <c r="A395" s="3" t="s">
        <v>892</v>
      </c>
      <c r="B395" s="3" t="s">
        <v>419</v>
      </c>
      <c r="C395" s="3" t="s">
        <v>888</v>
      </c>
      <c r="D395" s="3" t="s">
        <v>41</v>
      </c>
      <c r="E395" s="3" t="s">
        <v>318</v>
      </c>
      <c r="F395" s="3" t="s">
        <v>228</v>
      </c>
      <c r="G395" s="3" t="s">
        <v>214</v>
      </c>
      <c r="H395" s="3" t="s">
        <v>108</v>
      </c>
      <c r="I395" s="3">
        <v>5</v>
      </c>
      <c r="J395" s="3">
        <v>5</v>
      </c>
      <c r="K395" s="3">
        <f t="shared" si="12"/>
        <v>0</v>
      </c>
      <c r="L395" s="3" t="str">
        <f t="shared" si="13"/>
        <v>Conforme</v>
      </c>
      <c r="M395" s="3" t="s">
        <v>448</v>
      </c>
      <c r="N395" s="11">
        <v>45956</v>
      </c>
      <c r="O395" s="3" t="s">
        <v>461</v>
      </c>
    </row>
    <row r="396" spans="1:15" x14ac:dyDescent="0.25">
      <c r="A396" s="2" t="s">
        <v>893</v>
      </c>
      <c r="B396" s="2" t="s">
        <v>419</v>
      </c>
      <c r="C396" s="2" t="s">
        <v>888</v>
      </c>
      <c r="D396" s="2" t="s">
        <v>41</v>
      </c>
      <c r="E396" s="2" t="s">
        <v>318</v>
      </c>
      <c r="F396" s="2" t="s">
        <v>233</v>
      </c>
      <c r="G396" s="2" t="s">
        <v>214</v>
      </c>
      <c r="H396" s="2" t="s">
        <v>108</v>
      </c>
      <c r="I396" s="2">
        <v>5</v>
      </c>
      <c r="J396" s="2">
        <v>3</v>
      </c>
      <c r="K396" s="2">
        <f t="shared" si="12"/>
        <v>2</v>
      </c>
      <c r="L396" s="2" t="str">
        <f t="shared" si="13"/>
        <v>Conforme</v>
      </c>
      <c r="M396" s="2" t="s">
        <v>446</v>
      </c>
      <c r="N396" s="12">
        <v>45780</v>
      </c>
      <c r="O396" s="2" t="s">
        <v>461</v>
      </c>
    </row>
    <row r="397" spans="1:15" ht="25.5" x14ac:dyDescent="0.25">
      <c r="A397" s="3" t="s">
        <v>894</v>
      </c>
      <c r="B397" s="3" t="s">
        <v>421</v>
      </c>
      <c r="C397" s="3" t="s">
        <v>895</v>
      </c>
      <c r="D397" s="3" t="s">
        <v>43</v>
      </c>
      <c r="E397" s="3" t="s">
        <v>322</v>
      </c>
      <c r="F397" s="3" t="s">
        <v>146</v>
      </c>
      <c r="G397" s="3" t="s">
        <v>141</v>
      </c>
      <c r="H397" s="3" t="s">
        <v>103</v>
      </c>
      <c r="I397" s="3">
        <v>2</v>
      </c>
      <c r="J397" s="3">
        <v>2</v>
      </c>
      <c r="K397" s="3">
        <f t="shared" si="12"/>
        <v>0</v>
      </c>
      <c r="L397" s="3" t="str">
        <f t="shared" si="13"/>
        <v>Conforme</v>
      </c>
      <c r="M397" s="3" t="s">
        <v>450</v>
      </c>
      <c r="N397" s="11">
        <v>45931</v>
      </c>
      <c r="O397" s="3"/>
    </row>
    <row r="398" spans="1:15" ht="25.5" x14ac:dyDescent="0.25">
      <c r="A398" s="2" t="s">
        <v>896</v>
      </c>
      <c r="B398" s="2" t="s">
        <v>421</v>
      </c>
      <c r="C398" s="2" t="s">
        <v>895</v>
      </c>
      <c r="D398" s="2" t="s">
        <v>43</v>
      </c>
      <c r="E398" s="2" t="s">
        <v>322</v>
      </c>
      <c r="F398" s="2" t="s">
        <v>160</v>
      </c>
      <c r="G398" s="2" t="s">
        <v>141</v>
      </c>
      <c r="H398" s="2" t="s">
        <v>108</v>
      </c>
      <c r="I398" s="2">
        <v>4</v>
      </c>
      <c r="J398" s="2">
        <v>4</v>
      </c>
      <c r="K398" s="2">
        <f t="shared" si="12"/>
        <v>0</v>
      </c>
      <c r="L398" s="2" t="str">
        <f t="shared" si="13"/>
        <v>Conforme</v>
      </c>
      <c r="M398" s="2" t="s">
        <v>450</v>
      </c>
      <c r="N398" s="12">
        <v>45881</v>
      </c>
      <c r="O398" s="2" t="s">
        <v>461</v>
      </c>
    </row>
    <row r="399" spans="1:15" x14ac:dyDescent="0.25">
      <c r="A399" s="3" t="s">
        <v>897</v>
      </c>
      <c r="B399" s="3" t="s">
        <v>421</v>
      </c>
      <c r="C399" s="3" t="s">
        <v>895</v>
      </c>
      <c r="D399" s="3" t="s">
        <v>43</v>
      </c>
      <c r="E399" s="3" t="s">
        <v>322</v>
      </c>
      <c r="F399" s="3" t="s">
        <v>186</v>
      </c>
      <c r="G399" s="3" t="s">
        <v>50</v>
      </c>
      <c r="H399" s="3" t="s">
        <v>108</v>
      </c>
      <c r="I399" s="3">
        <v>3</v>
      </c>
      <c r="J399" s="3">
        <v>3</v>
      </c>
      <c r="K399" s="3">
        <f t="shared" si="12"/>
        <v>0</v>
      </c>
      <c r="L399" s="3" t="str">
        <f t="shared" si="13"/>
        <v>Conforme</v>
      </c>
      <c r="M399" s="3" t="s">
        <v>450</v>
      </c>
      <c r="N399" s="11">
        <v>45918</v>
      </c>
      <c r="O399" s="3"/>
    </row>
    <row r="400" spans="1:15" x14ac:dyDescent="0.25">
      <c r="A400" s="2" t="s">
        <v>898</v>
      </c>
      <c r="B400" s="2" t="s">
        <v>421</v>
      </c>
      <c r="C400" s="2" t="s">
        <v>895</v>
      </c>
      <c r="D400" s="2" t="s">
        <v>43</v>
      </c>
      <c r="E400" s="2" t="s">
        <v>322</v>
      </c>
      <c r="F400" s="2" t="s">
        <v>202</v>
      </c>
      <c r="G400" s="2" t="s">
        <v>50</v>
      </c>
      <c r="H400" s="2" t="s">
        <v>108</v>
      </c>
      <c r="I400" s="2">
        <v>3</v>
      </c>
      <c r="J400" s="2">
        <v>3</v>
      </c>
      <c r="K400" s="2">
        <f t="shared" si="12"/>
        <v>0</v>
      </c>
      <c r="L400" s="2" t="str">
        <f t="shared" si="13"/>
        <v>Conforme</v>
      </c>
      <c r="M400" s="2" t="s">
        <v>446</v>
      </c>
      <c r="N400" s="12">
        <v>45781</v>
      </c>
      <c r="O400" s="2"/>
    </row>
    <row r="401" spans="1:15" x14ac:dyDescent="0.25">
      <c r="A401" s="3" t="s">
        <v>899</v>
      </c>
      <c r="B401" s="3" t="s">
        <v>421</v>
      </c>
      <c r="C401" s="3" t="s">
        <v>895</v>
      </c>
      <c r="D401" s="3" t="s">
        <v>43</v>
      </c>
      <c r="E401" s="3" t="s">
        <v>322</v>
      </c>
      <c r="F401" s="3" t="s">
        <v>218</v>
      </c>
      <c r="G401" s="3" t="s">
        <v>214</v>
      </c>
      <c r="H401" s="3" t="s">
        <v>108</v>
      </c>
      <c r="I401" s="3">
        <v>2</v>
      </c>
      <c r="J401" s="3">
        <v>3</v>
      </c>
      <c r="K401" s="3">
        <f t="shared" si="12"/>
        <v>-1</v>
      </c>
      <c r="L401" s="3" t="str">
        <f t="shared" si="13"/>
        <v>Ecart mineur</v>
      </c>
      <c r="M401" s="3" t="s">
        <v>446</v>
      </c>
      <c r="N401" s="11">
        <v>45848</v>
      </c>
      <c r="O401" s="3"/>
    </row>
    <row r="402" spans="1:15" x14ac:dyDescent="0.25">
      <c r="A402" s="2" t="s">
        <v>900</v>
      </c>
      <c r="B402" s="2" t="s">
        <v>421</v>
      </c>
      <c r="C402" s="2" t="s">
        <v>895</v>
      </c>
      <c r="D402" s="2" t="s">
        <v>43</v>
      </c>
      <c r="E402" s="2" t="s">
        <v>322</v>
      </c>
      <c r="F402" s="2" t="s">
        <v>223</v>
      </c>
      <c r="G402" s="2" t="s">
        <v>214</v>
      </c>
      <c r="H402" s="2" t="s">
        <v>145</v>
      </c>
      <c r="I402" s="2">
        <v>3</v>
      </c>
      <c r="J402" s="2">
        <v>3</v>
      </c>
      <c r="K402" s="2">
        <f t="shared" si="12"/>
        <v>0</v>
      </c>
      <c r="L402" s="2" t="str">
        <f t="shared" si="13"/>
        <v>Conforme</v>
      </c>
      <c r="M402" s="2" t="s">
        <v>450</v>
      </c>
      <c r="N402" s="12">
        <v>45860</v>
      </c>
      <c r="O402" s="2"/>
    </row>
    <row r="403" spans="1:15" x14ac:dyDescent="0.25">
      <c r="A403" s="3" t="s">
        <v>901</v>
      </c>
      <c r="B403" s="3" t="s">
        <v>421</v>
      </c>
      <c r="C403" s="3" t="s">
        <v>895</v>
      </c>
      <c r="D403" s="3" t="s">
        <v>43</v>
      </c>
      <c r="E403" s="3" t="s">
        <v>322</v>
      </c>
      <c r="F403" s="3" t="s">
        <v>233</v>
      </c>
      <c r="G403" s="3" t="s">
        <v>214</v>
      </c>
      <c r="H403" s="3" t="s">
        <v>108</v>
      </c>
      <c r="I403" s="3">
        <v>2</v>
      </c>
      <c r="J403" s="3"/>
      <c r="K403" s="3" t="str">
        <f t="shared" si="12"/>
        <v/>
      </c>
      <c r="L403" s="3" t="str">
        <f t="shared" si="13"/>
        <v>Bonus</v>
      </c>
      <c r="M403" s="3" t="s">
        <v>448</v>
      </c>
      <c r="N403" s="11">
        <v>45829</v>
      </c>
      <c r="O403" s="3"/>
    </row>
    <row r="404" spans="1:15" x14ac:dyDescent="0.25">
      <c r="A404" s="2" t="s">
        <v>902</v>
      </c>
      <c r="B404" s="2" t="s">
        <v>423</v>
      </c>
      <c r="C404" s="2" t="s">
        <v>903</v>
      </c>
      <c r="D404" s="2" t="s">
        <v>35</v>
      </c>
      <c r="E404" s="2" t="s">
        <v>326</v>
      </c>
      <c r="F404" s="2" t="s">
        <v>118</v>
      </c>
      <c r="G404" s="2" t="s">
        <v>120</v>
      </c>
      <c r="H404" s="2" t="s">
        <v>108</v>
      </c>
      <c r="I404" s="2">
        <v>4</v>
      </c>
      <c r="J404" s="2">
        <v>2</v>
      </c>
      <c r="K404" s="2">
        <f t="shared" si="12"/>
        <v>2</v>
      </c>
      <c r="L404" s="2" t="str">
        <f t="shared" si="13"/>
        <v>Conforme</v>
      </c>
      <c r="M404" s="2" t="s">
        <v>450</v>
      </c>
      <c r="N404" s="12">
        <v>46047</v>
      </c>
      <c r="O404" s="2" t="s">
        <v>461</v>
      </c>
    </row>
    <row r="405" spans="1:15" x14ac:dyDescent="0.25">
      <c r="A405" s="3" t="s">
        <v>904</v>
      </c>
      <c r="B405" s="3" t="s">
        <v>423</v>
      </c>
      <c r="C405" s="3" t="s">
        <v>903</v>
      </c>
      <c r="D405" s="3" t="s">
        <v>35</v>
      </c>
      <c r="E405" s="3" t="s">
        <v>326</v>
      </c>
      <c r="F405" s="3" t="s">
        <v>124</v>
      </c>
      <c r="G405" s="3" t="s">
        <v>120</v>
      </c>
      <c r="H405" s="3" t="s">
        <v>108</v>
      </c>
      <c r="I405" s="3">
        <v>5</v>
      </c>
      <c r="J405" s="3">
        <v>2</v>
      </c>
      <c r="K405" s="3">
        <f t="shared" si="12"/>
        <v>3</v>
      </c>
      <c r="L405" s="3" t="str">
        <f t="shared" si="13"/>
        <v>Conforme</v>
      </c>
      <c r="M405" s="3" t="s">
        <v>450</v>
      </c>
      <c r="N405" s="11">
        <v>45786</v>
      </c>
      <c r="O405" s="3" t="s">
        <v>461</v>
      </c>
    </row>
    <row r="406" spans="1:15" ht="25.5" x14ac:dyDescent="0.25">
      <c r="A406" s="2" t="s">
        <v>905</v>
      </c>
      <c r="B406" s="2" t="s">
        <v>423</v>
      </c>
      <c r="C406" s="2" t="s">
        <v>903</v>
      </c>
      <c r="D406" s="2" t="s">
        <v>35</v>
      </c>
      <c r="E406" s="2" t="s">
        <v>326</v>
      </c>
      <c r="F406" s="2" t="s">
        <v>139</v>
      </c>
      <c r="G406" s="2" t="s">
        <v>141</v>
      </c>
      <c r="H406" s="2" t="s">
        <v>145</v>
      </c>
      <c r="I406" s="2">
        <v>5</v>
      </c>
      <c r="J406" s="2">
        <v>3</v>
      </c>
      <c r="K406" s="2">
        <f t="shared" si="12"/>
        <v>2</v>
      </c>
      <c r="L406" s="2" t="str">
        <f t="shared" si="13"/>
        <v>Conforme</v>
      </c>
      <c r="M406" s="2" t="s">
        <v>448</v>
      </c>
      <c r="N406" s="12">
        <v>45806</v>
      </c>
      <c r="O406" s="2" t="s">
        <v>461</v>
      </c>
    </row>
    <row r="407" spans="1:15" ht="25.5" x14ac:dyDescent="0.25">
      <c r="A407" s="3" t="s">
        <v>906</v>
      </c>
      <c r="B407" s="3" t="s">
        <v>423</v>
      </c>
      <c r="C407" s="3" t="s">
        <v>903</v>
      </c>
      <c r="D407" s="3" t="s">
        <v>35</v>
      </c>
      <c r="E407" s="3" t="s">
        <v>326</v>
      </c>
      <c r="F407" s="3" t="s">
        <v>149</v>
      </c>
      <c r="G407" s="3" t="s">
        <v>141</v>
      </c>
      <c r="H407" s="3" t="s">
        <v>145</v>
      </c>
      <c r="I407" s="3">
        <v>5</v>
      </c>
      <c r="J407" s="3">
        <v>3</v>
      </c>
      <c r="K407" s="3">
        <f t="shared" si="12"/>
        <v>2</v>
      </c>
      <c r="L407" s="3" t="str">
        <f t="shared" si="13"/>
        <v>Conforme</v>
      </c>
      <c r="M407" s="3" t="s">
        <v>446</v>
      </c>
      <c r="N407" s="11">
        <v>45810</v>
      </c>
      <c r="O407" s="3" t="s">
        <v>461</v>
      </c>
    </row>
    <row r="408" spans="1:15" x14ac:dyDescent="0.25">
      <c r="A408" s="2" t="s">
        <v>907</v>
      </c>
      <c r="B408" s="2" t="s">
        <v>423</v>
      </c>
      <c r="C408" s="2" t="s">
        <v>903</v>
      </c>
      <c r="D408" s="2" t="s">
        <v>35</v>
      </c>
      <c r="E408" s="2" t="s">
        <v>326</v>
      </c>
      <c r="F408" s="2" t="s">
        <v>181</v>
      </c>
      <c r="G408" s="2" t="s">
        <v>167</v>
      </c>
      <c r="H408" s="2" t="s">
        <v>103</v>
      </c>
      <c r="I408" s="2">
        <v>3</v>
      </c>
      <c r="J408" s="2"/>
      <c r="K408" s="2" t="str">
        <f t="shared" si="12"/>
        <v/>
      </c>
      <c r="L408" s="2" t="str">
        <f t="shared" si="13"/>
        <v>Bonus</v>
      </c>
      <c r="M408" s="2" t="s">
        <v>450</v>
      </c>
      <c r="N408" s="12">
        <v>45753</v>
      </c>
      <c r="O408" s="2"/>
    </row>
    <row r="409" spans="1:15" x14ac:dyDescent="0.25">
      <c r="A409" s="3" t="s">
        <v>908</v>
      </c>
      <c r="B409" s="3" t="s">
        <v>423</v>
      </c>
      <c r="C409" s="3" t="s">
        <v>903</v>
      </c>
      <c r="D409" s="3" t="s">
        <v>35</v>
      </c>
      <c r="E409" s="3" t="s">
        <v>326</v>
      </c>
      <c r="F409" s="3" t="s">
        <v>223</v>
      </c>
      <c r="G409" s="3" t="s">
        <v>214</v>
      </c>
      <c r="H409" s="3" t="s">
        <v>145</v>
      </c>
      <c r="I409" s="3">
        <v>3</v>
      </c>
      <c r="J409" s="3">
        <v>2</v>
      </c>
      <c r="K409" s="3">
        <f t="shared" si="12"/>
        <v>1</v>
      </c>
      <c r="L409" s="3" t="str">
        <f t="shared" si="13"/>
        <v>Conforme</v>
      </c>
      <c r="M409" s="3" t="s">
        <v>450</v>
      </c>
      <c r="N409" s="11">
        <v>45856</v>
      </c>
      <c r="O409" s="3"/>
    </row>
    <row r="410" spans="1:15" x14ac:dyDescent="0.25">
      <c r="A410" s="2" t="s">
        <v>909</v>
      </c>
      <c r="B410" s="2" t="s">
        <v>425</v>
      </c>
      <c r="C410" s="2" t="s">
        <v>910</v>
      </c>
      <c r="D410" s="2" t="s">
        <v>37</v>
      </c>
      <c r="E410" s="2" t="s">
        <v>330</v>
      </c>
      <c r="F410" s="2" t="s">
        <v>113</v>
      </c>
      <c r="G410" s="2" t="s">
        <v>99</v>
      </c>
      <c r="H410" s="2" t="s">
        <v>108</v>
      </c>
      <c r="I410" s="2">
        <v>1</v>
      </c>
      <c r="J410" s="2"/>
      <c r="K410" s="2" t="str">
        <f t="shared" si="12"/>
        <v/>
      </c>
      <c r="L410" s="2" t="str">
        <f t="shared" si="13"/>
        <v>Bonus</v>
      </c>
      <c r="M410" s="2" t="s">
        <v>450</v>
      </c>
      <c r="N410" s="12">
        <v>45933</v>
      </c>
      <c r="O410" s="2"/>
    </row>
    <row r="411" spans="1:15" x14ac:dyDescent="0.25">
      <c r="A411" s="3" t="s">
        <v>911</v>
      </c>
      <c r="B411" s="3" t="s">
        <v>425</v>
      </c>
      <c r="C411" s="3" t="s">
        <v>910</v>
      </c>
      <c r="D411" s="3" t="s">
        <v>37</v>
      </c>
      <c r="E411" s="3" t="s">
        <v>330</v>
      </c>
      <c r="F411" s="3" t="s">
        <v>165</v>
      </c>
      <c r="G411" s="3" t="s">
        <v>167</v>
      </c>
      <c r="H411" s="3" t="s">
        <v>103</v>
      </c>
      <c r="I411" s="3">
        <v>5</v>
      </c>
      <c r="J411" s="3">
        <v>4</v>
      </c>
      <c r="K411" s="3">
        <f t="shared" si="12"/>
        <v>1</v>
      </c>
      <c r="L411" s="3" t="str">
        <f t="shared" si="13"/>
        <v>Conforme</v>
      </c>
      <c r="M411" s="3" t="s">
        <v>448</v>
      </c>
      <c r="N411" s="11">
        <v>45921</v>
      </c>
      <c r="O411" s="3" t="s">
        <v>461</v>
      </c>
    </row>
    <row r="412" spans="1:15" x14ac:dyDescent="0.25">
      <c r="A412" s="2" t="s">
        <v>912</v>
      </c>
      <c r="B412" s="2" t="s">
        <v>425</v>
      </c>
      <c r="C412" s="2" t="s">
        <v>910</v>
      </c>
      <c r="D412" s="2" t="s">
        <v>37</v>
      </c>
      <c r="E412" s="2" t="s">
        <v>330</v>
      </c>
      <c r="F412" s="2" t="s">
        <v>181</v>
      </c>
      <c r="G412" s="2" t="s">
        <v>167</v>
      </c>
      <c r="H412" s="2" t="s">
        <v>103</v>
      </c>
      <c r="I412" s="2">
        <v>5</v>
      </c>
      <c r="J412" s="2">
        <v>5</v>
      </c>
      <c r="K412" s="2">
        <f t="shared" si="12"/>
        <v>0</v>
      </c>
      <c r="L412" s="2" t="str">
        <f t="shared" si="13"/>
        <v>Conforme</v>
      </c>
      <c r="M412" s="2" t="s">
        <v>450</v>
      </c>
      <c r="N412" s="12">
        <v>46073</v>
      </c>
      <c r="O412" s="2" t="s">
        <v>461</v>
      </c>
    </row>
    <row r="413" spans="1:15" x14ac:dyDescent="0.25">
      <c r="A413" s="3" t="s">
        <v>913</v>
      </c>
      <c r="B413" s="3" t="s">
        <v>425</v>
      </c>
      <c r="C413" s="3" t="s">
        <v>910</v>
      </c>
      <c r="D413" s="3" t="s">
        <v>37</v>
      </c>
      <c r="E413" s="3" t="s">
        <v>330</v>
      </c>
      <c r="F413" s="3" t="s">
        <v>193</v>
      </c>
      <c r="G413" s="3" t="s">
        <v>50</v>
      </c>
      <c r="H413" s="3" t="s">
        <v>103</v>
      </c>
      <c r="I413" s="3">
        <v>4</v>
      </c>
      <c r="J413" s="3">
        <v>3</v>
      </c>
      <c r="K413" s="3">
        <f t="shared" si="12"/>
        <v>1</v>
      </c>
      <c r="L413" s="3" t="str">
        <f t="shared" si="13"/>
        <v>Conforme</v>
      </c>
      <c r="M413" s="3" t="s">
        <v>446</v>
      </c>
      <c r="N413" s="11">
        <v>45960</v>
      </c>
      <c r="O413" s="3" t="s">
        <v>461</v>
      </c>
    </row>
    <row r="414" spans="1:15" x14ac:dyDescent="0.25">
      <c r="A414" s="2" t="s">
        <v>914</v>
      </c>
      <c r="B414" s="2" t="s">
        <v>425</v>
      </c>
      <c r="C414" s="2" t="s">
        <v>910</v>
      </c>
      <c r="D414" s="2" t="s">
        <v>37</v>
      </c>
      <c r="E414" s="2" t="s">
        <v>330</v>
      </c>
      <c r="F414" s="2" t="s">
        <v>198</v>
      </c>
      <c r="G414" s="2" t="s">
        <v>50</v>
      </c>
      <c r="H414" s="2" t="s">
        <v>103</v>
      </c>
      <c r="I414" s="2">
        <v>3</v>
      </c>
      <c r="J414" s="2">
        <v>2</v>
      </c>
      <c r="K414" s="2">
        <f t="shared" si="12"/>
        <v>1</v>
      </c>
      <c r="L414" s="2" t="str">
        <f t="shared" si="13"/>
        <v>Conforme</v>
      </c>
      <c r="M414" s="2" t="s">
        <v>448</v>
      </c>
      <c r="N414" s="12">
        <v>45802</v>
      </c>
      <c r="O414" s="2"/>
    </row>
    <row r="415" spans="1:15" x14ac:dyDescent="0.25">
      <c r="A415" s="3" t="s">
        <v>915</v>
      </c>
      <c r="B415" s="3" t="s">
        <v>425</v>
      </c>
      <c r="C415" s="3" t="s">
        <v>910</v>
      </c>
      <c r="D415" s="3" t="s">
        <v>37</v>
      </c>
      <c r="E415" s="3" t="s">
        <v>330</v>
      </c>
      <c r="F415" s="3" t="s">
        <v>218</v>
      </c>
      <c r="G415" s="3" t="s">
        <v>214</v>
      </c>
      <c r="H415" s="3" t="s">
        <v>108</v>
      </c>
      <c r="I415" s="3">
        <v>5</v>
      </c>
      <c r="J415" s="3">
        <v>3</v>
      </c>
      <c r="K415" s="3">
        <f t="shared" si="12"/>
        <v>2</v>
      </c>
      <c r="L415" s="3" t="str">
        <f t="shared" si="13"/>
        <v>Conforme</v>
      </c>
      <c r="M415" s="3" t="s">
        <v>448</v>
      </c>
      <c r="N415" s="11">
        <v>45762</v>
      </c>
      <c r="O415" s="3" t="s">
        <v>461</v>
      </c>
    </row>
    <row r="416" spans="1:15" x14ac:dyDescent="0.25">
      <c r="A416" s="2" t="s">
        <v>916</v>
      </c>
      <c r="B416" s="2" t="s">
        <v>427</v>
      </c>
      <c r="C416" s="2" t="s">
        <v>917</v>
      </c>
      <c r="D416" s="2" t="s">
        <v>39</v>
      </c>
      <c r="E416" s="2" t="s">
        <v>334</v>
      </c>
      <c r="F416" s="2" t="s">
        <v>118</v>
      </c>
      <c r="G416" s="2" t="s">
        <v>120</v>
      </c>
      <c r="H416" s="2" t="s">
        <v>108</v>
      </c>
      <c r="I416" s="2">
        <v>1</v>
      </c>
      <c r="J416" s="2"/>
      <c r="K416" s="2" t="str">
        <f t="shared" si="12"/>
        <v/>
      </c>
      <c r="L416" s="2" t="str">
        <f t="shared" si="13"/>
        <v>Bonus</v>
      </c>
      <c r="M416" s="2" t="s">
        <v>450</v>
      </c>
      <c r="N416" s="12">
        <v>45979</v>
      </c>
      <c r="O416" s="2"/>
    </row>
    <row r="417" spans="1:15" x14ac:dyDescent="0.25">
      <c r="A417" s="3" t="s">
        <v>918</v>
      </c>
      <c r="B417" s="3" t="s">
        <v>427</v>
      </c>
      <c r="C417" s="3" t="s">
        <v>917</v>
      </c>
      <c r="D417" s="3" t="s">
        <v>39</v>
      </c>
      <c r="E417" s="3" t="s">
        <v>334</v>
      </c>
      <c r="F417" s="3" t="s">
        <v>131</v>
      </c>
      <c r="G417" s="3" t="s">
        <v>120</v>
      </c>
      <c r="H417" s="3" t="s">
        <v>103</v>
      </c>
      <c r="I417" s="3">
        <v>1</v>
      </c>
      <c r="J417" s="3"/>
      <c r="K417" s="3" t="str">
        <f t="shared" si="12"/>
        <v/>
      </c>
      <c r="L417" s="3" t="str">
        <f t="shared" si="13"/>
        <v>Bonus</v>
      </c>
      <c r="M417" s="3" t="s">
        <v>448</v>
      </c>
      <c r="N417" s="11">
        <v>45810</v>
      </c>
      <c r="O417" s="3"/>
    </row>
    <row r="418" spans="1:15" ht="25.5" x14ac:dyDescent="0.25">
      <c r="A418" s="2" t="s">
        <v>919</v>
      </c>
      <c r="B418" s="2" t="s">
        <v>427</v>
      </c>
      <c r="C418" s="2" t="s">
        <v>917</v>
      </c>
      <c r="D418" s="2" t="s">
        <v>39</v>
      </c>
      <c r="E418" s="2" t="s">
        <v>334</v>
      </c>
      <c r="F418" s="2" t="s">
        <v>139</v>
      </c>
      <c r="G418" s="2" t="s">
        <v>141</v>
      </c>
      <c r="H418" s="2" t="s">
        <v>145</v>
      </c>
      <c r="I418" s="2">
        <v>3</v>
      </c>
      <c r="J418" s="2">
        <v>3</v>
      </c>
      <c r="K418" s="2">
        <f t="shared" si="12"/>
        <v>0</v>
      </c>
      <c r="L418" s="2" t="str">
        <f t="shared" si="13"/>
        <v>Conforme</v>
      </c>
      <c r="M418" s="2" t="s">
        <v>448</v>
      </c>
      <c r="N418" s="12">
        <v>45850</v>
      </c>
      <c r="O418" s="2"/>
    </row>
    <row r="419" spans="1:15" ht="25.5" x14ac:dyDescent="0.25">
      <c r="A419" s="3" t="s">
        <v>920</v>
      </c>
      <c r="B419" s="3" t="s">
        <v>427</v>
      </c>
      <c r="C419" s="3" t="s">
        <v>917</v>
      </c>
      <c r="D419" s="3" t="s">
        <v>39</v>
      </c>
      <c r="E419" s="3" t="s">
        <v>334</v>
      </c>
      <c r="F419" s="3" t="s">
        <v>146</v>
      </c>
      <c r="G419" s="3" t="s">
        <v>141</v>
      </c>
      <c r="H419" s="3" t="s">
        <v>103</v>
      </c>
      <c r="I419" s="3">
        <v>3</v>
      </c>
      <c r="J419" s="3">
        <v>3</v>
      </c>
      <c r="K419" s="3">
        <f t="shared" si="12"/>
        <v>0</v>
      </c>
      <c r="L419" s="3" t="str">
        <f t="shared" si="13"/>
        <v>Conforme</v>
      </c>
      <c r="M419" s="3" t="s">
        <v>446</v>
      </c>
      <c r="N419" s="11">
        <v>45834</v>
      </c>
      <c r="O419" s="3"/>
    </row>
    <row r="420" spans="1:15" ht="25.5" x14ac:dyDescent="0.25">
      <c r="A420" s="2" t="s">
        <v>921</v>
      </c>
      <c r="B420" s="2" t="s">
        <v>427</v>
      </c>
      <c r="C420" s="2" t="s">
        <v>917</v>
      </c>
      <c r="D420" s="2" t="s">
        <v>39</v>
      </c>
      <c r="E420" s="2" t="s">
        <v>334</v>
      </c>
      <c r="F420" s="2" t="s">
        <v>160</v>
      </c>
      <c r="G420" s="2" t="s">
        <v>141</v>
      </c>
      <c r="H420" s="2" t="s">
        <v>108</v>
      </c>
      <c r="I420" s="2">
        <v>5</v>
      </c>
      <c r="J420" s="2">
        <v>4</v>
      </c>
      <c r="K420" s="2">
        <f t="shared" si="12"/>
        <v>1</v>
      </c>
      <c r="L420" s="2" t="str">
        <f t="shared" si="13"/>
        <v>Conforme</v>
      </c>
      <c r="M420" s="2" t="s">
        <v>448</v>
      </c>
      <c r="N420" s="12">
        <v>45784</v>
      </c>
      <c r="O420" s="2" t="s">
        <v>461</v>
      </c>
    </row>
    <row r="421" spans="1:15" x14ac:dyDescent="0.25">
      <c r="A421" s="3" t="s">
        <v>922</v>
      </c>
      <c r="B421" s="3" t="s">
        <v>427</v>
      </c>
      <c r="C421" s="3" t="s">
        <v>917</v>
      </c>
      <c r="D421" s="3" t="s">
        <v>39</v>
      </c>
      <c r="E421" s="3" t="s">
        <v>334</v>
      </c>
      <c r="F421" s="3" t="s">
        <v>186</v>
      </c>
      <c r="G421" s="3" t="s">
        <v>50</v>
      </c>
      <c r="H421" s="3" t="s">
        <v>108</v>
      </c>
      <c r="I421" s="3">
        <v>2</v>
      </c>
      <c r="J421" s="3">
        <v>2</v>
      </c>
      <c r="K421" s="3">
        <f t="shared" si="12"/>
        <v>0</v>
      </c>
      <c r="L421" s="3" t="str">
        <f t="shared" si="13"/>
        <v>Conforme</v>
      </c>
      <c r="M421" s="3" t="s">
        <v>446</v>
      </c>
      <c r="N421" s="11">
        <v>45770</v>
      </c>
      <c r="O421" s="3"/>
    </row>
    <row r="422" spans="1:15" x14ac:dyDescent="0.25">
      <c r="A422" s="2" t="s">
        <v>923</v>
      </c>
      <c r="B422" s="2" t="s">
        <v>427</v>
      </c>
      <c r="C422" s="2" t="s">
        <v>917</v>
      </c>
      <c r="D422" s="2" t="s">
        <v>39</v>
      </c>
      <c r="E422" s="2" t="s">
        <v>334</v>
      </c>
      <c r="F422" s="2" t="s">
        <v>202</v>
      </c>
      <c r="G422" s="2" t="s">
        <v>50</v>
      </c>
      <c r="H422" s="2" t="s">
        <v>108</v>
      </c>
      <c r="I422" s="2">
        <v>2</v>
      </c>
      <c r="J422" s="2">
        <v>2</v>
      </c>
      <c r="K422" s="2">
        <f t="shared" si="12"/>
        <v>0</v>
      </c>
      <c r="L422" s="2" t="str">
        <f t="shared" si="13"/>
        <v>Conforme</v>
      </c>
      <c r="M422" s="2" t="s">
        <v>448</v>
      </c>
      <c r="N422" s="12">
        <v>46025</v>
      </c>
      <c r="O422" s="2"/>
    </row>
    <row r="423" spans="1:15" x14ac:dyDescent="0.25">
      <c r="A423" s="3" t="s">
        <v>924</v>
      </c>
      <c r="B423" s="3" t="s">
        <v>429</v>
      </c>
      <c r="C423" s="3" t="s">
        <v>925</v>
      </c>
      <c r="D423" s="3" t="s">
        <v>41</v>
      </c>
      <c r="E423" s="3" t="s">
        <v>338</v>
      </c>
      <c r="F423" s="3" t="s">
        <v>207</v>
      </c>
      <c r="G423" s="3" t="s">
        <v>50</v>
      </c>
      <c r="H423" s="3" t="s">
        <v>145</v>
      </c>
      <c r="I423" s="3">
        <v>2</v>
      </c>
      <c r="J423" s="3">
        <v>2</v>
      </c>
      <c r="K423" s="3">
        <f t="shared" si="12"/>
        <v>0</v>
      </c>
      <c r="L423" s="3" t="str">
        <f t="shared" si="13"/>
        <v>Conforme</v>
      </c>
      <c r="M423" s="3" t="s">
        <v>448</v>
      </c>
      <c r="N423" s="11">
        <v>45935</v>
      </c>
      <c r="O423" s="3"/>
    </row>
    <row r="424" spans="1:15" x14ac:dyDescent="0.25">
      <c r="A424" s="2" t="s">
        <v>926</v>
      </c>
      <c r="B424" s="2" t="s">
        <v>429</v>
      </c>
      <c r="C424" s="2" t="s">
        <v>925</v>
      </c>
      <c r="D424" s="2" t="s">
        <v>41</v>
      </c>
      <c r="E424" s="2" t="s">
        <v>338</v>
      </c>
      <c r="F424" s="2" t="s">
        <v>212</v>
      </c>
      <c r="G424" s="2" t="s">
        <v>214</v>
      </c>
      <c r="H424" s="2" t="s">
        <v>108</v>
      </c>
      <c r="I424" s="2">
        <v>3</v>
      </c>
      <c r="J424" s="2">
        <v>3</v>
      </c>
      <c r="K424" s="2">
        <f t="shared" si="12"/>
        <v>0</v>
      </c>
      <c r="L424" s="2" t="str">
        <f t="shared" si="13"/>
        <v>Conforme</v>
      </c>
      <c r="M424" s="2" t="s">
        <v>446</v>
      </c>
      <c r="N424" s="12">
        <v>45969</v>
      </c>
      <c r="O424" s="2"/>
    </row>
    <row r="425" spans="1:15" x14ac:dyDescent="0.25">
      <c r="A425" s="3" t="s">
        <v>927</v>
      </c>
      <c r="B425" s="3" t="s">
        <v>429</v>
      </c>
      <c r="C425" s="3" t="s">
        <v>925</v>
      </c>
      <c r="D425" s="3" t="s">
        <v>41</v>
      </c>
      <c r="E425" s="3" t="s">
        <v>338</v>
      </c>
      <c r="F425" s="3" t="s">
        <v>218</v>
      </c>
      <c r="G425" s="3" t="s">
        <v>214</v>
      </c>
      <c r="H425" s="3" t="s">
        <v>108</v>
      </c>
      <c r="I425" s="3">
        <v>3</v>
      </c>
      <c r="J425" s="3">
        <v>3</v>
      </c>
      <c r="K425" s="3">
        <f t="shared" si="12"/>
        <v>0</v>
      </c>
      <c r="L425" s="3" t="str">
        <f t="shared" si="13"/>
        <v>Conforme</v>
      </c>
      <c r="M425" s="3" t="s">
        <v>450</v>
      </c>
      <c r="N425" s="11">
        <v>45998</v>
      </c>
      <c r="O425" s="3"/>
    </row>
    <row r="426" spans="1:15" x14ac:dyDescent="0.25">
      <c r="A426" s="2" t="s">
        <v>928</v>
      </c>
      <c r="B426" s="2" t="s">
        <v>429</v>
      </c>
      <c r="C426" s="2" t="s">
        <v>925</v>
      </c>
      <c r="D426" s="2" t="s">
        <v>41</v>
      </c>
      <c r="E426" s="2" t="s">
        <v>338</v>
      </c>
      <c r="F426" s="2" t="s">
        <v>223</v>
      </c>
      <c r="G426" s="2" t="s">
        <v>214</v>
      </c>
      <c r="H426" s="2" t="s">
        <v>145</v>
      </c>
      <c r="I426" s="2">
        <v>5</v>
      </c>
      <c r="J426" s="2">
        <v>4</v>
      </c>
      <c r="K426" s="2">
        <f t="shared" si="12"/>
        <v>1</v>
      </c>
      <c r="L426" s="2" t="str">
        <f t="shared" si="13"/>
        <v>Conforme</v>
      </c>
      <c r="M426" s="2" t="s">
        <v>446</v>
      </c>
      <c r="N426" s="12">
        <v>45803</v>
      </c>
      <c r="O426" s="2" t="s">
        <v>461</v>
      </c>
    </row>
    <row r="427" spans="1:15" x14ac:dyDescent="0.25">
      <c r="A427" s="3" t="s">
        <v>929</v>
      </c>
      <c r="B427" s="3" t="s">
        <v>431</v>
      </c>
      <c r="C427" s="3" t="s">
        <v>930</v>
      </c>
      <c r="D427" s="3" t="s">
        <v>43</v>
      </c>
      <c r="E427" s="3" t="s">
        <v>342</v>
      </c>
      <c r="F427" s="3" t="s">
        <v>118</v>
      </c>
      <c r="G427" s="3" t="s">
        <v>120</v>
      </c>
      <c r="H427" s="3" t="s">
        <v>108</v>
      </c>
      <c r="I427" s="3">
        <v>3</v>
      </c>
      <c r="J427" s="3"/>
      <c r="K427" s="3" t="str">
        <f t="shared" si="12"/>
        <v/>
      </c>
      <c r="L427" s="3" t="str">
        <f t="shared" si="13"/>
        <v>Bonus</v>
      </c>
      <c r="M427" s="3" t="s">
        <v>446</v>
      </c>
      <c r="N427" s="11">
        <v>45859</v>
      </c>
      <c r="O427" s="3"/>
    </row>
    <row r="428" spans="1:15" ht="25.5" x14ac:dyDescent="0.25">
      <c r="A428" s="2" t="s">
        <v>931</v>
      </c>
      <c r="B428" s="2" t="s">
        <v>431</v>
      </c>
      <c r="C428" s="2" t="s">
        <v>930</v>
      </c>
      <c r="D428" s="2" t="s">
        <v>43</v>
      </c>
      <c r="E428" s="2" t="s">
        <v>342</v>
      </c>
      <c r="F428" s="2" t="s">
        <v>149</v>
      </c>
      <c r="G428" s="2" t="s">
        <v>141</v>
      </c>
      <c r="H428" s="2" t="s">
        <v>145</v>
      </c>
      <c r="I428" s="2">
        <v>2</v>
      </c>
      <c r="J428" s="2"/>
      <c r="K428" s="2" t="str">
        <f t="shared" si="12"/>
        <v/>
      </c>
      <c r="L428" s="2" t="str">
        <f t="shared" si="13"/>
        <v>Bonus</v>
      </c>
      <c r="M428" s="2" t="s">
        <v>448</v>
      </c>
      <c r="N428" s="12">
        <v>45906</v>
      </c>
      <c r="O428" s="2"/>
    </row>
    <row r="429" spans="1:15" x14ac:dyDescent="0.25">
      <c r="A429" s="3" t="s">
        <v>932</v>
      </c>
      <c r="B429" s="3" t="s">
        <v>431</v>
      </c>
      <c r="C429" s="3" t="s">
        <v>930</v>
      </c>
      <c r="D429" s="3" t="s">
        <v>43</v>
      </c>
      <c r="E429" s="3" t="s">
        <v>342</v>
      </c>
      <c r="F429" s="3" t="s">
        <v>207</v>
      </c>
      <c r="G429" s="3" t="s">
        <v>50</v>
      </c>
      <c r="H429" s="3" t="s">
        <v>145</v>
      </c>
      <c r="I429" s="3">
        <v>4</v>
      </c>
      <c r="J429" s="3">
        <v>4</v>
      </c>
      <c r="K429" s="3">
        <f t="shared" si="12"/>
        <v>0</v>
      </c>
      <c r="L429" s="3" t="str">
        <f t="shared" si="13"/>
        <v>Conforme</v>
      </c>
      <c r="M429" s="3" t="s">
        <v>446</v>
      </c>
      <c r="N429" s="11">
        <v>46054</v>
      </c>
      <c r="O429" s="3" t="s">
        <v>461</v>
      </c>
    </row>
    <row r="430" spans="1:15" x14ac:dyDescent="0.25">
      <c r="A430" s="2" t="s">
        <v>933</v>
      </c>
      <c r="B430" s="2" t="s">
        <v>431</v>
      </c>
      <c r="C430" s="2" t="s">
        <v>930</v>
      </c>
      <c r="D430" s="2" t="s">
        <v>43</v>
      </c>
      <c r="E430" s="2" t="s">
        <v>342</v>
      </c>
      <c r="F430" s="2" t="s">
        <v>218</v>
      </c>
      <c r="G430" s="2" t="s">
        <v>214</v>
      </c>
      <c r="H430" s="2" t="s">
        <v>108</v>
      </c>
      <c r="I430" s="2">
        <v>2</v>
      </c>
      <c r="J430" s="2">
        <v>2</v>
      </c>
      <c r="K430" s="2">
        <f t="shared" si="12"/>
        <v>0</v>
      </c>
      <c r="L430" s="2" t="str">
        <f t="shared" si="13"/>
        <v>Conforme</v>
      </c>
      <c r="M430" s="2" t="s">
        <v>446</v>
      </c>
      <c r="N430" s="12">
        <v>45779</v>
      </c>
      <c r="O430" s="2"/>
    </row>
    <row r="431" spans="1:15" x14ac:dyDescent="0.25">
      <c r="A431" s="3" t="s">
        <v>934</v>
      </c>
      <c r="B431" s="3" t="s">
        <v>431</v>
      </c>
      <c r="C431" s="3" t="s">
        <v>930</v>
      </c>
      <c r="D431" s="3" t="s">
        <v>43</v>
      </c>
      <c r="E431" s="3" t="s">
        <v>342</v>
      </c>
      <c r="F431" s="3" t="s">
        <v>223</v>
      </c>
      <c r="G431" s="3" t="s">
        <v>214</v>
      </c>
      <c r="H431" s="3" t="s">
        <v>145</v>
      </c>
      <c r="I431" s="3">
        <v>3</v>
      </c>
      <c r="J431" s="3">
        <v>3</v>
      </c>
      <c r="K431" s="3">
        <f t="shared" si="12"/>
        <v>0</v>
      </c>
      <c r="L431" s="3" t="str">
        <f t="shared" si="13"/>
        <v>Conforme</v>
      </c>
      <c r="M431" s="3" t="s">
        <v>446</v>
      </c>
      <c r="N431" s="11">
        <v>45919</v>
      </c>
      <c r="O431" s="3"/>
    </row>
    <row r="432" spans="1:15" x14ac:dyDescent="0.25">
      <c r="A432" s="2" t="s">
        <v>935</v>
      </c>
      <c r="B432" s="2" t="s">
        <v>431</v>
      </c>
      <c r="C432" s="2" t="s">
        <v>930</v>
      </c>
      <c r="D432" s="2" t="s">
        <v>43</v>
      </c>
      <c r="E432" s="2" t="s">
        <v>342</v>
      </c>
      <c r="F432" s="2" t="s">
        <v>233</v>
      </c>
      <c r="G432" s="2" t="s">
        <v>214</v>
      </c>
      <c r="H432" s="2" t="s">
        <v>108</v>
      </c>
      <c r="I432" s="2">
        <v>3</v>
      </c>
      <c r="J432" s="2">
        <v>3</v>
      </c>
      <c r="K432" s="2">
        <f t="shared" si="12"/>
        <v>0</v>
      </c>
      <c r="L432" s="2" t="str">
        <f t="shared" si="13"/>
        <v>Conforme</v>
      </c>
      <c r="M432" s="2" t="s">
        <v>446</v>
      </c>
      <c r="N432" s="12">
        <v>45821</v>
      </c>
      <c r="O432" s="2"/>
    </row>
  </sheetData>
  <autoFilter ref="A4:O432" xr:uid="{00000000-0009-0000-0000-000003000000}"/>
  <mergeCells count="2">
    <mergeCell ref="A1:O1"/>
    <mergeCell ref="A2:O2"/>
  </mergeCells>
  <conditionalFormatting sqref="I5:I432">
    <cfRule type="colorScale" priority="1">
      <colorScale>
        <cfvo type="num" val="1"/>
        <cfvo type="num" val="3"/>
        <cfvo type="num" val="5"/>
        <color rgb="FFE74C3C"/>
        <color rgb="FFF1C40F"/>
        <color rgb="FF27AE60"/>
      </colorScale>
    </cfRule>
  </conditionalFormatting>
  <conditionalFormatting sqref="K5:K432">
    <cfRule type="cellIs" dxfId="4" priority="2" operator="lessThan">
      <formula>0</formula>
    </cfRule>
  </conditionalFormatting>
  <conditionalFormatting sqref="L5:L432">
    <cfRule type="expression" dxfId="3" priority="3">
      <formula>L5="Ecart critique"</formula>
    </cfRule>
  </conditionalFormatting>
  <dataValidations count="1">
    <dataValidation type="whole" allowBlank="1" showInputMessage="1" showErrorMessage="1" errorTitle="Erreur" error="Le niveau doit être entre 0 et 4" promptTitle="Niveau de compétence" prompt="Niveau: 0=Non évalué, 1=Débutant, 2=Opérationnel guidé, 3=Autonome, 4=Expert" sqref="I5:I432" xr:uid="{00000000-0002-0000-0300-000000000000}">
      <formula1>0</formula1>
      <formula2>4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L310"/>
  <sheetViews>
    <sheetView workbookViewId="0">
      <pane xSplit="2" ySplit="4" topLeftCell="C11" activePane="bottomRight" state="frozen"/>
      <selection pane="topRight"/>
      <selection pane="bottomLeft"/>
      <selection pane="bottomRight" sqref="A1:L1"/>
    </sheetView>
  </sheetViews>
  <sheetFormatPr baseColWidth="10" defaultColWidth="9.140625" defaultRowHeight="15" x14ac:dyDescent="0.25"/>
  <cols>
    <col min="1" max="2" width="10" customWidth="1"/>
    <col min="3" max="3" width="20" customWidth="1"/>
    <col min="4" max="4" width="18" customWidth="1"/>
    <col min="5" max="5" width="12" customWidth="1"/>
    <col min="6" max="7" width="11" customWidth="1"/>
    <col min="8" max="8" width="14" customWidth="1"/>
    <col min="9" max="10" width="12" customWidth="1"/>
    <col min="11" max="11" width="16" customWidth="1"/>
    <col min="12" max="12" width="28" customWidth="1"/>
  </cols>
  <sheetData>
    <row r="1" spans="1:12" ht="36" customHeight="1" x14ac:dyDescent="0.25">
      <c r="A1" s="19" t="s">
        <v>936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20" t="s">
        <v>937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30" customHeight="1" x14ac:dyDescent="0.25">
      <c r="A4" s="1" t="s">
        <v>73</v>
      </c>
      <c r="B4" s="1" t="s">
        <v>938</v>
      </c>
      <c r="C4" s="1" t="s">
        <v>939</v>
      </c>
      <c r="D4" s="1" t="s">
        <v>243</v>
      </c>
      <c r="E4" s="1" t="s">
        <v>940</v>
      </c>
      <c r="F4" s="1" t="s">
        <v>941</v>
      </c>
      <c r="G4" s="1" t="s">
        <v>942</v>
      </c>
      <c r="H4" s="1" t="s">
        <v>943</v>
      </c>
      <c r="I4" s="1" t="s">
        <v>944</v>
      </c>
      <c r="J4" s="1" t="s">
        <v>945</v>
      </c>
      <c r="K4" s="1" t="s">
        <v>946</v>
      </c>
      <c r="L4" s="1" t="s">
        <v>947</v>
      </c>
    </row>
    <row r="5" spans="1:12" x14ac:dyDescent="0.25">
      <c r="A5" s="3" t="s">
        <v>948</v>
      </c>
      <c r="B5" s="3" t="s">
        <v>254</v>
      </c>
      <c r="C5" s="3" t="s">
        <v>445</v>
      </c>
      <c r="D5" s="3" t="s">
        <v>35</v>
      </c>
      <c r="E5" s="3" t="s">
        <v>97</v>
      </c>
      <c r="F5" s="3">
        <v>3</v>
      </c>
      <c r="G5" s="3">
        <v>4</v>
      </c>
      <c r="H5" s="3" t="str">
        <f t="shared" ref="H5:H68" si="0">IF(F5-G5&gt;=0,"🟢 OK",IF(F5-G5=-1,"🟡 Modere","🔴 Critique"))</f>
        <v>🟡 Modere</v>
      </c>
      <c r="I5" s="3">
        <f t="shared" ref="I5:I68" si="1">MAX(0,(G5-F5)*20)+IF(H5="🔴 Critique",25,0)</f>
        <v>20</v>
      </c>
      <c r="J5" s="3" t="str">
        <f t="shared" ref="J5:J68" si="2">IF(H5="🟢 OK","Traite",IF(H5="🔴 Critique","Non traite","A planifier"))</f>
        <v>A planifier</v>
      </c>
      <c r="K5" s="3" t="str">
        <f t="shared" ref="K5:K68" si="3">IF(H5="🟢 OK","","PF-"&amp;TEXT(ROW()-4,"0000"))</f>
        <v>PF-0001</v>
      </c>
      <c r="L5" s="3" t="str">
        <f t="shared" ref="L5:L68" si="4">IF(H5="🟢 OK","Maintien",IF(H5="🔴 Critique","Formation urgente","Coaching interne"))</f>
        <v>Coaching interne</v>
      </c>
    </row>
    <row r="6" spans="1:12" x14ac:dyDescent="0.25">
      <c r="A6" s="2" t="s">
        <v>949</v>
      </c>
      <c r="B6" s="2" t="s">
        <v>254</v>
      </c>
      <c r="C6" s="2" t="s">
        <v>445</v>
      </c>
      <c r="D6" s="2" t="s">
        <v>35</v>
      </c>
      <c r="E6" s="2" t="s">
        <v>104</v>
      </c>
      <c r="F6" s="2">
        <v>3</v>
      </c>
      <c r="G6" s="2">
        <v>3</v>
      </c>
      <c r="H6" s="2" t="str">
        <f t="shared" si="0"/>
        <v>🟢 OK</v>
      </c>
      <c r="I6" s="2">
        <f t="shared" si="1"/>
        <v>0</v>
      </c>
      <c r="J6" s="2" t="str">
        <f t="shared" si="2"/>
        <v>Traite</v>
      </c>
      <c r="K6" s="2" t="str">
        <f t="shared" si="3"/>
        <v/>
      </c>
      <c r="L6" s="2" t="str">
        <f t="shared" si="4"/>
        <v>Maintien</v>
      </c>
    </row>
    <row r="7" spans="1:12" x14ac:dyDescent="0.25">
      <c r="A7" s="3" t="s">
        <v>950</v>
      </c>
      <c r="B7" s="3" t="s">
        <v>254</v>
      </c>
      <c r="C7" s="3" t="s">
        <v>445</v>
      </c>
      <c r="D7" s="3" t="s">
        <v>35</v>
      </c>
      <c r="E7" s="3" t="s">
        <v>118</v>
      </c>
      <c r="F7" s="3">
        <v>1</v>
      </c>
      <c r="G7" s="3">
        <v>2</v>
      </c>
      <c r="H7" s="3" t="str">
        <f t="shared" si="0"/>
        <v>🟡 Modere</v>
      </c>
      <c r="I7" s="3">
        <f t="shared" si="1"/>
        <v>20</v>
      </c>
      <c r="J7" s="3" t="str">
        <f t="shared" si="2"/>
        <v>A planifier</v>
      </c>
      <c r="K7" s="3" t="str">
        <f t="shared" si="3"/>
        <v>PF-0003</v>
      </c>
      <c r="L7" s="3" t="str">
        <f t="shared" si="4"/>
        <v>Coaching interne</v>
      </c>
    </row>
    <row r="8" spans="1:12" x14ac:dyDescent="0.25">
      <c r="A8" s="2" t="s">
        <v>951</v>
      </c>
      <c r="B8" s="2" t="s">
        <v>254</v>
      </c>
      <c r="C8" s="2" t="s">
        <v>445</v>
      </c>
      <c r="D8" s="2" t="s">
        <v>35</v>
      </c>
      <c r="E8" s="2" t="s">
        <v>202</v>
      </c>
      <c r="F8" s="2">
        <v>3</v>
      </c>
      <c r="G8" s="2">
        <v>2</v>
      </c>
      <c r="H8" s="2" t="str">
        <f t="shared" si="0"/>
        <v>🟢 OK</v>
      </c>
      <c r="I8" s="2">
        <f t="shared" si="1"/>
        <v>0</v>
      </c>
      <c r="J8" s="2" t="str">
        <f t="shared" si="2"/>
        <v>Traite</v>
      </c>
      <c r="K8" s="2" t="str">
        <f t="shared" si="3"/>
        <v/>
      </c>
      <c r="L8" s="2" t="str">
        <f t="shared" si="4"/>
        <v>Maintien</v>
      </c>
    </row>
    <row r="9" spans="1:12" x14ac:dyDescent="0.25">
      <c r="A9" s="3" t="s">
        <v>952</v>
      </c>
      <c r="B9" s="3" t="s">
        <v>254</v>
      </c>
      <c r="C9" s="3" t="s">
        <v>445</v>
      </c>
      <c r="D9" s="3" t="s">
        <v>35</v>
      </c>
      <c r="E9" s="3" t="s">
        <v>218</v>
      </c>
      <c r="F9" s="3">
        <v>3</v>
      </c>
      <c r="G9" s="3">
        <v>2</v>
      </c>
      <c r="H9" s="3" t="str">
        <f t="shared" si="0"/>
        <v>🟢 OK</v>
      </c>
      <c r="I9" s="3">
        <f t="shared" si="1"/>
        <v>0</v>
      </c>
      <c r="J9" s="3" t="str">
        <f t="shared" si="2"/>
        <v>Traite</v>
      </c>
      <c r="K9" s="3" t="str">
        <f t="shared" si="3"/>
        <v/>
      </c>
      <c r="L9" s="3" t="str">
        <f t="shared" si="4"/>
        <v>Maintien</v>
      </c>
    </row>
    <row r="10" spans="1:12" x14ac:dyDescent="0.25">
      <c r="A10" s="2" t="s">
        <v>953</v>
      </c>
      <c r="B10" s="2" t="s">
        <v>254</v>
      </c>
      <c r="C10" s="2" t="s">
        <v>445</v>
      </c>
      <c r="D10" s="2" t="s">
        <v>35</v>
      </c>
      <c r="E10" s="2" t="s">
        <v>223</v>
      </c>
      <c r="F10" s="2">
        <v>1</v>
      </c>
      <c r="G10" s="2">
        <v>1</v>
      </c>
      <c r="H10" s="2" t="str">
        <f t="shared" si="0"/>
        <v>🟢 OK</v>
      </c>
      <c r="I10" s="2">
        <f t="shared" si="1"/>
        <v>0</v>
      </c>
      <c r="J10" s="2" t="str">
        <f t="shared" si="2"/>
        <v>Traite</v>
      </c>
      <c r="K10" s="2" t="str">
        <f t="shared" si="3"/>
        <v/>
      </c>
      <c r="L10" s="2" t="str">
        <f t="shared" si="4"/>
        <v>Maintien</v>
      </c>
    </row>
    <row r="11" spans="1:12" x14ac:dyDescent="0.25">
      <c r="A11" s="3" t="s">
        <v>954</v>
      </c>
      <c r="B11" s="3" t="s">
        <v>261</v>
      </c>
      <c r="C11" s="3" t="s">
        <v>459</v>
      </c>
      <c r="D11" s="3" t="s">
        <v>37</v>
      </c>
      <c r="E11" s="3" t="s">
        <v>97</v>
      </c>
      <c r="F11" s="3">
        <v>3</v>
      </c>
      <c r="G11" s="3">
        <v>3</v>
      </c>
      <c r="H11" s="3" t="str">
        <f t="shared" si="0"/>
        <v>🟢 OK</v>
      </c>
      <c r="I11" s="3">
        <f t="shared" si="1"/>
        <v>0</v>
      </c>
      <c r="J11" s="3" t="str">
        <f t="shared" si="2"/>
        <v>Traite</v>
      </c>
      <c r="K11" s="3" t="str">
        <f t="shared" si="3"/>
        <v/>
      </c>
      <c r="L11" s="3" t="str">
        <f t="shared" si="4"/>
        <v>Maintien</v>
      </c>
    </row>
    <row r="12" spans="1:12" x14ac:dyDescent="0.25">
      <c r="A12" s="2" t="s">
        <v>955</v>
      </c>
      <c r="B12" s="2" t="s">
        <v>261</v>
      </c>
      <c r="C12" s="2" t="s">
        <v>459</v>
      </c>
      <c r="D12" s="2" t="s">
        <v>37</v>
      </c>
      <c r="E12" s="2" t="s">
        <v>104</v>
      </c>
      <c r="F12" s="2">
        <v>5</v>
      </c>
      <c r="G12" s="2">
        <v>4</v>
      </c>
      <c r="H12" s="2" t="str">
        <f t="shared" si="0"/>
        <v>🟢 OK</v>
      </c>
      <c r="I12" s="2">
        <f t="shared" si="1"/>
        <v>0</v>
      </c>
      <c r="J12" s="2" t="str">
        <f t="shared" si="2"/>
        <v>Traite</v>
      </c>
      <c r="K12" s="2" t="str">
        <f t="shared" si="3"/>
        <v/>
      </c>
      <c r="L12" s="2" t="str">
        <f t="shared" si="4"/>
        <v>Maintien</v>
      </c>
    </row>
    <row r="13" spans="1:12" x14ac:dyDescent="0.25">
      <c r="A13" s="3" t="s">
        <v>956</v>
      </c>
      <c r="B13" s="3" t="s">
        <v>261</v>
      </c>
      <c r="C13" s="3" t="s">
        <v>459</v>
      </c>
      <c r="D13" s="3" t="s">
        <v>37</v>
      </c>
      <c r="E13" s="3" t="s">
        <v>113</v>
      </c>
      <c r="F13" s="3">
        <v>5</v>
      </c>
      <c r="G13" s="3">
        <v>3</v>
      </c>
      <c r="H13" s="3" t="str">
        <f t="shared" si="0"/>
        <v>🟢 OK</v>
      </c>
      <c r="I13" s="3">
        <f t="shared" si="1"/>
        <v>0</v>
      </c>
      <c r="J13" s="3" t="str">
        <f t="shared" si="2"/>
        <v>Traite</v>
      </c>
      <c r="K13" s="3" t="str">
        <f t="shared" si="3"/>
        <v/>
      </c>
      <c r="L13" s="3" t="str">
        <f t="shared" si="4"/>
        <v>Maintien</v>
      </c>
    </row>
    <row r="14" spans="1:12" x14ac:dyDescent="0.25">
      <c r="A14" s="2" t="s">
        <v>957</v>
      </c>
      <c r="B14" s="2" t="s">
        <v>261</v>
      </c>
      <c r="C14" s="2" t="s">
        <v>459</v>
      </c>
      <c r="D14" s="2" t="s">
        <v>37</v>
      </c>
      <c r="E14" s="2" t="s">
        <v>118</v>
      </c>
      <c r="F14" s="2">
        <v>4</v>
      </c>
      <c r="G14" s="2">
        <v>2</v>
      </c>
      <c r="H14" s="2" t="str">
        <f t="shared" si="0"/>
        <v>🟢 OK</v>
      </c>
      <c r="I14" s="2">
        <f t="shared" si="1"/>
        <v>0</v>
      </c>
      <c r="J14" s="2" t="str">
        <f t="shared" si="2"/>
        <v>Traite</v>
      </c>
      <c r="K14" s="2" t="str">
        <f t="shared" si="3"/>
        <v/>
      </c>
      <c r="L14" s="2" t="str">
        <f t="shared" si="4"/>
        <v>Maintien</v>
      </c>
    </row>
    <row r="15" spans="1:12" x14ac:dyDescent="0.25">
      <c r="A15" s="3" t="s">
        <v>958</v>
      </c>
      <c r="B15" s="3" t="s">
        <v>261</v>
      </c>
      <c r="C15" s="3" t="s">
        <v>459</v>
      </c>
      <c r="D15" s="3" t="s">
        <v>37</v>
      </c>
      <c r="E15" s="3" t="s">
        <v>223</v>
      </c>
      <c r="F15" s="3">
        <v>2</v>
      </c>
      <c r="G15" s="3">
        <v>1</v>
      </c>
      <c r="H15" s="3" t="str">
        <f t="shared" si="0"/>
        <v>🟢 OK</v>
      </c>
      <c r="I15" s="3">
        <f t="shared" si="1"/>
        <v>0</v>
      </c>
      <c r="J15" s="3" t="str">
        <f t="shared" si="2"/>
        <v>Traite</v>
      </c>
      <c r="K15" s="3" t="str">
        <f t="shared" si="3"/>
        <v/>
      </c>
      <c r="L15" s="3" t="str">
        <f t="shared" si="4"/>
        <v>Maintien</v>
      </c>
    </row>
    <row r="16" spans="1:12" x14ac:dyDescent="0.25">
      <c r="A16" s="2" t="s">
        <v>959</v>
      </c>
      <c r="B16" s="2" t="s">
        <v>265</v>
      </c>
      <c r="C16" s="2" t="s">
        <v>468</v>
      </c>
      <c r="D16" s="2" t="s">
        <v>39</v>
      </c>
      <c r="E16" s="2" t="s">
        <v>118</v>
      </c>
      <c r="F16" s="2">
        <v>5</v>
      </c>
      <c r="G16" s="2">
        <v>4</v>
      </c>
      <c r="H16" s="2" t="str">
        <f t="shared" si="0"/>
        <v>🟢 OK</v>
      </c>
      <c r="I16" s="2">
        <f t="shared" si="1"/>
        <v>0</v>
      </c>
      <c r="J16" s="2" t="str">
        <f t="shared" si="2"/>
        <v>Traite</v>
      </c>
      <c r="K16" s="2" t="str">
        <f t="shared" si="3"/>
        <v/>
      </c>
      <c r="L16" s="2" t="str">
        <f t="shared" si="4"/>
        <v>Maintien</v>
      </c>
    </row>
    <row r="17" spans="1:12" x14ac:dyDescent="0.25">
      <c r="A17" s="3" t="s">
        <v>960</v>
      </c>
      <c r="B17" s="3" t="s">
        <v>265</v>
      </c>
      <c r="C17" s="3" t="s">
        <v>468</v>
      </c>
      <c r="D17" s="3" t="s">
        <v>39</v>
      </c>
      <c r="E17" s="3" t="s">
        <v>124</v>
      </c>
      <c r="F17" s="3">
        <v>3</v>
      </c>
      <c r="G17" s="3">
        <v>4</v>
      </c>
      <c r="H17" s="3" t="str">
        <f t="shared" si="0"/>
        <v>🟡 Modere</v>
      </c>
      <c r="I17" s="3">
        <f t="shared" si="1"/>
        <v>20</v>
      </c>
      <c r="J17" s="3" t="str">
        <f t="shared" si="2"/>
        <v>A planifier</v>
      </c>
      <c r="K17" s="3" t="str">
        <f t="shared" si="3"/>
        <v>PF-0013</v>
      </c>
      <c r="L17" s="3" t="str">
        <f t="shared" si="4"/>
        <v>Coaching interne</v>
      </c>
    </row>
    <row r="18" spans="1:12" x14ac:dyDescent="0.25">
      <c r="A18" s="2" t="s">
        <v>961</v>
      </c>
      <c r="B18" s="2" t="s">
        <v>265</v>
      </c>
      <c r="C18" s="2" t="s">
        <v>468</v>
      </c>
      <c r="D18" s="2" t="s">
        <v>39</v>
      </c>
      <c r="E18" s="2" t="s">
        <v>127</v>
      </c>
      <c r="F18" s="2">
        <v>3</v>
      </c>
      <c r="G18" s="2">
        <v>3</v>
      </c>
      <c r="H18" s="2" t="str">
        <f t="shared" si="0"/>
        <v>🟢 OK</v>
      </c>
      <c r="I18" s="2">
        <f t="shared" si="1"/>
        <v>0</v>
      </c>
      <c r="J18" s="2" t="str">
        <f t="shared" si="2"/>
        <v>Traite</v>
      </c>
      <c r="K18" s="2" t="str">
        <f t="shared" si="3"/>
        <v/>
      </c>
      <c r="L18" s="2" t="str">
        <f t="shared" si="4"/>
        <v>Maintien</v>
      </c>
    </row>
    <row r="19" spans="1:12" x14ac:dyDescent="0.25">
      <c r="A19" s="3" t="s">
        <v>962</v>
      </c>
      <c r="B19" s="3" t="s">
        <v>265</v>
      </c>
      <c r="C19" s="3" t="s">
        <v>468</v>
      </c>
      <c r="D19" s="3" t="s">
        <v>39</v>
      </c>
      <c r="E19" s="3" t="s">
        <v>131</v>
      </c>
      <c r="F19" s="3">
        <v>2</v>
      </c>
      <c r="G19" s="3">
        <v>3</v>
      </c>
      <c r="H19" s="3" t="str">
        <f t="shared" si="0"/>
        <v>🟡 Modere</v>
      </c>
      <c r="I19" s="3">
        <f t="shared" si="1"/>
        <v>20</v>
      </c>
      <c r="J19" s="3" t="str">
        <f t="shared" si="2"/>
        <v>A planifier</v>
      </c>
      <c r="K19" s="3" t="str">
        <f t="shared" si="3"/>
        <v>PF-0015</v>
      </c>
      <c r="L19" s="3" t="str">
        <f t="shared" si="4"/>
        <v>Coaching interne</v>
      </c>
    </row>
    <row r="20" spans="1:12" x14ac:dyDescent="0.25">
      <c r="A20" s="2" t="s">
        <v>963</v>
      </c>
      <c r="B20" s="2" t="s">
        <v>265</v>
      </c>
      <c r="C20" s="2" t="s">
        <v>468</v>
      </c>
      <c r="D20" s="2" t="s">
        <v>39</v>
      </c>
      <c r="E20" s="2" t="s">
        <v>135</v>
      </c>
      <c r="F20" s="2">
        <v>5</v>
      </c>
      <c r="G20" s="2">
        <v>3</v>
      </c>
      <c r="H20" s="2" t="str">
        <f t="shared" si="0"/>
        <v>🟢 OK</v>
      </c>
      <c r="I20" s="2">
        <f t="shared" si="1"/>
        <v>0</v>
      </c>
      <c r="J20" s="2" t="str">
        <f t="shared" si="2"/>
        <v>Traite</v>
      </c>
      <c r="K20" s="2" t="str">
        <f t="shared" si="3"/>
        <v/>
      </c>
      <c r="L20" s="2" t="str">
        <f t="shared" si="4"/>
        <v>Maintien</v>
      </c>
    </row>
    <row r="21" spans="1:12" x14ac:dyDescent="0.25">
      <c r="A21" s="3" t="s">
        <v>964</v>
      </c>
      <c r="B21" s="3" t="s">
        <v>265</v>
      </c>
      <c r="C21" s="3" t="s">
        <v>468</v>
      </c>
      <c r="D21" s="3" t="s">
        <v>39</v>
      </c>
      <c r="E21" s="3" t="s">
        <v>233</v>
      </c>
      <c r="F21" s="3">
        <v>1</v>
      </c>
      <c r="G21" s="3">
        <v>2</v>
      </c>
      <c r="H21" s="3" t="str">
        <f t="shared" si="0"/>
        <v>🟡 Modere</v>
      </c>
      <c r="I21" s="3">
        <f t="shared" si="1"/>
        <v>20</v>
      </c>
      <c r="J21" s="3" t="str">
        <f t="shared" si="2"/>
        <v>A planifier</v>
      </c>
      <c r="K21" s="3" t="str">
        <f t="shared" si="3"/>
        <v>PF-0017</v>
      </c>
      <c r="L21" s="3" t="str">
        <f t="shared" si="4"/>
        <v>Coaching interne</v>
      </c>
    </row>
    <row r="22" spans="1:12" x14ac:dyDescent="0.25">
      <c r="A22" s="2" t="s">
        <v>965</v>
      </c>
      <c r="B22" s="2" t="s">
        <v>270</v>
      </c>
      <c r="C22" s="2" t="s">
        <v>477</v>
      </c>
      <c r="D22" s="2" t="s">
        <v>41</v>
      </c>
      <c r="E22" s="2" t="s">
        <v>118</v>
      </c>
      <c r="F22" s="2">
        <v>5</v>
      </c>
      <c r="G22" s="2">
        <v>5</v>
      </c>
      <c r="H22" s="2" t="str">
        <f t="shared" si="0"/>
        <v>🟢 OK</v>
      </c>
      <c r="I22" s="2">
        <f t="shared" si="1"/>
        <v>0</v>
      </c>
      <c r="J22" s="2" t="str">
        <f t="shared" si="2"/>
        <v>Traite</v>
      </c>
      <c r="K22" s="2" t="str">
        <f t="shared" si="3"/>
        <v/>
      </c>
      <c r="L22" s="2" t="str">
        <f t="shared" si="4"/>
        <v>Maintien</v>
      </c>
    </row>
    <row r="23" spans="1:12" x14ac:dyDescent="0.25">
      <c r="A23" s="3" t="s">
        <v>966</v>
      </c>
      <c r="B23" s="3" t="s">
        <v>270</v>
      </c>
      <c r="C23" s="3" t="s">
        <v>477</v>
      </c>
      <c r="D23" s="3" t="s">
        <v>41</v>
      </c>
      <c r="E23" s="3" t="s">
        <v>124</v>
      </c>
      <c r="F23" s="3">
        <v>5</v>
      </c>
      <c r="G23" s="3">
        <v>5</v>
      </c>
      <c r="H23" s="3" t="str">
        <f t="shared" si="0"/>
        <v>🟢 OK</v>
      </c>
      <c r="I23" s="3">
        <f t="shared" si="1"/>
        <v>0</v>
      </c>
      <c r="J23" s="3" t="str">
        <f t="shared" si="2"/>
        <v>Traite</v>
      </c>
      <c r="K23" s="3" t="str">
        <f t="shared" si="3"/>
        <v/>
      </c>
      <c r="L23" s="3" t="str">
        <f t="shared" si="4"/>
        <v>Maintien</v>
      </c>
    </row>
    <row r="24" spans="1:12" x14ac:dyDescent="0.25">
      <c r="A24" s="2" t="s">
        <v>967</v>
      </c>
      <c r="B24" s="2" t="s">
        <v>270</v>
      </c>
      <c r="C24" s="2" t="s">
        <v>477</v>
      </c>
      <c r="D24" s="2" t="s">
        <v>41</v>
      </c>
      <c r="E24" s="2" t="s">
        <v>127</v>
      </c>
      <c r="F24" s="2">
        <v>4</v>
      </c>
      <c r="G24" s="2">
        <v>5</v>
      </c>
      <c r="H24" s="2" t="str">
        <f t="shared" si="0"/>
        <v>🟡 Modere</v>
      </c>
      <c r="I24" s="2">
        <f t="shared" si="1"/>
        <v>20</v>
      </c>
      <c r="J24" s="2" t="str">
        <f t="shared" si="2"/>
        <v>A planifier</v>
      </c>
      <c r="K24" s="2" t="str">
        <f t="shared" si="3"/>
        <v>PF-0020</v>
      </c>
      <c r="L24" s="2" t="str">
        <f t="shared" si="4"/>
        <v>Coaching interne</v>
      </c>
    </row>
    <row r="25" spans="1:12" x14ac:dyDescent="0.25">
      <c r="A25" s="3" t="s">
        <v>968</v>
      </c>
      <c r="B25" s="3" t="s">
        <v>270</v>
      </c>
      <c r="C25" s="3" t="s">
        <v>477</v>
      </c>
      <c r="D25" s="3" t="s">
        <v>41</v>
      </c>
      <c r="E25" s="3" t="s">
        <v>131</v>
      </c>
      <c r="F25" s="3">
        <v>4</v>
      </c>
      <c r="G25" s="3">
        <v>4</v>
      </c>
      <c r="H25" s="3" t="str">
        <f t="shared" si="0"/>
        <v>🟢 OK</v>
      </c>
      <c r="I25" s="3">
        <f t="shared" si="1"/>
        <v>0</v>
      </c>
      <c r="J25" s="3" t="str">
        <f t="shared" si="2"/>
        <v>Traite</v>
      </c>
      <c r="K25" s="3" t="str">
        <f t="shared" si="3"/>
        <v/>
      </c>
      <c r="L25" s="3" t="str">
        <f t="shared" si="4"/>
        <v>Maintien</v>
      </c>
    </row>
    <row r="26" spans="1:12" x14ac:dyDescent="0.25">
      <c r="A26" s="2" t="s">
        <v>969</v>
      </c>
      <c r="B26" s="2" t="s">
        <v>270</v>
      </c>
      <c r="C26" s="2" t="s">
        <v>477</v>
      </c>
      <c r="D26" s="2" t="s">
        <v>41</v>
      </c>
      <c r="E26" s="2" t="s">
        <v>135</v>
      </c>
      <c r="F26" s="2">
        <v>5</v>
      </c>
      <c r="G26" s="2">
        <v>4</v>
      </c>
      <c r="H26" s="2" t="str">
        <f t="shared" si="0"/>
        <v>🟢 OK</v>
      </c>
      <c r="I26" s="2">
        <f t="shared" si="1"/>
        <v>0</v>
      </c>
      <c r="J26" s="2" t="str">
        <f t="shared" si="2"/>
        <v>Traite</v>
      </c>
      <c r="K26" s="2" t="str">
        <f t="shared" si="3"/>
        <v/>
      </c>
      <c r="L26" s="2" t="str">
        <f t="shared" si="4"/>
        <v>Maintien</v>
      </c>
    </row>
    <row r="27" spans="1:12" x14ac:dyDescent="0.25">
      <c r="A27" s="3" t="s">
        <v>970</v>
      </c>
      <c r="B27" s="3" t="s">
        <v>270</v>
      </c>
      <c r="C27" s="3" t="s">
        <v>477</v>
      </c>
      <c r="D27" s="3" t="s">
        <v>41</v>
      </c>
      <c r="E27" s="3" t="s">
        <v>212</v>
      </c>
      <c r="F27" s="3">
        <v>3</v>
      </c>
      <c r="G27" s="3">
        <v>3</v>
      </c>
      <c r="H27" s="3" t="str">
        <f t="shared" si="0"/>
        <v>🟢 OK</v>
      </c>
      <c r="I27" s="3">
        <f t="shared" si="1"/>
        <v>0</v>
      </c>
      <c r="J27" s="3" t="str">
        <f t="shared" si="2"/>
        <v>Traite</v>
      </c>
      <c r="K27" s="3" t="str">
        <f t="shared" si="3"/>
        <v/>
      </c>
      <c r="L27" s="3" t="str">
        <f t="shared" si="4"/>
        <v>Maintien</v>
      </c>
    </row>
    <row r="28" spans="1:12" x14ac:dyDescent="0.25">
      <c r="A28" s="2" t="s">
        <v>971</v>
      </c>
      <c r="B28" s="2" t="s">
        <v>270</v>
      </c>
      <c r="C28" s="2" t="s">
        <v>477</v>
      </c>
      <c r="D28" s="2" t="s">
        <v>41</v>
      </c>
      <c r="E28" s="2" t="s">
        <v>233</v>
      </c>
      <c r="F28" s="2">
        <v>4</v>
      </c>
      <c r="G28" s="2">
        <v>3</v>
      </c>
      <c r="H28" s="2" t="str">
        <f t="shared" si="0"/>
        <v>🟢 OK</v>
      </c>
      <c r="I28" s="2">
        <f t="shared" si="1"/>
        <v>0</v>
      </c>
      <c r="J28" s="2" t="str">
        <f t="shared" si="2"/>
        <v>Traite</v>
      </c>
      <c r="K28" s="2" t="str">
        <f t="shared" si="3"/>
        <v/>
      </c>
      <c r="L28" s="2" t="str">
        <f t="shared" si="4"/>
        <v>Maintien</v>
      </c>
    </row>
    <row r="29" spans="1:12" x14ac:dyDescent="0.25">
      <c r="A29" s="3" t="s">
        <v>972</v>
      </c>
      <c r="B29" s="3" t="s">
        <v>274</v>
      </c>
      <c r="C29" s="3" t="s">
        <v>486</v>
      </c>
      <c r="D29" s="3" t="s">
        <v>43</v>
      </c>
      <c r="E29" s="3" t="s">
        <v>139</v>
      </c>
      <c r="F29" s="3">
        <v>4</v>
      </c>
      <c r="G29" s="3">
        <v>3</v>
      </c>
      <c r="H29" s="3" t="str">
        <f t="shared" si="0"/>
        <v>🟢 OK</v>
      </c>
      <c r="I29" s="3">
        <f t="shared" si="1"/>
        <v>0</v>
      </c>
      <c r="J29" s="3" t="str">
        <f t="shared" si="2"/>
        <v>Traite</v>
      </c>
      <c r="K29" s="3" t="str">
        <f t="shared" si="3"/>
        <v/>
      </c>
      <c r="L29" s="3" t="str">
        <f t="shared" si="4"/>
        <v>Maintien</v>
      </c>
    </row>
    <row r="30" spans="1:12" x14ac:dyDescent="0.25">
      <c r="A30" s="2" t="s">
        <v>973</v>
      </c>
      <c r="B30" s="2" t="s">
        <v>274</v>
      </c>
      <c r="C30" s="2" t="s">
        <v>486</v>
      </c>
      <c r="D30" s="2" t="s">
        <v>43</v>
      </c>
      <c r="E30" s="2" t="s">
        <v>146</v>
      </c>
      <c r="F30" s="2">
        <v>5</v>
      </c>
      <c r="G30" s="2">
        <v>4</v>
      </c>
      <c r="H30" s="2" t="str">
        <f t="shared" si="0"/>
        <v>🟢 OK</v>
      </c>
      <c r="I30" s="2">
        <f t="shared" si="1"/>
        <v>0</v>
      </c>
      <c r="J30" s="2" t="str">
        <f t="shared" si="2"/>
        <v>Traite</v>
      </c>
      <c r="K30" s="2" t="str">
        <f t="shared" si="3"/>
        <v/>
      </c>
      <c r="L30" s="2" t="str">
        <f t="shared" si="4"/>
        <v>Maintien</v>
      </c>
    </row>
    <row r="31" spans="1:12" x14ac:dyDescent="0.25">
      <c r="A31" s="3" t="s">
        <v>974</v>
      </c>
      <c r="B31" s="3" t="s">
        <v>274</v>
      </c>
      <c r="C31" s="3" t="s">
        <v>486</v>
      </c>
      <c r="D31" s="3" t="s">
        <v>43</v>
      </c>
      <c r="E31" s="3" t="s">
        <v>160</v>
      </c>
      <c r="F31" s="3">
        <v>3</v>
      </c>
      <c r="G31" s="3">
        <v>3</v>
      </c>
      <c r="H31" s="3" t="str">
        <f t="shared" si="0"/>
        <v>🟢 OK</v>
      </c>
      <c r="I31" s="3">
        <f t="shared" si="1"/>
        <v>0</v>
      </c>
      <c r="J31" s="3" t="str">
        <f t="shared" si="2"/>
        <v>Traite</v>
      </c>
      <c r="K31" s="3" t="str">
        <f t="shared" si="3"/>
        <v/>
      </c>
      <c r="L31" s="3" t="str">
        <f t="shared" si="4"/>
        <v>Maintien</v>
      </c>
    </row>
    <row r="32" spans="1:12" x14ac:dyDescent="0.25">
      <c r="A32" s="2" t="s">
        <v>975</v>
      </c>
      <c r="B32" s="2" t="s">
        <v>274</v>
      </c>
      <c r="C32" s="2" t="s">
        <v>486</v>
      </c>
      <c r="D32" s="2" t="s">
        <v>43</v>
      </c>
      <c r="E32" s="2" t="s">
        <v>202</v>
      </c>
      <c r="F32" s="2">
        <v>2</v>
      </c>
      <c r="G32" s="2">
        <v>2</v>
      </c>
      <c r="H32" s="2" t="str">
        <f t="shared" si="0"/>
        <v>🟢 OK</v>
      </c>
      <c r="I32" s="2">
        <f t="shared" si="1"/>
        <v>0</v>
      </c>
      <c r="J32" s="2" t="str">
        <f t="shared" si="2"/>
        <v>Traite</v>
      </c>
      <c r="K32" s="2" t="str">
        <f t="shared" si="3"/>
        <v/>
      </c>
      <c r="L32" s="2" t="str">
        <f t="shared" si="4"/>
        <v>Maintien</v>
      </c>
    </row>
    <row r="33" spans="1:12" x14ac:dyDescent="0.25">
      <c r="A33" s="3" t="s">
        <v>976</v>
      </c>
      <c r="B33" s="3" t="s">
        <v>274</v>
      </c>
      <c r="C33" s="3" t="s">
        <v>486</v>
      </c>
      <c r="D33" s="3" t="s">
        <v>43</v>
      </c>
      <c r="E33" s="3" t="s">
        <v>228</v>
      </c>
      <c r="F33" s="3">
        <v>4</v>
      </c>
      <c r="G33" s="3">
        <v>2</v>
      </c>
      <c r="H33" s="3" t="str">
        <f t="shared" si="0"/>
        <v>🟢 OK</v>
      </c>
      <c r="I33" s="3">
        <f t="shared" si="1"/>
        <v>0</v>
      </c>
      <c r="J33" s="3" t="str">
        <f t="shared" si="2"/>
        <v>Traite</v>
      </c>
      <c r="K33" s="3" t="str">
        <f t="shared" si="3"/>
        <v/>
      </c>
      <c r="L33" s="3" t="str">
        <f t="shared" si="4"/>
        <v>Maintien</v>
      </c>
    </row>
    <row r="34" spans="1:12" x14ac:dyDescent="0.25">
      <c r="A34" s="2" t="s">
        <v>977</v>
      </c>
      <c r="B34" s="2" t="s">
        <v>279</v>
      </c>
      <c r="C34" s="2" t="s">
        <v>494</v>
      </c>
      <c r="D34" s="2" t="s">
        <v>35</v>
      </c>
      <c r="E34" s="2" t="s">
        <v>139</v>
      </c>
      <c r="F34" s="2">
        <v>5</v>
      </c>
      <c r="G34" s="2">
        <v>4</v>
      </c>
      <c r="H34" s="2" t="str">
        <f t="shared" si="0"/>
        <v>🟢 OK</v>
      </c>
      <c r="I34" s="2">
        <f t="shared" si="1"/>
        <v>0</v>
      </c>
      <c r="J34" s="2" t="str">
        <f t="shared" si="2"/>
        <v>Traite</v>
      </c>
      <c r="K34" s="2" t="str">
        <f t="shared" si="3"/>
        <v/>
      </c>
      <c r="L34" s="2" t="str">
        <f t="shared" si="4"/>
        <v>Maintien</v>
      </c>
    </row>
    <row r="35" spans="1:12" x14ac:dyDescent="0.25">
      <c r="A35" s="3" t="s">
        <v>978</v>
      </c>
      <c r="B35" s="3" t="s">
        <v>279</v>
      </c>
      <c r="C35" s="3" t="s">
        <v>494</v>
      </c>
      <c r="D35" s="3" t="s">
        <v>35</v>
      </c>
      <c r="E35" s="3" t="s">
        <v>149</v>
      </c>
      <c r="F35" s="3">
        <v>2</v>
      </c>
      <c r="G35" s="3">
        <v>3</v>
      </c>
      <c r="H35" s="3" t="str">
        <f t="shared" si="0"/>
        <v>🟡 Modere</v>
      </c>
      <c r="I35" s="3">
        <f t="shared" si="1"/>
        <v>20</v>
      </c>
      <c r="J35" s="3" t="str">
        <f t="shared" si="2"/>
        <v>A planifier</v>
      </c>
      <c r="K35" s="3" t="str">
        <f t="shared" si="3"/>
        <v>PF-0031</v>
      </c>
      <c r="L35" s="3" t="str">
        <f t="shared" si="4"/>
        <v>Coaching interne</v>
      </c>
    </row>
    <row r="36" spans="1:12" x14ac:dyDescent="0.25">
      <c r="A36" s="2" t="s">
        <v>979</v>
      </c>
      <c r="B36" s="2" t="s">
        <v>279</v>
      </c>
      <c r="C36" s="2" t="s">
        <v>494</v>
      </c>
      <c r="D36" s="2" t="s">
        <v>35</v>
      </c>
      <c r="E36" s="2" t="s">
        <v>160</v>
      </c>
      <c r="F36" s="2">
        <v>1</v>
      </c>
      <c r="G36" s="2">
        <v>2</v>
      </c>
      <c r="H36" s="2" t="str">
        <f t="shared" si="0"/>
        <v>🟡 Modere</v>
      </c>
      <c r="I36" s="2">
        <f t="shared" si="1"/>
        <v>20</v>
      </c>
      <c r="J36" s="2" t="str">
        <f t="shared" si="2"/>
        <v>A planifier</v>
      </c>
      <c r="K36" s="2" t="str">
        <f t="shared" si="3"/>
        <v>PF-0032</v>
      </c>
      <c r="L36" s="2" t="str">
        <f t="shared" si="4"/>
        <v>Coaching interne</v>
      </c>
    </row>
    <row r="37" spans="1:12" x14ac:dyDescent="0.25">
      <c r="A37" s="3" t="s">
        <v>980</v>
      </c>
      <c r="B37" s="3" t="s">
        <v>279</v>
      </c>
      <c r="C37" s="3" t="s">
        <v>494</v>
      </c>
      <c r="D37" s="3" t="s">
        <v>35</v>
      </c>
      <c r="E37" s="3" t="s">
        <v>228</v>
      </c>
      <c r="F37" s="3">
        <v>2</v>
      </c>
      <c r="G37" s="3">
        <v>2</v>
      </c>
      <c r="H37" s="3" t="str">
        <f t="shared" si="0"/>
        <v>🟢 OK</v>
      </c>
      <c r="I37" s="3">
        <f t="shared" si="1"/>
        <v>0</v>
      </c>
      <c r="J37" s="3" t="str">
        <f t="shared" si="2"/>
        <v>Traite</v>
      </c>
      <c r="K37" s="3" t="str">
        <f t="shared" si="3"/>
        <v/>
      </c>
      <c r="L37" s="3" t="str">
        <f t="shared" si="4"/>
        <v>Maintien</v>
      </c>
    </row>
    <row r="38" spans="1:12" x14ac:dyDescent="0.25">
      <c r="A38" s="2" t="s">
        <v>981</v>
      </c>
      <c r="B38" s="2" t="s">
        <v>283</v>
      </c>
      <c r="C38" s="2" t="s">
        <v>502</v>
      </c>
      <c r="D38" s="2" t="s">
        <v>37</v>
      </c>
      <c r="E38" s="2" t="s">
        <v>165</v>
      </c>
      <c r="F38" s="2">
        <v>3</v>
      </c>
      <c r="G38" s="2">
        <v>4</v>
      </c>
      <c r="H38" s="2" t="str">
        <f t="shared" si="0"/>
        <v>🟡 Modere</v>
      </c>
      <c r="I38" s="2">
        <f t="shared" si="1"/>
        <v>20</v>
      </c>
      <c r="J38" s="2" t="str">
        <f t="shared" si="2"/>
        <v>A planifier</v>
      </c>
      <c r="K38" s="2" t="str">
        <f t="shared" si="3"/>
        <v>PF-0034</v>
      </c>
      <c r="L38" s="2" t="str">
        <f t="shared" si="4"/>
        <v>Coaching interne</v>
      </c>
    </row>
    <row r="39" spans="1:12" x14ac:dyDescent="0.25">
      <c r="A39" s="3" t="s">
        <v>982</v>
      </c>
      <c r="B39" s="3" t="s">
        <v>283</v>
      </c>
      <c r="C39" s="3" t="s">
        <v>502</v>
      </c>
      <c r="D39" s="3" t="s">
        <v>37</v>
      </c>
      <c r="E39" s="3" t="s">
        <v>181</v>
      </c>
      <c r="F39" s="3">
        <v>3</v>
      </c>
      <c r="G39" s="3">
        <v>3</v>
      </c>
      <c r="H39" s="3" t="str">
        <f t="shared" si="0"/>
        <v>🟢 OK</v>
      </c>
      <c r="I39" s="3">
        <f t="shared" si="1"/>
        <v>0</v>
      </c>
      <c r="J39" s="3" t="str">
        <f t="shared" si="2"/>
        <v>Traite</v>
      </c>
      <c r="K39" s="3" t="str">
        <f t="shared" si="3"/>
        <v/>
      </c>
      <c r="L39" s="3" t="str">
        <f t="shared" si="4"/>
        <v>Maintien</v>
      </c>
    </row>
    <row r="40" spans="1:12" x14ac:dyDescent="0.25">
      <c r="A40" s="2" t="s">
        <v>983</v>
      </c>
      <c r="B40" s="2" t="s">
        <v>283</v>
      </c>
      <c r="C40" s="2" t="s">
        <v>502</v>
      </c>
      <c r="D40" s="2" t="s">
        <v>37</v>
      </c>
      <c r="E40" s="2" t="s">
        <v>218</v>
      </c>
      <c r="F40" s="2">
        <v>2</v>
      </c>
      <c r="G40" s="2">
        <v>2</v>
      </c>
      <c r="H40" s="2" t="str">
        <f t="shared" si="0"/>
        <v>🟢 OK</v>
      </c>
      <c r="I40" s="2">
        <f t="shared" si="1"/>
        <v>0</v>
      </c>
      <c r="J40" s="2" t="str">
        <f t="shared" si="2"/>
        <v>Traite</v>
      </c>
      <c r="K40" s="2" t="str">
        <f t="shared" si="3"/>
        <v/>
      </c>
      <c r="L40" s="2" t="str">
        <f t="shared" si="4"/>
        <v>Maintien</v>
      </c>
    </row>
    <row r="41" spans="1:12" x14ac:dyDescent="0.25">
      <c r="A41" s="3" t="s">
        <v>984</v>
      </c>
      <c r="B41" s="3" t="s">
        <v>283</v>
      </c>
      <c r="C41" s="3" t="s">
        <v>502</v>
      </c>
      <c r="D41" s="3" t="s">
        <v>37</v>
      </c>
      <c r="E41" s="3" t="s">
        <v>223</v>
      </c>
      <c r="F41" s="3">
        <v>2</v>
      </c>
      <c r="G41" s="3">
        <v>2</v>
      </c>
      <c r="H41" s="3" t="str">
        <f t="shared" si="0"/>
        <v>🟢 OK</v>
      </c>
      <c r="I41" s="3">
        <f t="shared" si="1"/>
        <v>0</v>
      </c>
      <c r="J41" s="3" t="str">
        <f t="shared" si="2"/>
        <v>Traite</v>
      </c>
      <c r="K41" s="3" t="str">
        <f t="shared" si="3"/>
        <v/>
      </c>
      <c r="L41" s="3" t="str">
        <f t="shared" si="4"/>
        <v>Maintien</v>
      </c>
    </row>
    <row r="42" spans="1:12" x14ac:dyDescent="0.25">
      <c r="A42" s="2" t="s">
        <v>985</v>
      </c>
      <c r="B42" s="2" t="s">
        <v>283</v>
      </c>
      <c r="C42" s="2" t="s">
        <v>502</v>
      </c>
      <c r="D42" s="2" t="s">
        <v>37</v>
      </c>
      <c r="E42" s="2" t="s">
        <v>228</v>
      </c>
      <c r="F42" s="2">
        <v>3</v>
      </c>
      <c r="G42" s="2">
        <v>2</v>
      </c>
      <c r="H42" s="2" t="str">
        <f t="shared" si="0"/>
        <v>🟢 OK</v>
      </c>
      <c r="I42" s="2">
        <f t="shared" si="1"/>
        <v>0</v>
      </c>
      <c r="J42" s="2" t="str">
        <f t="shared" si="2"/>
        <v>Traite</v>
      </c>
      <c r="K42" s="2" t="str">
        <f t="shared" si="3"/>
        <v/>
      </c>
      <c r="L42" s="2" t="str">
        <f t="shared" si="4"/>
        <v>Maintien</v>
      </c>
    </row>
    <row r="43" spans="1:12" x14ac:dyDescent="0.25">
      <c r="A43" s="3" t="s">
        <v>986</v>
      </c>
      <c r="B43" s="3" t="s">
        <v>287</v>
      </c>
      <c r="C43" s="3" t="s">
        <v>512</v>
      </c>
      <c r="D43" s="3" t="s">
        <v>39</v>
      </c>
      <c r="E43" s="3" t="s">
        <v>171</v>
      </c>
      <c r="F43" s="3">
        <v>4</v>
      </c>
      <c r="G43" s="3">
        <v>4</v>
      </c>
      <c r="H43" s="3" t="str">
        <f t="shared" si="0"/>
        <v>🟢 OK</v>
      </c>
      <c r="I43" s="3">
        <f t="shared" si="1"/>
        <v>0</v>
      </c>
      <c r="J43" s="3" t="str">
        <f t="shared" si="2"/>
        <v>Traite</v>
      </c>
      <c r="K43" s="3" t="str">
        <f t="shared" si="3"/>
        <v/>
      </c>
      <c r="L43" s="3" t="str">
        <f t="shared" si="4"/>
        <v>Maintien</v>
      </c>
    </row>
    <row r="44" spans="1:12" x14ac:dyDescent="0.25">
      <c r="A44" s="2" t="s">
        <v>987</v>
      </c>
      <c r="B44" s="2" t="s">
        <v>287</v>
      </c>
      <c r="C44" s="2" t="s">
        <v>512</v>
      </c>
      <c r="D44" s="2" t="s">
        <v>39</v>
      </c>
      <c r="E44" s="2" t="s">
        <v>176</v>
      </c>
      <c r="F44" s="2">
        <v>2</v>
      </c>
      <c r="G44" s="2">
        <v>3</v>
      </c>
      <c r="H44" s="2" t="str">
        <f t="shared" si="0"/>
        <v>🟡 Modere</v>
      </c>
      <c r="I44" s="2">
        <f t="shared" si="1"/>
        <v>20</v>
      </c>
      <c r="J44" s="2" t="str">
        <f t="shared" si="2"/>
        <v>A planifier</v>
      </c>
      <c r="K44" s="2" t="str">
        <f t="shared" si="3"/>
        <v>PF-0040</v>
      </c>
      <c r="L44" s="2" t="str">
        <f t="shared" si="4"/>
        <v>Coaching interne</v>
      </c>
    </row>
    <row r="45" spans="1:12" x14ac:dyDescent="0.25">
      <c r="A45" s="3" t="s">
        <v>988</v>
      </c>
      <c r="B45" s="3" t="s">
        <v>287</v>
      </c>
      <c r="C45" s="3" t="s">
        <v>512</v>
      </c>
      <c r="D45" s="3" t="s">
        <v>39</v>
      </c>
      <c r="E45" s="3" t="s">
        <v>181</v>
      </c>
      <c r="F45" s="3">
        <v>3</v>
      </c>
      <c r="G45" s="3">
        <v>2</v>
      </c>
      <c r="H45" s="3" t="str">
        <f t="shared" si="0"/>
        <v>🟢 OK</v>
      </c>
      <c r="I45" s="3">
        <f t="shared" si="1"/>
        <v>0</v>
      </c>
      <c r="J45" s="3" t="str">
        <f t="shared" si="2"/>
        <v>Traite</v>
      </c>
      <c r="K45" s="3" t="str">
        <f t="shared" si="3"/>
        <v/>
      </c>
      <c r="L45" s="3" t="str">
        <f t="shared" si="4"/>
        <v>Maintien</v>
      </c>
    </row>
    <row r="46" spans="1:12" x14ac:dyDescent="0.25">
      <c r="A46" s="2" t="s">
        <v>989</v>
      </c>
      <c r="B46" s="2" t="s">
        <v>287</v>
      </c>
      <c r="C46" s="2" t="s">
        <v>512</v>
      </c>
      <c r="D46" s="2" t="s">
        <v>39</v>
      </c>
      <c r="E46" s="2" t="s">
        <v>228</v>
      </c>
      <c r="F46" s="2">
        <v>2</v>
      </c>
      <c r="G46" s="2">
        <v>2</v>
      </c>
      <c r="H46" s="2" t="str">
        <f t="shared" si="0"/>
        <v>🟢 OK</v>
      </c>
      <c r="I46" s="2">
        <f t="shared" si="1"/>
        <v>0</v>
      </c>
      <c r="J46" s="2" t="str">
        <f t="shared" si="2"/>
        <v>Traite</v>
      </c>
      <c r="K46" s="2" t="str">
        <f t="shared" si="3"/>
        <v/>
      </c>
      <c r="L46" s="2" t="str">
        <f t="shared" si="4"/>
        <v>Maintien</v>
      </c>
    </row>
    <row r="47" spans="1:12" x14ac:dyDescent="0.25">
      <c r="A47" s="3" t="s">
        <v>990</v>
      </c>
      <c r="B47" s="3" t="s">
        <v>292</v>
      </c>
      <c r="C47" s="3" t="s">
        <v>519</v>
      </c>
      <c r="D47" s="3" t="s">
        <v>41</v>
      </c>
      <c r="E47" s="3" t="s">
        <v>186</v>
      </c>
      <c r="F47" s="3">
        <v>5</v>
      </c>
      <c r="G47" s="3">
        <v>5</v>
      </c>
      <c r="H47" s="3" t="str">
        <f t="shared" si="0"/>
        <v>🟢 OK</v>
      </c>
      <c r="I47" s="3">
        <f t="shared" si="1"/>
        <v>0</v>
      </c>
      <c r="J47" s="3" t="str">
        <f t="shared" si="2"/>
        <v>Traite</v>
      </c>
      <c r="K47" s="3" t="str">
        <f t="shared" si="3"/>
        <v/>
      </c>
      <c r="L47" s="3" t="str">
        <f t="shared" si="4"/>
        <v>Maintien</v>
      </c>
    </row>
    <row r="48" spans="1:12" x14ac:dyDescent="0.25">
      <c r="A48" s="2" t="s">
        <v>991</v>
      </c>
      <c r="B48" s="2" t="s">
        <v>292</v>
      </c>
      <c r="C48" s="2" t="s">
        <v>519</v>
      </c>
      <c r="D48" s="2" t="s">
        <v>41</v>
      </c>
      <c r="E48" s="2" t="s">
        <v>193</v>
      </c>
      <c r="F48" s="2">
        <v>4</v>
      </c>
      <c r="G48" s="2">
        <v>2</v>
      </c>
      <c r="H48" s="2" t="str">
        <f t="shared" si="0"/>
        <v>🟢 OK</v>
      </c>
      <c r="I48" s="2">
        <f t="shared" si="1"/>
        <v>0</v>
      </c>
      <c r="J48" s="2" t="str">
        <f t="shared" si="2"/>
        <v>Traite</v>
      </c>
      <c r="K48" s="2" t="str">
        <f t="shared" si="3"/>
        <v/>
      </c>
      <c r="L48" s="2" t="str">
        <f t="shared" si="4"/>
        <v>Maintien</v>
      </c>
    </row>
    <row r="49" spans="1:12" x14ac:dyDescent="0.25">
      <c r="A49" s="3" t="s">
        <v>992</v>
      </c>
      <c r="B49" s="3" t="s">
        <v>292</v>
      </c>
      <c r="C49" s="3" t="s">
        <v>519</v>
      </c>
      <c r="D49" s="3" t="s">
        <v>41</v>
      </c>
      <c r="E49" s="3" t="s">
        <v>202</v>
      </c>
      <c r="F49" s="3">
        <v>4</v>
      </c>
      <c r="G49" s="3">
        <v>4</v>
      </c>
      <c r="H49" s="3" t="str">
        <f t="shared" si="0"/>
        <v>🟢 OK</v>
      </c>
      <c r="I49" s="3">
        <f t="shared" si="1"/>
        <v>0</v>
      </c>
      <c r="J49" s="3" t="str">
        <f t="shared" si="2"/>
        <v>Traite</v>
      </c>
      <c r="K49" s="3" t="str">
        <f t="shared" si="3"/>
        <v/>
      </c>
      <c r="L49" s="3" t="str">
        <f t="shared" si="4"/>
        <v>Maintien</v>
      </c>
    </row>
    <row r="50" spans="1:12" x14ac:dyDescent="0.25">
      <c r="A50" s="2" t="s">
        <v>993</v>
      </c>
      <c r="B50" s="2" t="s">
        <v>292</v>
      </c>
      <c r="C50" s="2" t="s">
        <v>519</v>
      </c>
      <c r="D50" s="2" t="s">
        <v>41</v>
      </c>
      <c r="E50" s="2" t="s">
        <v>207</v>
      </c>
      <c r="F50" s="2">
        <v>4</v>
      </c>
      <c r="G50" s="2">
        <v>3</v>
      </c>
      <c r="H50" s="2" t="str">
        <f t="shared" si="0"/>
        <v>🟢 OK</v>
      </c>
      <c r="I50" s="2">
        <f t="shared" si="1"/>
        <v>0</v>
      </c>
      <c r="J50" s="2" t="str">
        <f t="shared" si="2"/>
        <v>Traite</v>
      </c>
      <c r="K50" s="2" t="str">
        <f t="shared" si="3"/>
        <v/>
      </c>
      <c r="L50" s="2" t="str">
        <f t="shared" si="4"/>
        <v>Maintien</v>
      </c>
    </row>
    <row r="51" spans="1:12" x14ac:dyDescent="0.25">
      <c r="A51" s="3" t="s">
        <v>994</v>
      </c>
      <c r="B51" s="3" t="s">
        <v>292</v>
      </c>
      <c r="C51" s="3" t="s">
        <v>519</v>
      </c>
      <c r="D51" s="3" t="s">
        <v>41</v>
      </c>
      <c r="E51" s="3" t="s">
        <v>218</v>
      </c>
      <c r="F51" s="3">
        <v>3</v>
      </c>
      <c r="G51" s="3">
        <v>3</v>
      </c>
      <c r="H51" s="3" t="str">
        <f t="shared" si="0"/>
        <v>🟢 OK</v>
      </c>
      <c r="I51" s="3">
        <f t="shared" si="1"/>
        <v>0</v>
      </c>
      <c r="J51" s="3" t="str">
        <f t="shared" si="2"/>
        <v>Traite</v>
      </c>
      <c r="K51" s="3" t="str">
        <f t="shared" si="3"/>
        <v/>
      </c>
      <c r="L51" s="3" t="str">
        <f t="shared" si="4"/>
        <v>Maintien</v>
      </c>
    </row>
    <row r="52" spans="1:12" x14ac:dyDescent="0.25">
      <c r="A52" s="2" t="s">
        <v>995</v>
      </c>
      <c r="B52" s="2" t="s">
        <v>297</v>
      </c>
      <c r="C52" s="2" t="s">
        <v>528</v>
      </c>
      <c r="D52" s="2" t="s">
        <v>43</v>
      </c>
      <c r="E52" s="2" t="s">
        <v>186</v>
      </c>
      <c r="F52" s="2">
        <v>4</v>
      </c>
      <c r="G52" s="2">
        <v>3</v>
      </c>
      <c r="H52" s="2" t="str">
        <f t="shared" si="0"/>
        <v>🟢 OK</v>
      </c>
      <c r="I52" s="2">
        <f t="shared" si="1"/>
        <v>0</v>
      </c>
      <c r="J52" s="2" t="str">
        <f t="shared" si="2"/>
        <v>Traite</v>
      </c>
      <c r="K52" s="2" t="str">
        <f t="shared" si="3"/>
        <v/>
      </c>
      <c r="L52" s="2" t="str">
        <f t="shared" si="4"/>
        <v>Maintien</v>
      </c>
    </row>
    <row r="53" spans="1:12" x14ac:dyDescent="0.25">
      <c r="A53" s="3" t="s">
        <v>996</v>
      </c>
      <c r="B53" s="3" t="s">
        <v>297</v>
      </c>
      <c r="C53" s="3" t="s">
        <v>528</v>
      </c>
      <c r="D53" s="3" t="s">
        <v>43</v>
      </c>
      <c r="E53" s="3" t="s">
        <v>193</v>
      </c>
      <c r="F53" s="3">
        <v>5</v>
      </c>
      <c r="G53" s="3">
        <v>5</v>
      </c>
      <c r="H53" s="3" t="str">
        <f t="shared" si="0"/>
        <v>🟢 OK</v>
      </c>
      <c r="I53" s="3">
        <f t="shared" si="1"/>
        <v>0</v>
      </c>
      <c r="J53" s="3" t="str">
        <f t="shared" si="2"/>
        <v>Traite</v>
      </c>
      <c r="K53" s="3" t="str">
        <f t="shared" si="3"/>
        <v/>
      </c>
      <c r="L53" s="3" t="str">
        <f t="shared" si="4"/>
        <v>Maintien</v>
      </c>
    </row>
    <row r="54" spans="1:12" x14ac:dyDescent="0.25">
      <c r="A54" s="2" t="s">
        <v>997</v>
      </c>
      <c r="B54" s="2" t="s">
        <v>297</v>
      </c>
      <c r="C54" s="2" t="s">
        <v>528</v>
      </c>
      <c r="D54" s="2" t="s">
        <v>43</v>
      </c>
      <c r="E54" s="2" t="s">
        <v>198</v>
      </c>
      <c r="F54" s="2">
        <v>5</v>
      </c>
      <c r="G54" s="2">
        <v>4</v>
      </c>
      <c r="H54" s="2" t="str">
        <f t="shared" si="0"/>
        <v>🟢 OK</v>
      </c>
      <c r="I54" s="2">
        <f t="shared" si="1"/>
        <v>0</v>
      </c>
      <c r="J54" s="2" t="str">
        <f t="shared" si="2"/>
        <v>Traite</v>
      </c>
      <c r="K54" s="2" t="str">
        <f t="shared" si="3"/>
        <v/>
      </c>
      <c r="L54" s="2" t="str">
        <f t="shared" si="4"/>
        <v>Maintien</v>
      </c>
    </row>
    <row r="55" spans="1:12" x14ac:dyDescent="0.25">
      <c r="A55" s="3" t="s">
        <v>998</v>
      </c>
      <c r="B55" s="3" t="s">
        <v>297</v>
      </c>
      <c r="C55" s="3" t="s">
        <v>528</v>
      </c>
      <c r="D55" s="3" t="s">
        <v>43</v>
      </c>
      <c r="E55" s="3" t="s">
        <v>202</v>
      </c>
      <c r="F55" s="3">
        <v>5</v>
      </c>
      <c r="G55" s="3">
        <v>3</v>
      </c>
      <c r="H55" s="3" t="str">
        <f t="shared" si="0"/>
        <v>🟢 OK</v>
      </c>
      <c r="I55" s="3">
        <f t="shared" si="1"/>
        <v>0</v>
      </c>
      <c r="J55" s="3" t="str">
        <f t="shared" si="2"/>
        <v>Traite</v>
      </c>
      <c r="K55" s="3" t="str">
        <f t="shared" si="3"/>
        <v/>
      </c>
      <c r="L55" s="3" t="str">
        <f t="shared" si="4"/>
        <v>Maintien</v>
      </c>
    </row>
    <row r="56" spans="1:12" x14ac:dyDescent="0.25">
      <c r="A56" s="2" t="s">
        <v>999</v>
      </c>
      <c r="B56" s="2" t="s">
        <v>297</v>
      </c>
      <c r="C56" s="2" t="s">
        <v>528</v>
      </c>
      <c r="D56" s="2" t="s">
        <v>43</v>
      </c>
      <c r="E56" s="2" t="s">
        <v>218</v>
      </c>
      <c r="F56" s="2">
        <v>3</v>
      </c>
      <c r="G56" s="2">
        <v>3</v>
      </c>
      <c r="H56" s="2" t="str">
        <f t="shared" si="0"/>
        <v>🟢 OK</v>
      </c>
      <c r="I56" s="2">
        <f t="shared" si="1"/>
        <v>0</v>
      </c>
      <c r="J56" s="2" t="str">
        <f t="shared" si="2"/>
        <v>Traite</v>
      </c>
      <c r="K56" s="2" t="str">
        <f t="shared" si="3"/>
        <v/>
      </c>
      <c r="L56" s="2" t="str">
        <f t="shared" si="4"/>
        <v>Maintien</v>
      </c>
    </row>
    <row r="57" spans="1:12" x14ac:dyDescent="0.25">
      <c r="A57" s="3" t="s">
        <v>1000</v>
      </c>
      <c r="B57" s="3" t="s">
        <v>301</v>
      </c>
      <c r="C57" s="3" t="s">
        <v>534</v>
      </c>
      <c r="D57" s="3" t="s">
        <v>35</v>
      </c>
      <c r="E57" s="3" t="s">
        <v>207</v>
      </c>
      <c r="F57" s="3">
        <v>5</v>
      </c>
      <c r="G57" s="3">
        <v>3</v>
      </c>
      <c r="H57" s="3" t="str">
        <f t="shared" si="0"/>
        <v>🟢 OK</v>
      </c>
      <c r="I57" s="3">
        <f t="shared" si="1"/>
        <v>0</v>
      </c>
      <c r="J57" s="3" t="str">
        <f t="shared" si="2"/>
        <v>Traite</v>
      </c>
      <c r="K57" s="3" t="str">
        <f t="shared" si="3"/>
        <v/>
      </c>
      <c r="L57" s="3" t="str">
        <f t="shared" si="4"/>
        <v>Maintien</v>
      </c>
    </row>
    <row r="58" spans="1:12" x14ac:dyDescent="0.25">
      <c r="A58" s="2" t="s">
        <v>1001</v>
      </c>
      <c r="B58" s="2" t="s">
        <v>301</v>
      </c>
      <c r="C58" s="2" t="s">
        <v>534</v>
      </c>
      <c r="D58" s="2" t="s">
        <v>35</v>
      </c>
      <c r="E58" s="2" t="s">
        <v>212</v>
      </c>
      <c r="F58" s="2">
        <v>5</v>
      </c>
      <c r="G58" s="2">
        <v>5</v>
      </c>
      <c r="H58" s="2" t="str">
        <f t="shared" si="0"/>
        <v>🟢 OK</v>
      </c>
      <c r="I58" s="2">
        <f t="shared" si="1"/>
        <v>0</v>
      </c>
      <c r="J58" s="2" t="str">
        <f t="shared" si="2"/>
        <v>Traite</v>
      </c>
      <c r="K58" s="2" t="str">
        <f t="shared" si="3"/>
        <v/>
      </c>
      <c r="L58" s="2" t="str">
        <f t="shared" si="4"/>
        <v>Maintien</v>
      </c>
    </row>
    <row r="59" spans="1:12" x14ac:dyDescent="0.25">
      <c r="A59" s="3" t="s">
        <v>1002</v>
      </c>
      <c r="B59" s="3" t="s">
        <v>301</v>
      </c>
      <c r="C59" s="3" t="s">
        <v>534</v>
      </c>
      <c r="D59" s="3" t="s">
        <v>35</v>
      </c>
      <c r="E59" s="3" t="s">
        <v>218</v>
      </c>
      <c r="F59" s="3">
        <v>5</v>
      </c>
      <c r="G59" s="3">
        <v>4</v>
      </c>
      <c r="H59" s="3" t="str">
        <f t="shared" si="0"/>
        <v>🟢 OK</v>
      </c>
      <c r="I59" s="3">
        <f t="shared" si="1"/>
        <v>0</v>
      </c>
      <c r="J59" s="3" t="str">
        <f t="shared" si="2"/>
        <v>Traite</v>
      </c>
      <c r="K59" s="3" t="str">
        <f t="shared" si="3"/>
        <v/>
      </c>
      <c r="L59" s="3" t="str">
        <f t="shared" si="4"/>
        <v>Maintien</v>
      </c>
    </row>
    <row r="60" spans="1:12" x14ac:dyDescent="0.25">
      <c r="A60" s="2" t="s">
        <v>1003</v>
      </c>
      <c r="B60" s="2" t="s">
        <v>301</v>
      </c>
      <c r="C60" s="2" t="s">
        <v>534</v>
      </c>
      <c r="D60" s="2" t="s">
        <v>35</v>
      </c>
      <c r="E60" s="2" t="s">
        <v>223</v>
      </c>
      <c r="F60" s="2">
        <v>4</v>
      </c>
      <c r="G60" s="2">
        <v>3</v>
      </c>
      <c r="H60" s="2" t="str">
        <f t="shared" si="0"/>
        <v>🟢 OK</v>
      </c>
      <c r="I60" s="2">
        <f t="shared" si="1"/>
        <v>0</v>
      </c>
      <c r="J60" s="2" t="str">
        <f t="shared" si="2"/>
        <v>Traite</v>
      </c>
      <c r="K60" s="2" t="str">
        <f t="shared" si="3"/>
        <v/>
      </c>
      <c r="L60" s="2" t="str">
        <f t="shared" si="4"/>
        <v>Maintien</v>
      </c>
    </row>
    <row r="61" spans="1:12" x14ac:dyDescent="0.25">
      <c r="A61" s="3" t="s">
        <v>1004</v>
      </c>
      <c r="B61" s="3" t="s">
        <v>301</v>
      </c>
      <c r="C61" s="3" t="s">
        <v>534</v>
      </c>
      <c r="D61" s="3" t="s">
        <v>35</v>
      </c>
      <c r="E61" s="3" t="s">
        <v>228</v>
      </c>
      <c r="F61" s="3">
        <v>4</v>
      </c>
      <c r="G61" s="3">
        <v>3</v>
      </c>
      <c r="H61" s="3" t="str">
        <f t="shared" si="0"/>
        <v>🟢 OK</v>
      </c>
      <c r="I61" s="3">
        <f t="shared" si="1"/>
        <v>0</v>
      </c>
      <c r="J61" s="3" t="str">
        <f t="shared" si="2"/>
        <v>Traite</v>
      </c>
      <c r="K61" s="3" t="str">
        <f t="shared" si="3"/>
        <v/>
      </c>
      <c r="L61" s="3" t="str">
        <f t="shared" si="4"/>
        <v>Maintien</v>
      </c>
    </row>
    <row r="62" spans="1:12" x14ac:dyDescent="0.25">
      <c r="A62" s="2" t="s">
        <v>1005</v>
      </c>
      <c r="B62" s="2" t="s">
        <v>301</v>
      </c>
      <c r="C62" s="2" t="s">
        <v>534</v>
      </c>
      <c r="D62" s="2" t="s">
        <v>35</v>
      </c>
      <c r="E62" s="2" t="s">
        <v>233</v>
      </c>
      <c r="F62" s="2">
        <v>5</v>
      </c>
      <c r="G62" s="2">
        <v>4</v>
      </c>
      <c r="H62" s="2" t="str">
        <f t="shared" si="0"/>
        <v>🟢 OK</v>
      </c>
      <c r="I62" s="2">
        <f t="shared" si="1"/>
        <v>0</v>
      </c>
      <c r="J62" s="2" t="str">
        <f t="shared" si="2"/>
        <v>Traite</v>
      </c>
      <c r="K62" s="2" t="str">
        <f t="shared" si="3"/>
        <v/>
      </c>
      <c r="L62" s="2" t="str">
        <f t="shared" si="4"/>
        <v>Maintien</v>
      </c>
    </row>
    <row r="63" spans="1:12" x14ac:dyDescent="0.25">
      <c r="A63" s="3" t="s">
        <v>1006</v>
      </c>
      <c r="B63" s="3" t="s">
        <v>306</v>
      </c>
      <c r="C63" s="3" t="s">
        <v>545</v>
      </c>
      <c r="D63" s="3" t="s">
        <v>37</v>
      </c>
      <c r="E63" s="3" t="s">
        <v>207</v>
      </c>
      <c r="F63" s="3">
        <v>3</v>
      </c>
      <c r="G63" s="3">
        <v>3</v>
      </c>
      <c r="H63" s="3" t="str">
        <f t="shared" si="0"/>
        <v>🟢 OK</v>
      </c>
      <c r="I63" s="3">
        <f t="shared" si="1"/>
        <v>0</v>
      </c>
      <c r="J63" s="3" t="str">
        <f t="shared" si="2"/>
        <v>Traite</v>
      </c>
      <c r="K63" s="3" t="str">
        <f t="shared" si="3"/>
        <v/>
      </c>
      <c r="L63" s="3" t="str">
        <f t="shared" si="4"/>
        <v>Maintien</v>
      </c>
    </row>
    <row r="64" spans="1:12" x14ac:dyDescent="0.25">
      <c r="A64" s="2" t="s">
        <v>1007</v>
      </c>
      <c r="B64" s="2" t="s">
        <v>306</v>
      </c>
      <c r="C64" s="2" t="s">
        <v>545</v>
      </c>
      <c r="D64" s="2" t="s">
        <v>37</v>
      </c>
      <c r="E64" s="2" t="s">
        <v>212</v>
      </c>
      <c r="F64" s="2">
        <v>5</v>
      </c>
      <c r="G64" s="2">
        <v>5</v>
      </c>
      <c r="H64" s="2" t="str">
        <f t="shared" si="0"/>
        <v>🟢 OK</v>
      </c>
      <c r="I64" s="2">
        <f t="shared" si="1"/>
        <v>0</v>
      </c>
      <c r="J64" s="2" t="str">
        <f t="shared" si="2"/>
        <v>Traite</v>
      </c>
      <c r="K64" s="2" t="str">
        <f t="shared" si="3"/>
        <v/>
      </c>
      <c r="L64" s="2" t="str">
        <f t="shared" si="4"/>
        <v>Maintien</v>
      </c>
    </row>
    <row r="65" spans="1:12" x14ac:dyDescent="0.25">
      <c r="A65" s="3" t="s">
        <v>1008</v>
      </c>
      <c r="B65" s="3" t="s">
        <v>306</v>
      </c>
      <c r="C65" s="3" t="s">
        <v>545</v>
      </c>
      <c r="D65" s="3" t="s">
        <v>37</v>
      </c>
      <c r="E65" s="3" t="s">
        <v>218</v>
      </c>
      <c r="F65" s="3">
        <v>5</v>
      </c>
      <c r="G65" s="3">
        <v>4</v>
      </c>
      <c r="H65" s="3" t="str">
        <f t="shared" si="0"/>
        <v>🟢 OK</v>
      </c>
      <c r="I65" s="3">
        <f t="shared" si="1"/>
        <v>0</v>
      </c>
      <c r="J65" s="3" t="str">
        <f t="shared" si="2"/>
        <v>Traite</v>
      </c>
      <c r="K65" s="3" t="str">
        <f t="shared" si="3"/>
        <v/>
      </c>
      <c r="L65" s="3" t="str">
        <f t="shared" si="4"/>
        <v>Maintien</v>
      </c>
    </row>
    <row r="66" spans="1:12" x14ac:dyDescent="0.25">
      <c r="A66" s="2" t="s">
        <v>1009</v>
      </c>
      <c r="B66" s="2" t="s">
        <v>306</v>
      </c>
      <c r="C66" s="2" t="s">
        <v>545</v>
      </c>
      <c r="D66" s="2" t="s">
        <v>37</v>
      </c>
      <c r="E66" s="2" t="s">
        <v>223</v>
      </c>
      <c r="F66" s="2">
        <v>3</v>
      </c>
      <c r="G66" s="2">
        <v>3</v>
      </c>
      <c r="H66" s="2" t="str">
        <f t="shared" si="0"/>
        <v>🟢 OK</v>
      </c>
      <c r="I66" s="2">
        <f t="shared" si="1"/>
        <v>0</v>
      </c>
      <c r="J66" s="2" t="str">
        <f t="shared" si="2"/>
        <v>Traite</v>
      </c>
      <c r="K66" s="2" t="str">
        <f t="shared" si="3"/>
        <v/>
      </c>
      <c r="L66" s="2" t="str">
        <f t="shared" si="4"/>
        <v>Maintien</v>
      </c>
    </row>
    <row r="67" spans="1:12" x14ac:dyDescent="0.25">
      <c r="A67" s="3" t="s">
        <v>1010</v>
      </c>
      <c r="B67" s="3" t="s">
        <v>306</v>
      </c>
      <c r="C67" s="3" t="s">
        <v>545</v>
      </c>
      <c r="D67" s="3" t="s">
        <v>37</v>
      </c>
      <c r="E67" s="3" t="s">
        <v>233</v>
      </c>
      <c r="F67" s="3">
        <v>3</v>
      </c>
      <c r="G67" s="3">
        <v>3</v>
      </c>
      <c r="H67" s="3" t="str">
        <f t="shared" si="0"/>
        <v>🟢 OK</v>
      </c>
      <c r="I67" s="3">
        <f t="shared" si="1"/>
        <v>0</v>
      </c>
      <c r="J67" s="3" t="str">
        <f t="shared" si="2"/>
        <v>Traite</v>
      </c>
      <c r="K67" s="3" t="str">
        <f t="shared" si="3"/>
        <v/>
      </c>
      <c r="L67" s="3" t="str">
        <f t="shared" si="4"/>
        <v>Maintien</v>
      </c>
    </row>
    <row r="68" spans="1:12" x14ac:dyDescent="0.25">
      <c r="A68" s="2" t="s">
        <v>1011</v>
      </c>
      <c r="B68" s="2" t="s">
        <v>310</v>
      </c>
      <c r="C68" s="2" t="s">
        <v>555</v>
      </c>
      <c r="D68" s="2" t="s">
        <v>39</v>
      </c>
      <c r="E68" s="2" t="s">
        <v>202</v>
      </c>
      <c r="F68" s="2">
        <v>3</v>
      </c>
      <c r="G68" s="2">
        <v>2</v>
      </c>
      <c r="H68" s="2" t="str">
        <f t="shared" si="0"/>
        <v>🟢 OK</v>
      </c>
      <c r="I68" s="2">
        <f t="shared" si="1"/>
        <v>0</v>
      </c>
      <c r="J68" s="2" t="str">
        <f t="shared" si="2"/>
        <v>Traite</v>
      </c>
      <c r="K68" s="2" t="str">
        <f t="shared" si="3"/>
        <v/>
      </c>
      <c r="L68" s="2" t="str">
        <f t="shared" si="4"/>
        <v>Maintien</v>
      </c>
    </row>
    <row r="69" spans="1:12" x14ac:dyDescent="0.25">
      <c r="A69" s="3" t="s">
        <v>1012</v>
      </c>
      <c r="B69" s="3" t="s">
        <v>310</v>
      </c>
      <c r="C69" s="3" t="s">
        <v>555</v>
      </c>
      <c r="D69" s="3" t="s">
        <v>39</v>
      </c>
      <c r="E69" s="3" t="s">
        <v>207</v>
      </c>
      <c r="F69" s="3">
        <v>3</v>
      </c>
      <c r="G69" s="3">
        <v>3</v>
      </c>
      <c r="H69" s="3" t="str">
        <f t="shared" ref="H69:H132" si="5">IF(F69-G69&gt;=0,"🟢 OK",IF(F69-G69=-1,"🟡 Modere","🔴 Critique"))</f>
        <v>🟢 OK</v>
      </c>
      <c r="I69" s="3">
        <f t="shared" ref="I69:I132" si="6">MAX(0,(G69-F69)*20)+IF(H69="🔴 Critique",25,0)</f>
        <v>0</v>
      </c>
      <c r="J69" s="3" t="str">
        <f t="shared" ref="J69:J132" si="7">IF(H69="🟢 OK","Traite",IF(H69="🔴 Critique","Non traite","A planifier"))</f>
        <v>Traite</v>
      </c>
      <c r="K69" s="3" t="str">
        <f t="shared" ref="K69:K132" si="8">IF(H69="🟢 OK","","PF-"&amp;TEXT(ROW()-4,"0000"))</f>
        <v/>
      </c>
      <c r="L69" s="3" t="str">
        <f t="shared" ref="L69:L132" si="9">IF(H69="🟢 OK","Maintien",IF(H69="🔴 Critique","Formation urgente","Coaching interne"))</f>
        <v>Maintien</v>
      </c>
    </row>
    <row r="70" spans="1:12" x14ac:dyDescent="0.25">
      <c r="A70" s="2" t="s">
        <v>1013</v>
      </c>
      <c r="B70" s="2" t="s">
        <v>310</v>
      </c>
      <c r="C70" s="2" t="s">
        <v>555</v>
      </c>
      <c r="D70" s="2" t="s">
        <v>39</v>
      </c>
      <c r="E70" s="2" t="s">
        <v>212</v>
      </c>
      <c r="F70" s="2">
        <v>3</v>
      </c>
      <c r="G70" s="2">
        <v>3</v>
      </c>
      <c r="H70" s="2" t="str">
        <f t="shared" si="5"/>
        <v>🟢 OK</v>
      </c>
      <c r="I70" s="2">
        <f t="shared" si="6"/>
        <v>0</v>
      </c>
      <c r="J70" s="2" t="str">
        <f t="shared" si="7"/>
        <v>Traite</v>
      </c>
      <c r="K70" s="2" t="str">
        <f t="shared" si="8"/>
        <v/>
      </c>
      <c r="L70" s="2" t="str">
        <f t="shared" si="9"/>
        <v>Maintien</v>
      </c>
    </row>
    <row r="71" spans="1:12" x14ac:dyDescent="0.25">
      <c r="A71" s="3" t="s">
        <v>1014</v>
      </c>
      <c r="B71" s="3" t="s">
        <v>310</v>
      </c>
      <c r="C71" s="3" t="s">
        <v>555</v>
      </c>
      <c r="D71" s="3" t="s">
        <v>39</v>
      </c>
      <c r="E71" s="3" t="s">
        <v>218</v>
      </c>
      <c r="F71" s="3">
        <v>5</v>
      </c>
      <c r="G71" s="3">
        <v>4</v>
      </c>
      <c r="H71" s="3" t="str">
        <f t="shared" si="5"/>
        <v>🟢 OK</v>
      </c>
      <c r="I71" s="3">
        <f t="shared" si="6"/>
        <v>0</v>
      </c>
      <c r="J71" s="3" t="str">
        <f t="shared" si="7"/>
        <v>Traite</v>
      </c>
      <c r="K71" s="3" t="str">
        <f t="shared" si="8"/>
        <v/>
      </c>
      <c r="L71" s="3" t="str">
        <f t="shared" si="9"/>
        <v>Maintien</v>
      </c>
    </row>
    <row r="72" spans="1:12" x14ac:dyDescent="0.25">
      <c r="A72" s="2" t="s">
        <v>1015</v>
      </c>
      <c r="B72" s="2" t="s">
        <v>310</v>
      </c>
      <c r="C72" s="2" t="s">
        <v>555</v>
      </c>
      <c r="D72" s="2" t="s">
        <v>39</v>
      </c>
      <c r="E72" s="2" t="s">
        <v>223</v>
      </c>
      <c r="F72" s="2">
        <v>5</v>
      </c>
      <c r="G72" s="2">
        <v>4</v>
      </c>
      <c r="H72" s="2" t="str">
        <f t="shared" si="5"/>
        <v>🟢 OK</v>
      </c>
      <c r="I72" s="2">
        <f t="shared" si="6"/>
        <v>0</v>
      </c>
      <c r="J72" s="2" t="str">
        <f t="shared" si="7"/>
        <v>Traite</v>
      </c>
      <c r="K72" s="2" t="str">
        <f t="shared" si="8"/>
        <v/>
      </c>
      <c r="L72" s="2" t="str">
        <f t="shared" si="9"/>
        <v>Maintien</v>
      </c>
    </row>
    <row r="73" spans="1:12" x14ac:dyDescent="0.25">
      <c r="A73" s="3" t="s">
        <v>1016</v>
      </c>
      <c r="B73" s="3" t="s">
        <v>310</v>
      </c>
      <c r="C73" s="3" t="s">
        <v>555</v>
      </c>
      <c r="D73" s="3" t="s">
        <v>39</v>
      </c>
      <c r="E73" s="3" t="s">
        <v>233</v>
      </c>
      <c r="F73" s="3">
        <v>4</v>
      </c>
      <c r="G73" s="3">
        <v>3</v>
      </c>
      <c r="H73" s="3" t="str">
        <f t="shared" si="5"/>
        <v>🟢 OK</v>
      </c>
      <c r="I73" s="3">
        <f t="shared" si="6"/>
        <v>0</v>
      </c>
      <c r="J73" s="3" t="str">
        <f t="shared" si="7"/>
        <v>Traite</v>
      </c>
      <c r="K73" s="3" t="str">
        <f t="shared" si="8"/>
        <v/>
      </c>
      <c r="L73" s="3" t="str">
        <f t="shared" si="9"/>
        <v>Maintien</v>
      </c>
    </row>
    <row r="74" spans="1:12" x14ac:dyDescent="0.25">
      <c r="A74" s="2" t="s">
        <v>1017</v>
      </c>
      <c r="B74" s="2" t="s">
        <v>315</v>
      </c>
      <c r="C74" s="2" t="s">
        <v>565</v>
      </c>
      <c r="D74" s="2" t="s">
        <v>41</v>
      </c>
      <c r="E74" s="2" t="s">
        <v>202</v>
      </c>
      <c r="F74" s="2">
        <v>5</v>
      </c>
      <c r="G74" s="2">
        <v>4</v>
      </c>
      <c r="H74" s="2" t="str">
        <f t="shared" si="5"/>
        <v>🟢 OK</v>
      </c>
      <c r="I74" s="2">
        <f t="shared" si="6"/>
        <v>0</v>
      </c>
      <c r="J74" s="2" t="str">
        <f t="shared" si="7"/>
        <v>Traite</v>
      </c>
      <c r="K74" s="2" t="str">
        <f t="shared" si="8"/>
        <v/>
      </c>
      <c r="L74" s="2" t="str">
        <f t="shared" si="9"/>
        <v>Maintien</v>
      </c>
    </row>
    <row r="75" spans="1:12" x14ac:dyDescent="0.25">
      <c r="A75" s="3" t="s">
        <v>1018</v>
      </c>
      <c r="B75" s="3" t="s">
        <v>315</v>
      </c>
      <c r="C75" s="3" t="s">
        <v>565</v>
      </c>
      <c r="D75" s="3" t="s">
        <v>41</v>
      </c>
      <c r="E75" s="3" t="s">
        <v>223</v>
      </c>
      <c r="F75" s="3">
        <v>2</v>
      </c>
      <c r="G75" s="3">
        <v>2</v>
      </c>
      <c r="H75" s="3" t="str">
        <f t="shared" si="5"/>
        <v>🟢 OK</v>
      </c>
      <c r="I75" s="3">
        <f t="shared" si="6"/>
        <v>0</v>
      </c>
      <c r="J75" s="3" t="str">
        <f t="shared" si="7"/>
        <v>Traite</v>
      </c>
      <c r="K75" s="3" t="str">
        <f t="shared" si="8"/>
        <v/>
      </c>
      <c r="L75" s="3" t="str">
        <f t="shared" si="9"/>
        <v>Maintien</v>
      </c>
    </row>
    <row r="76" spans="1:12" x14ac:dyDescent="0.25">
      <c r="A76" s="2" t="s">
        <v>1019</v>
      </c>
      <c r="B76" s="2" t="s">
        <v>315</v>
      </c>
      <c r="C76" s="2" t="s">
        <v>565</v>
      </c>
      <c r="D76" s="2" t="s">
        <v>41</v>
      </c>
      <c r="E76" s="2" t="s">
        <v>228</v>
      </c>
      <c r="F76" s="2">
        <v>5</v>
      </c>
      <c r="G76" s="2">
        <v>5</v>
      </c>
      <c r="H76" s="2" t="str">
        <f t="shared" si="5"/>
        <v>🟢 OK</v>
      </c>
      <c r="I76" s="2">
        <f t="shared" si="6"/>
        <v>0</v>
      </c>
      <c r="J76" s="2" t="str">
        <f t="shared" si="7"/>
        <v>Traite</v>
      </c>
      <c r="K76" s="2" t="str">
        <f t="shared" si="8"/>
        <v/>
      </c>
      <c r="L76" s="2" t="str">
        <f t="shared" si="9"/>
        <v>Maintien</v>
      </c>
    </row>
    <row r="77" spans="1:12" x14ac:dyDescent="0.25">
      <c r="A77" s="3" t="s">
        <v>1020</v>
      </c>
      <c r="B77" s="3" t="s">
        <v>315</v>
      </c>
      <c r="C77" s="3" t="s">
        <v>565</v>
      </c>
      <c r="D77" s="3" t="s">
        <v>41</v>
      </c>
      <c r="E77" s="3" t="s">
        <v>233</v>
      </c>
      <c r="F77" s="3">
        <v>4</v>
      </c>
      <c r="G77" s="3">
        <v>3</v>
      </c>
      <c r="H77" s="3" t="str">
        <f t="shared" si="5"/>
        <v>🟢 OK</v>
      </c>
      <c r="I77" s="3">
        <f t="shared" si="6"/>
        <v>0</v>
      </c>
      <c r="J77" s="3" t="str">
        <f t="shared" si="7"/>
        <v>Traite</v>
      </c>
      <c r="K77" s="3" t="str">
        <f t="shared" si="8"/>
        <v/>
      </c>
      <c r="L77" s="3" t="str">
        <f t="shared" si="9"/>
        <v>Maintien</v>
      </c>
    </row>
    <row r="78" spans="1:12" x14ac:dyDescent="0.25">
      <c r="A78" s="2" t="s">
        <v>1021</v>
      </c>
      <c r="B78" s="2" t="s">
        <v>319</v>
      </c>
      <c r="C78" s="2" t="s">
        <v>570</v>
      </c>
      <c r="D78" s="2" t="s">
        <v>43</v>
      </c>
      <c r="E78" s="2" t="s">
        <v>146</v>
      </c>
      <c r="F78" s="2">
        <v>2</v>
      </c>
      <c r="G78" s="2">
        <v>2</v>
      </c>
      <c r="H78" s="2" t="str">
        <f t="shared" si="5"/>
        <v>🟢 OK</v>
      </c>
      <c r="I78" s="2">
        <f t="shared" si="6"/>
        <v>0</v>
      </c>
      <c r="J78" s="2" t="str">
        <f t="shared" si="7"/>
        <v>Traite</v>
      </c>
      <c r="K78" s="2" t="str">
        <f t="shared" si="8"/>
        <v/>
      </c>
      <c r="L78" s="2" t="str">
        <f t="shared" si="9"/>
        <v>Maintien</v>
      </c>
    </row>
    <row r="79" spans="1:12" x14ac:dyDescent="0.25">
      <c r="A79" s="3" t="s">
        <v>1022</v>
      </c>
      <c r="B79" s="3" t="s">
        <v>319</v>
      </c>
      <c r="C79" s="3" t="s">
        <v>570</v>
      </c>
      <c r="D79" s="3" t="s">
        <v>43</v>
      </c>
      <c r="E79" s="3" t="s">
        <v>160</v>
      </c>
      <c r="F79" s="3">
        <v>5</v>
      </c>
      <c r="G79" s="3">
        <v>4</v>
      </c>
      <c r="H79" s="3" t="str">
        <f t="shared" si="5"/>
        <v>🟢 OK</v>
      </c>
      <c r="I79" s="3">
        <f t="shared" si="6"/>
        <v>0</v>
      </c>
      <c r="J79" s="3" t="str">
        <f t="shared" si="7"/>
        <v>Traite</v>
      </c>
      <c r="K79" s="3" t="str">
        <f t="shared" si="8"/>
        <v/>
      </c>
      <c r="L79" s="3" t="str">
        <f t="shared" si="9"/>
        <v>Maintien</v>
      </c>
    </row>
    <row r="80" spans="1:12" x14ac:dyDescent="0.25">
      <c r="A80" s="2" t="s">
        <v>1023</v>
      </c>
      <c r="B80" s="2" t="s">
        <v>319</v>
      </c>
      <c r="C80" s="2" t="s">
        <v>570</v>
      </c>
      <c r="D80" s="2" t="s">
        <v>43</v>
      </c>
      <c r="E80" s="2" t="s">
        <v>186</v>
      </c>
      <c r="F80" s="2">
        <v>3</v>
      </c>
      <c r="G80" s="2">
        <v>3</v>
      </c>
      <c r="H80" s="2" t="str">
        <f t="shared" si="5"/>
        <v>🟢 OK</v>
      </c>
      <c r="I80" s="2">
        <f t="shared" si="6"/>
        <v>0</v>
      </c>
      <c r="J80" s="2" t="str">
        <f t="shared" si="7"/>
        <v>Traite</v>
      </c>
      <c r="K80" s="2" t="str">
        <f t="shared" si="8"/>
        <v/>
      </c>
      <c r="L80" s="2" t="str">
        <f t="shared" si="9"/>
        <v>Maintien</v>
      </c>
    </row>
    <row r="81" spans="1:12" x14ac:dyDescent="0.25">
      <c r="A81" s="3" t="s">
        <v>1024</v>
      </c>
      <c r="B81" s="3" t="s">
        <v>319</v>
      </c>
      <c r="C81" s="3" t="s">
        <v>570</v>
      </c>
      <c r="D81" s="3" t="s">
        <v>43</v>
      </c>
      <c r="E81" s="3" t="s">
        <v>202</v>
      </c>
      <c r="F81" s="3">
        <v>4</v>
      </c>
      <c r="G81" s="3">
        <v>3</v>
      </c>
      <c r="H81" s="3" t="str">
        <f t="shared" si="5"/>
        <v>🟢 OK</v>
      </c>
      <c r="I81" s="3">
        <f t="shared" si="6"/>
        <v>0</v>
      </c>
      <c r="J81" s="3" t="str">
        <f t="shared" si="7"/>
        <v>Traite</v>
      </c>
      <c r="K81" s="3" t="str">
        <f t="shared" si="8"/>
        <v/>
      </c>
      <c r="L81" s="3" t="str">
        <f t="shared" si="9"/>
        <v>Maintien</v>
      </c>
    </row>
    <row r="82" spans="1:12" x14ac:dyDescent="0.25">
      <c r="A82" s="2" t="s">
        <v>1025</v>
      </c>
      <c r="B82" s="2" t="s">
        <v>319</v>
      </c>
      <c r="C82" s="2" t="s">
        <v>570</v>
      </c>
      <c r="D82" s="2" t="s">
        <v>43</v>
      </c>
      <c r="E82" s="2" t="s">
        <v>218</v>
      </c>
      <c r="F82" s="2">
        <v>3</v>
      </c>
      <c r="G82" s="2">
        <v>3</v>
      </c>
      <c r="H82" s="2" t="str">
        <f t="shared" si="5"/>
        <v>🟢 OK</v>
      </c>
      <c r="I82" s="2">
        <f t="shared" si="6"/>
        <v>0</v>
      </c>
      <c r="J82" s="2" t="str">
        <f t="shared" si="7"/>
        <v>Traite</v>
      </c>
      <c r="K82" s="2" t="str">
        <f t="shared" si="8"/>
        <v/>
      </c>
      <c r="L82" s="2" t="str">
        <f t="shared" si="9"/>
        <v>Maintien</v>
      </c>
    </row>
    <row r="83" spans="1:12" x14ac:dyDescent="0.25">
      <c r="A83" s="3" t="s">
        <v>1026</v>
      </c>
      <c r="B83" s="3" t="s">
        <v>319</v>
      </c>
      <c r="C83" s="3" t="s">
        <v>570</v>
      </c>
      <c r="D83" s="3" t="s">
        <v>43</v>
      </c>
      <c r="E83" s="3" t="s">
        <v>223</v>
      </c>
      <c r="F83" s="3">
        <v>2</v>
      </c>
      <c r="G83" s="3">
        <v>3</v>
      </c>
      <c r="H83" s="3" t="str">
        <f t="shared" si="5"/>
        <v>🟡 Modere</v>
      </c>
      <c r="I83" s="3">
        <f t="shared" si="6"/>
        <v>20</v>
      </c>
      <c r="J83" s="3" t="str">
        <f t="shared" si="7"/>
        <v>A planifier</v>
      </c>
      <c r="K83" s="3" t="str">
        <f t="shared" si="8"/>
        <v>PF-0079</v>
      </c>
      <c r="L83" s="3" t="str">
        <f t="shared" si="9"/>
        <v>Coaching interne</v>
      </c>
    </row>
    <row r="84" spans="1:12" x14ac:dyDescent="0.25">
      <c r="A84" s="2" t="s">
        <v>1027</v>
      </c>
      <c r="B84" s="2" t="s">
        <v>323</v>
      </c>
      <c r="C84" s="2" t="s">
        <v>577</v>
      </c>
      <c r="D84" s="2" t="s">
        <v>35</v>
      </c>
      <c r="E84" s="2" t="s">
        <v>118</v>
      </c>
      <c r="F84" s="2">
        <v>2</v>
      </c>
      <c r="G84" s="2">
        <v>2</v>
      </c>
      <c r="H84" s="2" t="str">
        <f t="shared" si="5"/>
        <v>🟢 OK</v>
      </c>
      <c r="I84" s="2">
        <f t="shared" si="6"/>
        <v>0</v>
      </c>
      <c r="J84" s="2" t="str">
        <f t="shared" si="7"/>
        <v>Traite</v>
      </c>
      <c r="K84" s="2" t="str">
        <f t="shared" si="8"/>
        <v/>
      </c>
      <c r="L84" s="2" t="str">
        <f t="shared" si="9"/>
        <v>Maintien</v>
      </c>
    </row>
    <row r="85" spans="1:12" x14ac:dyDescent="0.25">
      <c r="A85" s="3" t="s">
        <v>1028</v>
      </c>
      <c r="B85" s="3" t="s">
        <v>323</v>
      </c>
      <c r="C85" s="3" t="s">
        <v>577</v>
      </c>
      <c r="D85" s="3" t="s">
        <v>35</v>
      </c>
      <c r="E85" s="3" t="s">
        <v>124</v>
      </c>
      <c r="F85" s="3">
        <v>2</v>
      </c>
      <c r="G85" s="3">
        <v>2</v>
      </c>
      <c r="H85" s="3" t="str">
        <f t="shared" si="5"/>
        <v>🟢 OK</v>
      </c>
      <c r="I85" s="3">
        <f t="shared" si="6"/>
        <v>0</v>
      </c>
      <c r="J85" s="3" t="str">
        <f t="shared" si="7"/>
        <v>Traite</v>
      </c>
      <c r="K85" s="3" t="str">
        <f t="shared" si="8"/>
        <v/>
      </c>
      <c r="L85" s="3" t="str">
        <f t="shared" si="9"/>
        <v>Maintien</v>
      </c>
    </row>
    <row r="86" spans="1:12" x14ac:dyDescent="0.25">
      <c r="A86" s="2" t="s">
        <v>1029</v>
      </c>
      <c r="B86" s="2" t="s">
        <v>323</v>
      </c>
      <c r="C86" s="2" t="s">
        <v>577</v>
      </c>
      <c r="D86" s="2" t="s">
        <v>35</v>
      </c>
      <c r="E86" s="2" t="s">
        <v>139</v>
      </c>
      <c r="F86" s="2">
        <v>3</v>
      </c>
      <c r="G86" s="2">
        <v>3</v>
      </c>
      <c r="H86" s="2" t="str">
        <f t="shared" si="5"/>
        <v>🟢 OK</v>
      </c>
      <c r="I86" s="2">
        <f t="shared" si="6"/>
        <v>0</v>
      </c>
      <c r="J86" s="2" t="str">
        <f t="shared" si="7"/>
        <v>Traite</v>
      </c>
      <c r="K86" s="2" t="str">
        <f t="shared" si="8"/>
        <v/>
      </c>
      <c r="L86" s="2" t="str">
        <f t="shared" si="9"/>
        <v>Maintien</v>
      </c>
    </row>
    <row r="87" spans="1:12" x14ac:dyDescent="0.25">
      <c r="A87" s="3" t="s">
        <v>1030</v>
      </c>
      <c r="B87" s="3" t="s">
        <v>323</v>
      </c>
      <c r="C87" s="3" t="s">
        <v>577</v>
      </c>
      <c r="D87" s="3" t="s">
        <v>35</v>
      </c>
      <c r="E87" s="3" t="s">
        <v>149</v>
      </c>
      <c r="F87" s="3">
        <v>2</v>
      </c>
      <c r="G87" s="3">
        <v>3</v>
      </c>
      <c r="H87" s="3" t="str">
        <f t="shared" si="5"/>
        <v>🟡 Modere</v>
      </c>
      <c r="I87" s="3">
        <f t="shared" si="6"/>
        <v>20</v>
      </c>
      <c r="J87" s="3" t="str">
        <f t="shared" si="7"/>
        <v>A planifier</v>
      </c>
      <c r="K87" s="3" t="str">
        <f t="shared" si="8"/>
        <v>PF-0083</v>
      </c>
      <c r="L87" s="3" t="str">
        <f t="shared" si="9"/>
        <v>Coaching interne</v>
      </c>
    </row>
    <row r="88" spans="1:12" x14ac:dyDescent="0.25">
      <c r="A88" s="2" t="s">
        <v>1031</v>
      </c>
      <c r="B88" s="2" t="s">
        <v>323</v>
      </c>
      <c r="C88" s="2" t="s">
        <v>577</v>
      </c>
      <c r="D88" s="2" t="s">
        <v>35</v>
      </c>
      <c r="E88" s="2" t="s">
        <v>223</v>
      </c>
      <c r="F88" s="2">
        <v>3</v>
      </c>
      <c r="G88" s="2">
        <v>2</v>
      </c>
      <c r="H88" s="2" t="str">
        <f t="shared" si="5"/>
        <v>🟢 OK</v>
      </c>
      <c r="I88" s="2">
        <f t="shared" si="6"/>
        <v>0</v>
      </c>
      <c r="J88" s="2" t="str">
        <f t="shared" si="7"/>
        <v>Traite</v>
      </c>
      <c r="K88" s="2" t="str">
        <f t="shared" si="8"/>
        <v/>
      </c>
      <c r="L88" s="2" t="str">
        <f t="shared" si="9"/>
        <v>Maintien</v>
      </c>
    </row>
    <row r="89" spans="1:12" x14ac:dyDescent="0.25">
      <c r="A89" s="3" t="s">
        <v>1032</v>
      </c>
      <c r="B89" s="3" t="s">
        <v>327</v>
      </c>
      <c r="C89" s="3" t="s">
        <v>587</v>
      </c>
      <c r="D89" s="3" t="s">
        <v>37</v>
      </c>
      <c r="E89" s="3" t="s">
        <v>165</v>
      </c>
      <c r="F89" s="3">
        <v>3</v>
      </c>
      <c r="G89" s="3">
        <v>4</v>
      </c>
      <c r="H89" s="3" t="str">
        <f t="shared" si="5"/>
        <v>🟡 Modere</v>
      </c>
      <c r="I89" s="3">
        <f t="shared" si="6"/>
        <v>20</v>
      </c>
      <c r="J89" s="3" t="str">
        <f t="shared" si="7"/>
        <v>A planifier</v>
      </c>
      <c r="K89" s="3" t="str">
        <f t="shared" si="8"/>
        <v>PF-0085</v>
      </c>
      <c r="L89" s="3" t="str">
        <f t="shared" si="9"/>
        <v>Coaching interne</v>
      </c>
    </row>
    <row r="90" spans="1:12" x14ac:dyDescent="0.25">
      <c r="A90" s="2" t="s">
        <v>1033</v>
      </c>
      <c r="B90" s="2" t="s">
        <v>327</v>
      </c>
      <c r="C90" s="2" t="s">
        <v>587</v>
      </c>
      <c r="D90" s="2" t="s">
        <v>37</v>
      </c>
      <c r="E90" s="2" t="s">
        <v>181</v>
      </c>
      <c r="F90" s="2">
        <v>4</v>
      </c>
      <c r="G90" s="2">
        <v>5</v>
      </c>
      <c r="H90" s="2" t="str">
        <f t="shared" si="5"/>
        <v>🟡 Modere</v>
      </c>
      <c r="I90" s="2">
        <f t="shared" si="6"/>
        <v>20</v>
      </c>
      <c r="J90" s="2" t="str">
        <f t="shared" si="7"/>
        <v>A planifier</v>
      </c>
      <c r="K90" s="2" t="str">
        <f t="shared" si="8"/>
        <v>PF-0086</v>
      </c>
      <c r="L90" s="2" t="str">
        <f t="shared" si="9"/>
        <v>Coaching interne</v>
      </c>
    </row>
    <row r="91" spans="1:12" x14ac:dyDescent="0.25">
      <c r="A91" s="3" t="s">
        <v>1034</v>
      </c>
      <c r="B91" s="3" t="s">
        <v>327</v>
      </c>
      <c r="C91" s="3" t="s">
        <v>587</v>
      </c>
      <c r="D91" s="3" t="s">
        <v>37</v>
      </c>
      <c r="E91" s="3" t="s">
        <v>193</v>
      </c>
      <c r="F91" s="3">
        <v>2</v>
      </c>
      <c r="G91" s="3">
        <v>3</v>
      </c>
      <c r="H91" s="3" t="str">
        <f t="shared" si="5"/>
        <v>🟡 Modere</v>
      </c>
      <c r="I91" s="3">
        <f t="shared" si="6"/>
        <v>20</v>
      </c>
      <c r="J91" s="3" t="str">
        <f t="shared" si="7"/>
        <v>A planifier</v>
      </c>
      <c r="K91" s="3" t="str">
        <f t="shared" si="8"/>
        <v>PF-0087</v>
      </c>
      <c r="L91" s="3" t="str">
        <f t="shared" si="9"/>
        <v>Coaching interne</v>
      </c>
    </row>
    <row r="92" spans="1:12" x14ac:dyDescent="0.25">
      <c r="A92" s="2" t="s">
        <v>1035</v>
      </c>
      <c r="B92" s="2" t="s">
        <v>327</v>
      </c>
      <c r="C92" s="2" t="s">
        <v>587</v>
      </c>
      <c r="D92" s="2" t="s">
        <v>37</v>
      </c>
      <c r="E92" s="2" t="s">
        <v>198</v>
      </c>
      <c r="F92" s="2">
        <v>3</v>
      </c>
      <c r="G92" s="2">
        <v>2</v>
      </c>
      <c r="H92" s="2" t="str">
        <f t="shared" si="5"/>
        <v>🟢 OK</v>
      </c>
      <c r="I92" s="2">
        <f t="shared" si="6"/>
        <v>0</v>
      </c>
      <c r="J92" s="2" t="str">
        <f t="shared" si="7"/>
        <v>Traite</v>
      </c>
      <c r="K92" s="2" t="str">
        <f t="shared" si="8"/>
        <v/>
      </c>
      <c r="L92" s="2" t="str">
        <f t="shared" si="9"/>
        <v>Maintien</v>
      </c>
    </row>
    <row r="93" spans="1:12" x14ac:dyDescent="0.25">
      <c r="A93" s="3" t="s">
        <v>1036</v>
      </c>
      <c r="B93" s="3" t="s">
        <v>327</v>
      </c>
      <c r="C93" s="3" t="s">
        <v>587</v>
      </c>
      <c r="D93" s="3" t="s">
        <v>37</v>
      </c>
      <c r="E93" s="3" t="s">
        <v>218</v>
      </c>
      <c r="F93" s="3">
        <v>4</v>
      </c>
      <c r="G93" s="3">
        <v>3</v>
      </c>
      <c r="H93" s="3" t="str">
        <f t="shared" si="5"/>
        <v>🟢 OK</v>
      </c>
      <c r="I93" s="3">
        <f t="shared" si="6"/>
        <v>0</v>
      </c>
      <c r="J93" s="3" t="str">
        <f t="shared" si="7"/>
        <v>Traite</v>
      </c>
      <c r="K93" s="3" t="str">
        <f t="shared" si="8"/>
        <v/>
      </c>
      <c r="L93" s="3" t="str">
        <f t="shared" si="9"/>
        <v>Maintien</v>
      </c>
    </row>
    <row r="94" spans="1:12" x14ac:dyDescent="0.25">
      <c r="A94" s="2" t="s">
        <v>1037</v>
      </c>
      <c r="B94" s="2" t="s">
        <v>331</v>
      </c>
      <c r="C94" s="2" t="s">
        <v>598</v>
      </c>
      <c r="D94" s="2" t="s">
        <v>39</v>
      </c>
      <c r="E94" s="2" t="s">
        <v>139</v>
      </c>
      <c r="F94" s="2">
        <v>3</v>
      </c>
      <c r="G94" s="2">
        <v>3</v>
      </c>
      <c r="H94" s="2" t="str">
        <f t="shared" si="5"/>
        <v>🟢 OK</v>
      </c>
      <c r="I94" s="2">
        <f t="shared" si="6"/>
        <v>0</v>
      </c>
      <c r="J94" s="2" t="str">
        <f t="shared" si="7"/>
        <v>Traite</v>
      </c>
      <c r="K94" s="2" t="str">
        <f t="shared" si="8"/>
        <v/>
      </c>
      <c r="L94" s="2" t="str">
        <f t="shared" si="9"/>
        <v>Maintien</v>
      </c>
    </row>
    <row r="95" spans="1:12" x14ac:dyDescent="0.25">
      <c r="A95" s="3" t="s">
        <v>1038</v>
      </c>
      <c r="B95" s="3" t="s">
        <v>331</v>
      </c>
      <c r="C95" s="3" t="s">
        <v>598</v>
      </c>
      <c r="D95" s="3" t="s">
        <v>39</v>
      </c>
      <c r="E95" s="3" t="s">
        <v>146</v>
      </c>
      <c r="F95" s="3">
        <v>4</v>
      </c>
      <c r="G95" s="3">
        <v>3</v>
      </c>
      <c r="H95" s="3" t="str">
        <f t="shared" si="5"/>
        <v>🟢 OK</v>
      </c>
      <c r="I95" s="3">
        <f t="shared" si="6"/>
        <v>0</v>
      </c>
      <c r="J95" s="3" t="str">
        <f t="shared" si="7"/>
        <v>Traite</v>
      </c>
      <c r="K95" s="3" t="str">
        <f t="shared" si="8"/>
        <v/>
      </c>
      <c r="L95" s="3" t="str">
        <f t="shared" si="9"/>
        <v>Maintien</v>
      </c>
    </row>
    <row r="96" spans="1:12" x14ac:dyDescent="0.25">
      <c r="A96" s="2" t="s">
        <v>1039</v>
      </c>
      <c r="B96" s="2" t="s">
        <v>331</v>
      </c>
      <c r="C96" s="2" t="s">
        <v>598</v>
      </c>
      <c r="D96" s="2" t="s">
        <v>39</v>
      </c>
      <c r="E96" s="2" t="s">
        <v>160</v>
      </c>
      <c r="F96" s="2">
        <v>5</v>
      </c>
      <c r="G96" s="2">
        <v>4</v>
      </c>
      <c r="H96" s="2" t="str">
        <f t="shared" si="5"/>
        <v>🟢 OK</v>
      </c>
      <c r="I96" s="2">
        <f t="shared" si="6"/>
        <v>0</v>
      </c>
      <c r="J96" s="2" t="str">
        <f t="shared" si="7"/>
        <v>Traite</v>
      </c>
      <c r="K96" s="2" t="str">
        <f t="shared" si="8"/>
        <v/>
      </c>
      <c r="L96" s="2" t="str">
        <f t="shared" si="9"/>
        <v>Maintien</v>
      </c>
    </row>
    <row r="97" spans="1:12" x14ac:dyDescent="0.25">
      <c r="A97" s="3" t="s">
        <v>1040</v>
      </c>
      <c r="B97" s="3" t="s">
        <v>331</v>
      </c>
      <c r="C97" s="3" t="s">
        <v>598</v>
      </c>
      <c r="D97" s="3" t="s">
        <v>39</v>
      </c>
      <c r="E97" s="3" t="s">
        <v>186</v>
      </c>
      <c r="F97" s="3">
        <v>1</v>
      </c>
      <c r="G97" s="3">
        <v>2</v>
      </c>
      <c r="H97" s="3" t="str">
        <f t="shared" si="5"/>
        <v>🟡 Modere</v>
      </c>
      <c r="I97" s="3">
        <f t="shared" si="6"/>
        <v>20</v>
      </c>
      <c r="J97" s="3" t="str">
        <f t="shared" si="7"/>
        <v>A planifier</v>
      </c>
      <c r="K97" s="3" t="str">
        <f t="shared" si="8"/>
        <v>PF-0093</v>
      </c>
      <c r="L97" s="3" t="str">
        <f t="shared" si="9"/>
        <v>Coaching interne</v>
      </c>
    </row>
    <row r="98" spans="1:12" x14ac:dyDescent="0.25">
      <c r="A98" s="2" t="s">
        <v>1041</v>
      </c>
      <c r="B98" s="2" t="s">
        <v>331</v>
      </c>
      <c r="C98" s="2" t="s">
        <v>598</v>
      </c>
      <c r="D98" s="2" t="s">
        <v>39</v>
      </c>
      <c r="E98" s="2" t="s">
        <v>202</v>
      </c>
      <c r="F98" s="2">
        <v>3</v>
      </c>
      <c r="G98" s="2">
        <v>2</v>
      </c>
      <c r="H98" s="2" t="str">
        <f t="shared" si="5"/>
        <v>🟢 OK</v>
      </c>
      <c r="I98" s="2">
        <f t="shared" si="6"/>
        <v>0</v>
      </c>
      <c r="J98" s="2" t="str">
        <f t="shared" si="7"/>
        <v>Traite</v>
      </c>
      <c r="K98" s="2" t="str">
        <f t="shared" si="8"/>
        <v/>
      </c>
      <c r="L98" s="2" t="str">
        <f t="shared" si="9"/>
        <v>Maintien</v>
      </c>
    </row>
    <row r="99" spans="1:12" x14ac:dyDescent="0.25">
      <c r="A99" s="3" t="s">
        <v>1042</v>
      </c>
      <c r="B99" s="3" t="s">
        <v>335</v>
      </c>
      <c r="C99" s="3" t="s">
        <v>605</v>
      </c>
      <c r="D99" s="3" t="s">
        <v>41</v>
      </c>
      <c r="E99" s="3" t="s">
        <v>207</v>
      </c>
      <c r="F99" s="3">
        <v>4</v>
      </c>
      <c r="G99" s="3">
        <v>2</v>
      </c>
      <c r="H99" s="3" t="str">
        <f t="shared" si="5"/>
        <v>🟢 OK</v>
      </c>
      <c r="I99" s="3">
        <f t="shared" si="6"/>
        <v>0</v>
      </c>
      <c r="J99" s="3" t="str">
        <f t="shared" si="7"/>
        <v>Traite</v>
      </c>
      <c r="K99" s="3" t="str">
        <f t="shared" si="8"/>
        <v/>
      </c>
      <c r="L99" s="3" t="str">
        <f t="shared" si="9"/>
        <v>Maintien</v>
      </c>
    </row>
    <row r="100" spans="1:12" x14ac:dyDescent="0.25">
      <c r="A100" s="2" t="s">
        <v>1043</v>
      </c>
      <c r="B100" s="2" t="s">
        <v>335</v>
      </c>
      <c r="C100" s="2" t="s">
        <v>605</v>
      </c>
      <c r="D100" s="2" t="s">
        <v>41</v>
      </c>
      <c r="E100" s="2" t="s">
        <v>212</v>
      </c>
      <c r="F100" s="2">
        <v>5</v>
      </c>
      <c r="G100" s="2">
        <v>3</v>
      </c>
      <c r="H100" s="2" t="str">
        <f t="shared" si="5"/>
        <v>🟢 OK</v>
      </c>
      <c r="I100" s="2">
        <f t="shared" si="6"/>
        <v>0</v>
      </c>
      <c r="J100" s="2" t="str">
        <f t="shared" si="7"/>
        <v>Traite</v>
      </c>
      <c r="K100" s="2" t="str">
        <f t="shared" si="8"/>
        <v/>
      </c>
      <c r="L100" s="2" t="str">
        <f t="shared" si="9"/>
        <v>Maintien</v>
      </c>
    </row>
    <row r="101" spans="1:12" x14ac:dyDescent="0.25">
      <c r="A101" s="3" t="s">
        <v>1044</v>
      </c>
      <c r="B101" s="3" t="s">
        <v>335</v>
      </c>
      <c r="C101" s="3" t="s">
        <v>605</v>
      </c>
      <c r="D101" s="3" t="s">
        <v>41</v>
      </c>
      <c r="E101" s="3" t="s">
        <v>218</v>
      </c>
      <c r="F101" s="3">
        <v>4</v>
      </c>
      <c r="G101" s="3">
        <v>3</v>
      </c>
      <c r="H101" s="3" t="str">
        <f t="shared" si="5"/>
        <v>🟢 OK</v>
      </c>
      <c r="I101" s="3">
        <f t="shared" si="6"/>
        <v>0</v>
      </c>
      <c r="J101" s="3" t="str">
        <f t="shared" si="7"/>
        <v>Traite</v>
      </c>
      <c r="K101" s="3" t="str">
        <f t="shared" si="8"/>
        <v/>
      </c>
      <c r="L101" s="3" t="str">
        <f t="shared" si="9"/>
        <v>Maintien</v>
      </c>
    </row>
    <row r="102" spans="1:12" x14ac:dyDescent="0.25">
      <c r="A102" s="2" t="s">
        <v>1045</v>
      </c>
      <c r="B102" s="2" t="s">
        <v>335</v>
      </c>
      <c r="C102" s="2" t="s">
        <v>605</v>
      </c>
      <c r="D102" s="2" t="s">
        <v>41</v>
      </c>
      <c r="E102" s="2" t="s">
        <v>223</v>
      </c>
      <c r="F102" s="2">
        <v>4</v>
      </c>
      <c r="G102" s="2">
        <v>4</v>
      </c>
      <c r="H102" s="2" t="str">
        <f t="shared" si="5"/>
        <v>🟢 OK</v>
      </c>
      <c r="I102" s="2">
        <f t="shared" si="6"/>
        <v>0</v>
      </c>
      <c r="J102" s="2" t="str">
        <f t="shared" si="7"/>
        <v>Traite</v>
      </c>
      <c r="K102" s="2" t="str">
        <f t="shared" si="8"/>
        <v/>
      </c>
      <c r="L102" s="2" t="str">
        <f t="shared" si="9"/>
        <v>Maintien</v>
      </c>
    </row>
    <row r="103" spans="1:12" x14ac:dyDescent="0.25">
      <c r="A103" s="3" t="s">
        <v>1046</v>
      </c>
      <c r="B103" s="3" t="s">
        <v>339</v>
      </c>
      <c r="C103" s="3" t="s">
        <v>610</v>
      </c>
      <c r="D103" s="3" t="s">
        <v>43</v>
      </c>
      <c r="E103" s="3" t="s">
        <v>207</v>
      </c>
      <c r="F103" s="3">
        <v>4</v>
      </c>
      <c r="G103" s="3">
        <v>4</v>
      </c>
      <c r="H103" s="3" t="str">
        <f t="shared" si="5"/>
        <v>🟢 OK</v>
      </c>
      <c r="I103" s="3">
        <f t="shared" si="6"/>
        <v>0</v>
      </c>
      <c r="J103" s="3" t="str">
        <f t="shared" si="7"/>
        <v>Traite</v>
      </c>
      <c r="K103" s="3" t="str">
        <f t="shared" si="8"/>
        <v/>
      </c>
      <c r="L103" s="3" t="str">
        <f t="shared" si="9"/>
        <v>Maintien</v>
      </c>
    </row>
    <row r="104" spans="1:12" x14ac:dyDescent="0.25">
      <c r="A104" s="2" t="s">
        <v>1047</v>
      </c>
      <c r="B104" s="2" t="s">
        <v>339</v>
      </c>
      <c r="C104" s="2" t="s">
        <v>610</v>
      </c>
      <c r="D104" s="2" t="s">
        <v>43</v>
      </c>
      <c r="E104" s="2" t="s">
        <v>218</v>
      </c>
      <c r="F104" s="2">
        <v>3</v>
      </c>
      <c r="G104" s="2">
        <v>2</v>
      </c>
      <c r="H104" s="2" t="str">
        <f t="shared" si="5"/>
        <v>🟢 OK</v>
      </c>
      <c r="I104" s="2">
        <f t="shared" si="6"/>
        <v>0</v>
      </c>
      <c r="J104" s="2" t="str">
        <f t="shared" si="7"/>
        <v>Traite</v>
      </c>
      <c r="K104" s="2" t="str">
        <f t="shared" si="8"/>
        <v/>
      </c>
      <c r="L104" s="2" t="str">
        <f t="shared" si="9"/>
        <v>Maintien</v>
      </c>
    </row>
    <row r="105" spans="1:12" x14ac:dyDescent="0.25">
      <c r="A105" s="3" t="s">
        <v>1048</v>
      </c>
      <c r="B105" s="3" t="s">
        <v>339</v>
      </c>
      <c r="C105" s="3" t="s">
        <v>610</v>
      </c>
      <c r="D105" s="3" t="s">
        <v>43</v>
      </c>
      <c r="E105" s="3" t="s">
        <v>223</v>
      </c>
      <c r="F105" s="3">
        <v>2</v>
      </c>
      <c r="G105" s="3">
        <v>3</v>
      </c>
      <c r="H105" s="3" t="str">
        <f t="shared" si="5"/>
        <v>🟡 Modere</v>
      </c>
      <c r="I105" s="3">
        <f t="shared" si="6"/>
        <v>20</v>
      </c>
      <c r="J105" s="3" t="str">
        <f t="shared" si="7"/>
        <v>A planifier</v>
      </c>
      <c r="K105" s="3" t="str">
        <f t="shared" si="8"/>
        <v>PF-0101</v>
      </c>
      <c r="L105" s="3" t="str">
        <f t="shared" si="9"/>
        <v>Coaching interne</v>
      </c>
    </row>
    <row r="106" spans="1:12" x14ac:dyDescent="0.25">
      <c r="A106" s="2" t="s">
        <v>1049</v>
      </c>
      <c r="B106" s="2" t="s">
        <v>339</v>
      </c>
      <c r="C106" s="2" t="s">
        <v>610</v>
      </c>
      <c r="D106" s="2" t="s">
        <v>43</v>
      </c>
      <c r="E106" s="2" t="s">
        <v>233</v>
      </c>
      <c r="F106" s="2">
        <v>3</v>
      </c>
      <c r="G106" s="2">
        <v>3</v>
      </c>
      <c r="H106" s="2" t="str">
        <f t="shared" si="5"/>
        <v>🟢 OK</v>
      </c>
      <c r="I106" s="2">
        <f t="shared" si="6"/>
        <v>0</v>
      </c>
      <c r="J106" s="2" t="str">
        <f t="shared" si="7"/>
        <v>Traite</v>
      </c>
      <c r="K106" s="2" t="str">
        <f t="shared" si="8"/>
        <v/>
      </c>
      <c r="L106" s="2" t="str">
        <f t="shared" si="9"/>
        <v>Maintien</v>
      </c>
    </row>
    <row r="107" spans="1:12" x14ac:dyDescent="0.25">
      <c r="A107" s="3" t="s">
        <v>1050</v>
      </c>
      <c r="B107" s="3" t="s">
        <v>343</v>
      </c>
      <c r="C107" s="3" t="s">
        <v>617</v>
      </c>
      <c r="D107" s="3" t="s">
        <v>35</v>
      </c>
      <c r="E107" s="3" t="s">
        <v>97</v>
      </c>
      <c r="F107" s="3">
        <v>4</v>
      </c>
      <c r="G107" s="3">
        <v>4</v>
      </c>
      <c r="H107" s="3" t="str">
        <f t="shared" si="5"/>
        <v>🟢 OK</v>
      </c>
      <c r="I107" s="3">
        <f t="shared" si="6"/>
        <v>0</v>
      </c>
      <c r="J107" s="3" t="str">
        <f t="shared" si="7"/>
        <v>Traite</v>
      </c>
      <c r="K107" s="3" t="str">
        <f t="shared" si="8"/>
        <v/>
      </c>
      <c r="L107" s="3" t="str">
        <f t="shared" si="9"/>
        <v>Maintien</v>
      </c>
    </row>
    <row r="108" spans="1:12" x14ac:dyDescent="0.25">
      <c r="A108" s="2" t="s">
        <v>1051</v>
      </c>
      <c r="B108" s="2" t="s">
        <v>343</v>
      </c>
      <c r="C108" s="2" t="s">
        <v>617</v>
      </c>
      <c r="D108" s="2" t="s">
        <v>35</v>
      </c>
      <c r="E108" s="2" t="s">
        <v>104</v>
      </c>
      <c r="F108" s="2">
        <v>4</v>
      </c>
      <c r="G108" s="2">
        <v>3</v>
      </c>
      <c r="H108" s="2" t="str">
        <f t="shared" si="5"/>
        <v>🟢 OK</v>
      </c>
      <c r="I108" s="2">
        <f t="shared" si="6"/>
        <v>0</v>
      </c>
      <c r="J108" s="2" t="str">
        <f t="shared" si="7"/>
        <v>Traite</v>
      </c>
      <c r="K108" s="2" t="str">
        <f t="shared" si="8"/>
        <v/>
      </c>
      <c r="L108" s="2" t="str">
        <f t="shared" si="9"/>
        <v>Maintien</v>
      </c>
    </row>
    <row r="109" spans="1:12" x14ac:dyDescent="0.25">
      <c r="A109" s="3" t="s">
        <v>1052</v>
      </c>
      <c r="B109" s="3" t="s">
        <v>343</v>
      </c>
      <c r="C109" s="3" t="s">
        <v>617</v>
      </c>
      <c r="D109" s="3" t="s">
        <v>35</v>
      </c>
      <c r="E109" s="3" t="s">
        <v>118</v>
      </c>
      <c r="F109" s="3">
        <v>3</v>
      </c>
      <c r="G109" s="3">
        <v>2</v>
      </c>
      <c r="H109" s="3" t="str">
        <f t="shared" si="5"/>
        <v>🟢 OK</v>
      </c>
      <c r="I109" s="3">
        <f t="shared" si="6"/>
        <v>0</v>
      </c>
      <c r="J109" s="3" t="str">
        <f t="shared" si="7"/>
        <v>Traite</v>
      </c>
      <c r="K109" s="3" t="str">
        <f t="shared" si="8"/>
        <v/>
      </c>
      <c r="L109" s="3" t="str">
        <f t="shared" si="9"/>
        <v>Maintien</v>
      </c>
    </row>
    <row r="110" spans="1:12" x14ac:dyDescent="0.25">
      <c r="A110" s="2" t="s">
        <v>1053</v>
      </c>
      <c r="B110" s="2" t="s">
        <v>343</v>
      </c>
      <c r="C110" s="2" t="s">
        <v>617</v>
      </c>
      <c r="D110" s="2" t="s">
        <v>35</v>
      </c>
      <c r="E110" s="2" t="s">
        <v>202</v>
      </c>
      <c r="F110" s="2">
        <v>3</v>
      </c>
      <c r="G110" s="2">
        <v>2</v>
      </c>
      <c r="H110" s="2" t="str">
        <f t="shared" si="5"/>
        <v>🟢 OK</v>
      </c>
      <c r="I110" s="2">
        <f t="shared" si="6"/>
        <v>0</v>
      </c>
      <c r="J110" s="2" t="str">
        <f t="shared" si="7"/>
        <v>Traite</v>
      </c>
      <c r="K110" s="2" t="str">
        <f t="shared" si="8"/>
        <v/>
      </c>
      <c r="L110" s="2" t="str">
        <f t="shared" si="9"/>
        <v>Maintien</v>
      </c>
    </row>
    <row r="111" spans="1:12" x14ac:dyDescent="0.25">
      <c r="A111" s="3" t="s">
        <v>1054</v>
      </c>
      <c r="B111" s="3" t="s">
        <v>343</v>
      </c>
      <c r="C111" s="3" t="s">
        <v>617</v>
      </c>
      <c r="D111" s="3" t="s">
        <v>35</v>
      </c>
      <c r="E111" s="3" t="s">
        <v>218</v>
      </c>
      <c r="F111" s="3">
        <v>1</v>
      </c>
      <c r="G111" s="3">
        <v>2</v>
      </c>
      <c r="H111" s="3" t="str">
        <f t="shared" si="5"/>
        <v>🟡 Modere</v>
      </c>
      <c r="I111" s="3">
        <f t="shared" si="6"/>
        <v>20</v>
      </c>
      <c r="J111" s="3" t="str">
        <f t="shared" si="7"/>
        <v>A planifier</v>
      </c>
      <c r="K111" s="3" t="str">
        <f t="shared" si="8"/>
        <v>PF-0107</v>
      </c>
      <c r="L111" s="3" t="str">
        <f t="shared" si="9"/>
        <v>Coaching interne</v>
      </c>
    </row>
    <row r="112" spans="1:12" x14ac:dyDescent="0.25">
      <c r="A112" s="2" t="s">
        <v>1055</v>
      </c>
      <c r="B112" s="2" t="s">
        <v>343</v>
      </c>
      <c r="C112" s="2" t="s">
        <v>617</v>
      </c>
      <c r="D112" s="2" t="s">
        <v>35</v>
      </c>
      <c r="E112" s="2" t="s">
        <v>223</v>
      </c>
      <c r="F112" s="2">
        <v>1</v>
      </c>
      <c r="G112" s="2">
        <v>1</v>
      </c>
      <c r="H112" s="2" t="str">
        <f t="shared" si="5"/>
        <v>🟢 OK</v>
      </c>
      <c r="I112" s="2">
        <f t="shared" si="6"/>
        <v>0</v>
      </c>
      <c r="J112" s="2" t="str">
        <f t="shared" si="7"/>
        <v>Traite</v>
      </c>
      <c r="K112" s="2" t="str">
        <f t="shared" si="8"/>
        <v/>
      </c>
      <c r="L112" s="2" t="str">
        <f t="shared" si="9"/>
        <v>Maintien</v>
      </c>
    </row>
    <row r="113" spans="1:12" x14ac:dyDescent="0.25">
      <c r="A113" s="3" t="s">
        <v>1056</v>
      </c>
      <c r="B113" s="3" t="s">
        <v>346</v>
      </c>
      <c r="C113" s="3" t="s">
        <v>626</v>
      </c>
      <c r="D113" s="3" t="s">
        <v>37</v>
      </c>
      <c r="E113" s="3" t="s">
        <v>97</v>
      </c>
      <c r="F113" s="3">
        <v>4</v>
      </c>
      <c r="G113" s="3">
        <v>3</v>
      </c>
      <c r="H113" s="3" t="str">
        <f t="shared" si="5"/>
        <v>🟢 OK</v>
      </c>
      <c r="I113" s="3">
        <f t="shared" si="6"/>
        <v>0</v>
      </c>
      <c r="J113" s="3" t="str">
        <f t="shared" si="7"/>
        <v>Traite</v>
      </c>
      <c r="K113" s="3" t="str">
        <f t="shared" si="8"/>
        <v/>
      </c>
      <c r="L113" s="3" t="str">
        <f t="shared" si="9"/>
        <v>Maintien</v>
      </c>
    </row>
    <row r="114" spans="1:12" x14ac:dyDescent="0.25">
      <c r="A114" s="2" t="s">
        <v>1057</v>
      </c>
      <c r="B114" s="2" t="s">
        <v>346</v>
      </c>
      <c r="C114" s="2" t="s">
        <v>626</v>
      </c>
      <c r="D114" s="2" t="s">
        <v>37</v>
      </c>
      <c r="E114" s="2" t="s">
        <v>104</v>
      </c>
      <c r="F114" s="2">
        <v>4</v>
      </c>
      <c r="G114" s="2">
        <v>4</v>
      </c>
      <c r="H114" s="2" t="str">
        <f t="shared" si="5"/>
        <v>🟢 OK</v>
      </c>
      <c r="I114" s="2">
        <f t="shared" si="6"/>
        <v>0</v>
      </c>
      <c r="J114" s="2" t="str">
        <f t="shared" si="7"/>
        <v>Traite</v>
      </c>
      <c r="K114" s="2" t="str">
        <f t="shared" si="8"/>
        <v/>
      </c>
      <c r="L114" s="2" t="str">
        <f t="shared" si="9"/>
        <v>Maintien</v>
      </c>
    </row>
    <row r="115" spans="1:12" x14ac:dyDescent="0.25">
      <c r="A115" s="3" t="s">
        <v>1058</v>
      </c>
      <c r="B115" s="3" t="s">
        <v>346</v>
      </c>
      <c r="C115" s="3" t="s">
        <v>626</v>
      </c>
      <c r="D115" s="3" t="s">
        <v>37</v>
      </c>
      <c r="E115" s="3" t="s">
        <v>113</v>
      </c>
      <c r="F115" s="3">
        <v>4</v>
      </c>
      <c r="G115" s="3">
        <v>3</v>
      </c>
      <c r="H115" s="3" t="str">
        <f t="shared" si="5"/>
        <v>🟢 OK</v>
      </c>
      <c r="I115" s="3">
        <f t="shared" si="6"/>
        <v>0</v>
      </c>
      <c r="J115" s="3" t="str">
        <f t="shared" si="7"/>
        <v>Traite</v>
      </c>
      <c r="K115" s="3" t="str">
        <f t="shared" si="8"/>
        <v/>
      </c>
      <c r="L115" s="3" t="str">
        <f t="shared" si="9"/>
        <v>Maintien</v>
      </c>
    </row>
    <row r="116" spans="1:12" x14ac:dyDescent="0.25">
      <c r="A116" s="2" t="s">
        <v>1059</v>
      </c>
      <c r="B116" s="2" t="s">
        <v>346</v>
      </c>
      <c r="C116" s="2" t="s">
        <v>626</v>
      </c>
      <c r="D116" s="2" t="s">
        <v>37</v>
      </c>
      <c r="E116" s="2" t="s">
        <v>118</v>
      </c>
      <c r="F116" s="2">
        <v>4</v>
      </c>
      <c r="G116" s="2">
        <v>2</v>
      </c>
      <c r="H116" s="2" t="str">
        <f t="shared" si="5"/>
        <v>🟢 OK</v>
      </c>
      <c r="I116" s="2">
        <f t="shared" si="6"/>
        <v>0</v>
      </c>
      <c r="J116" s="2" t="str">
        <f t="shared" si="7"/>
        <v>Traite</v>
      </c>
      <c r="K116" s="2" t="str">
        <f t="shared" si="8"/>
        <v/>
      </c>
      <c r="L116" s="2" t="str">
        <f t="shared" si="9"/>
        <v>Maintien</v>
      </c>
    </row>
    <row r="117" spans="1:12" x14ac:dyDescent="0.25">
      <c r="A117" s="3" t="s">
        <v>1060</v>
      </c>
      <c r="B117" s="3" t="s">
        <v>346</v>
      </c>
      <c r="C117" s="3" t="s">
        <v>626</v>
      </c>
      <c r="D117" s="3" t="s">
        <v>37</v>
      </c>
      <c r="E117" s="3" t="s">
        <v>223</v>
      </c>
      <c r="F117" s="3">
        <v>2</v>
      </c>
      <c r="G117" s="3">
        <v>1</v>
      </c>
      <c r="H117" s="3" t="str">
        <f t="shared" si="5"/>
        <v>🟢 OK</v>
      </c>
      <c r="I117" s="3">
        <f t="shared" si="6"/>
        <v>0</v>
      </c>
      <c r="J117" s="3" t="str">
        <f t="shared" si="7"/>
        <v>Traite</v>
      </c>
      <c r="K117" s="3" t="str">
        <f t="shared" si="8"/>
        <v/>
      </c>
      <c r="L117" s="3" t="str">
        <f t="shared" si="9"/>
        <v>Maintien</v>
      </c>
    </row>
    <row r="118" spans="1:12" x14ac:dyDescent="0.25">
      <c r="A118" s="2" t="s">
        <v>1061</v>
      </c>
      <c r="B118" s="2" t="s">
        <v>349</v>
      </c>
      <c r="C118" s="2" t="s">
        <v>633</v>
      </c>
      <c r="D118" s="2" t="s">
        <v>39</v>
      </c>
      <c r="E118" s="2" t="s">
        <v>118</v>
      </c>
      <c r="F118" s="2">
        <v>3</v>
      </c>
      <c r="G118" s="2">
        <v>4</v>
      </c>
      <c r="H118" s="2" t="str">
        <f t="shared" si="5"/>
        <v>🟡 Modere</v>
      </c>
      <c r="I118" s="2">
        <f t="shared" si="6"/>
        <v>20</v>
      </c>
      <c r="J118" s="2" t="str">
        <f t="shared" si="7"/>
        <v>A planifier</v>
      </c>
      <c r="K118" s="2" t="str">
        <f t="shared" si="8"/>
        <v>PF-0114</v>
      </c>
      <c r="L118" s="2" t="str">
        <f t="shared" si="9"/>
        <v>Coaching interne</v>
      </c>
    </row>
    <row r="119" spans="1:12" x14ac:dyDescent="0.25">
      <c r="A119" s="3" t="s">
        <v>1062</v>
      </c>
      <c r="B119" s="3" t="s">
        <v>349</v>
      </c>
      <c r="C119" s="3" t="s">
        <v>633</v>
      </c>
      <c r="D119" s="3" t="s">
        <v>39</v>
      </c>
      <c r="E119" s="3" t="s">
        <v>124</v>
      </c>
      <c r="F119" s="3">
        <v>3</v>
      </c>
      <c r="G119" s="3">
        <v>4</v>
      </c>
      <c r="H119" s="3" t="str">
        <f t="shared" si="5"/>
        <v>🟡 Modere</v>
      </c>
      <c r="I119" s="3">
        <f t="shared" si="6"/>
        <v>20</v>
      </c>
      <c r="J119" s="3" t="str">
        <f t="shared" si="7"/>
        <v>A planifier</v>
      </c>
      <c r="K119" s="3" t="str">
        <f t="shared" si="8"/>
        <v>PF-0115</v>
      </c>
      <c r="L119" s="3" t="str">
        <f t="shared" si="9"/>
        <v>Coaching interne</v>
      </c>
    </row>
    <row r="120" spans="1:12" x14ac:dyDescent="0.25">
      <c r="A120" s="2" t="s">
        <v>1063</v>
      </c>
      <c r="B120" s="2" t="s">
        <v>349</v>
      </c>
      <c r="C120" s="2" t="s">
        <v>633</v>
      </c>
      <c r="D120" s="2" t="s">
        <v>39</v>
      </c>
      <c r="E120" s="2" t="s">
        <v>127</v>
      </c>
      <c r="F120" s="2">
        <v>3</v>
      </c>
      <c r="G120" s="2">
        <v>3</v>
      </c>
      <c r="H120" s="2" t="str">
        <f t="shared" si="5"/>
        <v>🟢 OK</v>
      </c>
      <c r="I120" s="2">
        <f t="shared" si="6"/>
        <v>0</v>
      </c>
      <c r="J120" s="2" t="str">
        <f t="shared" si="7"/>
        <v>Traite</v>
      </c>
      <c r="K120" s="2" t="str">
        <f t="shared" si="8"/>
        <v/>
      </c>
      <c r="L120" s="2" t="str">
        <f t="shared" si="9"/>
        <v>Maintien</v>
      </c>
    </row>
    <row r="121" spans="1:12" x14ac:dyDescent="0.25">
      <c r="A121" s="3" t="s">
        <v>1064</v>
      </c>
      <c r="B121" s="3" t="s">
        <v>349</v>
      </c>
      <c r="C121" s="3" t="s">
        <v>633</v>
      </c>
      <c r="D121" s="3" t="s">
        <v>39</v>
      </c>
      <c r="E121" s="3" t="s">
        <v>131</v>
      </c>
      <c r="F121" s="3">
        <v>4</v>
      </c>
      <c r="G121" s="3">
        <v>3</v>
      </c>
      <c r="H121" s="3" t="str">
        <f t="shared" si="5"/>
        <v>🟢 OK</v>
      </c>
      <c r="I121" s="3">
        <f t="shared" si="6"/>
        <v>0</v>
      </c>
      <c r="J121" s="3" t="str">
        <f t="shared" si="7"/>
        <v>Traite</v>
      </c>
      <c r="K121" s="3" t="str">
        <f t="shared" si="8"/>
        <v/>
      </c>
      <c r="L121" s="3" t="str">
        <f t="shared" si="9"/>
        <v>Maintien</v>
      </c>
    </row>
    <row r="122" spans="1:12" x14ac:dyDescent="0.25">
      <c r="A122" s="2" t="s">
        <v>1065</v>
      </c>
      <c r="B122" s="2" t="s">
        <v>349</v>
      </c>
      <c r="C122" s="2" t="s">
        <v>633</v>
      </c>
      <c r="D122" s="2" t="s">
        <v>39</v>
      </c>
      <c r="E122" s="2" t="s">
        <v>135</v>
      </c>
      <c r="F122" s="2">
        <v>3</v>
      </c>
      <c r="G122" s="2">
        <v>3</v>
      </c>
      <c r="H122" s="2" t="str">
        <f t="shared" si="5"/>
        <v>🟢 OK</v>
      </c>
      <c r="I122" s="2">
        <f t="shared" si="6"/>
        <v>0</v>
      </c>
      <c r="J122" s="2" t="str">
        <f t="shared" si="7"/>
        <v>Traite</v>
      </c>
      <c r="K122" s="2" t="str">
        <f t="shared" si="8"/>
        <v/>
      </c>
      <c r="L122" s="2" t="str">
        <f t="shared" si="9"/>
        <v>Maintien</v>
      </c>
    </row>
    <row r="123" spans="1:12" x14ac:dyDescent="0.25">
      <c r="A123" s="3" t="s">
        <v>1066</v>
      </c>
      <c r="B123" s="3" t="s">
        <v>349</v>
      </c>
      <c r="C123" s="3" t="s">
        <v>633</v>
      </c>
      <c r="D123" s="3" t="s">
        <v>39</v>
      </c>
      <c r="E123" s="3" t="s">
        <v>233</v>
      </c>
      <c r="F123" s="3">
        <v>3</v>
      </c>
      <c r="G123" s="3">
        <v>2</v>
      </c>
      <c r="H123" s="3" t="str">
        <f t="shared" si="5"/>
        <v>🟢 OK</v>
      </c>
      <c r="I123" s="3">
        <f t="shared" si="6"/>
        <v>0</v>
      </c>
      <c r="J123" s="3" t="str">
        <f t="shared" si="7"/>
        <v>Traite</v>
      </c>
      <c r="K123" s="3" t="str">
        <f t="shared" si="8"/>
        <v/>
      </c>
      <c r="L123" s="3" t="str">
        <f t="shared" si="9"/>
        <v>Maintien</v>
      </c>
    </row>
    <row r="124" spans="1:12" x14ac:dyDescent="0.25">
      <c r="A124" s="2" t="s">
        <v>1067</v>
      </c>
      <c r="B124" s="2" t="s">
        <v>352</v>
      </c>
      <c r="C124" s="2" t="s">
        <v>642</v>
      </c>
      <c r="D124" s="2" t="s">
        <v>41</v>
      </c>
      <c r="E124" s="2" t="s">
        <v>118</v>
      </c>
      <c r="F124" s="2">
        <v>5</v>
      </c>
      <c r="G124" s="2">
        <v>5</v>
      </c>
      <c r="H124" s="2" t="str">
        <f t="shared" si="5"/>
        <v>🟢 OK</v>
      </c>
      <c r="I124" s="2">
        <f t="shared" si="6"/>
        <v>0</v>
      </c>
      <c r="J124" s="2" t="str">
        <f t="shared" si="7"/>
        <v>Traite</v>
      </c>
      <c r="K124" s="2" t="str">
        <f t="shared" si="8"/>
        <v/>
      </c>
      <c r="L124" s="2" t="str">
        <f t="shared" si="9"/>
        <v>Maintien</v>
      </c>
    </row>
    <row r="125" spans="1:12" x14ac:dyDescent="0.25">
      <c r="A125" s="3" t="s">
        <v>1068</v>
      </c>
      <c r="B125" s="3" t="s">
        <v>352</v>
      </c>
      <c r="C125" s="3" t="s">
        <v>642</v>
      </c>
      <c r="D125" s="3" t="s">
        <v>41</v>
      </c>
      <c r="E125" s="3" t="s">
        <v>124</v>
      </c>
      <c r="F125" s="3">
        <v>4</v>
      </c>
      <c r="G125" s="3">
        <v>5</v>
      </c>
      <c r="H125" s="3" t="str">
        <f t="shared" si="5"/>
        <v>🟡 Modere</v>
      </c>
      <c r="I125" s="3">
        <f t="shared" si="6"/>
        <v>20</v>
      </c>
      <c r="J125" s="3" t="str">
        <f t="shared" si="7"/>
        <v>A planifier</v>
      </c>
      <c r="K125" s="3" t="str">
        <f t="shared" si="8"/>
        <v>PF-0121</v>
      </c>
      <c r="L125" s="3" t="str">
        <f t="shared" si="9"/>
        <v>Coaching interne</v>
      </c>
    </row>
    <row r="126" spans="1:12" x14ac:dyDescent="0.25">
      <c r="A126" s="2" t="s">
        <v>1069</v>
      </c>
      <c r="B126" s="2" t="s">
        <v>352</v>
      </c>
      <c r="C126" s="2" t="s">
        <v>642</v>
      </c>
      <c r="D126" s="2" t="s">
        <v>41</v>
      </c>
      <c r="E126" s="2" t="s">
        <v>127</v>
      </c>
      <c r="F126" s="2">
        <v>5</v>
      </c>
      <c r="G126" s="2">
        <v>5</v>
      </c>
      <c r="H126" s="2" t="str">
        <f t="shared" si="5"/>
        <v>🟢 OK</v>
      </c>
      <c r="I126" s="2">
        <f t="shared" si="6"/>
        <v>0</v>
      </c>
      <c r="J126" s="2" t="str">
        <f t="shared" si="7"/>
        <v>Traite</v>
      </c>
      <c r="K126" s="2" t="str">
        <f t="shared" si="8"/>
        <v/>
      </c>
      <c r="L126" s="2" t="str">
        <f t="shared" si="9"/>
        <v>Maintien</v>
      </c>
    </row>
    <row r="127" spans="1:12" x14ac:dyDescent="0.25">
      <c r="A127" s="3" t="s">
        <v>1070</v>
      </c>
      <c r="B127" s="3" t="s">
        <v>352</v>
      </c>
      <c r="C127" s="3" t="s">
        <v>642</v>
      </c>
      <c r="D127" s="3" t="s">
        <v>41</v>
      </c>
      <c r="E127" s="3" t="s">
        <v>131</v>
      </c>
      <c r="F127" s="3">
        <v>4</v>
      </c>
      <c r="G127" s="3">
        <v>4</v>
      </c>
      <c r="H127" s="3" t="str">
        <f t="shared" si="5"/>
        <v>🟢 OK</v>
      </c>
      <c r="I127" s="3">
        <f t="shared" si="6"/>
        <v>0</v>
      </c>
      <c r="J127" s="3" t="str">
        <f t="shared" si="7"/>
        <v>Traite</v>
      </c>
      <c r="K127" s="3" t="str">
        <f t="shared" si="8"/>
        <v/>
      </c>
      <c r="L127" s="3" t="str">
        <f t="shared" si="9"/>
        <v>Maintien</v>
      </c>
    </row>
    <row r="128" spans="1:12" x14ac:dyDescent="0.25">
      <c r="A128" s="2" t="s">
        <v>1071</v>
      </c>
      <c r="B128" s="2" t="s">
        <v>352</v>
      </c>
      <c r="C128" s="2" t="s">
        <v>642</v>
      </c>
      <c r="D128" s="2" t="s">
        <v>41</v>
      </c>
      <c r="E128" s="2" t="s">
        <v>135</v>
      </c>
      <c r="F128" s="2">
        <v>5</v>
      </c>
      <c r="G128" s="2">
        <v>4</v>
      </c>
      <c r="H128" s="2" t="str">
        <f t="shared" si="5"/>
        <v>🟢 OK</v>
      </c>
      <c r="I128" s="2">
        <f t="shared" si="6"/>
        <v>0</v>
      </c>
      <c r="J128" s="2" t="str">
        <f t="shared" si="7"/>
        <v>Traite</v>
      </c>
      <c r="K128" s="2" t="str">
        <f t="shared" si="8"/>
        <v/>
      </c>
      <c r="L128" s="2" t="str">
        <f t="shared" si="9"/>
        <v>Maintien</v>
      </c>
    </row>
    <row r="129" spans="1:12" x14ac:dyDescent="0.25">
      <c r="A129" s="3" t="s">
        <v>1072</v>
      </c>
      <c r="B129" s="3" t="s">
        <v>352</v>
      </c>
      <c r="C129" s="3" t="s">
        <v>642</v>
      </c>
      <c r="D129" s="3" t="s">
        <v>41</v>
      </c>
      <c r="E129" s="3" t="s">
        <v>212</v>
      </c>
      <c r="F129" s="3">
        <v>4</v>
      </c>
      <c r="G129" s="3">
        <v>3</v>
      </c>
      <c r="H129" s="3" t="str">
        <f t="shared" si="5"/>
        <v>🟢 OK</v>
      </c>
      <c r="I129" s="3">
        <f t="shared" si="6"/>
        <v>0</v>
      </c>
      <c r="J129" s="3" t="str">
        <f t="shared" si="7"/>
        <v>Traite</v>
      </c>
      <c r="K129" s="3" t="str">
        <f t="shared" si="8"/>
        <v/>
      </c>
      <c r="L129" s="3" t="str">
        <f t="shared" si="9"/>
        <v>Maintien</v>
      </c>
    </row>
    <row r="130" spans="1:12" x14ac:dyDescent="0.25">
      <c r="A130" s="2" t="s">
        <v>1073</v>
      </c>
      <c r="B130" s="2" t="s">
        <v>352</v>
      </c>
      <c r="C130" s="2" t="s">
        <v>642</v>
      </c>
      <c r="D130" s="2" t="s">
        <v>41</v>
      </c>
      <c r="E130" s="2" t="s">
        <v>233</v>
      </c>
      <c r="F130" s="2">
        <v>2</v>
      </c>
      <c r="G130" s="2">
        <v>3</v>
      </c>
      <c r="H130" s="2" t="str">
        <f t="shared" si="5"/>
        <v>🟡 Modere</v>
      </c>
      <c r="I130" s="2">
        <f t="shared" si="6"/>
        <v>20</v>
      </c>
      <c r="J130" s="2" t="str">
        <f t="shared" si="7"/>
        <v>A planifier</v>
      </c>
      <c r="K130" s="2" t="str">
        <f t="shared" si="8"/>
        <v>PF-0126</v>
      </c>
      <c r="L130" s="2" t="str">
        <f t="shared" si="9"/>
        <v>Coaching interne</v>
      </c>
    </row>
    <row r="131" spans="1:12" x14ac:dyDescent="0.25">
      <c r="A131" s="3" t="s">
        <v>1074</v>
      </c>
      <c r="B131" s="3" t="s">
        <v>355</v>
      </c>
      <c r="C131" s="3" t="s">
        <v>653</v>
      </c>
      <c r="D131" s="3" t="s">
        <v>43</v>
      </c>
      <c r="E131" s="3" t="s">
        <v>139</v>
      </c>
      <c r="F131" s="3">
        <v>3</v>
      </c>
      <c r="G131" s="3">
        <v>3</v>
      </c>
      <c r="H131" s="3" t="str">
        <f t="shared" si="5"/>
        <v>🟢 OK</v>
      </c>
      <c r="I131" s="3">
        <f t="shared" si="6"/>
        <v>0</v>
      </c>
      <c r="J131" s="3" t="str">
        <f t="shared" si="7"/>
        <v>Traite</v>
      </c>
      <c r="K131" s="3" t="str">
        <f t="shared" si="8"/>
        <v/>
      </c>
      <c r="L131" s="3" t="str">
        <f t="shared" si="9"/>
        <v>Maintien</v>
      </c>
    </row>
    <row r="132" spans="1:12" x14ac:dyDescent="0.25">
      <c r="A132" s="2" t="s">
        <v>1075</v>
      </c>
      <c r="B132" s="2" t="s">
        <v>355</v>
      </c>
      <c r="C132" s="2" t="s">
        <v>653</v>
      </c>
      <c r="D132" s="2" t="s">
        <v>43</v>
      </c>
      <c r="E132" s="2" t="s">
        <v>146</v>
      </c>
      <c r="F132" s="2">
        <v>3</v>
      </c>
      <c r="G132" s="2">
        <v>4</v>
      </c>
      <c r="H132" s="2" t="str">
        <f t="shared" si="5"/>
        <v>🟡 Modere</v>
      </c>
      <c r="I132" s="2">
        <f t="shared" si="6"/>
        <v>20</v>
      </c>
      <c r="J132" s="2" t="str">
        <f t="shared" si="7"/>
        <v>A planifier</v>
      </c>
      <c r="K132" s="2" t="str">
        <f t="shared" si="8"/>
        <v>PF-0128</v>
      </c>
      <c r="L132" s="2" t="str">
        <f t="shared" si="9"/>
        <v>Coaching interne</v>
      </c>
    </row>
    <row r="133" spans="1:12" x14ac:dyDescent="0.25">
      <c r="A133" s="3" t="s">
        <v>1076</v>
      </c>
      <c r="B133" s="3" t="s">
        <v>355</v>
      </c>
      <c r="C133" s="3" t="s">
        <v>653</v>
      </c>
      <c r="D133" s="3" t="s">
        <v>43</v>
      </c>
      <c r="E133" s="3" t="s">
        <v>160</v>
      </c>
      <c r="F133" s="3">
        <v>2</v>
      </c>
      <c r="G133" s="3">
        <v>3</v>
      </c>
      <c r="H133" s="3" t="str">
        <f t="shared" ref="H133:H196" si="10">IF(F133-G133&gt;=0,"🟢 OK",IF(F133-G133=-1,"🟡 Modere","🔴 Critique"))</f>
        <v>🟡 Modere</v>
      </c>
      <c r="I133" s="3">
        <f t="shared" ref="I133:I196" si="11">MAX(0,(G133-F133)*20)+IF(H133="🔴 Critique",25,0)</f>
        <v>20</v>
      </c>
      <c r="J133" s="3" t="str">
        <f t="shared" ref="J133:J196" si="12">IF(H133="🟢 OK","Traite",IF(H133="🔴 Critique","Non traite","A planifier"))</f>
        <v>A planifier</v>
      </c>
      <c r="K133" s="3" t="str">
        <f t="shared" ref="K133:K196" si="13">IF(H133="🟢 OK","","PF-"&amp;TEXT(ROW()-4,"0000"))</f>
        <v>PF-0129</v>
      </c>
      <c r="L133" s="3" t="str">
        <f t="shared" ref="L133:L196" si="14">IF(H133="🟢 OK","Maintien",IF(H133="🔴 Critique","Formation urgente","Coaching interne"))</f>
        <v>Coaching interne</v>
      </c>
    </row>
    <row r="134" spans="1:12" x14ac:dyDescent="0.25">
      <c r="A134" s="2" t="s">
        <v>1077</v>
      </c>
      <c r="B134" s="2" t="s">
        <v>355</v>
      </c>
      <c r="C134" s="2" t="s">
        <v>653</v>
      </c>
      <c r="D134" s="2" t="s">
        <v>43</v>
      </c>
      <c r="E134" s="2" t="s">
        <v>202</v>
      </c>
      <c r="F134" s="2">
        <v>1</v>
      </c>
      <c r="G134" s="2">
        <v>2</v>
      </c>
      <c r="H134" s="2" t="str">
        <f t="shared" si="10"/>
        <v>🟡 Modere</v>
      </c>
      <c r="I134" s="2">
        <f t="shared" si="11"/>
        <v>20</v>
      </c>
      <c r="J134" s="2" t="str">
        <f t="shared" si="12"/>
        <v>A planifier</v>
      </c>
      <c r="K134" s="2" t="str">
        <f t="shared" si="13"/>
        <v>PF-0130</v>
      </c>
      <c r="L134" s="2" t="str">
        <f t="shared" si="14"/>
        <v>Coaching interne</v>
      </c>
    </row>
    <row r="135" spans="1:12" x14ac:dyDescent="0.25">
      <c r="A135" s="3" t="s">
        <v>1078</v>
      </c>
      <c r="B135" s="3" t="s">
        <v>355</v>
      </c>
      <c r="C135" s="3" t="s">
        <v>653</v>
      </c>
      <c r="D135" s="3" t="s">
        <v>43</v>
      </c>
      <c r="E135" s="3" t="s">
        <v>228</v>
      </c>
      <c r="F135" s="3">
        <v>2</v>
      </c>
      <c r="G135" s="3">
        <v>2</v>
      </c>
      <c r="H135" s="3" t="str">
        <f t="shared" si="10"/>
        <v>🟢 OK</v>
      </c>
      <c r="I135" s="3">
        <f t="shared" si="11"/>
        <v>0</v>
      </c>
      <c r="J135" s="3" t="str">
        <f t="shared" si="12"/>
        <v>Traite</v>
      </c>
      <c r="K135" s="3" t="str">
        <f t="shared" si="13"/>
        <v/>
      </c>
      <c r="L135" s="3" t="str">
        <f t="shared" si="14"/>
        <v>Maintien</v>
      </c>
    </row>
    <row r="136" spans="1:12" x14ac:dyDescent="0.25">
      <c r="A136" s="2" t="s">
        <v>1079</v>
      </c>
      <c r="B136" s="2" t="s">
        <v>358</v>
      </c>
      <c r="C136" s="2" t="s">
        <v>662</v>
      </c>
      <c r="D136" s="2" t="s">
        <v>35</v>
      </c>
      <c r="E136" s="2" t="s">
        <v>139</v>
      </c>
      <c r="F136" s="2">
        <v>5</v>
      </c>
      <c r="G136" s="2">
        <v>4</v>
      </c>
      <c r="H136" s="2" t="str">
        <f t="shared" si="10"/>
        <v>🟢 OK</v>
      </c>
      <c r="I136" s="2">
        <f t="shared" si="11"/>
        <v>0</v>
      </c>
      <c r="J136" s="2" t="str">
        <f t="shared" si="12"/>
        <v>Traite</v>
      </c>
      <c r="K136" s="2" t="str">
        <f t="shared" si="13"/>
        <v/>
      </c>
      <c r="L136" s="2" t="str">
        <f t="shared" si="14"/>
        <v>Maintien</v>
      </c>
    </row>
    <row r="137" spans="1:12" x14ac:dyDescent="0.25">
      <c r="A137" s="3" t="s">
        <v>1080</v>
      </c>
      <c r="B137" s="3" t="s">
        <v>358</v>
      </c>
      <c r="C137" s="3" t="s">
        <v>662</v>
      </c>
      <c r="D137" s="3" t="s">
        <v>35</v>
      </c>
      <c r="E137" s="3" t="s">
        <v>149</v>
      </c>
      <c r="F137" s="3">
        <v>5</v>
      </c>
      <c r="G137" s="3">
        <v>3</v>
      </c>
      <c r="H137" s="3" t="str">
        <f t="shared" si="10"/>
        <v>🟢 OK</v>
      </c>
      <c r="I137" s="3">
        <f t="shared" si="11"/>
        <v>0</v>
      </c>
      <c r="J137" s="3" t="str">
        <f t="shared" si="12"/>
        <v>Traite</v>
      </c>
      <c r="K137" s="3" t="str">
        <f t="shared" si="13"/>
        <v/>
      </c>
      <c r="L137" s="3" t="str">
        <f t="shared" si="14"/>
        <v>Maintien</v>
      </c>
    </row>
    <row r="138" spans="1:12" x14ac:dyDescent="0.25">
      <c r="A138" s="2" t="s">
        <v>1081</v>
      </c>
      <c r="B138" s="2" t="s">
        <v>358</v>
      </c>
      <c r="C138" s="2" t="s">
        <v>662</v>
      </c>
      <c r="D138" s="2" t="s">
        <v>35</v>
      </c>
      <c r="E138" s="2" t="s">
        <v>160</v>
      </c>
      <c r="F138" s="2">
        <v>1</v>
      </c>
      <c r="G138" s="2">
        <v>2</v>
      </c>
      <c r="H138" s="2" t="str">
        <f t="shared" si="10"/>
        <v>🟡 Modere</v>
      </c>
      <c r="I138" s="2">
        <f t="shared" si="11"/>
        <v>20</v>
      </c>
      <c r="J138" s="2" t="str">
        <f t="shared" si="12"/>
        <v>A planifier</v>
      </c>
      <c r="K138" s="2" t="str">
        <f t="shared" si="13"/>
        <v>PF-0134</v>
      </c>
      <c r="L138" s="2" t="str">
        <f t="shared" si="14"/>
        <v>Coaching interne</v>
      </c>
    </row>
    <row r="139" spans="1:12" x14ac:dyDescent="0.25">
      <c r="A139" s="3" t="s">
        <v>1082</v>
      </c>
      <c r="B139" s="3" t="s">
        <v>358</v>
      </c>
      <c r="C139" s="3" t="s">
        <v>662</v>
      </c>
      <c r="D139" s="3" t="s">
        <v>35</v>
      </c>
      <c r="E139" s="3" t="s">
        <v>228</v>
      </c>
      <c r="F139" s="3">
        <v>4</v>
      </c>
      <c r="G139" s="3">
        <v>2</v>
      </c>
      <c r="H139" s="3" t="str">
        <f t="shared" si="10"/>
        <v>🟢 OK</v>
      </c>
      <c r="I139" s="3">
        <f t="shared" si="11"/>
        <v>0</v>
      </c>
      <c r="J139" s="3" t="str">
        <f t="shared" si="12"/>
        <v>Traite</v>
      </c>
      <c r="K139" s="3" t="str">
        <f t="shared" si="13"/>
        <v/>
      </c>
      <c r="L139" s="3" t="str">
        <f t="shared" si="14"/>
        <v>Maintien</v>
      </c>
    </row>
    <row r="140" spans="1:12" x14ac:dyDescent="0.25">
      <c r="A140" s="2" t="s">
        <v>1083</v>
      </c>
      <c r="B140" s="2" t="s">
        <v>361</v>
      </c>
      <c r="C140" s="2" t="s">
        <v>669</v>
      </c>
      <c r="D140" s="2" t="s">
        <v>37</v>
      </c>
      <c r="E140" s="2" t="s">
        <v>165</v>
      </c>
      <c r="F140" s="2">
        <v>5</v>
      </c>
      <c r="G140" s="2">
        <v>4</v>
      </c>
      <c r="H140" s="2" t="str">
        <f t="shared" si="10"/>
        <v>🟢 OK</v>
      </c>
      <c r="I140" s="2">
        <f t="shared" si="11"/>
        <v>0</v>
      </c>
      <c r="J140" s="2" t="str">
        <f t="shared" si="12"/>
        <v>Traite</v>
      </c>
      <c r="K140" s="2" t="str">
        <f t="shared" si="13"/>
        <v/>
      </c>
      <c r="L140" s="2" t="str">
        <f t="shared" si="14"/>
        <v>Maintien</v>
      </c>
    </row>
    <row r="141" spans="1:12" x14ac:dyDescent="0.25">
      <c r="A141" s="3" t="s">
        <v>1084</v>
      </c>
      <c r="B141" s="3" t="s">
        <v>361</v>
      </c>
      <c r="C141" s="3" t="s">
        <v>669</v>
      </c>
      <c r="D141" s="3" t="s">
        <v>37</v>
      </c>
      <c r="E141" s="3" t="s">
        <v>181</v>
      </c>
      <c r="F141" s="3">
        <v>5</v>
      </c>
      <c r="G141" s="3">
        <v>3</v>
      </c>
      <c r="H141" s="3" t="str">
        <f t="shared" si="10"/>
        <v>🟢 OK</v>
      </c>
      <c r="I141" s="3">
        <f t="shared" si="11"/>
        <v>0</v>
      </c>
      <c r="J141" s="3" t="str">
        <f t="shared" si="12"/>
        <v>Traite</v>
      </c>
      <c r="K141" s="3" t="str">
        <f t="shared" si="13"/>
        <v/>
      </c>
      <c r="L141" s="3" t="str">
        <f t="shared" si="14"/>
        <v>Maintien</v>
      </c>
    </row>
    <row r="142" spans="1:12" x14ac:dyDescent="0.25">
      <c r="A142" s="2" t="s">
        <v>1085</v>
      </c>
      <c r="B142" s="2" t="s">
        <v>361</v>
      </c>
      <c r="C142" s="2" t="s">
        <v>669</v>
      </c>
      <c r="D142" s="2" t="s">
        <v>37</v>
      </c>
      <c r="E142" s="2" t="s">
        <v>218</v>
      </c>
      <c r="F142" s="2">
        <v>2</v>
      </c>
      <c r="G142" s="2">
        <v>2</v>
      </c>
      <c r="H142" s="2" t="str">
        <f t="shared" si="10"/>
        <v>🟢 OK</v>
      </c>
      <c r="I142" s="2">
        <f t="shared" si="11"/>
        <v>0</v>
      </c>
      <c r="J142" s="2" t="str">
        <f t="shared" si="12"/>
        <v>Traite</v>
      </c>
      <c r="K142" s="2" t="str">
        <f t="shared" si="13"/>
        <v/>
      </c>
      <c r="L142" s="2" t="str">
        <f t="shared" si="14"/>
        <v>Maintien</v>
      </c>
    </row>
    <row r="143" spans="1:12" x14ac:dyDescent="0.25">
      <c r="A143" s="3" t="s">
        <v>1086</v>
      </c>
      <c r="B143" s="3" t="s">
        <v>361</v>
      </c>
      <c r="C143" s="3" t="s">
        <v>669</v>
      </c>
      <c r="D143" s="3" t="s">
        <v>37</v>
      </c>
      <c r="E143" s="3" t="s">
        <v>223</v>
      </c>
      <c r="F143" s="3">
        <v>3</v>
      </c>
      <c r="G143" s="3">
        <v>2</v>
      </c>
      <c r="H143" s="3" t="str">
        <f t="shared" si="10"/>
        <v>🟢 OK</v>
      </c>
      <c r="I143" s="3">
        <f t="shared" si="11"/>
        <v>0</v>
      </c>
      <c r="J143" s="3" t="str">
        <f t="shared" si="12"/>
        <v>Traite</v>
      </c>
      <c r="K143" s="3" t="str">
        <f t="shared" si="13"/>
        <v/>
      </c>
      <c r="L143" s="3" t="str">
        <f t="shared" si="14"/>
        <v>Maintien</v>
      </c>
    </row>
    <row r="144" spans="1:12" x14ac:dyDescent="0.25">
      <c r="A144" s="2" t="s">
        <v>1087</v>
      </c>
      <c r="B144" s="2" t="s">
        <v>361</v>
      </c>
      <c r="C144" s="2" t="s">
        <v>669</v>
      </c>
      <c r="D144" s="2" t="s">
        <v>37</v>
      </c>
      <c r="E144" s="2" t="s">
        <v>228</v>
      </c>
      <c r="F144" s="2">
        <v>3</v>
      </c>
      <c r="G144" s="2">
        <v>2</v>
      </c>
      <c r="H144" s="2" t="str">
        <f t="shared" si="10"/>
        <v>🟢 OK</v>
      </c>
      <c r="I144" s="2">
        <f t="shared" si="11"/>
        <v>0</v>
      </c>
      <c r="J144" s="2" t="str">
        <f t="shared" si="12"/>
        <v>Traite</v>
      </c>
      <c r="K144" s="2" t="str">
        <f t="shared" si="13"/>
        <v/>
      </c>
      <c r="L144" s="2" t="str">
        <f t="shared" si="14"/>
        <v>Maintien</v>
      </c>
    </row>
    <row r="145" spans="1:12" x14ac:dyDescent="0.25">
      <c r="A145" s="3" t="s">
        <v>1088</v>
      </c>
      <c r="B145" s="3" t="s">
        <v>364</v>
      </c>
      <c r="C145" s="3" t="s">
        <v>675</v>
      </c>
      <c r="D145" s="3" t="s">
        <v>39</v>
      </c>
      <c r="E145" s="3" t="s">
        <v>171</v>
      </c>
      <c r="F145" s="3">
        <v>4</v>
      </c>
      <c r="G145" s="3">
        <v>4</v>
      </c>
      <c r="H145" s="3" t="str">
        <f t="shared" si="10"/>
        <v>🟢 OK</v>
      </c>
      <c r="I145" s="3">
        <f t="shared" si="11"/>
        <v>0</v>
      </c>
      <c r="J145" s="3" t="str">
        <f t="shared" si="12"/>
        <v>Traite</v>
      </c>
      <c r="K145" s="3" t="str">
        <f t="shared" si="13"/>
        <v/>
      </c>
      <c r="L145" s="3" t="str">
        <f t="shared" si="14"/>
        <v>Maintien</v>
      </c>
    </row>
    <row r="146" spans="1:12" x14ac:dyDescent="0.25">
      <c r="A146" s="2" t="s">
        <v>1089</v>
      </c>
      <c r="B146" s="2" t="s">
        <v>364</v>
      </c>
      <c r="C146" s="2" t="s">
        <v>675</v>
      </c>
      <c r="D146" s="2" t="s">
        <v>39</v>
      </c>
      <c r="E146" s="2" t="s">
        <v>176</v>
      </c>
      <c r="F146" s="2">
        <v>5</v>
      </c>
      <c r="G146" s="2">
        <v>3</v>
      </c>
      <c r="H146" s="2" t="str">
        <f t="shared" si="10"/>
        <v>🟢 OK</v>
      </c>
      <c r="I146" s="2">
        <f t="shared" si="11"/>
        <v>0</v>
      </c>
      <c r="J146" s="2" t="str">
        <f t="shared" si="12"/>
        <v>Traite</v>
      </c>
      <c r="K146" s="2" t="str">
        <f t="shared" si="13"/>
        <v/>
      </c>
      <c r="L146" s="2" t="str">
        <f t="shared" si="14"/>
        <v>Maintien</v>
      </c>
    </row>
    <row r="147" spans="1:12" x14ac:dyDescent="0.25">
      <c r="A147" s="3" t="s">
        <v>1090</v>
      </c>
      <c r="B147" s="3" t="s">
        <v>364</v>
      </c>
      <c r="C147" s="3" t="s">
        <v>675</v>
      </c>
      <c r="D147" s="3" t="s">
        <v>39</v>
      </c>
      <c r="E147" s="3" t="s">
        <v>181</v>
      </c>
      <c r="F147" s="3">
        <v>5</v>
      </c>
      <c r="G147" s="3">
        <v>2</v>
      </c>
      <c r="H147" s="3" t="str">
        <f t="shared" si="10"/>
        <v>🟢 OK</v>
      </c>
      <c r="I147" s="3">
        <f t="shared" si="11"/>
        <v>0</v>
      </c>
      <c r="J147" s="3" t="str">
        <f t="shared" si="12"/>
        <v>Traite</v>
      </c>
      <c r="K147" s="3" t="str">
        <f t="shared" si="13"/>
        <v/>
      </c>
      <c r="L147" s="3" t="str">
        <f t="shared" si="14"/>
        <v>Maintien</v>
      </c>
    </row>
    <row r="148" spans="1:12" x14ac:dyDescent="0.25">
      <c r="A148" s="2" t="s">
        <v>1091</v>
      </c>
      <c r="B148" s="2" t="s">
        <v>364</v>
      </c>
      <c r="C148" s="2" t="s">
        <v>675</v>
      </c>
      <c r="D148" s="2" t="s">
        <v>39</v>
      </c>
      <c r="E148" s="2" t="s">
        <v>228</v>
      </c>
      <c r="F148" s="2">
        <v>2</v>
      </c>
      <c r="G148" s="2">
        <v>2</v>
      </c>
      <c r="H148" s="2" t="str">
        <f t="shared" si="10"/>
        <v>🟢 OK</v>
      </c>
      <c r="I148" s="2">
        <f t="shared" si="11"/>
        <v>0</v>
      </c>
      <c r="J148" s="2" t="str">
        <f t="shared" si="12"/>
        <v>Traite</v>
      </c>
      <c r="K148" s="2" t="str">
        <f t="shared" si="13"/>
        <v/>
      </c>
      <c r="L148" s="2" t="str">
        <f t="shared" si="14"/>
        <v>Maintien</v>
      </c>
    </row>
    <row r="149" spans="1:12" x14ac:dyDescent="0.25">
      <c r="A149" s="3" t="s">
        <v>1092</v>
      </c>
      <c r="B149" s="3" t="s">
        <v>367</v>
      </c>
      <c r="C149" s="3" t="s">
        <v>681</v>
      </c>
      <c r="D149" s="3" t="s">
        <v>41</v>
      </c>
      <c r="E149" s="3" t="s">
        <v>186</v>
      </c>
      <c r="F149" s="3">
        <v>4</v>
      </c>
      <c r="G149" s="3">
        <v>5</v>
      </c>
      <c r="H149" s="3" t="str">
        <f t="shared" si="10"/>
        <v>🟡 Modere</v>
      </c>
      <c r="I149" s="3">
        <f t="shared" si="11"/>
        <v>20</v>
      </c>
      <c r="J149" s="3" t="str">
        <f t="shared" si="12"/>
        <v>A planifier</v>
      </c>
      <c r="K149" s="3" t="str">
        <f t="shared" si="13"/>
        <v>PF-0145</v>
      </c>
      <c r="L149" s="3" t="str">
        <f t="shared" si="14"/>
        <v>Coaching interne</v>
      </c>
    </row>
    <row r="150" spans="1:12" x14ac:dyDescent="0.25">
      <c r="A150" s="2" t="s">
        <v>1093</v>
      </c>
      <c r="B150" s="2" t="s">
        <v>367</v>
      </c>
      <c r="C150" s="2" t="s">
        <v>681</v>
      </c>
      <c r="D150" s="2" t="s">
        <v>41</v>
      </c>
      <c r="E150" s="2" t="s">
        <v>193</v>
      </c>
      <c r="F150" s="2">
        <v>2</v>
      </c>
      <c r="G150" s="2">
        <v>2</v>
      </c>
      <c r="H150" s="2" t="str">
        <f t="shared" si="10"/>
        <v>🟢 OK</v>
      </c>
      <c r="I150" s="2">
        <f t="shared" si="11"/>
        <v>0</v>
      </c>
      <c r="J150" s="2" t="str">
        <f t="shared" si="12"/>
        <v>Traite</v>
      </c>
      <c r="K150" s="2" t="str">
        <f t="shared" si="13"/>
        <v/>
      </c>
      <c r="L150" s="2" t="str">
        <f t="shared" si="14"/>
        <v>Maintien</v>
      </c>
    </row>
    <row r="151" spans="1:12" x14ac:dyDescent="0.25">
      <c r="A151" s="3" t="s">
        <v>1094</v>
      </c>
      <c r="B151" s="3" t="s">
        <v>367</v>
      </c>
      <c r="C151" s="3" t="s">
        <v>681</v>
      </c>
      <c r="D151" s="3" t="s">
        <v>41</v>
      </c>
      <c r="E151" s="3" t="s">
        <v>202</v>
      </c>
      <c r="F151" s="3">
        <v>5</v>
      </c>
      <c r="G151" s="3">
        <v>4</v>
      </c>
      <c r="H151" s="3" t="str">
        <f t="shared" si="10"/>
        <v>🟢 OK</v>
      </c>
      <c r="I151" s="3">
        <f t="shared" si="11"/>
        <v>0</v>
      </c>
      <c r="J151" s="3" t="str">
        <f t="shared" si="12"/>
        <v>Traite</v>
      </c>
      <c r="K151" s="3" t="str">
        <f t="shared" si="13"/>
        <v/>
      </c>
      <c r="L151" s="3" t="str">
        <f t="shared" si="14"/>
        <v>Maintien</v>
      </c>
    </row>
    <row r="152" spans="1:12" x14ac:dyDescent="0.25">
      <c r="A152" s="2" t="s">
        <v>1095</v>
      </c>
      <c r="B152" s="2" t="s">
        <v>367</v>
      </c>
      <c r="C152" s="2" t="s">
        <v>681</v>
      </c>
      <c r="D152" s="2" t="s">
        <v>41</v>
      </c>
      <c r="E152" s="2" t="s">
        <v>207</v>
      </c>
      <c r="F152" s="2">
        <v>2</v>
      </c>
      <c r="G152" s="2">
        <v>3</v>
      </c>
      <c r="H152" s="2" t="str">
        <f t="shared" si="10"/>
        <v>🟡 Modere</v>
      </c>
      <c r="I152" s="2">
        <f t="shared" si="11"/>
        <v>20</v>
      </c>
      <c r="J152" s="2" t="str">
        <f t="shared" si="12"/>
        <v>A planifier</v>
      </c>
      <c r="K152" s="2" t="str">
        <f t="shared" si="13"/>
        <v>PF-0148</v>
      </c>
      <c r="L152" s="2" t="str">
        <f t="shared" si="14"/>
        <v>Coaching interne</v>
      </c>
    </row>
    <row r="153" spans="1:12" x14ac:dyDescent="0.25">
      <c r="A153" s="3" t="s">
        <v>1096</v>
      </c>
      <c r="B153" s="3" t="s">
        <v>367</v>
      </c>
      <c r="C153" s="3" t="s">
        <v>681</v>
      </c>
      <c r="D153" s="3" t="s">
        <v>41</v>
      </c>
      <c r="E153" s="3" t="s">
        <v>218</v>
      </c>
      <c r="F153" s="3">
        <v>2</v>
      </c>
      <c r="G153" s="3">
        <v>3</v>
      </c>
      <c r="H153" s="3" t="str">
        <f t="shared" si="10"/>
        <v>🟡 Modere</v>
      </c>
      <c r="I153" s="3">
        <f t="shared" si="11"/>
        <v>20</v>
      </c>
      <c r="J153" s="3" t="str">
        <f t="shared" si="12"/>
        <v>A planifier</v>
      </c>
      <c r="K153" s="3" t="str">
        <f t="shared" si="13"/>
        <v>PF-0149</v>
      </c>
      <c r="L153" s="3" t="str">
        <f t="shared" si="14"/>
        <v>Coaching interne</v>
      </c>
    </row>
    <row r="154" spans="1:12" x14ac:dyDescent="0.25">
      <c r="A154" s="2" t="s">
        <v>1097</v>
      </c>
      <c r="B154" s="2" t="s">
        <v>370</v>
      </c>
      <c r="C154" s="2" t="s">
        <v>689</v>
      </c>
      <c r="D154" s="2" t="s">
        <v>43</v>
      </c>
      <c r="E154" s="2" t="s">
        <v>186</v>
      </c>
      <c r="F154" s="2">
        <v>3</v>
      </c>
      <c r="G154" s="2">
        <v>3</v>
      </c>
      <c r="H154" s="2" t="str">
        <f t="shared" si="10"/>
        <v>🟢 OK</v>
      </c>
      <c r="I154" s="2">
        <f t="shared" si="11"/>
        <v>0</v>
      </c>
      <c r="J154" s="2" t="str">
        <f t="shared" si="12"/>
        <v>Traite</v>
      </c>
      <c r="K154" s="2" t="str">
        <f t="shared" si="13"/>
        <v/>
      </c>
      <c r="L154" s="2" t="str">
        <f t="shared" si="14"/>
        <v>Maintien</v>
      </c>
    </row>
    <row r="155" spans="1:12" x14ac:dyDescent="0.25">
      <c r="A155" s="3" t="s">
        <v>1098</v>
      </c>
      <c r="B155" s="3" t="s">
        <v>370</v>
      </c>
      <c r="C155" s="3" t="s">
        <v>689</v>
      </c>
      <c r="D155" s="3" t="s">
        <v>43</v>
      </c>
      <c r="E155" s="3" t="s">
        <v>193</v>
      </c>
      <c r="F155" s="3">
        <v>3</v>
      </c>
      <c r="G155" s="3">
        <v>5</v>
      </c>
      <c r="H155" s="3" t="str">
        <f t="shared" si="10"/>
        <v>🔴 Critique</v>
      </c>
      <c r="I155" s="3">
        <f t="shared" si="11"/>
        <v>65</v>
      </c>
      <c r="J155" s="3" t="str">
        <f t="shared" si="12"/>
        <v>Non traite</v>
      </c>
      <c r="K155" s="3" t="str">
        <f t="shared" si="13"/>
        <v>PF-0151</v>
      </c>
      <c r="L155" s="3" t="str">
        <f t="shared" si="14"/>
        <v>Formation urgente</v>
      </c>
    </row>
    <row r="156" spans="1:12" x14ac:dyDescent="0.25">
      <c r="A156" s="2" t="s">
        <v>1099</v>
      </c>
      <c r="B156" s="2" t="s">
        <v>370</v>
      </c>
      <c r="C156" s="2" t="s">
        <v>689</v>
      </c>
      <c r="D156" s="2" t="s">
        <v>43</v>
      </c>
      <c r="E156" s="2" t="s">
        <v>198</v>
      </c>
      <c r="F156" s="2">
        <v>3</v>
      </c>
      <c r="G156" s="2">
        <v>4</v>
      </c>
      <c r="H156" s="2" t="str">
        <f t="shared" si="10"/>
        <v>🟡 Modere</v>
      </c>
      <c r="I156" s="2">
        <f t="shared" si="11"/>
        <v>20</v>
      </c>
      <c r="J156" s="2" t="str">
        <f t="shared" si="12"/>
        <v>A planifier</v>
      </c>
      <c r="K156" s="2" t="str">
        <f t="shared" si="13"/>
        <v>PF-0152</v>
      </c>
      <c r="L156" s="2" t="str">
        <f t="shared" si="14"/>
        <v>Coaching interne</v>
      </c>
    </row>
    <row r="157" spans="1:12" x14ac:dyDescent="0.25">
      <c r="A157" s="3" t="s">
        <v>1100</v>
      </c>
      <c r="B157" s="3" t="s">
        <v>370</v>
      </c>
      <c r="C157" s="3" t="s">
        <v>689</v>
      </c>
      <c r="D157" s="3" t="s">
        <v>43</v>
      </c>
      <c r="E157" s="3" t="s">
        <v>202</v>
      </c>
      <c r="F157" s="3">
        <v>1</v>
      </c>
      <c r="G157" s="3">
        <v>3</v>
      </c>
      <c r="H157" s="3" t="str">
        <f t="shared" si="10"/>
        <v>🔴 Critique</v>
      </c>
      <c r="I157" s="3">
        <f t="shared" si="11"/>
        <v>65</v>
      </c>
      <c r="J157" s="3" t="str">
        <f t="shared" si="12"/>
        <v>Non traite</v>
      </c>
      <c r="K157" s="3" t="str">
        <f t="shared" si="13"/>
        <v>PF-0153</v>
      </c>
      <c r="L157" s="3" t="str">
        <f t="shared" si="14"/>
        <v>Formation urgente</v>
      </c>
    </row>
    <row r="158" spans="1:12" x14ac:dyDescent="0.25">
      <c r="A158" s="2" t="s">
        <v>1101</v>
      </c>
      <c r="B158" s="2" t="s">
        <v>370</v>
      </c>
      <c r="C158" s="2" t="s">
        <v>689</v>
      </c>
      <c r="D158" s="2" t="s">
        <v>43</v>
      </c>
      <c r="E158" s="2" t="s">
        <v>218</v>
      </c>
      <c r="F158" s="2">
        <v>1</v>
      </c>
      <c r="G158" s="2">
        <v>3</v>
      </c>
      <c r="H158" s="2" t="str">
        <f t="shared" si="10"/>
        <v>🔴 Critique</v>
      </c>
      <c r="I158" s="2">
        <f t="shared" si="11"/>
        <v>65</v>
      </c>
      <c r="J158" s="2" t="str">
        <f t="shared" si="12"/>
        <v>Non traite</v>
      </c>
      <c r="K158" s="2" t="str">
        <f t="shared" si="13"/>
        <v>PF-0154</v>
      </c>
      <c r="L158" s="2" t="str">
        <f t="shared" si="14"/>
        <v>Formation urgente</v>
      </c>
    </row>
    <row r="159" spans="1:12" x14ac:dyDescent="0.25">
      <c r="A159" s="3" t="s">
        <v>1102</v>
      </c>
      <c r="B159" s="3" t="s">
        <v>373</v>
      </c>
      <c r="C159" s="3" t="s">
        <v>698</v>
      </c>
      <c r="D159" s="3" t="s">
        <v>35</v>
      </c>
      <c r="E159" s="3" t="s">
        <v>207</v>
      </c>
      <c r="F159" s="3">
        <v>4</v>
      </c>
      <c r="G159" s="3">
        <v>3</v>
      </c>
      <c r="H159" s="3" t="str">
        <f t="shared" si="10"/>
        <v>🟢 OK</v>
      </c>
      <c r="I159" s="3">
        <f t="shared" si="11"/>
        <v>0</v>
      </c>
      <c r="J159" s="3" t="str">
        <f t="shared" si="12"/>
        <v>Traite</v>
      </c>
      <c r="K159" s="3" t="str">
        <f t="shared" si="13"/>
        <v/>
      </c>
      <c r="L159" s="3" t="str">
        <f t="shared" si="14"/>
        <v>Maintien</v>
      </c>
    </row>
    <row r="160" spans="1:12" x14ac:dyDescent="0.25">
      <c r="A160" s="2" t="s">
        <v>1103</v>
      </c>
      <c r="B160" s="2" t="s">
        <v>373</v>
      </c>
      <c r="C160" s="2" t="s">
        <v>698</v>
      </c>
      <c r="D160" s="2" t="s">
        <v>35</v>
      </c>
      <c r="E160" s="2" t="s">
        <v>212</v>
      </c>
      <c r="F160" s="2">
        <v>5</v>
      </c>
      <c r="G160" s="2">
        <v>5</v>
      </c>
      <c r="H160" s="2" t="str">
        <f t="shared" si="10"/>
        <v>🟢 OK</v>
      </c>
      <c r="I160" s="2">
        <f t="shared" si="11"/>
        <v>0</v>
      </c>
      <c r="J160" s="2" t="str">
        <f t="shared" si="12"/>
        <v>Traite</v>
      </c>
      <c r="K160" s="2" t="str">
        <f t="shared" si="13"/>
        <v/>
      </c>
      <c r="L160" s="2" t="str">
        <f t="shared" si="14"/>
        <v>Maintien</v>
      </c>
    </row>
    <row r="161" spans="1:12" x14ac:dyDescent="0.25">
      <c r="A161" s="3" t="s">
        <v>1104</v>
      </c>
      <c r="B161" s="3" t="s">
        <v>373</v>
      </c>
      <c r="C161" s="3" t="s">
        <v>698</v>
      </c>
      <c r="D161" s="3" t="s">
        <v>35</v>
      </c>
      <c r="E161" s="3" t="s">
        <v>218</v>
      </c>
      <c r="F161" s="3">
        <v>5</v>
      </c>
      <c r="G161" s="3">
        <v>4</v>
      </c>
      <c r="H161" s="3" t="str">
        <f t="shared" si="10"/>
        <v>🟢 OK</v>
      </c>
      <c r="I161" s="3">
        <f t="shared" si="11"/>
        <v>0</v>
      </c>
      <c r="J161" s="3" t="str">
        <f t="shared" si="12"/>
        <v>Traite</v>
      </c>
      <c r="K161" s="3" t="str">
        <f t="shared" si="13"/>
        <v/>
      </c>
      <c r="L161" s="3" t="str">
        <f t="shared" si="14"/>
        <v>Maintien</v>
      </c>
    </row>
    <row r="162" spans="1:12" x14ac:dyDescent="0.25">
      <c r="A162" s="2" t="s">
        <v>1105</v>
      </c>
      <c r="B162" s="2" t="s">
        <v>373</v>
      </c>
      <c r="C162" s="2" t="s">
        <v>698</v>
      </c>
      <c r="D162" s="2" t="s">
        <v>35</v>
      </c>
      <c r="E162" s="2" t="s">
        <v>223</v>
      </c>
      <c r="F162" s="2">
        <v>3</v>
      </c>
      <c r="G162" s="2">
        <v>3</v>
      </c>
      <c r="H162" s="2" t="str">
        <f t="shared" si="10"/>
        <v>🟢 OK</v>
      </c>
      <c r="I162" s="2">
        <f t="shared" si="11"/>
        <v>0</v>
      </c>
      <c r="J162" s="2" t="str">
        <f t="shared" si="12"/>
        <v>Traite</v>
      </c>
      <c r="K162" s="2" t="str">
        <f t="shared" si="13"/>
        <v/>
      </c>
      <c r="L162" s="2" t="str">
        <f t="shared" si="14"/>
        <v>Maintien</v>
      </c>
    </row>
    <row r="163" spans="1:12" x14ac:dyDescent="0.25">
      <c r="A163" s="3" t="s">
        <v>1106</v>
      </c>
      <c r="B163" s="3" t="s">
        <v>373</v>
      </c>
      <c r="C163" s="3" t="s">
        <v>698</v>
      </c>
      <c r="D163" s="3" t="s">
        <v>35</v>
      </c>
      <c r="E163" s="3" t="s">
        <v>228</v>
      </c>
      <c r="F163" s="3">
        <v>5</v>
      </c>
      <c r="G163" s="3">
        <v>3</v>
      </c>
      <c r="H163" s="3" t="str">
        <f t="shared" si="10"/>
        <v>🟢 OK</v>
      </c>
      <c r="I163" s="3">
        <f t="shared" si="11"/>
        <v>0</v>
      </c>
      <c r="J163" s="3" t="str">
        <f t="shared" si="12"/>
        <v>Traite</v>
      </c>
      <c r="K163" s="3" t="str">
        <f t="shared" si="13"/>
        <v/>
      </c>
      <c r="L163" s="3" t="str">
        <f t="shared" si="14"/>
        <v>Maintien</v>
      </c>
    </row>
    <row r="164" spans="1:12" x14ac:dyDescent="0.25">
      <c r="A164" s="2" t="s">
        <v>1107</v>
      </c>
      <c r="B164" s="2" t="s">
        <v>373</v>
      </c>
      <c r="C164" s="2" t="s">
        <v>698</v>
      </c>
      <c r="D164" s="2" t="s">
        <v>35</v>
      </c>
      <c r="E164" s="2" t="s">
        <v>233</v>
      </c>
      <c r="F164" s="2">
        <v>5</v>
      </c>
      <c r="G164" s="2">
        <v>4</v>
      </c>
      <c r="H164" s="2" t="str">
        <f t="shared" si="10"/>
        <v>🟢 OK</v>
      </c>
      <c r="I164" s="2">
        <f t="shared" si="11"/>
        <v>0</v>
      </c>
      <c r="J164" s="2" t="str">
        <f t="shared" si="12"/>
        <v>Traite</v>
      </c>
      <c r="K164" s="2" t="str">
        <f t="shared" si="13"/>
        <v/>
      </c>
      <c r="L164" s="2" t="str">
        <f t="shared" si="14"/>
        <v>Maintien</v>
      </c>
    </row>
    <row r="165" spans="1:12" x14ac:dyDescent="0.25">
      <c r="A165" s="3" t="s">
        <v>1108</v>
      </c>
      <c r="B165" s="3" t="s">
        <v>375</v>
      </c>
      <c r="C165" s="3" t="s">
        <v>709</v>
      </c>
      <c r="D165" s="3" t="s">
        <v>37</v>
      </c>
      <c r="E165" s="3" t="s">
        <v>207</v>
      </c>
      <c r="F165" s="3">
        <v>4</v>
      </c>
      <c r="G165" s="3">
        <v>3</v>
      </c>
      <c r="H165" s="3" t="str">
        <f t="shared" si="10"/>
        <v>🟢 OK</v>
      </c>
      <c r="I165" s="3">
        <f t="shared" si="11"/>
        <v>0</v>
      </c>
      <c r="J165" s="3" t="str">
        <f t="shared" si="12"/>
        <v>Traite</v>
      </c>
      <c r="K165" s="3" t="str">
        <f t="shared" si="13"/>
        <v/>
      </c>
      <c r="L165" s="3" t="str">
        <f t="shared" si="14"/>
        <v>Maintien</v>
      </c>
    </row>
    <row r="166" spans="1:12" x14ac:dyDescent="0.25">
      <c r="A166" s="2" t="s">
        <v>1109</v>
      </c>
      <c r="B166" s="2" t="s">
        <v>375</v>
      </c>
      <c r="C166" s="2" t="s">
        <v>709</v>
      </c>
      <c r="D166" s="2" t="s">
        <v>37</v>
      </c>
      <c r="E166" s="2" t="s">
        <v>212</v>
      </c>
      <c r="F166" s="2">
        <v>4</v>
      </c>
      <c r="G166" s="2">
        <v>5</v>
      </c>
      <c r="H166" s="2" t="str">
        <f t="shared" si="10"/>
        <v>🟡 Modere</v>
      </c>
      <c r="I166" s="2">
        <f t="shared" si="11"/>
        <v>20</v>
      </c>
      <c r="J166" s="2" t="str">
        <f t="shared" si="12"/>
        <v>A planifier</v>
      </c>
      <c r="K166" s="2" t="str">
        <f t="shared" si="13"/>
        <v>PF-0162</v>
      </c>
      <c r="L166" s="2" t="str">
        <f t="shared" si="14"/>
        <v>Coaching interne</v>
      </c>
    </row>
    <row r="167" spans="1:12" x14ac:dyDescent="0.25">
      <c r="A167" s="3" t="s">
        <v>1110</v>
      </c>
      <c r="B167" s="3" t="s">
        <v>375</v>
      </c>
      <c r="C167" s="3" t="s">
        <v>709</v>
      </c>
      <c r="D167" s="3" t="s">
        <v>37</v>
      </c>
      <c r="E167" s="3" t="s">
        <v>218</v>
      </c>
      <c r="F167" s="3">
        <v>3</v>
      </c>
      <c r="G167" s="3">
        <v>4</v>
      </c>
      <c r="H167" s="3" t="str">
        <f t="shared" si="10"/>
        <v>🟡 Modere</v>
      </c>
      <c r="I167" s="3">
        <f t="shared" si="11"/>
        <v>20</v>
      </c>
      <c r="J167" s="3" t="str">
        <f t="shared" si="12"/>
        <v>A planifier</v>
      </c>
      <c r="K167" s="3" t="str">
        <f t="shared" si="13"/>
        <v>PF-0163</v>
      </c>
      <c r="L167" s="3" t="str">
        <f t="shared" si="14"/>
        <v>Coaching interne</v>
      </c>
    </row>
    <row r="168" spans="1:12" x14ac:dyDescent="0.25">
      <c r="A168" s="2" t="s">
        <v>1111</v>
      </c>
      <c r="B168" s="2" t="s">
        <v>375</v>
      </c>
      <c r="C168" s="2" t="s">
        <v>709</v>
      </c>
      <c r="D168" s="2" t="s">
        <v>37</v>
      </c>
      <c r="E168" s="2" t="s">
        <v>223</v>
      </c>
      <c r="F168" s="2">
        <v>4</v>
      </c>
      <c r="G168" s="2">
        <v>3</v>
      </c>
      <c r="H168" s="2" t="str">
        <f t="shared" si="10"/>
        <v>🟢 OK</v>
      </c>
      <c r="I168" s="2">
        <f t="shared" si="11"/>
        <v>0</v>
      </c>
      <c r="J168" s="2" t="str">
        <f t="shared" si="12"/>
        <v>Traite</v>
      </c>
      <c r="K168" s="2" t="str">
        <f t="shared" si="13"/>
        <v/>
      </c>
      <c r="L168" s="2" t="str">
        <f t="shared" si="14"/>
        <v>Maintien</v>
      </c>
    </row>
    <row r="169" spans="1:12" x14ac:dyDescent="0.25">
      <c r="A169" s="3" t="s">
        <v>1112</v>
      </c>
      <c r="B169" s="3" t="s">
        <v>375</v>
      </c>
      <c r="C169" s="3" t="s">
        <v>709</v>
      </c>
      <c r="D169" s="3" t="s">
        <v>37</v>
      </c>
      <c r="E169" s="3" t="s">
        <v>233</v>
      </c>
      <c r="F169" s="3">
        <v>3</v>
      </c>
      <c r="G169" s="3">
        <v>3</v>
      </c>
      <c r="H169" s="3" t="str">
        <f t="shared" si="10"/>
        <v>🟢 OK</v>
      </c>
      <c r="I169" s="3">
        <f t="shared" si="11"/>
        <v>0</v>
      </c>
      <c r="J169" s="3" t="str">
        <f t="shared" si="12"/>
        <v>Traite</v>
      </c>
      <c r="K169" s="3" t="str">
        <f t="shared" si="13"/>
        <v/>
      </c>
      <c r="L169" s="3" t="str">
        <f t="shared" si="14"/>
        <v>Maintien</v>
      </c>
    </row>
    <row r="170" spans="1:12" x14ac:dyDescent="0.25">
      <c r="A170" s="2" t="s">
        <v>1113</v>
      </c>
      <c r="B170" s="2" t="s">
        <v>377</v>
      </c>
      <c r="C170" s="2" t="s">
        <v>718</v>
      </c>
      <c r="D170" s="2" t="s">
        <v>39</v>
      </c>
      <c r="E170" s="2" t="s">
        <v>202</v>
      </c>
      <c r="F170" s="2">
        <v>3</v>
      </c>
      <c r="G170" s="2">
        <v>2</v>
      </c>
      <c r="H170" s="2" t="str">
        <f t="shared" si="10"/>
        <v>🟢 OK</v>
      </c>
      <c r="I170" s="2">
        <f t="shared" si="11"/>
        <v>0</v>
      </c>
      <c r="J170" s="2" t="str">
        <f t="shared" si="12"/>
        <v>Traite</v>
      </c>
      <c r="K170" s="2" t="str">
        <f t="shared" si="13"/>
        <v/>
      </c>
      <c r="L170" s="2" t="str">
        <f t="shared" si="14"/>
        <v>Maintien</v>
      </c>
    </row>
    <row r="171" spans="1:12" x14ac:dyDescent="0.25">
      <c r="A171" s="3" t="s">
        <v>1114</v>
      </c>
      <c r="B171" s="3" t="s">
        <v>377</v>
      </c>
      <c r="C171" s="3" t="s">
        <v>718</v>
      </c>
      <c r="D171" s="3" t="s">
        <v>39</v>
      </c>
      <c r="E171" s="3" t="s">
        <v>207</v>
      </c>
      <c r="F171" s="3">
        <v>3</v>
      </c>
      <c r="G171" s="3">
        <v>3</v>
      </c>
      <c r="H171" s="3" t="str">
        <f t="shared" si="10"/>
        <v>🟢 OK</v>
      </c>
      <c r="I171" s="3">
        <f t="shared" si="11"/>
        <v>0</v>
      </c>
      <c r="J171" s="3" t="str">
        <f t="shared" si="12"/>
        <v>Traite</v>
      </c>
      <c r="K171" s="3" t="str">
        <f t="shared" si="13"/>
        <v/>
      </c>
      <c r="L171" s="3" t="str">
        <f t="shared" si="14"/>
        <v>Maintien</v>
      </c>
    </row>
    <row r="172" spans="1:12" x14ac:dyDescent="0.25">
      <c r="A172" s="2" t="s">
        <v>1115</v>
      </c>
      <c r="B172" s="2" t="s">
        <v>377</v>
      </c>
      <c r="C172" s="2" t="s">
        <v>718</v>
      </c>
      <c r="D172" s="2" t="s">
        <v>39</v>
      </c>
      <c r="E172" s="2" t="s">
        <v>212</v>
      </c>
      <c r="F172" s="2">
        <v>4</v>
      </c>
      <c r="G172" s="2">
        <v>3</v>
      </c>
      <c r="H172" s="2" t="str">
        <f t="shared" si="10"/>
        <v>🟢 OK</v>
      </c>
      <c r="I172" s="2">
        <f t="shared" si="11"/>
        <v>0</v>
      </c>
      <c r="J172" s="2" t="str">
        <f t="shared" si="12"/>
        <v>Traite</v>
      </c>
      <c r="K172" s="2" t="str">
        <f t="shared" si="13"/>
        <v/>
      </c>
      <c r="L172" s="2" t="str">
        <f t="shared" si="14"/>
        <v>Maintien</v>
      </c>
    </row>
    <row r="173" spans="1:12" x14ac:dyDescent="0.25">
      <c r="A173" s="3" t="s">
        <v>1116</v>
      </c>
      <c r="B173" s="3" t="s">
        <v>377</v>
      </c>
      <c r="C173" s="3" t="s">
        <v>718</v>
      </c>
      <c r="D173" s="3" t="s">
        <v>39</v>
      </c>
      <c r="E173" s="3" t="s">
        <v>218</v>
      </c>
      <c r="F173" s="3">
        <v>5</v>
      </c>
      <c r="G173" s="3">
        <v>4</v>
      </c>
      <c r="H173" s="3" t="str">
        <f t="shared" si="10"/>
        <v>🟢 OK</v>
      </c>
      <c r="I173" s="3">
        <f t="shared" si="11"/>
        <v>0</v>
      </c>
      <c r="J173" s="3" t="str">
        <f t="shared" si="12"/>
        <v>Traite</v>
      </c>
      <c r="K173" s="3" t="str">
        <f t="shared" si="13"/>
        <v/>
      </c>
      <c r="L173" s="3" t="str">
        <f t="shared" si="14"/>
        <v>Maintien</v>
      </c>
    </row>
    <row r="174" spans="1:12" x14ac:dyDescent="0.25">
      <c r="A174" s="2" t="s">
        <v>1117</v>
      </c>
      <c r="B174" s="2" t="s">
        <v>377</v>
      </c>
      <c r="C174" s="2" t="s">
        <v>718</v>
      </c>
      <c r="D174" s="2" t="s">
        <v>39</v>
      </c>
      <c r="E174" s="2" t="s">
        <v>223</v>
      </c>
      <c r="F174" s="2">
        <v>5</v>
      </c>
      <c r="G174" s="2">
        <v>4</v>
      </c>
      <c r="H174" s="2" t="str">
        <f t="shared" si="10"/>
        <v>🟢 OK</v>
      </c>
      <c r="I174" s="2">
        <f t="shared" si="11"/>
        <v>0</v>
      </c>
      <c r="J174" s="2" t="str">
        <f t="shared" si="12"/>
        <v>Traite</v>
      </c>
      <c r="K174" s="2" t="str">
        <f t="shared" si="13"/>
        <v/>
      </c>
      <c r="L174" s="2" t="str">
        <f t="shared" si="14"/>
        <v>Maintien</v>
      </c>
    </row>
    <row r="175" spans="1:12" x14ac:dyDescent="0.25">
      <c r="A175" s="3" t="s">
        <v>1118</v>
      </c>
      <c r="B175" s="3" t="s">
        <v>377</v>
      </c>
      <c r="C175" s="3" t="s">
        <v>718</v>
      </c>
      <c r="D175" s="3" t="s">
        <v>39</v>
      </c>
      <c r="E175" s="3" t="s">
        <v>233</v>
      </c>
      <c r="F175" s="3">
        <v>3</v>
      </c>
      <c r="G175" s="3">
        <v>3</v>
      </c>
      <c r="H175" s="3" t="str">
        <f t="shared" si="10"/>
        <v>🟢 OK</v>
      </c>
      <c r="I175" s="3">
        <f t="shared" si="11"/>
        <v>0</v>
      </c>
      <c r="J175" s="3" t="str">
        <f t="shared" si="12"/>
        <v>Traite</v>
      </c>
      <c r="K175" s="3" t="str">
        <f t="shared" si="13"/>
        <v/>
      </c>
      <c r="L175" s="3" t="str">
        <f t="shared" si="14"/>
        <v>Maintien</v>
      </c>
    </row>
    <row r="176" spans="1:12" x14ac:dyDescent="0.25">
      <c r="A176" s="2" t="s">
        <v>1119</v>
      </c>
      <c r="B176" s="2" t="s">
        <v>379</v>
      </c>
      <c r="C176" s="2" t="s">
        <v>726</v>
      </c>
      <c r="D176" s="2" t="s">
        <v>41</v>
      </c>
      <c r="E176" s="2" t="s">
        <v>202</v>
      </c>
      <c r="F176" s="2">
        <v>3</v>
      </c>
      <c r="G176" s="2">
        <v>4</v>
      </c>
      <c r="H176" s="2" t="str">
        <f t="shared" si="10"/>
        <v>🟡 Modere</v>
      </c>
      <c r="I176" s="2">
        <f t="shared" si="11"/>
        <v>20</v>
      </c>
      <c r="J176" s="2" t="str">
        <f t="shared" si="12"/>
        <v>A planifier</v>
      </c>
      <c r="K176" s="2" t="str">
        <f t="shared" si="13"/>
        <v>PF-0172</v>
      </c>
      <c r="L176" s="2" t="str">
        <f t="shared" si="14"/>
        <v>Coaching interne</v>
      </c>
    </row>
    <row r="177" spans="1:12" x14ac:dyDescent="0.25">
      <c r="A177" s="3" t="s">
        <v>1120</v>
      </c>
      <c r="B177" s="3" t="s">
        <v>379</v>
      </c>
      <c r="C177" s="3" t="s">
        <v>726</v>
      </c>
      <c r="D177" s="3" t="s">
        <v>41</v>
      </c>
      <c r="E177" s="3" t="s">
        <v>223</v>
      </c>
      <c r="F177" s="3">
        <v>1</v>
      </c>
      <c r="G177" s="3">
        <v>2</v>
      </c>
      <c r="H177" s="3" t="str">
        <f t="shared" si="10"/>
        <v>🟡 Modere</v>
      </c>
      <c r="I177" s="3">
        <f t="shared" si="11"/>
        <v>20</v>
      </c>
      <c r="J177" s="3" t="str">
        <f t="shared" si="12"/>
        <v>A planifier</v>
      </c>
      <c r="K177" s="3" t="str">
        <f t="shared" si="13"/>
        <v>PF-0173</v>
      </c>
      <c r="L177" s="3" t="str">
        <f t="shared" si="14"/>
        <v>Coaching interne</v>
      </c>
    </row>
    <row r="178" spans="1:12" x14ac:dyDescent="0.25">
      <c r="A178" s="2" t="s">
        <v>1121</v>
      </c>
      <c r="B178" s="2" t="s">
        <v>379</v>
      </c>
      <c r="C178" s="2" t="s">
        <v>726</v>
      </c>
      <c r="D178" s="2" t="s">
        <v>41</v>
      </c>
      <c r="E178" s="2" t="s">
        <v>228</v>
      </c>
      <c r="F178" s="2">
        <v>4</v>
      </c>
      <c r="G178" s="2">
        <v>5</v>
      </c>
      <c r="H178" s="2" t="str">
        <f t="shared" si="10"/>
        <v>🟡 Modere</v>
      </c>
      <c r="I178" s="2">
        <f t="shared" si="11"/>
        <v>20</v>
      </c>
      <c r="J178" s="2" t="str">
        <f t="shared" si="12"/>
        <v>A planifier</v>
      </c>
      <c r="K178" s="2" t="str">
        <f t="shared" si="13"/>
        <v>PF-0174</v>
      </c>
      <c r="L178" s="2" t="str">
        <f t="shared" si="14"/>
        <v>Coaching interne</v>
      </c>
    </row>
    <row r="179" spans="1:12" x14ac:dyDescent="0.25">
      <c r="A179" s="3" t="s">
        <v>1122</v>
      </c>
      <c r="B179" s="3" t="s">
        <v>379</v>
      </c>
      <c r="C179" s="3" t="s">
        <v>726</v>
      </c>
      <c r="D179" s="3" t="s">
        <v>41</v>
      </c>
      <c r="E179" s="3" t="s">
        <v>233</v>
      </c>
      <c r="F179" s="3">
        <v>4</v>
      </c>
      <c r="G179" s="3">
        <v>3</v>
      </c>
      <c r="H179" s="3" t="str">
        <f t="shared" si="10"/>
        <v>🟢 OK</v>
      </c>
      <c r="I179" s="3">
        <f t="shared" si="11"/>
        <v>0</v>
      </c>
      <c r="J179" s="3" t="str">
        <f t="shared" si="12"/>
        <v>Traite</v>
      </c>
      <c r="K179" s="3" t="str">
        <f t="shared" si="13"/>
        <v/>
      </c>
      <c r="L179" s="3" t="str">
        <f t="shared" si="14"/>
        <v>Maintien</v>
      </c>
    </row>
    <row r="180" spans="1:12" x14ac:dyDescent="0.25">
      <c r="A180" s="2" t="s">
        <v>1123</v>
      </c>
      <c r="B180" s="2" t="s">
        <v>381</v>
      </c>
      <c r="C180" s="2" t="s">
        <v>736</v>
      </c>
      <c r="D180" s="2" t="s">
        <v>43</v>
      </c>
      <c r="E180" s="2" t="s">
        <v>146</v>
      </c>
      <c r="F180" s="2">
        <v>4</v>
      </c>
      <c r="G180" s="2">
        <v>2</v>
      </c>
      <c r="H180" s="2" t="str">
        <f t="shared" si="10"/>
        <v>🟢 OK</v>
      </c>
      <c r="I180" s="2">
        <f t="shared" si="11"/>
        <v>0</v>
      </c>
      <c r="J180" s="2" t="str">
        <f t="shared" si="12"/>
        <v>Traite</v>
      </c>
      <c r="K180" s="2" t="str">
        <f t="shared" si="13"/>
        <v/>
      </c>
      <c r="L180" s="2" t="str">
        <f t="shared" si="14"/>
        <v>Maintien</v>
      </c>
    </row>
    <row r="181" spans="1:12" x14ac:dyDescent="0.25">
      <c r="A181" s="3" t="s">
        <v>1124</v>
      </c>
      <c r="B181" s="3" t="s">
        <v>381</v>
      </c>
      <c r="C181" s="3" t="s">
        <v>736</v>
      </c>
      <c r="D181" s="3" t="s">
        <v>43</v>
      </c>
      <c r="E181" s="3" t="s">
        <v>160</v>
      </c>
      <c r="F181" s="3">
        <v>5</v>
      </c>
      <c r="G181" s="3">
        <v>4</v>
      </c>
      <c r="H181" s="3" t="str">
        <f t="shared" si="10"/>
        <v>🟢 OK</v>
      </c>
      <c r="I181" s="3">
        <f t="shared" si="11"/>
        <v>0</v>
      </c>
      <c r="J181" s="3" t="str">
        <f t="shared" si="12"/>
        <v>Traite</v>
      </c>
      <c r="K181" s="3" t="str">
        <f t="shared" si="13"/>
        <v/>
      </c>
      <c r="L181" s="3" t="str">
        <f t="shared" si="14"/>
        <v>Maintien</v>
      </c>
    </row>
    <row r="182" spans="1:12" x14ac:dyDescent="0.25">
      <c r="A182" s="2" t="s">
        <v>1125</v>
      </c>
      <c r="B182" s="2" t="s">
        <v>381</v>
      </c>
      <c r="C182" s="2" t="s">
        <v>736</v>
      </c>
      <c r="D182" s="2" t="s">
        <v>43</v>
      </c>
      <c r="E182" s="2" t="s">
        <v>186</v>
      </c>
      <c r="F182" s="2">
        <v>4</v>
      </c>
      <c r="G182" s="2">
        <v>3</v>
      </c>
      <c r="H182" s="2" t="str">
        <f t="shared" si="10"/>
        <v>🟢 OK</v>
      </c>
      <c r="I182" s="2">
        <f t="shared" si="11"/>
        <v>0</v>
      </c>
      <c r="J182" s="2" t="str">
        <f t="shared" si="12"/>
        <v>Traite</v>
      </c>
      <c r="K182" s="2" t="str">
        <f t="shared" si="13"/>
        <v/>
      </c>
      <c r="L182" s="2" t="str">
        <f t="shared" si="14"/>
        <v>Maintien</v>
      </c>
    </row>
    <row r="183" spans="1:12" x14ac:dyDescent="0.25">
      <c r="A183" s="3" t="s">
        <v>1126</v>
      </c>
      <c r="B183" s="3" t="s">
        <v>381</v>
      </c>
      <c r="C183" s="3" t="s">
        <v>736</v>
      </c>
      <c r="D183" s="3" t="s">
        <v>43</v>
      </c>
      <c r="E183" s="3" t="s">
        <v>202</v>
      </c>
      <c r="F183" s="3">
        <v>4</v>
      </c>
      <c r="G183" s="3">
        <v>3</v>
      </c>
      <c r="H183" s="3" t="str">
        <f t="shared" si="10"/>
        <v>🟢 OK</v>
      </c>
      <c r="I183" s="3">
        <f t="shared" si="11"/>
        <v>0</v>
      </c>
      <c r="J183" s="3" t="str">
        <f t="shared" si="12"/>
        <v>Traite</v>
      </c>
      <c r="K183" s="3" t="str">
        <f t="shared" si="13"/>
        <v/>
      </c>
      <c r="L183" s="3" t="str">
        <f t="shared" si="14"/>
        <v>Maintien</v>
      </c>
    </row>
    <row r="184" spans="1:12" x14ac:dyDescent="0.25">
      <c r="A184" s="2" t="s">
        <v>1127</v>
      </c>
      <c r="B184" s="2" t="s">
        <v>381</v>
      </c>
      <c r="C184" s="2" t="s">
        <v>736</v>
      </c>
      <c r="D184" s="2" t="s">
        <v>43</v>
      </c>
      <c r="E184" s="2" t="s">
        <v>218</v>
      </c>
      <c r="F184" s="2">
        <v>5</v>
      </c>
      <c r="G184" s="2">
        <v>3</v>
      </c>
      <c r="H184" s="2" t="str">
        <f t="shared" si="10"/>
        <v>🟢 OK</v>
      </c>
      <c r="I184" s="2">
        <f t="shared" si="11"/>
        <v>0</v>
      </c>
      <c r="J184" s="2" t="str">
        <f t="shared" si="12"/>
        <v>Traite</v>
      </c>
      <c r="K184" s="2" t="str">
        <f t="shared" si="13"/>
        <v/>
      </c>
      <c r="L184" s="2" t="str">
        <f t="shared" si="14"/>
        <v>Maintien</v>
      </c>
    </row>
    <row r="185" spans="1:12" x14ac:dyDescent="0.25">
      <c r="A185" s="3" t="s">
        <v>1128</v>
      </c>
      <c r="B185" s="3" t="s">
        <v>381</v>
      </c>
      <c r="C185" s="3" t="s">
        <v>736</v>
      </c>
      <c r="D185" s="3" t="s">
        <v>43</v>
      </c>
      <c r="E185" s="3" t="s">
        <v>223</v>
      </c>
      <c r="F185" s="3">
        <v>3</v>
      </c>
      <c r="G185" s="3">
        <v>3</v>
      </c>
      <c r="H185" s="3" t="str">
        <f t="shared" si="10"/>
        <v>🟢 OK</v>
      </c>
      <c r="I185" s="3">
        <f t="shared" si="11"/>
        <v>0</v>
      </c>
      <c r="J185" s="3" t="str">
        <f t="shared" si="12"/>
        <v>Traite</v>
      </c>
      <c r="K185" s="3" t="str">
        <f t="shared" si="13"/>
        <v/>
      </c>
      <c r="L185" s="3" t="str">
        <f t="shared" si="14"/>
        <v>Maintien</v>
      </c>
    </row>
    <row r="186" spans="1:12" x14ac:dyDescent="0.25">
      <c r="A186" s="2" t="s">
        <v>1129</v>
      </c>
      <c r="B186" s="2" t="s">
        <v>383</v>
      </c>
      <c r="C186" s="2" t="s">
        <v>744</v>
      </c>
      <c r="D186" s="2" t="s">
        <v>35</v>
      </c>
      <c r="E186" s="2" t="s">
        <v>118</v>
      </c>
      <c r="F186" s="2">
        <v>4</v>
      </c>
      <c r="G186" s="2">
        <v>2</v>
      </c>
      <c r="H186" s="2" t="str">
        <f t="shared" si="10"/>
        <v>🟢 OK</v>
      </c>
      <c r="I186" s="2">
        <f t="shared" si="11"/>
        <v>0</v>
      </c>
      <c r="J186" s="2" t="str">
        <f t="shared" si="12"/>
        <v>Traite</v>
      </c>
      <c r="K186" s="2" t="str">
        <f t="shared" si="13"/>
        <v/>
      </c>
      <c r="L186" s="2" t="str">
        <f t="shared" si="14"/>
        <v>Maintien</v>
      </c>
    </row>
    <row r="187" spans="1:12" x14ac:dyDescent="0.25">
      <c r="A187" s="3" t="s">
        <v>1130</v>
      </c>
      <c r="B187" s="3" t="s">
        <v>383</v>
      </c>
      <c r="C187" s="3" t="s">
        <v>744</v>
      </c>
      <c r="D187" s="3" t="s">
        <v>35</v>
      </c>
      <c r="E187" s="3" t="s">
        <v>124</v>
      </c>
      <c r="F187" s="3">
        <v>5</v>
      </c>
      <c r="G187" s="3">
        <v>2</v>
      </c>
      <c r="H187" s="3" t="str">
        <f t="shared" si="10"/>
        <v>🟢 OK</v>
      </c>
      <c r="I187" s="3">
        <f t="shared" si="11"/>
        <v>0</v>
      </c>
      <c r="J187" s="3" t="str">
        <f t="shared" si="12"/>
        <v>Traite</v>
      </c>
      <c r="K187" s="3" t="str">
        <f t="shared" si="13"/>
        <v/>
      </c>
      <c r="L187" s="3" t="str">
        <f t="shared" si="14"/>
        <v>Maintien</v>
      </c>
    </row>
    <row r="188" spans="1:12" x14ac:dyDescent="0.25">
      <c r="A188" s="2" t="s">
        <v>1131</v>
      </c>
      <c r="B188" s="2" t="s">
        <v>383</v>
      </c>
      <c r="C188" s="2" t="s">
        <v>744</v>
      </c>
      <c r="D188" s="2" t="s">
        <v>35</v>
      </c>
      <c r="E188" s="2" t="s">
        <v>139</v>
      </c>
      <c r="F188" s="2">
        <v>3</v>
      </c>
      <c r="G188" s="2">
        <v>3</v>
      </c>
      <c r="H188" s="2" t="str">
        <f t="shared" si="10"/>
        <v>🟢 OK</v>
      </c>
      <c r="I188" s="2">
        <f t="shared" si="11"/>
        <v>0</v>
      </c>
      <c r="J188" s="2" t="str">
        <f t="shared" si="12"/>
        <v>Traite</v>
      </c>
      <c r="K188" s="2" t="str">
        <f t="shared" si="13"/>
        <v/>
      </c>
      <c r="L188" s="2" t="str">
        <f t="shared" si="14"/>
        <v>Maintien</v>
      </c>
    </row>
    <row r="189" spans="1:12" x14ac:dyDescent="0.25">
      <c r="A189" s="3" t="s">
        <v>1132</v>
      </c>
      <c r="B189" s="3" t="s">
        <v>383</v>
      </c>
      <c r="C189" s="3" t="s">
        <v>744</v>
      </c>
      <c r="D189" s="3" t="s">
        <v>35</v>
      </c>
      <c r="E189" s="3" t="s">
        <v>149</v>
      </c>
      <c r="F189" s="3">
        <v>4</v>
      </c>
      <c r="G189" s="3">
        <v>3</v>
      </c>
      <c r="H189" s="3" t="str">
        <f t="shared" si="10"/>
        <v>🟢 OK</v>
      </c>
      <c r="I189" s="3">
        <f t="shared" si="11"/>
        <v>0</v>
      </c>
      <c r="J189" s="3" t="str">
        <f t="shared" si="12"/>
        <v>Traite</v>
      </c>
      <c r="K189" s="3" t="str">
        <f t="shared" si="13"/>
        <v/>
      </c>
      <c r="L189" s="3" t="str">
        <f t="shared" si="14"/>
        <v>Maintien</v>
      </c>
    </row>
    <row r="190" spans="1:12" x14ac:dyDescent="0.25">
      <c r="A190" s="2" t="s">
        <v>1133</v>
      </c>
      <c r="B190" s="2" t="s">
        <v>383</v>
      </c>
      <c r="C190" s="2" t="s">
        <v>744</v>
      </c>
      <c r="D190" s="2" t="s">
        <v>35</v>
      </c>
      <c r="E190" s="2" t="s">
        <v>223</v>
      </c>
      <c r="F190" s="2">
        <v>4</v>
      </c>
      <c r="G190" s="2">
        <v>2</v>
      </c>
      <c r="H190" s="2" t="str">
        <f t="shared" si="10"/>
        <v>🟢 OK</v>
      </c>
      <c r="I190" s="2">
        <f t="shared" si="11"/>
        <v>0</v>
      </c>
      <c r="J190" s="2" t="str">
        <f t="shared" si="12"/>
        <v>Traite</v>
      </c>
      <c r="K190" s="2" t="str">
        <f t="shared" si="13"/>
        <v/>
      </c>
      <c r="L190" s="2" t="str">
        <f t="shared" si="14"/>
        <v>Maintien</v>
      </c>
    </row>
    <row r="191" spans="1:12" x14ac:dyDescent="0.25">
      <c r="A191" s="3" t="s">
        <v>1134</v>
      </c>
      <c r="B191" s="3" t="s">
        <v>385</v>
      </c>
      <c r="C191" s="3" t="s">
        <v>753</v>
      </c>
      <c r="D191" s="3" t="s">
        <v>37</v>
      </c>
      <c r="E191" s="3" t="s">
        <v>165</v>
      </c>
      <c r="F191" s="3">
        <v>4</v>
      </c>
      <c r="G191" s="3">
        <v>4</v>
      </c>
      <c r="H191" s="3" t="str">
        <f t="shared" si="10"/>
        <v>🟢 OK</v>
      </c>
      <c r="I191" s="3">
        <f t="shared" si="11"/>
        <v>0</v>
      </c>
      <c r="J191" s="3" t="str">
        <f t="shared" si="12"/>
        <v>Traite</v>
      </c>
      <c r="K191" s="3" t="str">
        <f t="shared" si="13"/>
        <v/>
      </c>
      <c r="L191" s="3" t="str">
        <f t="shared" si="14"/>
        <v>Maintien</v>
      </c>
    </row>
    <row r="192" spans="1:12" x14ac:dyDescent="0.25">
      <c r="A192" s="2" t="s">
        <v>1135</v>
      </c>
      <c r="B192" s="2" t="s">
        <v>385</v>
      </c>
      <c r="C192" s="2" t="s">
        <v>753</v>
      </c>
      <c r="D192" s="2" t="s">
        <v>37</v>
      </c>
      <c r="E192" s="2" t="s">
        <v>181</v>
      </c>
      <c r="F192" s="2">
        <v>5</v>
      </c>
      <c r="G192" s="2">
        <v>5</v>
      </c>
      <c r="H192" s="2" t="str">
        <f t="shared" si="10"/>
        <v>🟢 OK</v>
      </c>
      <c r="I192" s="2">
        <f t="shared" si="11"/>
        <v>0</v>
      </c>
      <c r="J192" s="2" t="str">
        <f t="shared" si="12"/>
        <v>Traite</v>
      </c>
      <c r="K192" s="2" t="str">
        <f t="shared" si="13"/>
        <v/>
      </c>
      <c r="L192" s="2" t="str">
        <f t="shared" si="14"/>
        <v>Maintien</v>
      </c>
    </row>
    <row r="193" spans="1:12" x14ac:dyDescent="0.25">
      <c r="A193" s="3" t="s">
        <v>1136</v>
      </c>
      <c r="B193" s="3" t="s">
        <v>385</v>
      </c>
      <c r="C193" s="3" t="s">
        <v>753</v>
      </c>
      <c r="D193" s="3" t="s">
        <v>37</v>
      </c>
      <c r="E193" s="3" t="s">
        <v>193</v>
      </c>
      <c r="F193" s="3">
        <v>3</v>
      </c>
      <c r="G193" s="3">
        <v>3</v>
      </c>
      <c r="H193" s="3" t="str">
        <f t="shared" si="10"/>
        <v>🟢 OK</v>
      </c>
      <c r="I193" s="3">
        <f t="shared" si="11"/>
        <v>0</v>
      </c>
      <c r="J193" s="3" t="str">
        <f t="shared" si="12"/>
        <v>Traite</v>
      </c>
      <c r="K193" s="3" t="str">
        <f t="shared" si="13"/>
        <v/>
      </c>
      <c r="L193" s="3" t="str">
        <f t="shared" si="14"/>
        <v>Maintien</v>
      </c>
    </row>
    <row r="194" spans="1:12" x14ac:dyDescent="0.25">
      <c r="A194" s="2" t="s">
        <v>1137</v>
      </c>
      <c r="B194" s="2" t="s">
        <v>385</v>
      </c>
      <c r="C194" s="2" t="s">
        <v>753</v>
      </c>
      <c r="D194" s="2" t="s">
        <v>37</v>
      </c>
      <c r="E194" s="2" t="s">
        <v>198</v>
      </c>
      <c r="F194" s="2">
        <v>3</v>
      </c>
      <c r="G194" s="2">
        <v>2</v>
      </c>
      <c r="H194" s="2" t="str">
        <f t="shared" si="10"/>
        <v>🟢 OK</v>
      </c>
      <c r="I194" s="2">
        <f t="shared" si="11"/>
        <v>0</v>
      </c>
      <c r="J194" s="2" t="str">
        <f t="shared" si="12"/>
        <v>Traite</v>
      </c>
      <c r="K194" s="2" t="str">
        <f t="shared" si="13"/>
        <v/>
      </c>
      <c r="L194" s="2" t="str">
        <f t="shared" si="14"/>
        <v>Maintien</v>
      </c>
    </row>
    <row r="195" spans="1:12" x14ac:dyDescent="0.25">
      <c r="A195" s="3" t="s">
        <v>1138</v>
      </c>
      <c r="B195" s="3" t="s">
        <v>385</v>
      </c>
      <c r="C195" s="3" t="s">
        <v>753</v>
      </c>
      <c r="D195" s="3" t="s">
        <v>37</v>
      </c>
      <c r="E195" s="3" t="s">
        <v>218</v>
      </c>
      <c r="F195" s="3">
        <v>4</v>
      </c>
      <c r="G195" s="3">
        <v>3</v>
      </c>
      <c r="H195" s="3" t="str">
        <f t="shared" si="10"/>
        <v>🟢 OK</v>
      </c>
      <c r="I195" s="3">
        <f t="shared" si="11"/>
        <v>0</v>
      </c>
      <c r="J195" s="3" t="str">
        <f t="shared" si="12"/>
        <v>Traite</v>
      </c>
      <c r="K195" s="3" t="str">
        <f t="shared" si="13"/>
        <v/>
      </c>
      <c r="L195" s="3" t="str">
        <f t="shared" si="14"/>
        <v>Maintien</v>
      </c>
    </row>
    <row r="196" spans="1:12" x14ac:dyDescent="0.25">
      <c r="A196" s="2" t="s">
        <v>1139</v>
      </c>
      <c r="B196" s="2" t="s">
        <v>387</v>
      </c>
      <c r="C196" s="2" t="s">
        <v>762</v>
      </c>
      <c r="D196" s="2" t="s">
        <v>39</v>
      </c>
      <c r="E196" s="2" t="s">
        <v>139</v>
      </c>
      <c r="F196" s="2">
        <v>4</v>
      </c>
      <c r="G196" s="2">
        <v>3</v>
      </c>
      <c r="H196" s="2" t="str">
        <f t="shared" si="10"/>
        <v>🟢 OK</v>
      </c>
      <c r="I196" s="2">
        <f t="shared" si="11"/>
        <v>0</v>
      </c>
      <c r="J196" s="2" t="str">
        <f t="shared" si="12"/>
        <v>Traite</v>
      </c>
      <c r="K196" s="2" t="str">
        <f t="shared" si="13"/>
        <v/>
      </c>
      <c r="L196" s="2" t="str">
        <f t="shared" si="14"/>
        <v>Maintien</v>
      </c>
    </row>
    <row r="197" spans="1:12" x14ac:dyDescent="0.25">
      <c r="A197" s="3" t="s">
        <v>1140</v>
      </c>
      <c r="B197" s="3" t="s">
        <v>387</v>
      </c>
      <c r="C197" s="3" t="s">
        <v>762</v>
      </c>
      <c r="D197" s="3" t="s">
        <v>39</v>
      </c>
      <c r="E197" s="3" t="s">
        <v>146</v>
      </c>
      <c r="F197" s="3">
        <v>3</v>
      </c>
      <c r="G197" s="3">
        <v>3</v>
      </c>
      <c r="H197" s="3" t="str">
        <f t="shared" ref="H197:H260" si="15">IF(F197-G197&gt;=0,"🟢 OK",IF(F197-G197=-1,"🟡 Modere","🔴 Critique"))</f>
        <v>🟢 OK</v>
      </c>
      <c r="I197" s="3">
        <f t="shared" ref="I197:I260" si="16">MAX(0,(G197-F197)*20)+IF(H197="🔴 Critique",25,0)</f>
        <v>0</v>
      </c>
      <c r="J197" s="3" t="str">
        <f t="shared" ref="J197:J260" si="17">IF(H197="🟢 OK","Traite",IF(H197="🔴 Critique","Non traite","A planifier"))</f>
        <v>Traite</v>
      </c>
      <c r="K197" s="3" t="str">
        <f t="shared" ref="K197:K260" si="18">IF(H197="🟢 OK","","PF-"&amp;TEXT(ROW()-4,"0000"))</f>
        <v/>
      </c>
      <c r="L197" s="3" t="str">
        <f t="shared" ref="L197:L260" si="19">IF(H197="🟢 OK","Maintien",IF(H197="🔴 Critique","Formation urgente","Coaching interne"))</f>
        <v>Maintien</v>
      </c>
    </row>
    <row r="198" spans="1:12" x14ac:dyDescent="0.25">
      <c r="A198" s="2" t="s">
        <v>1141</v>
      </c>
      <c r="B198" s="2" t="s">
        <v>387</v>
      </c>
      <c r="C198" s="2" t="s">
        <v>762</v>
      </c>
      <c r="D198" s="2" t="s">
        <v>39</v>
      </c>
      <c r="E198" s="2" t="s">
        <v>160</v>
      </c>
      <c r="F198" s="2">
        <v>5</v>
      </c>
      <c r="G198" s="2">
        <v>4</v>
      </c>
      <c r="H198" s="2" t="str">
        <f t="shared" si="15"/>
        <v>🟢 OK</v>
      </c>
      <c r="I198" s="2">
        <f t="shared" si="16"/>
        <v>0</v>
      </c>
      <c r="J198" s="2" t="str">
        <f t="shared" si="17"/>
        <v>Traite</v>
      </c>
      <c r="K198" s="2" t="str">
        <f t="shared" si="18"/>
        <v/>
      </c>
      <c r="L198" s="2" t="str">
        <f t="shared" si="19"/>
        <v>Maintien</v>
      </c>
    </row>
    <row r="199" spans="1:12" x14ac:dyDescent="0.25">
      <c r="A199" s="3" t="s">
        <v>1142</v>
      </c>
      <c r="B199" s="3" t="s">
        <v>387</v>
      </c>
      <c r="C199" s="3" t="s">
        <v>762</v>
      </c>
      <c r="D199" s="3" t="s">
        <v>39</v>
      </c>
      <c r="E199" s="3" t="s">
        <v>186</v>
      </c>
      <c r="F199" s="3">
        <v>3</v>
      </c>
      <c r="G199" s="3">
        <v>2</v>
      </c>
      <c r="H199" s="3" t="str">
        <f t="shared" si="15"/>
        <v>🟢 OK</v>
      </c>
      <c r="I199" s="3">
        <f t="shared" si="16"/>
        <v>0</v>
      </c>
      <c r="J199" s="3" t="str">
        <f t="shared" si="17"/>
        <v>Traite</v>
      </c>
      <c r="K199" s="3" t="str">
        <f t="shared" si="18"/>
        <v/>
      </c>
      <c r="L199" s="3" t="str">
        <f t="shared" si="19"/>
        <v>Maintien</v>
      </c>
    </row>
    <row r="200" spans="1:12" x14ac:dyDescent="0.25">
      <c r="A200" s="2" t="s">
        <v>1143</v>
      </c>
      <c r="B200" s="2" t="s">
        <v>387</v>
      </c>
      <c r="C200" s="2" t="s">
        <v>762</v>
      </c>
      <c r="D200" s="2" t="s">
        <v>39</v>
      </c>
      <c r="E200" s="2" t="s">
        <v>202</v>
      </c>
      <c r="F200" s="2">
        <v>3</v>
      </c>
      <c r="G200" s="2">
        <v>2</v>
      </c>
      <c r="H200" s="2" t="str">
        <f t="shared" si="15"/>
        <v>🟢 OK</v>
      </c>
      <c r="I200" s="2">
        <f t="shared" si="16"/>
        <v>0</v>
      </c>
      <c r="J200" s="2" t="str">
        <f t="shared" si="17"/>
        <v>Traite</v>
      </c>
      <c r="K200" s="2" t="str">
        <f t="shared" si="18"/>
        <v/>
      </c>
      <c r="L200" s="2" t="str">
        <f t="shared" si="19"/>
        <v>Maintien</v>
      </c>
    </row>
    <row r="201" spans="1:12" x14ac:dyDescent="0.25">
      <c r="A201" s="3" t="s">
        <v>1144</v>
      </c>
      <c r="B201" s="3" t="s">
        <v>389</v>
      </c>
      <c r="C201" s="3" t="s">
        <v>769</v>
      </c>
      <c r="D201" s="3" t="s">
        <v>41</v>
      </c>
      <c r="E201" s="3" t="s">
        <v>207</v>
      </c>
      <c r="F201" s="3">
        <v>3</v>
      </c>
      <c r="G201" s="3">
        <v>2</v>
      </c>
      <c r="H201" s="3" t="str">
        <f t="shared" si="15"/>
        <v>🟢 OK</v>
      </c>
      <c r="I201" s="3">
        <f t="shared" si="16"/>
        <v>0</v>
      </c>
      <c r="J201" s="3" t="str">
        <f t="shared" si="17"/>
        <v>Traite</v>
      </c>
      <c r="K201" s="3" t="str">
        <f t="shared" si="18"/>
        <v/>
      </c>
      <c r="L201" s="3" t="str">
        <f t="shared" si="19"/>
        <v>Maintien</v>
      </c>
    </row>
    <row r="202" spans="1:12" x14ac:dyDescent="0.25">
      <c r="A202" s="2" t="s">
        <v>1145</v>
      </c>
      <c r="B202" s="2" t="s">
        <v>389</v>
      </c>
      <c r="C202" s="2" t="s">
        <v>769</v>
      </c>
      <c r="D202" s="2" t="s">
        <v>41</v>
      </c>
      <c r="E202" s="2" t="s">
        <v>212</v>
      </c>
      <c r="F202" s="2">
        <v>2</v>
      </c>
      <c r="G202" s="2">
        <v>3</v>
      </c>
      <c r="H202" s="2" t="str">
        <f t="shared" si="15"/>
        <v>🟡 Modere</v>
      </c>
      <c r="I202" s="2">
        <f t="shared" si="16"/>
        <v>20</v>
      </c>
      <c r="J202" s="2" t="str">
        <f t="shared" si="17"/>
        <v>A planifier</v>
      </c>
      <c r="K202" s="2" t="str">
        <f t="shared" si="18"/>
        <v>PF-0198</v>
      </c>
      <c r="L202" s="2" t="str">
        <f t="shared" si="19"/>
        <v>Coaching interne</v>
      </c>
    </row>
    <row r="203" spans="1:12" x14ac:dyDescent="0.25">
      <c r="A203" s="3" t="s">
        <v>1146</v>
      </c>
      <c r="B203" s="3" t="s">
        <v>389</v>
      </c>
      <c r="C203" s="3" t="s">
        <v>769</v>
      </c>
      <c r="D203" s="3" t="s">
        <v>41</v>
      </c>
      <c r="E203" s="3" t="s">
        <v>218</v>
      </c>
      <c r="F203" s="3">
        <v>5</v>
      </c>
      <c r="G203" s="3">
        <v>3</v>
      </c>
      <c r="H203" s="3" t="str">
        <f t="shared" si="15"/>
        <v>🟢 OK</v>
      </c>
      <c r="I203" s="3">
        <f t="shared" si="16"/>
        <v>0</v>
      </c>
      <c r="J203" s="3" t="str">
        <f t="shared" si="17"/>
        <v>Traite</v>
      </c>
      <c r="K203" s="3" t="str">
        <f t="shared" si="18"/>
        <v/>
      </c>
      <c r="L203" s="3" t="str">
        <f t="shared" si="19"/>
        <v>Maintien</v>
      </c>
    </row>
    <row r="204" spans="1:12" x14ac:dyDescent="0.25">
      <c r="A204" s="2" t="s">
        <v>1147</v>
      </c>
      <c r="B204" s="2" t="s">
        <v>389</v>
      </c>
      <c r="C204" s="2" t="s">
        <v>769</v>
      </c>
      <c r="D204" s="2" t="s">
        <v>41</v>
      </c>
      <c r="E204" s="2" t="s">
        <v>223</v>
      </c>
      <c r="F204" s="2">
        <v>5</v>
      </c>
      <c r="G204" s="2">
        <v>4</v>
      </c>
      <c r="H204" s="2" t="str">
        <f t="shared" si="15"/>
        <v>🟢 OK</v>
      </c>
      <c r="I204" s="2">
        <f t="shared" si="16"/>
        <v>0</v>
      </c>
      <c r="J204" s="2" t="str">
        <f t="shared" si="17"/>
        <v>Traite</v>
      </c>
      <c r="K204" s="2" t="str">
        <f t="shared" si="18"/>
        <v/>
      </c>
      <c r="L204" s="2" t="str">
        <f t="shared" si="19"/>
        <v>Maintien</v>
      </c>
    </row>
    <row r="205" spans="1:12" x14ac:dyDescent="0.25">
      <c r="A205" s="3" t="s">
        <v>1148</v>
      </c>
      <c r="B205" s="3" t="s">
        <v>391</v>
      </c>
      <c r="C205" s="3" t="s">
        <v>776</v>
      </c>
      <c r="D205" s="3" t="s">
        <v>43</v>
      </c>
      <c r="E205" s="3" t="s">
        <v>207</v>
      </c>
      <c r="F205" s="3">
        <v>5</v>
      </c>
      <c r="G205" s="3">
        <v>4</v>
      </c>
      <c r="H205" s="3" t="str">
        <f t="shared" si="15"/>
        <v>🟢 OK</v>
      </c>
      <c r="I205" s="3">
        <f t="shared" si="16"/>
        <v>0</v>
      </c>
      <c r="J205" s="3" t="str">
        <f t="shared" si="17"/>
        <v>Traite</v>
      </c>
      <c r="K205" s="3" t="str">
        <f t="shared" si="18"/>
        <v/>
      </c>
      <c r="L205" s="3" t="str">
        <f t="shared" si="19"/>
        <v>Maintien</v>
      </c>
    </row>
    <row r="206" spans="1:12" x14ac:dyDescent="0.25">
      <c r="A206" s="2" t="s">
        <v>1149</v>
      </c>
      <c r="B206" s="2" t="s">
        <v>391</v>
      </c>
      <c r="C206" s="2" t="s">
        <v>776</v>
      </c>
      <c r="D206" s="2" t="s">
        <v>43</v>
      </c>
      <c r="E206" s="2" t="s">
        <v>218</v>
      </c>
      <c r="F206" s="2">
        <v>2</v>
      </c>
      <c r="G206" s="2">
        <v>2</v>
      </c>
      <c r="H206" s="2" t="str">
        <f t="shared" si="15"/>
        <v>🟢 OK</v>
      </c>
      <c r="I206" s="2">
        <f t="shared" si="16"/>
        <v>0</v>
      </c>
      <c r="J206" s="2" t="str">
        <f t="shared" si="17"/>
        <v>Traite</v>
      </c>
      <c r="K206" s="2" t="str">
        <f t="shared" si="18"/>
        <v/>
      </c>
      <c r="L206" s="2" t="str">
        <f t="shared" si="19"/>
        <v>Maintien</v>
      </c>
    </row>
    <row r="207" spans="1:12" x14ac:dyDescent="0.25">
      <c r="A207" s="3" t="s">
        <v>1150</v>
      </c>
      <c r="B207" s="3" t="s">
        <v>391</v>
      </c>
      <c r="C207" s="3" t="s">
        <v>776</v>
      </c>
      <c r="D207" s="3" t="s">
        <v>43</v>
      </c>
      <c r="E207" s="3" t="s">
        <v>223</v>
      </c>
      <c r="F207" s="3">
        <v>5</v>
      </c>
      <c r="G207" s="3">
        <v>3</v>
      </c>
      <c r="H207" s="3" t="str">
        <f t="shared" si="15"/>
        <v>🟢 OK</v>
      </c>
      <c r="I207" s="3">
        <f t="shared" si="16"/>
        <v>0</v>
      </c>
      <c r="J207" s="3" t="str">
        <f t="shared" si="17"/>
        <v>Traite</v>
      </c>
      <c r="K207" s="3" t="str">
        <f t="shared" si="18"/>
        <v/>
      </c>
      <c r="L207" s="3" t="str">
        <f t="shared" si="19"/>
        <v>Maintien</v>
      </c>
    </row>
    <row r="208" spans="1:12" x14ac:dyDescent="0.25">
      <c r="A208" s="2" t="s">
        <v>1151</v>
      </c>
      <c r="B208" s="2" t="s">
        <v>391</v>
      </c>
      <c r="C208" s="2" t="s">
        <v>776</v>
      </c>
      <c r="D208" s="2" t="s">
        <v>43</v>
      </c>
      <c r="E208" s="2" t="s">
        <v>233</v>
      </c>
      <c r="F208" s="2">
        <v>2</v>
      </c>
      <c r="G208" s="2">
        <v>3</v>
      </c>
      <c r="H208" s="2" t="str">
        <f t="shared" si="15"/>
        <v>🟡 Modere</v>
      </c>
      <c r="I208" s="2">
        <f t="shared" si="16"/>
        <v>20</v>
      </c>
      <c r="J208" s="2" t="str">
        <f t="shared" si="17"/>
        <v>A planifier</v>
      </c>
      <c r="K208" s="2" t="str">
        <f t="shared" si="18"/>
        <v>PF-0204</v>
      </c>
      <c r="L208" s="2" t="str">
        <f t="shared" si="19"/>
        <v>Coaching interne</v>
      </c>
    </row>
    <row r="209" spans="1:12" x14ac:dyDescent="0.25">
      <c r="A209" s="3" t="s">
        <v>1152</v>
      </c>
      <c r="B209" s="3" t="s">
        <v>393</v>
      </c>
      <c r="C209" s="3" t="s">
        <v>785</v>
      </c>
      <c r="D209" s="3" t="s">
        <v>35</v>
      </c>
      <c r="E209" s="3" t="s">
        <v>97</v>
      </c>
      <c r="F209" s="3">
        <v>5</v>
      </c>
      <c r="G209" s="3">
        <v>4</v>
      </c>
      <c r="H209" s="3" t="str">
        <f t="shared" si="15"/>
        <v>🟢 OK</v>
      </c>
      <c r="I209" s="3">
        <f t="shared" si="16"/>
        <v>0</v>
      </c>
      <c r="J209" s="3" t="str">
        <f t="shared" si="17"/>
        <v>Traite</v>
      </c>
      <c r="K209" s="3" t="str">
        <f t="shared" si="18"/>
        <v/>
      </c>
      <c r="L209" s="3" t="str">
        <f t="shared" si="19"/>
        <v>Maintien</v>
      </c>
    </row>
    <row r="210" spans="1:12" x14ac:dyDescent="0.25">
      <c r="A210" s="2" t="s">
        <v>1153</v>
      </c>
      <c r="B210" s="2" t="s">
        <v>393</v>
      </c>
      <c r="C210" s="2" t="s">
        <v>785</v>
      </c>
      <c r="D210" s="2" t="s">
        <v>35</v>
      </c>
      <c r="E210" s="2" t="s">
        <v>104</v>
      </c>
      <c r="F210" s="2">
        <v>4</v>
      </c>
      <c r="G210" s="2">
        <v>3</v>
      </c>
      <c r="H210" s="2" t="str">
        <f t="shared" si="15"/>
        <v>🟢 OK</v>
      </c>
      <c r="I210" s="2">
        <f t="shared" si="16"/>
        <v>0</v>
      </c>
      <c r="J210" s="2" t="str">
        <f t="shared" si="17"/>
        <v>Traite</v>
      </c>
      <c r="K210" s="2" t="str">
        <f t="shared" si="18"/>
        <v/>
      </c>
      <c r="L210" s="2" t="str">
        <f t="shared" si="19"/>
        <v>Maintien</v>
      </c>
    </row>
    <row r="211" spans="1:12" x14ac:dyDescent="0.25">
      <c r="A211" s="3" t="s">
        <v>1154</v>
      </c>
      <c r="B211" s="3" t="s">
        <v>393</v>
      </c>
      <c r="C211" s="3" t="s">
        <v>785</v>
      </c>
      <c r="D211" s="3" t="s">
        <v>35</v>
      </c>
      <c r="E211" s="3" t="s">
        <v>118</v>
      </c>
      <c r="F211" s="3">
        <v>1</v>
      </c>
      <c r="G211" s="3">
        <v>2</v>
      </c>
      <c r="H211" s="3" t="str">
        <f t="shared" si="15"/>
        <v>🟡 Modere</v>
      </c>
      <c r="I211" s="3">
        <f t="shared" si="16"/>
        <v>20</v>
      </c>
      <c r="J211" s="3" t="str">
        <f t="shared" si="17"/>
        <v>A planifier</v>
      </c>
      <c r="K211" s="3" t="str">
        <f t="shared" si="18"/>
        <v>PF-0207</v>
      </c>
      <c r="L211" s="3" t="str">
        <f t="shared" si="19"/>
        <v>Coaching interne</v>
      </c>
    </row>
    <row r="212" spans="1:12" x14ac:dyDescent="0.25">
      <c r="A212" s="2" t="s">
        <v>1155</v>
      </c>
      <c r="B212" s="2" t="s">
        <v>393</v>
      </c>
      <c r="C212" s="2" t="s">
        <v>785</v>
      </c>
      <c r="D212" s="2" t="s">
        <v>35</v>
      </c>
      <c r="E212" s="2" t="s">
        <v>202</v>
      </c>
      <c r="F212" s="2">
        <v>3</v>
      </c>
      <c r="G212" s="2">
        <v>2</v>
      </c>
      <c r="H212" s="2" t="str">
        <f t="shared" si="15"/>
        <v>🟢 OK</v>
      </c>
      <c r="I212" s="2">
        <f t="shared" si="16"/>
        <v>0</v>
      </c>
      <c r="J212" s="2" t="str">
        <f t="shared" si="17"/>
        <v>Traite</v>
      </c>
      <c r="K212" s="2" t="str">
        <f t="shared" si="18"/>
        <v/>
      </c>
      <c r="L212" s="2" t="str">
        <f t="shared" si="19"/>
        <v>Maintien</v>
      </c>
    </row>
    <row r="213" spans="1:12" x14ac:dyDescent="0.25">
      <c r="A213" s="3" t="s">
        <v>1156</v>
      </c>
      <c r="B213" s="3" t="s">
        <v>393</v>
      </c>
      <c r="C213" s="3" t="s">
        <v>785</v>
      </c>
      <c r="D213" s="3" t="s">
        <v>35</v>
      </c>
      <c r="E213" s="3" t="s">
        <v>218</v>
      </c>
      <c r="F213" s="3">
        <v>2</v>
      </c>
      <c r="G213" s="3">
        <v>2</v>
      </c>
      <c r="H213" s="3" t="str">
        <f t="shared" si="15"/>
        <v>🟢 OK</v>
      </c>
      <c r="I213" s="3">
        <f t="shared" si="16"/>
        <v>0</v>
      </c>
      <c r="J213" s="3" t="str">
        <f t="shared" si="17"/>
        <v>Traite</v>
      </c>
      <c r="K213" s="3" t="str">
        <f t="shared" si="18"/>
        <v/>
      </c>
      <c r="L213" s="3" t="str">
        <f t="shared" si="19"/>
        <v>Maintien</v>
      </c>
    </row>
    <row r="214" spans="1:12" x14ac:dyDescent="0.25">
      <c r="A214" s="2" t="s">
        <v>1157</v>
      </c>
      <c r="B214" s="2" t="s">
        <v>393</v>
      </c>
      <c r="C214" s="2" t="s">
        <v>785</v>
      </c>
      <c r="D214" s="2" t="s">
        <v>35</v>
      </c>
      <c r="E214" s="2" t="s">
        <v>223</v>
      </c>
      <c r="F214" s="2">
        <v>3</v>
      </c>
      <c r="G214" s="2">
        <v>1</v>
      </c>
      <c r="H214" s="2" t="str">
        <f t="shared" si="15"/>
        <v>🟢 OK</v>
      </c>
      <c r="I214" s="2">
        <f t="shared" si="16"/>
        <v>0</v>
      </c>
      <c r="J214" s="2" t="str">
        <f t="shared" si="17"/>
        <v>Traite</v>
      </c>
      <c r="K214" s="2" t="str">
        <f t="shared" si="18"/>
        <v/>
      </c>
      <c r="L214" s="2" t="str">
        <f t="shared" si="19"/>
        <v>Maintien</v>
      </c>
    </row>
    <row r="215" spans="1:12" x14ac:dyDescent="0.25">
      <c r="A215" s="3" t="s">
        <v>1158</v>
      </c>
      <c r="B215" s="3" t="s">
        <v>395</v>
      </c>
      <c r="C215" s="3" t="s">
        <v>792</v>
      </c>
      <c r="D215" s="3" t="s">
        <v>37</v>
      </c>
      <c r="E215" s="3" t="s">
        <v>97</v>
      </c>
      <c r="F215" s="3">
        <v>3</v>
      </c>
      <c r="G215" s="3">
        <v>3</v>
      </c>
      <c r="H215" s="3" t="str">
        <f t="shared" si="15"/>
        <v>🟢 OK</v>
      </c>
      <c r="I215" s="3">
        <f t="shared" si="16"/>
        <v>0</v>
      </c>
      <c r="J215" s="3" t="str">
        <f t="shared" si="17"/>
        <v>Traite</v>
      </c>
      <c r="K215" s="3" t="str">
        <f t="shared" si="18"/>
        <v/>
      </c>
      <c r="L215" s="3" t="str">
        <f t="shared" si="19"/>
        <v>Maintien</v>
      </c>
    </row>
    <row r="216" spans="1:12" x14ac:dyDescent="0.25">
      <c r="A216" s="2" t="s">
        <v>1159</v>
      </c>
      <c r="B216" s="2" t="s">
        <v>395</v>
      </c>
      <c r="C216" s="2" t="s">
        <v>792</v>
      </c>
      <c r="D216" s="2" t="s">
        <v>37</v>
      </c>
      <c r="E216" s="2" t="s">
        <v>104</v>
      </c>
      <c r="F216" s="2">
        <v>5</v>
      </c>
      <c r="G216" s="2">
        <v>4</v>
      </c>
      <c r="H216" s="2" t="str">
        <f t="shared" si="15"/>
        <v>🟢 OK</v>
      </c>
      <c r="I216" s="2">
        <f t="shared" si="16"/>
        <v>0</v>
      </c>
      <c r="J216" s="2" t="str">
        <f t="shared" si="17"/>
        <v>Traite</v>
      </c>
      <c r="K216" s="2" t="str">
        <f t="shared" si="18"/>
        <v/>
      </c>
      <c r="L216" s="2" t="str">
        <f t="shared" si="19"/>
        <v>Maintien</v>
      </c>
    </row>
    <row r="217" spans="1:12" x14ac:dyDescent="0.25">
      <c r="A217" s="3" t="s">
        <v>1160</v>
      </c>
      <c r="B217" s="3" t="s">
        <v>395</v>
      </c>
      <c r="C217" s="3" t="s">
        <v>792</v>
      </c>
      <c r="D217" s="3" t="s">
        <v>37</v>
      </c>
      <c r="E217" s="3" t="s">
        <v>113</v>
      </c>
      <c r="F217" s="3">
        <v>4</v>
      </c>
      <c r="G217" s="3">
        <v>3</v>
      </c>
      <c r="H217" s="3" t="str">
        <f t="shared" si="15"/>
        <v>🟢 OK</v>
      </c>
      <c r="I217" s="3">
        <f t="shared" si="16"/>
        <v>0</v>
      </c>
      <c r="J217" s="3" t="str">
        <f t="shared" si="17"/>
        <v>Traite</v>
      </c>
      <c r="K217" s="3" t="str">
        <f t="shared" si="18"/>
        <v/>
      </c>
      <c r="L217" s="3" t="str">
        <f t="shared" si="19"/>
        <v>Maintien</v>
      </c>
    </row>
    <row r="218" spans="1:12" x14ac:dyDescent="0.25">
      <c r="A218" s="2" t="s">
        <v>1161</v>
      </c>
      <c r="B218" s="2" t="s">
        <v>395</v>
      </c>
      <c r="C218" s="2" t="s">
        <v>792</v>
      </c>
      <c r="D218" s="2" t="s">
        <v>37</v>
      </c>
      <c r="E218" s="2" t="s">
        <v>118</v>
      </c>
      <c r="F218" s="2">
        <v>2</v>
      </c>
      <c r="G218" s="2">
        <v>2</v>
      </c>
      <c r="H218" s="2" t="str">
        <f t="shared" si="15"/>
        <v>🟢 OK</v>
      </c>
      <c r="I218" s="2">
        <f t="shared" si="16"/>
        <v>0</v>
      </c>
      <c r="J218" s="2" t="str">
        <f t="shared" si="17"/>
        <v>Traite</v>
      </c>
      <c r="K218" s="2" t="str">
        <f t="shared" si="18"/>
        <v/>
      </c>
      <c r="L218" s="2" t="str">
        <f t="shared" si="19"/>
        <v>Maintien</v>
      </c>
    </row>
    <row r="219" spans="1:12" x14ac:dyDescent="0.25">
      <c r="A219" s="3" t="s">
        <v>1162</v>
      </c>
      <c r="B219" s="3" t="s">
        <v>395</v>
      </c>
      <c r="C219" s="3" t="s">
        <v>792</v>
      </c>
      <c r="D219" s="3" t="s">
        <v>37</v>
      </c>
      <c r="E219" s="3" t="s">
        <v>223</v>
      </c>
      <c r="F219" s="3">
        <v>1</v>
      </c>
      <c r="G219" s="3">
        <v>1</v>
      </c>
      <c r="H219" s="3" t="str">
        <f t="shared" si="15"/>
        <v>🟢 OK</v>
      </c>
      <c r="I219" s="3">
        <f t="shared" si="16"/>
        <v>0</v>
      </c>
      <c r="J219" s="3" t="str">
        <f t="shared" si="17"/>
        <v>Traite</v>
      </c>
      <c r="K219" s="3" t="str">
        <f t="shared" si="18"/>
        <v/>
      </c>
      <c r="L219" s="3" t="str">
        <f t="shared" si="19"/>
        <v>Maintien</v>
      </c>
    </row>
    <row r="220" spans="1:12" x14ac:dyDescent="0.25">
      <c r="A220" s="2" t="s">
        <v>1163</v>
      </c>
      <c r="B220" s="2" t="s">
        <v>397</v>
      </c>
      <c r="C220" s="2" t="s">
        <v>799</v>
      </c>
      <c r="D220" s="2" t="s">
        <v>39</v>
      </c>
      <c r="E220" s="2" t="s">
        <v>118</v>
      </c>
      <c r="F220" s="2">
        <v>4</v>
      </c>
      <c r="G220" s="2">
        <v>4</v>
      </c>
      <c r="H220" s="2" t="str">
        <f t="shared" si="15"/>
        <v>🟢 OK</v>
      </c>
      <c r="I220" s="2">
        <f t="shared" si="16"/>
        <v>0</v>
      </c>
      <c r="J220" s="2" t="str">
        <f t="shared" si="17"/>
        <v>Traite</v>
      </c>
      <c r="K220" s="2" t="str">
        <f t="shared" si="18"/>
        <v/>
      </c>
      <c r="L220" s="2" t="str">
        <f t="shared" si="19"/>
        <v>Maintien</v>
      </c>
    </row>
    <row r="221" spans="1:12" x14ac:dyDescent="0.25">
      <c r="A221" s="3" t="s">
        <v>1164</v>
      </c>
      <c r="B221" s="3" t="s">
        <v>397</v>
      </c>
      <c r="C221" s="3" t="s">
        <v>799</v>
      </c>
      <c r="D221" s="3" t="s">
        <v>39</v>
      </c>
      <c r="E221" s="3" t="s">
        <v>124</v>
      </c>
      <c r="F221" s="3">
        <v>5</v>
      </c>
      <c r="G221" s="3">
        <v>4</v>
      </c>
      <c r="H221" s="3" t="str">
        <f t="shared" si="15"/>
        <v>🟢 OK</v>
      </c>
      <c r="I221" s="3">
        <f t="shared" si="16"/>
        <v>0</v>
      </c>
      <c r="J221" s="3" t="str">
        <f t="shared" si="17"/>
        <v>Traite</v>
      </c>
      <c r="K221" s="3" t="str">
        <f t="shared" si="18"/>
        <v/>
      </c>
      <c r="L221" s="3" t="str">
        <f t="shared" si="19"/>
        <v>Maintien</v>
      </c>
    </row>
    <row r="222" spans="1:12" x14ac:dyDescent="0.25">
      <c r="A222" s="2" t="s">
        <v>1165</v>
      </c>
      <c r="B222" s="2" t="s">
        <v>397</v>
      </c>
      <c r="C222" s="2" t="s">
        <v>799</v>
      </c>
      <c r="D222" s="2" t="s">
        <v>39</v>
      </c>
      <c r="E222" s="2" t="s">
        <v>127</v>
      </c>
      <c r="F222" s="2">
        <v>4</v>
      </c>
      <c r="G222" s="2">
        <v>3</v>
      </c>
      <c r="H222" s="2" t="str">
        <f t="shared" si="15"/>
        <v>🟢 OK</v>
      </c>
      <c r="I222" s="2">
        <f t="shared" si="16"/>
        <v>0</v>
      </c>
      <c r="J222" s="2" t="str">
        <f t="shared" si="17"/>
        <v>Traite</v>
      </c>
      <c r="K222" s="2" t="str">
        <f t="shared" si="18"/>
        <v/>
      </c>
      <c r="L222" s="2" t="str">
        <f t="shared" si="19"/>
        <v>Maintien</v>
      </c>
    </row>
    <row r="223" spans="1:12" x14ac:dyDescent="0.25">
      <c r="A223" s="3" t="s">
        <v>1166</v>
      </c>
      <c r="B223" s="3" t="s">
        <v>397</v>
      </c>
      <c r="C223" s="3" t="s">
        <v>799</v>
      </c>
      <c r="D223" s="3" t="s">
        <v>39</v>
      </c>
      <c r="E223" s="3" t="s">
        <v>131</v>
      </c>
      <c r="F223" s="3">
        <v>3</v>
      </c>
      <c r="G223" s="3">
        <v>3</v>
      </c>
      <c r="H223" s="3" t="str">
        <f t="shared" si="15"/>
        <v>🟢 OK</v>
      </c>
      <c r="I223" s="3">
        <f t="shared" si="16"/>
        <v>0</v>
      </c>
      <c r="J223" s="3" t="str">
        <f t="shared" si="17"/>
        <v>Traite</v>
      </c>
      <c r="K223" s="3" t="str">
        <f t="shared" si="18"/>
        <v/>
      </c>
      <c r="L223" s="3" t="str">
        <f t="shared" si="19"/>
        <v>Maintien</v>
      </c>
    </row>
    <row r="224" spans="1:12" x14ac:dyDescent="0.25">
      <c r="A224" s="2" t="s">
        <v>1167</v>
      </c>
      <c r="B224" s="2" t="s">
        <v>397</v>
      </c>
      <c r="C224" s="2" t="s">
        <v>799</v>
      </c>
      <c r="D224" s="2" t="s">
        <v>39</v>
      </c>
      <c r="E224" s="2" t="s">
        <v>135</v>
      </c>
      <c r="F224" s="2">
        <v>4</v>
      </c>
      <c r="G224" s="2">
        <v>3</v>
      </c>
      <c r="H224" s="2" t="str">
        <f t="shared" si="15"/>
        <v>🟢 OK</v>
      </c>
      <c r="I224" s="2">
        <f t="shared" si="16"/>
        <v>0</v>
      </c>
      <c r="J224" s="2" t="str">
        <f t="shared" si="17"/>
        <v>Traite</v>
      </c>
      <c r="K224" s="2" t="str">
        <f t="shared" si="18"/>
        <v/>
      </c>
      <c r="L224" s="2" t="str">
        <f t="shared" si="19"/>
        <v>Maintien</v>
      </c>
    </row>
    <row r="225" spans="1:12" x14ac:dyDescent="0.25">
      <c r="A225" s="3" t="s">
        <v>1168</v>
      </c>
      <c r="B225" s="3" t="s">
        <v>397</v>
      </c>
      <c r="C225" s="3" t="s">
        <v>799</v>
      </c>
      <c r="D225" s="3" t="s">
        <v>39</v>
      </c>
      <c r="E225" s="3" t="s">
        <v>233</v>
      </c>
      <c r="F225" s="3">
        <v>1</v>
      </c>
      <c r="G225" s="3">
        <v>2</v>
      </c>
      <c r="H225" s="3" t="str">
        <f t="shared" si="15"/>
        <v>🟡 Modere</v>
      </c>
      <c r="I225" s="3">
        <f t="shared" si="16"/>
        <v>20</v>
      </c>
      <c r="J225" s="3" t="str">
        <f t="shared" si="17"/>
        <v>A planifier</v>
      </c>
      <c r="K225" s="3" t="str">
        <f t="shared" si="18"/>
        <v>PF-0221</v>
      </c>
      <c r="L225" s="3" t="str">
        <f t="shared" si="19"/>
        <v>Coaching interne</v>
      </c>
    </row>
    <row r="226" spans="1:12" x14ac:dyDescent="0.25">
      <c r="A226" s="2" t="s">
        <v>1169</v>
      </c>
      <c r="B226" s="2" t="s">
        <v>399</v>
      </c>
      <c r="C226" s="2" t="s">
        <v>806</v>
      </c>
      <c r="D226" s="2" t="s">
        <v>41</v>
      </c>
      <c r="E226" s="2" t="s">
        <v>118</v>
      </c>
      <c r="F226" s="2">
        <v>5</v>
      </c>
      <c r="G226" s="2">
        <v>5</v>
      </c>
      <c r="H226" s="2" t="str">
        <f t="shared" si="15"/>
        <v>🟢 OK</v>
      </c>
      <c r="I226" s="2">
        <f t="shared" si="16"/>
        <v>0</v>
      </c>
      <c r="J226" s="2" t="str">
        <f t="shared" si="17"/>
        <v>Traite</v>
      </c>
      <c r="K226" s="2" t="str">
        <f t="shared" si="18"/>
        <v/>
      </c>
      <c r="L226" s="2" t="str">
        <f t="shared" si="19"/>
        <v>Maintien</v>
      </c>
    </row>
    <row r="227" spans="1:12" x14ac:dyDescent="0.25">
      <c r="A227" s="3" t="s">
        <v>1170</v>
      </c>
      <c r="B227" s="3" t="s">
        <v>399</v>
      </c>
      <c r="C227" s="3" t="s">
        <v>806</v>
      </c>
      <c r="D227" s="3" t="s">
        <v>41</v>
      </c>
      <c r="E227" s="3" t="s">
        <v>124</v>
      </c>
      <c r="F227" s="3">
        <v>5</v>
      </c>
      <c r="G227" s="3">
        <v>5</v>
      </c>
      <c r="H227" s="3" t="str">
        <f t="shared" si="15"/>
        <v>🟢 OK</v>
      </c>
      <c r="I227" s="3">
        <f t="shared" si="16"/>
        <v>0</v>
      </c>
      <c r="J227" s="3" t="str">
        <f t="shared" si="17"/>
        <v>Traite</v>
      </c>
      <c r="K227" s="3" t="str">
        <f t="shared" si="18"/>
        <v/>
      </c>
      <c r="L227" s="3" t="str">
        <f t="shared" si="19"/>
        <v>Maintien</v>
      </c>
    </row>
    <row r="228" spans="1:12" x14ac:dyDescent="0.25">
      <c r="A228" s="2" t="s">
        <v>1171</v>
      </c>
      <c r="B228" s="2" t="s">
        <v>399</v>
      </c>
      <c r="C228" s="2" t="s">
        <v>806</v>
      </c>
      <c r="D228" s="2" t="s">
        <v>41</v>
      </c>
      <c r="E228" s="2" t="s">
        <v>127</v>
      </c>
      <c r="F228" s="2">
        <v>5</v>
      </c>
      <c r="G228" s="2">
        <v>5</v>
      </c>
      <c r="H228" s="2" t="str">
        <f t="shared" si="15"/>
        <v>🟢 OK</v>
      </c>
      <c r="I228" s="2">
        <f t="shared" si="16"/>
        <v>0</v>
      </c>
      <c r="J228" s="2" t="str">
        <f t="shared" si="17"/>
        <v>Traite</v>
      </c>
      <c r="K228" s="2" t="str">
        <f t="shared" si="18"/>
        <v/>
      </c>
      <c r="L228" s="2" t="str">
        <f t="shared" si="19"/>
        <v>Maintien</v>
      </c>
    </row>
    <row r="229" spans="1:12" x14ac:dyDescent="0.25">
      <c r="A229" s="3" t="s">
        <v>1172</v>
      </c>
      <c r="B229" s="3" t="s">
        <v>399</v>
      </c>
      <c r="C229" s="3" t="s">
        <v>806</v>
      </c>
      <c r="D229" s="3" t="s">
        <v>41</v>
      </c>
      <c r="E229" s="3" t="s">
        <v>131</v>
      </c>
      <c r="F229" s="3">
        <v>5</v>
      </c>
      <c r="G229" s="3">
        <v>4</v>
      </c>
      <c r="H229" s="3" t="str">
        <f t="shared" si="15"/>
        <v>🟢 OK</v>
      </c>
      <c r="I229" s="3">
        <f t="shared" si="16"/>
        <v>0</v>
      </c>
      <c r="J229" s="3" t="str">
        <f t="shared" si="17"/>
        <v>Traite</v>
      </c>
      <c r="K229" s="3" t="str">
        <f t="shared" si="18"/>
        <v/>
      </c>
      <c r="L229" s="3" t="str">
        <f t="shared" si="19"/>
        <v>Maintien</v>
      </c>
    </row>
    <row r="230" spans="1:12" x14ac:dyDescent="0.25">
      <c r="A230" s="2" t="s">
        <v>1173</v>
      </c>
      <c r="B230" s="2" t="s">
        <v>399</v>
      </c>
      <c r="C230" s="2" t="s">
        <v>806</v>
      </c>
      <c r="D230" s="2" t="s">
        <v>41</v>
      </c>
      <c r="E230" s="2" t="s">
        <v>135</v>
      </c>
      <c r="F230" s="2">
        <v>4</v>
      </c>
      <c r="G230" s="2">
        <v>4</v>
      </c>
      <c r="H230" s="2" t="str">
        <f t="shared" si="15"/>
        <v>🟢 OK</v>
      </c>
      <c r="I230" s="2">
        <f t="shared" si="16"/>
        <v>0</v>
      </c>
      <c r="J230" s="2" t="str">
        <f t="shared" si="17"/>
        <v>Traite</v>
      </c>
      <c r="K230" s="2" t="str">
        <f t="shared" si="18"/>
        <v/>
      </c>
      <c r="L230" s="2" t="str">
        <f t="shared" si="19"/>
        <v>Maintien</v>
      </c>
    </row>
    <row r="231" spans="1:12" x14ac:dyDescent="0.25">
      <c r="A231" s="3" t="s">
        <v>1174</v>
      </c>
      <c r="B231" s="3" t="s">
        <v>399</v>
      </c>
      <c r="C231" s="3" t="s">
        <v>806</v>
      </c>
      <c r="D231" s="3" t="s">
        <v>41</v>
      </c>
      <c r="E231" s="3" t="s">
        <v>212</v>
      </c>
      <c r="F231" s="3">
        <v>4</v>
      </c>
      <c r="G231" s="3">
        <v>3</v>
      </c>
      <c r="H231" s="3" t="str">
        <f t="shared" si="15"/>
        <v>🟢 OK</v>
      </c>
      <c r="I231" s="3">
        <f t="shared" si="16"/>
        <v>0</v>
      </c>
      <c r="J231" s="3" t="str">
        <f t="shared" si="17"/>
        <v>Traite</v>
      </c>
      <c r="K231" s="3" t="str">
        <f t="shared" si="18"/>
        <v/>
      </c>
      <c r="L231" s="3" t="str">
        <f t="shared" si="19"/>
        <v>Maintien</v>
      </c>
    </row>
    <row r="232" spans="1:12" x14ac:dyDescent="0.25">
      <c r="A232" s="2" t="s">
        <v>1175</v>
      </c>
      <c r="B232" s="2" t="s">
        <v>399</v>
      </c>
      <c r="C232" s="2" t="s">
        <v>806</v>
      </c>
      <c r="D232" s="2" t="s">
        <v>41</v>
      </c>
      <c r="E232" s="2" t="s">
        <v>233</v>
      </c>
      <c r="F232" s="2">
        <v>5</v>
      </c>
      <c r="G232" s="2">
        <v>3</v>
      </c>
      <c r="H232" s="2" t="str">
        <f t="shared" si="15"/>
        <v>🟢 OK</v>
      </c>
      <c r="I232" s="2">
        <f t="shared" si="16"/>
        <v>0</v>
      </c>
      <c r="J232" s="2" t="str">
        <f t="shared" si="17"/>
        <v>Traite</v>
      </c>
      <c r="K232" s="2" t="str">
        <f t="shared" si="18"/>
        <v/>
      </c>
      <c r="L232" s="2" t="str">
        <f t="shared" si="19"/>
        <v>Maintien</v>
      </c>
    </row>
    <row r="233" spans="1:12" x14ac:dyDescent="0.25">
      <c r="A233" s="3" t="s">
        <v>1176</v>
      </c>
      <c r="B233" s="3" t="s">
        <v>401</v>
      </c>
      <c r="C233" s="3" t="s">
        <v>817</v>
      </c>
      <c r="D233" s="3" t="s">
        <v>43</v>
      </c>
      <c r="E233" s="3" t="s">
        <v>139</v>
      </c>
      <c r="F233" s="3">
        <v>5</v>
      </c>
      <c r="G233" s="3">
        <v>3</v>
      </c>
      <c r="H233" s="3" t="str">
        <f t="shared" si="15"/>
        <v>🟢 OK</v>
      </c>
      <c r="I233" s="3">
        <f t="shared" si="16"/>
        <v>0</v>
      </c>
      <c r="J233" s="3" t="str">
        <f t="shared" si="17"/>
        <v>Traite</v>
      </c>
      <c r="K233" s="3" t="str">
        <f t="shared" si="18"/>
        <v/>
      </c>
      <c r="L233" s="3" t="str">
        <f t="shared" si="19"/>
        <v>Maintien</v>
      </c>
    </row>
    <row r="234" spans="1:12" x14ac:dyDescent="0.25">
      <c r="A234" s="2" t="s">
        <v>1177</v>
      </c>
      <c r="B234" s="2" t="s">
        <v>401</v>
      </c>
      <c r="C234" s="2" t="s">
        <v>817</v>
      </c>
      <c r="D234" s="2" t="s">
        <v>43</v>
      </c>
      <c r="E234" s="2" t="s">
        <v>146</v>
      </c>
      <c r="F234" s="2">
        <v>5</v>
      </c>
      <c r="G234" s="2">
        <v>4</v>
      </c>
      <c r="H234" s="2" t="str">
        <f t="shared" si="15"/>
        <v>🟢 OK</v>
      </c>
      <c r="I234" s="2">
        <f t="shared" si="16"/>
        <v>0</v>
      </c>
      <c r="J234" s="2" t="str">
        <f t="shared" si="17"/>
        <v>Traite</v>
      </c>
      <c r="K234" s="2" t="str">
        <f t="shared" si="18"/>
        <v/>
      </c>
      <c r="L234" s="2" t="str">
        <f t="shared" si="19"/>
        <v>Maintien</v>
      </c>
    </row>
    <row r="235" spans="1:12" x14ac:dyDescent="0.25">
      <c r="A235" s="3" t="s">
        <v>1178</v>
      </c>
      <c r="B235" s="3" t="s">
        <v>401</v>
      </c>
      <c r="C235" s="3" t="s">
        <v>817</v>
      </c>
      <c r="D235" s="3" t="s">
        <v>43</v>
      </c>
      <c r="E235" s="3" t="s">
        <v>160</v>
      </c>
      <c r="F235" s="3">
        <v>5</v>
      </c>
      <c r="G235" s="3">
        <v>3</v>
      </c>
      <c r="H235" s="3" t="str">
        <f t="shared" si="15"/>
        <v>🟢 OK</v>
      </c>
      <c r="I235" s="3">
        <f t="shared" si="16"/>
        <v>0</v>
      </c>
      <c r="J235" s="3" t="str">
        <f t="shared" si="17"/>
        <v>Traite</v>
      </c>
      <c r="K235" s="3" t="str">
        <f t="shared" si="18"/>
        <v/>
      </c>
      <c r="L235" s="3" t="str">
        <f t="shared" si="19"/>
        <v>Maintien</v>
      </c>
    </row>
    <row r="236" spans="1:12" x14ac:dyDescent="0.25">
      <c r="A236" s="2" t="s">
        <v>1179</v>
      </c>
      <c r="B236" s="2" t="s">
        <v>401</v>
      </c>
      <c r="C236" s="2" t="s">
        <v>817</v>
      </c>
      <c r="D236" s="2" t="s">
        <v>43</v>
      </c>
      <c r="E236" s="2" t="s">
        <v>202</v>
      </c>
      <c r="F236" s="2">
        <v>3</v>
      </c>
      <c r="G236" s="2">
        <v>2</v>
      </c>
      <c r="H236" s="2" t="str">
        <f t="shared" si="15"/>
        <v>🟢 OK</v>
      </c>
      <c r="I236" s="2">
        <f t="shared" si="16"/>
        <v>0</v>
      </c>
      <c r="J236" s="2" t="str">
        <f t="shared" si="17"/>
        <v>Traite</v>
      </c>
      <c r="K236" s="2" t="str">
        <f t="shared" si="18"/>
        <v/>
      </c>
      <c r="L236" s="2" t="str">
        <f t="shared" si="19"/>
        <v>Maintien</v>
      </c>
    </row>
    <row r="237" spans="1:12" x14ac:dyDescent="0.25">
      <c r="A237" s="3" t="s">
        <v>1180</v>
      </c>
      <c r="B237" s="3" t="s">
        <v>401</v>
      </c>
      <c r="C237" s="3" t="s">
        <v>817</v>
      </c>
      <c r="D237" s="3" t="s">
        <v>43</v>
      </c>
      <c r="E237" s="3" t="s">
        <v>228</v>
      </c>
      <c r="F237" s="3">
        <v>3</v>
      </c>
      <c r="G237" s="3">
        <v>2</v>
      </c>
      <c r="H237" s="3" t="str">
        <f t="shared" si="15"/>
        <v>🟢 OK</v>
      </c>
      <c r="I237" s="3">
        <f t="shared" si="16"/>
        <v>0</v>
      </c>
      <c r="J237" s="3" t="str">
        <f t="shared" si="17"/>
        <v>Traite</v>
      </c>
      <c r="K237" s="3" t="str">
        <f t="shared" si="18"/>
        <v/>
      </c>
      <c r="L237" s="3" t="str">
        <f t="shared" si="19"/>
        <v>Maintien</v>
      </c>
    </row>
    <row r="238" spans="1:12" x14ac:dyDescent="0.25">
      <c r="A238" s="2" t="s">
        <v>1181</v>
      </c>
      <c r="B238" s="2" t="s">
        <v>403</v>
      </c>
      <c r="C238" s="2" t="s">
        <v>826</v>
      </c>
      <c r="D238" s="2" t="s">
        <v>35</v>
      </c>
      <c r="E238" s="2" t="s">
        <v>139</v>
      </c>
      <c r="F238" s="2">
        <v>3</v>
      </c>
      <c r="G238" s="2">
        <v>4</v>
      </c>
      <c r="H238" s="2" t="str">
        <f t="shared" si="15"/>
        <v>🟡 Modere</v>
      </c>
      <c r="I238" s="2">
        <f t="shared" si="16"/>
        <v>20</v>
      </c>
      <c r="J238" s="2" t="str">
        <f t="shared" si="17"/>
        <v>A planifier</v>
      </c>
      <c r="K238" s="2" t="str">
        <f t="shared" si="18"/>
        <v>PF-0234</v>
      </c>
      <c r="L238" s="2" t="str">
        <f t="shared" si="19"/>
        <v>Coaching interne</v>
      </c>
    </row>
    <row r="239" spans="1:12" x14ac:dyDescent="0.25">
      <c r="A239" s="3" t="s">
        <v>1182</v>
      </c>
      <c r="B239" s="3" t="s">
        <v>403</v>
      </c>
      <c r="C239" s="3" t="s">
        <v>826</v>
      </c>
      <c r="D239" s="3" t="s">
        <v>35</v>
      </c>
      <c r="E239" s="3" t="s">
        <v>149</v>
      </c>
      <c r="F239" s="3">
        <v>4</v>
      </c>
      <c r="G239" s="3">
        <v>3</v>
      </c>
      <c r="H239" s="3" t="str">
        <f t="shared" si="15"/>
        <v>🟢 OK</v>
      </c>
      <c r="I239" s="3">
        <f t="shared" si="16"/>
        <v>0</v>
      </c>
      <c r="J239" s="3" t="str">
        <f t="shared" si="17"/>
        <v>Traite</v>
      </c>
      <c r="K239" s="3" t="str">
        <f t="shared" si="18"/>
        <v/>
      </c>
      <c r="L239" s="3" t="str">
        <f t="shared" si="19"/>
        <v>Maintien</v>
      </c>
    </row>
    <row r="240" spans="1:12" x14ac:dyDescent="0.25">
      <c r="A240" s="2" t="s">
        <v>1183</v>
      </c>
      <c r="B240" s="2" t="s">
        <v>403</v>
      </c>
      <c r="C240" s="2" t="s">
        <v>826</v>
      </c>
      <c r="D240" s="2" t="s">
        <v>35</v>
      </c>
      <c r="E240" s="2" t="s">
        <v>160</v>
      </c>
      <c r="F240" s="2">
        <v>2</v>
      </c>
      <c r="G240" s="2">
        <v>2</v>
      </c>
      <c r="H240" s="2" t="str">
        <f t="shared" si="15"/>
        <v>🟢 OK</v>
      </c>
      <c r="I240" s="2">
        <f t="shared" si="16"/>
        <v>0</v>
      </c>
      <c r="J240" s="2" t="str">
        <f t="shared" si="17"/>
        <v>Traite</v>
      </c>
      <c r="K240" s="2" t="str">
        <f t="shared" si="18"/>
        <v/>
      </c>
      <c r="L240" s="2" t="str">
        <f t="shared" si="19"/>
        <v>Maintien</v>
      </c>
    </row>
    <row r="241" spans="1:12" x14ac:dyDescent="0.25">
      <c r="A241" s="3" t="s">
        <v>1184</v>
      </c>
      <c r="B241" s="3" t="s">
        <v>403</v>
      </c>
      <c r="C241" s="3" t="s">
        <v>826</v>
      </c>
      <c r="D241" s="3" t="s">
        <v>35</v>
      </c>
      <c r="E241" s="3" t="s">
        <v>228</v>
      </c>
      <c r="F241" s="3">
        <v>1</v>
      </c>
      <c r="G241" s="3">
        <v>2</v>
      </c>
      <c r="H241" s="3" t="str">
        <f t="shared" si="15"/>
        <v>🟡 Modere</v>
      </c>
      <c r="I241" s="3">
        <f t="shared" si="16"/>
        <v>20</v>
      </c>
      <c r="J241" s="3" t="str">
        <f t="shared" si="17"/>
        <v>A planifier</v>
      </c>
      <c r="K241" s="3" t="str">
        <f t="shared" si="18"/>
        <v>PF-0237</v>
      </c>
      <c r="L241" s="3" t="str">
        <f t="shared" si="19"/>
        <v>Coaching interne</v>
      </c>
    </row>
    <row r="242" spans="1:12" x14ac:dyDescent="0.25">
      <c r="A242" s="2" t="s">
        <v>1185</v>
      </c>
      <c r="B242" s="2" t="s">
        <v>405</v>
      </c>
      <c r="C242" s="2" t="s">
        <v>832</v>
      </c>
      <c r="D242" s="2" t="s">
        <v>37</v>
      </c>
      <c r="E242" s="2" t="s">
        <v>165</v>
      </c>
      <c r="F242" s="2">
        <v>5</v>
      </c>
      <c r="G242" s="2">
        <v>4</v>
      </c>
      <c r="H242" s="2" t="str">
        <f t="shared" si="15"/>
        <v>🟢 OK</v>
      </c>
      <c r="I242" s="2">
        <f t="shared" si="16"/>
        <v>0</v>
      </c>
      <c r="J242" s="2" t="str">
        <f t="shared" si="17"/>
        <v>Traite</v>
      </c>
      <c r="K242" s="2" t="str">
        <f t="shared" si="18"/>
        <v/>
      </c>
      <c r="L242" s="2" t="str">
        <f t="shared" si="19"/>
        <v>Maintien</v>
      </c>
    </row>
    <row r="243" spans="1:12" x14ac:dyDescent="0.25">
      <c r="A243" s="3" t="s">
        <v>1186</v>
      </c>
      <c r="B243" s="3" t="s">
        <v>405</v>
      </c>
      <c r="C243" s="3" t="s">
        <v>832</v>
      </c>
      <c r="D243" s="3" t="s">
        <v>37</v>
      </c>
      <c r="E243" s="3" t="s">
        <v>181</v>
      </c>
      <c r="F243" s="3">
        <v>3</v>
      </c>
      <c r="G243" s="3">
        <v>3</v>
      </c>
      <c r="H243" s="3" t="str">
        <f t="shared" si="15"/>
        <v>🟢 OK</v>
      </c>
      <c r="I243" s="3">
        <f t="shared" si="16"/>
        <v>0</v>
      </c>
      <c r="J243" s="3" t="str">
        <f t="shared" si="17"/>
        <v>Traite</v>
      </c>
      <c r="K243" s="3" t="str">
        <f t="shared" si="18"/>
        <v/>
      </c>
      <c r="L243" s="3" t="str">
        <f t="shared" si="19"/>
        <v>Maintien</v>
      </c>
    </row>
    <row r="244" spans="1:12" x14ac:dyDescent="0.25">
      <c r="A244" s="2" t="s">
        <v>1187</v>
      </c>
      <c r="B244" s="2" t="s">
        <v>405</v>
      </c>
      <c r="C244" s="2" t="s">
        <v>832</v>
      </c>
      <c r="D244" s="2" t="s">
        <v>37</v>
      </c>
      <c r="E244" s="2" t="s">
        <v>218</v>
      </c>
      <c r="F244" s="2">
        <v>2</v>
      </c>
      <c r="G244" s="2">
        <v>2</v>
      </c>
      <c r="H244" s="2" t="str">
        <f t="shared" si="15"/>
        <v>🟢 OK</v>
      </c>
      <c r="I244" s="2">
        <f t="shared" si="16"/>
        <v>0</v>
      </c>
      <c r="J244" s="2" t="str">
        <f t="shared" si="17"/>
        <v>Traite</v>
      </c>
      <c r="K244" s="2" t="str">
        <f t="shared" si="18"/>
        <v/>
      </c>
      <c r="L244" s="2" t="str">
        <f t="shared" si="19"/>
        <v>Maintien</v>
      </c>
    </row>
    <row r="245" spans="1:12" x14ac:dyDescent="0.25">
      <c r="A245" s="3" t="s">
        <v>1188</v>
      </c>
      <c r="B245" s="3" t="s">
        <v>405</v>
      </c>
      <c r="C245" s="3" t="s">
        <v>832</v>
      </c>
      <c r="D245" s="3" t="s">
        <v>37</v>
      </c>
      <c r="E245" s="3" t="s">
        <v>223</v>
      </c>
      <c r="F245" s="3">
        <v>3</v>
      </c>
      <c r="G245" s="3">
        <v>2</v>
      </c>
      <c r="H245" s="3" t="str">
        <f t="shared" si="15"/>
        <v>🟢 OK</v>
      </c>
      <c r="I245" s="3">
        <f t="shared" si="16"/>
        <v>0</v>
      </c>
      <c r="J245" s="3" t="str">
        <f t="shared" si="17"/>
        <v>Traite</v>
      </c>
      <c r="K245" s="3" t="str">
        <f t="shared" si="18"/>
        <v/>
      </c>
      <c r="L245" s="3" t="str">
        <f t="shared" si="19"/>
        <v>Maintien</v>
      </c>
    </row>
    <row r="246" spans="1:12" x14ac:dyDescent="0.25">
      <c r="A246" s="2" t="s">
        <v>1189</v>
      </c>
      <c r="B246" s="2" t="s">
        <v>405</v>
      </c>
      <c r="C246" s="2" t="s">
        <v>832</v>
      </c>
      <c r="D246" s="2" t="s">
        <v>37</v>
      </c>
      <c r="E246" s="2" t="s">
        <v>228</v>
      </c>
      <c r="F246" s="2">
        <v>2</v>
      </c>
      <c r="G246" s="2">
        <v>2</v>
      </c>
      <c r="H246" s="2" t="str">
        <f t="shared" si="15"/>
        <v>🟢 OK</v>
      </c>
      <c r="I246" s="2">
        <f t="shared" si="16"/>
        <v>0</v>
      </c>
      <c r="J246" s="2" t="str">
        <f t="shared" si="17"/>
        <v>Traite</v>
      </c>
      <c r="K246" s="2" t="str">
        <f t="shared" si="18"/>
        <v/>
      </c>
      <c r="L246" s="2" t="str">
        <f t="shared" si="19"/>
        <v>Maintien</v>
      </c>
    </row>
    <row r="247" spans="1:12" x14ac:dyDescent="0.25">
      <c r="A247" s="3" t="s">
        <v>1190</v>
      </c>
      <c r="B247" s="3" t="s">
        <v>407</v>
      </c>
      <c r="C247" s="3" t="s">
        <v>840</v>
      </c>
      <c r="D247" s="3" t="s">
        <v>39</v>
      </c>
      <c r="E247" s="3" t="s">
        <v>171</v>
      </c>
      <c r="F247" s="3">
        <v>3</v>
      </c>
      <c r="G247" s="3">
        <v>4</v>
      </c>
      <c r="H247" s="3" t="str">
        <f t="shared" si="15"/>
        <v>🟡 Modere</v>
      </c>
      <c r="I247" s="3">
        <f t="shared" si="16"/>
        <v>20</v>
      </c>
      <c r="J247" s="3" t="str">
        <f t="shared" si="17"/>
        <v>A planifier</v>
      </c>
      <c r="K247" s="3" t="str">
        <f t="shared" si="18"/>
        <v>PF-0243</v>
      </c>
      <c r="L247" s="3" t="str">
        <f t="shared" si="19"/>
        <v>Coaching interne</v>
      </c>
    </row>
    <row r="248" spans="1:12" x14ac:dyDescent="0.25">
      <c r="A248" s="2" t="s">
        <v>1191</v>
      </c>
      <c r="B248" s="2" t="s">
        <v>407</v>
      </c>
      <c r="C248" s="2" t="s">
        <v>840</v>
      </c>
      <c r="D248" s="2" t="s">
        <v>39</v>
      </c>
      <c r="E248" s="2" t="s">
        <v>176</v>
      </c>
      <c r="F248" s="2">
        <v>3</v>
      </c>
      <c r="G248" s="2">
        <v>3</v>
      </c>
      <c r="H248" s="2" t="str">
        <f t="shared" si="15"/>
        <v>🟢 OK</v>
      </c>
      <c r="I248" s="2">
        <f t="shared" si="16"/>
        <v>0</v>
      </c>
      <c r="J248" s="2" t="str">
        <f t="shared" si="17"/>
        <v>Traite</v>
      </c>
      <c r="K248" s="2" t="str">
        <f t="shared" si="18"/>
        <v/>
      </c>
      <c r="L248" s="2" t="str">
        <f t="shared" si="19"/>
        <v>Maintien</v>
      </c>
    </row>
    <row r="249" spans="1:12" x14ac:dyDescent="0.25">
      <c r="A249" s="3" t="s">
        <v>1192</v>
      </c>
      <c r="B249" s="3" t="s">
        <v>407</v>
      </c>
      <c r="C249" s="3" t="s">
        <v>840</v>
      </c>
      <c r="D249" s="3" t="s">
        <v>39</v>
      </c>
      <c r="E249" s="3" t="s">
        <v>181</v>
      </c>
      <c r="F249" s="3">
        <v>3</v>
      </c>
      <c r="G249" s="3">
        <v>2</v>
      </c>
      <c r="H249" s="3" t="str">
        <f t="shared" si="15"/>
        <v>🟢 OK</v>
      </c>
      <c r="I249" s="3">
        <f t="shared" si="16"/>
        <v>0</v>
      </c>
      <c r="J249" s="3" t="str">
        <f t="shared" si="17"/>
        <v>Traite</v>
      </c>
      <c r="K249" s="3" t="str">
        <f t="shared" si="18"/>
        <v/>
      </c>
      <c r="L249" s="3" t="str">
        <f t="shared" si="19"/>
        <v>Maintien</v>
      </c>
    </row>
    <row r="250" spans="1:12" x14ac:dyDescent="0.25">
      <c r="A250" s="2" t="s">
        <v>1193</v>
      </c>
      <c r="B250" s="2" t="s">
        <v>407</v>
      </c>
      <c r="C250" s="2" t="s">
        <v>840</v>
      </c>
      <c r="D250" s="2" t="s">
        <v>39</v>
      </c>
      <c r="E250" s="2" t="s">
        <v>228</v>
      </c>
      <c r="F250" s="2">
        <v>2</v>
      </c>
      <c r="G250" s="2">
        <v>2</v>
      </c>
      <c r="H250" s="2" t="str">
        <f t="shared" si="15"/>
        <v>🟢 OK</v>
      </c>
      <c r="I250" s="2">
        <f t="shared" si="16"/>
        <v>0</v>
      </c>
      <c r="J250" s="2" t="str">
        <f t="shared" si="17"/>
        <v>Traite</v>
      </c>
      <c r="K250" s="2" t="str">
        <f t="shared" si="18"/>
        <v/>
      </c>
      <c r="L250" s="2" t="str">
        <f t="shared" si="19"/>
        <v>Maintien</v>
      </c>
    </row>
    <row r="251" spans="1:12" x14ac:dyDescent="0.25">
      <c r="A251" s="3" t="s">
        <v>1194</v>
      </c>
      <c r="B251" s="3" t="s">
        <v>409</v>
      </c>
      <c r="C251" s="3" t="s">
        <v>847</v>
      </c>
      <c r="D251" s="3" t="s">
        <v>41</v>
      </c>
      <c r="E251" s="3" t="s">
        <v>186</v>
      </c>
      <c r="F251" s="3">
        <v>5</v>
      </c>
      <c r="G251" s="3">
        <v>5</v>
      </c>
      <c r="H251" s="3" t="str">
        <f t="shared" si="15"/>
        <v>🟢 OK</v>
      </c>
      <c r="I251" s="3">
        <f t="shared" si="16"/>
        <v>0</v>
      </c>
      <c r="J251" s="3" t="str">
        <f t="shared" si="17"/>
        <v>Traite</v>
      </c>
      <c r="K251" s="3" t="str">
        <f t="shared" si="18"/>
        <v/>
      </c>
      <c r="L251" s="3" t="str">
        <f t="shared" si="19"/>
        <v>Maintien</v>
      </c>
    </row>
    <row r="252" spans="1:12" x14ac:dyDescent="0.25">
      <c r="A252" s="2" t="s">
        <v>1195</v>
      </c>
      <c r="B252" s="2" t="s">
        <v>409</v>
      </c>
      <c r="C252" s="2" t="s">
        <v>847</v>
      </c>
      <c r="D252" s="2" t="s">
        <v>41</v>
      </c>
      <c r="E252" s="2" t="s">
        <v>193</v>
      </c>
      <c r="F252" s="2">
        <v>3</v>
      </c>
      <c r="G252" s="2">
        <v>2</v>
      </c>
      <c r="H252" s="2" t="str">
        <f t="shared" si="15"/>
        <v>🟢 OK</v>
      </c>
      <c r="I252" s="2">
        <f t="shared" si="16"/>
        <v>0</v>
      </c>
      <c r="J252" s="2" t="str">
        <f t="shared" si="17"/>
        <v>Traite</v>
      </c>
      <c r="K252" s="2" t="str">
        <f t="shared" si="18"/>
        <v/>
      </c>
      <c r="L252" s="2" t="str">
        <f t="shared" si="19"/>
        <v>Maintien</v>
      </c>
    </row>
    <row r="253" spans="1:12" x14ac:dyDescent="0.25">
      <c r="A253" s="3" t="s">
        <v>1196</v>
      </c>
      <c r="B253" s="3" t="s">
        <v>409</v>
      </c>
      <c r="C253" s="3" t="s">
        <v>847</v>
      </c>
      <c r="D253" s="3" t="s">
        <v>41</v>
      </c>
      <c r="E253" s="3" t="s">
        <v>202</v>
      </c>
      <c r="F253" s="3">
        <v>5</v>
      </c>
      <c r="G253" s="3">
        <v>4</v>
      </c>
      <c r="H253" s="3" t="str">
        <f t="shared" si="15"/>
        <v>🟢 OK</v>
      </c>
      <c r="I253" s="3">
        <f t="shared" si="16"/>
        <v>0</v>
      </c>
      <c r="J253" s="3" t="str">
        <f t="shared" si="17"/>
        <v>Traite</v>
      </c>
      <c r="K253" s="3" t="str">
        <f t="shared" si="18"/>
        <v/>
      </c>
      <c r="L253" s="3" t="str">
        <f t="shared" si="19"/>
        <v>Maintien</v>
      </c>
    </row>
    <row r="254" spans="1:12" x14ac:dyDescent="0.25">
      <c r="A254" s="2" t="s">
        <v>1197</v>
      </c>
      <c r="B254" s="2" t="s">
        <v>409</v>
      </c>
      <c r="C254" s="2" t="s">
        <v>847</v>
      </c>
      <c r="D254" s="2" t="s">
        <v>41</v>
      </c>
      <c r="E254" s="2" t="s">
        <v>207</v>
      </c>
      <c r="F254" s="2">
        <v>3</v>
      </c>
      <c r="G254" s="2">
        <v>3</v>
      </c>
      <c r="H254" s="2" t="str">
        <f t="shared" si="15"/>
        <v>🟢 OK</v>
      </c>
      <c r="I254" s="2">
        <f t="shared" si="16"/>
        <v>0</v>
      </c>
      <c r="J254" s="2" t="str">
        <f t="shared" si="17"/>
        <v>Traite</v>
      </c>
      <c r="K254" s="2" t="str">
        <f t="shared" si="18"/>
        <v/>
      </c>
      <c r="L254" s="2" t="str">
        <f t="shared" si="19"/>
        <v>Maintien</v>
      </c>
    </row>
    <row r="255" spans="1:12" x14ac:dyDescent="0.25">
      <c r="A255" s="3" t="s">
        <v>1198</v>
      </c>
      <c r="B255" s="3" t="s">
        <v>409</v>
      </c>
      <c r="C255" s="3" t="s">
        <v>847</v>
      </c>
      <c r="D255" s="3" t="s">
        <v>41</v>
      </c>
      <c r="E255" s="3" t="s">
        <v>218</v>
      </c>
      <c r="F255" s="3">
        <v>2</v>
      </c>
      <c r="G255" s="3">
        <v>3</v>
      </c>
      <c r="H255" s="3" t="str">
        <f t="shared" si="15"/>
        <v>🟡 Modere</v>
      </c>
      <c r="I255" s="3">
        <f t="shared" si="16"/>
        <v>20</v>
      </c>
      <c r="J255" s="3" t="str">
        <f t="shared" si="17"/>
        <v>A planifier</v>
      </c>
      <c r="K255" s="3" t="str">
        <f t="shared" si="18"/>
        <v>PF-0251</v>
      </c>
      <c r="L255" s="3" t="str">
        <f t="shared" si="19"/>
        <v>Coaching interne</v>
      </c>
    </row>
    <row r="256" spans="1:12" x14ac:dyDescent="0.25">
      <c r="A256" s="2" t="s">
        <v>1199</v>
      </c>
      <c r="B256" s="2" t="s">
        <v>411</v>
      </c>
      <c r="C256" s="2" t="s">
        <v>853</v>
      </c>
      <c r="D256" s="2" t="s">
        <v>43</v>
      </c>
      <c r="E256" s="2" t="s">
        <v>186</v>
      </c>
      <c r="F256" s="2">
        <v>3</v>
      </c>
      <c r="G256" s="2">
        <v>3</v>
      </c>
      <c r="H256" s="2" t="str">
        <f t="shared" si="15"/>
        <v>🟢 OK</v>
      </c>
      <c r="I256" s="2">
        <f t="shared" si="16"/>
        <v>0</v>
      </c>
      <c r="J256" s="2" t="str">
        <f t="shared" si="17"/>
        <v>Traite</v>
      </c>
      <c r="K256" s="2" t="str">
        <f t="shared" si="18"/>
        <v/>
      </c>
      <c r="L256" s="2" t="str">
        <f t="shared" si="19"/>
        <v>Maintien</v>
      </c>
    </row>
    <row r="257" spans="1:12" x14ac:dyDescent="0.25">
      <c r="A257" s="3" t="s">
        <v>1200</v>
      </c>
      <c r="B257" s="3" t="s">
        <v>411</v>
      </c>
      <c r="C257" s="3" t="s">
        <v>853</v>
      </c>
      <c r="D257" s="3" t="s">
        <v>43</v>
      </c>
      <c r="E257" s="3" t="s">
        <v>193</v>
      </c>
      <c r="F257" s="3">
        <v>5</v>
      </c>
      <c r="G257" s="3">
        <v>5</v>
      </c>
      <c r="H257" s="3" t="str">
        <f t="shared" si="15"/>
        <v>🟢 OK</v>
      </c>
      <c r="I257" s="3">
        <f t="shared" si="16"/>
        <v>0</v>
      </c>
      <c r="J257" s="3" t="str">
        <f t="shared" si="17"/>
        <v>Traite</v>
      </c>
      <c r="K257" s="3" t="str">
        <f t="shared" si="18"/>
        <v/>
      </c>
      <c r="L257" s="3" t="str">
        <f t="shared" si="19"/>
        <v>Maintien</v>
      </c>
    </row>
    <row r="258" spans="1:12" x14ac:dyDescent="0.25">
      <c r="A258" s="2" t="s">
        <v>1201</v>
      </c>
      <c r="B258" s="2" t="s">
        <v>411</v>
      </c>
      <c r="C258" s="2" t="s">
        <v>853</v>
      </c>
      <c r="D258" s="2" t="s">
        <v>43</v>
      </c>
      <c r="E258" s="2" t="s">
        <v>198</v>
      </c>
      <c r="F258" s="2">
        <v>5</v>
      </c>
      <c r="G258" s="2">
        <v>4</v>
      </c>
      <c r="H258" s="2" t="str">
        <f t="shared" si="15"/>
        <v>🟢 OK</v>
      </c>
      <c r="I258" s="2">
        <f t="shared" si="16"/>
        <v>0</v>
      </c>
      <c r="J258" s="2" t="str">
        <f t="shared" si="17"/>
        <v>Traite</v>
      </c>
      <c r="K258" s="2" t="str">
        <f t="shared" si="18"/>
        <v/>
      </c>
      <c r="L258" s="2" t="str">
        <f t="shared" si="19"/>
        <v>Maintien</v>
      </c>
    </row>
    <row r="259" spans="1:12" x14ac:dyDescent="0.25">
      <c r="A259" s="3" t="s">
        <v>1202</v>
      </c>
      <c r="B259" s="3" t="s">
        <v>411</v>
      </c>
      <c r="C259" s="3" t="s">
        <v>853</v>
      </c>
      <c r="D259" s="3" t="s">
        <v>43</v>
      </c>
      <c r="E259" s="3" t="s">
        <v>202</v>
      </c>
      <c r="F259" s="3">
        <v>4</v>
      </c>
      <c r="G259" s="3">
        <v>3</v>
      </c>
      <c r="H259" s="3" t="str">
        <f t="shared" si="15"/>
        <v>🟢 OK</v>
      </c>
      <c r="I259" s="3">
        <f t="shared" si="16"/>
        <v>0</v>
      </c>
      <c r="J259" s="3" t="str">
        <f t="shared" si="17"/>
        <v>Traite</v>
      </c>
      <c r="K259" s="3" t="str">
        <f t="shared" si="18"/>
        <v/>
      </c>
      <c r="L259" s="3" t="str">
        <f t="shared" si="19"/>
        <v>Maintien</v>
      </c>
    </row>
    <row r="260" spans="1:12" x14ac:dyDescent="0.25">
      <c r="A260" s="2" t="s">
        <v>1203</v>
      </c>
      <c r="B260" s="2" t="s">
        <v>411</v>
      </c>
      <c r="C260" s="2" t="s">
        <v>853</v>
      </c>
      <c r="D260" s="2" t="s">
        <v>43</v>
      </c>
      <c r="E260" s="2" t="s">
        <v>218</v>
      </c>
      <c r="F260" s="2">
        <v>4</v>
      </c>
      <c r="G260" s="2">
        <v>3</v>
      </c>
      <c r="H260" s="2" t="str">
        <f t="shared" si="15"/>
        <v>🟢 OK</v>
      </c>
      <c r="I260" s="2">
        <f t="shared" si="16"/>
        <v>0</v>
      </c>
      <c r="J260" s="2" t="str">
        <f t="shared" si="17"/>
        <v>Traite</v>
      </c>
      <c r="K260" s="2" t="str">
        <f t="shared" si="18"/>
        <v/>
      </c>
      <c r="L260" s="2" t="str">
        <f t="shared" si="19"/>
        <v>Maintien</v>
      </c>
    </row>
    <row r="261" spans="1:12" x14ac:dyDescent="0.25">
      <c r="A261" s="3" t="s">
        <v>1204</v>
      </c>
      <c r="B261" s="3" t="s">
        <v>413</v>
      </c>
      <c r="C261" s="3" t="s">
        <v>860</v>
      </c>
      <c r="D261" s="3" t="s">
        <v>35</v>
      </c>
      <c r="E261" s="3" t="s">
        <v>207</v>
      </c>
      <c r="F261" s="3">
        <v>2</v>
      </c>
      <c r="G261" s="3">
        <v>3</v>
      </c>
      <c r="H261" s="3" t="str">
        <f t="shared" ref="H261:H324" si="20">IF(F261-G261&gt;=0,"🟢 OK",IF(F261-G261=-1,"🟡 Modere","🔴 Critique"))</f>
        <v>🟡 Modere</v>
      </c>
      <c r="I261" s="3">
        <f t="shared" ref="I261:I324" si="21">MAX(0,(G261-F261)*20)+IF(H261="🔴 Critique",25,0)</f>
        <v>20</v>
      </c>
      <c r="J261" s="3" t="str">
        <f t="shared" ref="J261:J310" si="22">IF(H261="🟢 OK","Traite",IF(H261="🔴 Critique","Non traite","A planifier"))</f>
        <v>A planifier</v>
      </c>
      <c r="K261" s="3" t="str">
        <f t="shared" ref="K261:K310" si="23">IF(H261="🟢 OK","","PF-"&amp;TEXT(ROW()-4,"0000"))</f>
        <v>PF-0257</v>
      </c>
      <c r="L261" s="3" t="str">
        <f t="shared" ref="L261:L310" si="24">IF(H261="🟢 OK","Maintien",IF(H261="🔴 Critique","Formation urgente","Coaching interne"))</f>
        <v>Coaching interne</v>
      </c>
    </row>
    <row r="262" spans="1:12" x14ac:dyDescent="0.25">
      <c r="A262" s="2" t="s">
        <v>1205</v>
      </c>
      <c r="B262" s="2" t="s">
        <v>413</v>
      </c>
      <c r="C262" s="2" t="s">
        <v>860</v>
      </c>
      <c r="D262" s="2" t="s">
        <v>35</v>
      </c>
      <c r="E262" s="2" t="s">
        <v>212</v>
      </c>
      <c r="F262" s="2">
        <v>5</v>
      </c>
      <c r="G262" s="2">
        <v>5</v>
      </c>
      <c r="H262" s="2" t="str">
        <f t="shared" si="20"/>
        <v>🟢 OK</v>
      </c>
      <c r="I262" s="2">
        <f t="shared" si="21"/>
        <v>0</v>
      </c>
      <c r="J262" s="2" t="str">
        <f t="shared" si="22"/>
        <v>Traite</v>
      </c>
      <c r="K262" s="2" t="str">
        <f t="shared" si="23"/>
        <v/>
      </c>
      <c r="L262" s="2" t="str">
        <f t="shared" si="24"/>
        <v>Maintien</v>
      </c>
    </row>
    <row r="263" spans="1:12" x14ac:dyDescent="0.25">
      <c r="A263" s="3" t="s">
        <v>1206</v>
      </c>
      <c r="B263" s="3" t="s">
        <v>413</v>
      </c>
      <c r="C263" s="3" t="s">
        <v>860</v>
      </c>
      <c r="D263" s="3" t="s">
        <v>35</v>
      </c>
      <c r="E263" s="3" t="s">
        <v>218</v>
      </c>
      <c r="F263" s="3">
        <v>5</v>
      </c>
      <c r="G263" s="3">
        <v>4</v>
      </c>
      <c r="H263" s="3" t="str">
        <f t="shared" si="20"/>
        <v>🟢 OK</v>
      </c>
      <c r="I263" s="3">
        <f t="shared" si="21"/>
        <v>0</v>
      </c>
      <c r="J263" s="3" t="str">
        <f t="shared" si="22"/>
        <v>Traite</v>
      </c>
      <c r="K263" s="3" t="str">
        <f t="shared" si="23"/>
        <v/>
      </c>
      <c r="L263" s="3" t="str">
        <f t="shared" si="24"/>
        <v>Maintien</v>
      </c>
    </row>
    <row r="264" spans="1:12" x14ac:dyDescent="0.25">
      <c r="A264" s="2" t="s">
        <v>1207</v>
      </c>
      <c r="B264" s="2" t="s">
        <v>413</v>
      </c>
      <c r="C264" s="2" t="s">
        <v>860</v>
      </c>
      <c r="D264" s="2" t="s">
        <v>35</v>
      </c>
      <c r="E264" s="2" t="s">
        <v>223</v>
      </c>
      <c r="F264" s="2">
        <v>2</v>
      </c>
      <c r="G264" s="2">
        <v>3</v>
      </c>
      <c r="H264" s="2" t="str">
        <f t="shared" si="20"/>
        <v>🟡 Modere</v>
      </c>
      <c r="I264" s="2">
        <f t="shared" si="21"/>
        <v>20</v>
      </c>
      <c r="J264" s="2" t="str">
        <f t="shared" si="22"/>
        <v>A planifier</v>
      </c>
      <c r="K264" s="2" t="str">
        <f t="shared" si="23"/>
        <v>PF-0260</v>
      </c>
      <c r="L264" s="2" t="str">
        <f t="shared" si="24"/>
        <v>Coaching interne</v>
      </c>
    </row>
    <row r="265" spans="1:12" x14ac:dyDescent="0.25">
      <c r="A265" s="3" t="s">
        <v>1208</v>
      </c>
      <c r="B265" s="3" t="s">
        <v>413</v>
      </c>
      <c r="C265" s="3" t="s">
        <v>860</v>
      </c>
      <c r="D265" s="3" t="s">
        <v>35</v>
      </c>
      <c r="E265" s="3" t="s">
        <v>228</v>
      </c>
      <c r="F265" s="3">
        <v>4</v>
      </c>
      <c r="G265" s="3">
        <v>3</v>
      </c>
      <c r="H265" s="3" t="str">
        <f t="shared" si="20"/>
        <v>🟢 OK</v>
      </c>
      <c r="I265" s="3">
        <f t="shared" si="21"/>
        <v>0</v>
      </c>
      <c r="J265" s="3" t="str">
        <f t="shared" si="22"/>
        <v>Traite</v>
      </c>
      <c r="K265" s="3" t="str">
        <f t="shared" si="23"/>
        <v/>
      </c>
      <c r="L265" s="3" t="str">
        <f t="shared" si="24"/>
        <v>Maintien</v>
      </c>
    </row>
    <row r="266" spans="1:12" x14ac:dyDescent="0.25">
      <c r="A266" s="2" t="s">
        <v>1209</v>
      </c>
      <c r="B266" s="2" t="s">
        <v>413</v>
      </c>
      <c r="C266" s="2" t="s">
        <v>860</v>
      </c>
      <c r="D266" s="2" t="s">
        <v>35</v>
      </c>
      <c r="E266" s="2" t="s">
        <v>233</v>
      </c>
      <c r="F266" s="2">
        <v>4</v>
      </c>
      <c r="G266" s="2">
        <v>4</v>
      </c>
      <c r="H266" s="2" t="str">
        <f t="shared" si="20"/>
        <v>🟢 OK</v>
      </c>
      <c r="I266" s="2">
        <f t="shared" si="21"/>
        <v>0</v>
      </c>
      <c r="J266" s="2" t="str">
        <f t="shared" si="22"/>
        <v>Traite</v>
      </c>
      <c r="K266" s="2" t="str">
        <f t="shared" si="23"/>
        <v/>
      </c>
      <c r="L266" s="2" t="str">
        <f t="shared" si="24"/>
        <v>Maintien</v>
      </c>
    </row>
    <row r="267" spans="1:12" x14ac:dyDescent="0.25">
      <c r="A267" s="3" t="s">
        <v>1210</v>
      </c>
      <c r="B267" s="3" t="s">
        <v>415</v>
      </c>
      <c r="C267" s="3" t="s">
        <v>868</v>
      </c>
      <c r="D267" s="3" t="s">
        <v>37</v>
      </c>
      <c r="E267" s="3" t="s">
        <v>207</v>
      </c>
      <c r="F267" s="3">
        <v>3</v>
      </c>
      <c r="G267" s="3">
        <v>3</v>
      </c>
      <c r="H267" s="3" t="str">
        <f t="shared" si="20"/>
        <v>🟢 OK</v>
      </c>
      <c r="I267" s="3">
        <f t="shared" si="21"/>
        <v>0</v>
      </c>
      <c r="J267" s="3" t="str">
        <f t="shared" si="22"/>
        <v>Traite</v>
      </c>
      <c r="K267" s="3" t="str">
        <f t="shared" si="23"/>
        <v/>
      </c>
      <c r="L267" s="3" t="str">
        <f t="shared" si="24"/>
        <v>Maintien</v>
      </c>
    </row>
    <row r="268" spans="1:12" x14ac:dyDescent="0.25">
      <c r="A268" s="2" t="s">
        <v>1211</v>
      </c>
      <c r="B268" s="2" t="s">
        <v>415</v>
      </c>
      <c r="C268" s="2" t="s">
        <v>868</v>
      </c>
      <c r="D268" s="2" t="s">
        <v>37</v>
      </c>
      <c r="E268" s="2" t="s">
        <v>212</v>
      </c>
      <c r="F268" s="2">
        <v>3</v>
      </c>
      <c r="G268" s="2">
        <v>5</v>
      </c>
      <c r="H268" s="2" t="str">
        <f t="shared" si="20"/>
        <v>🔴 Critique</v>
      </c>
      <c r="I268" s="2">
        <f t="shared" si="21"/>
        <v>65</v>
      </c>
      <c r="J268" s="2" t="str">
        <f t="shared" si="22"/>
        <v>Non traite</v>
      </c>
      <c r="K268" s="2" t="str">
        <f t="shared" si="23"/>
        <v>PF-0264</v>
      </c>
      <c r="L268" s="2" t="str">
        <f t="shared" si="24"/>
        <v>Formation urgente</v>
      </c>
    </row>
    <row r="269" spans="1:12" x14ac:dyDescent="0.25">
      <c r="A269" s="3" t="s">
        <v>1212</v>
      </c>
      <c r="B269" s="3" t="s">
        <v>415</v>
      </c>
      <c r="C269" s="3" t="s">
        <v>868</v>
      </c>
      <c r="D269" s="3" t="s">
        <v>37</v>
      </c>
      <c r="E269" s="3" t="s">
        <v>218</v>
      </c>
      <c r="F269" s="3">
        <v>3</v>
      </c>
      <c r="G269" s="3">
        <v>4</v>
      </c>
      <c r="H269" s="3" t="str">
        <f t="shared" si="20"/>
        <v>🟡 Modere</v>
      </c>
      <c r="I269" s="3">
        <f t="shared" si="21"/>
        <v>20</v>
      </c>
      <c r="J269" s="3" t="str">
        <f t="shared" si="22"/>
        <v>A planifier</v>
      </c>
      <c r="K269" s="3" t="str">
        <f t="shared" si="23"/>
        <v>PF-0265</v>
      </c>
      <c r="L269" s="3" t="str">
        <f t="shared" si="24"/>
        <v>Coaching interne</v>
      </c>
    </row>
    <row r="270" spans="1:12" x14ac:dyDescent="0.25">
      <c r="A270" s="2" t="s">
        <v>1213</v>
      </c>
      <c r="B270" s="2" t="s">
        <v>415</v>
      </c>
      <c r="C270" s="2" t="s">
        <v>868</v>
      </c>
      <c r="D270" s="2" t="s">
        <v>37</v>
      </c>
      <c r="E270" s="2" t="s">
        <v>223</v>
      </c>
      <c r="F270" s="2">
        <v>4</v>
      </c>
      <c r="G270" s="2">
        <v>3</v>
      </c>
      <c r="H270" s="2" t="str">
        <f t="shared" si="20"/>
        <v>🟢 OK</v>
      </c>
      <c r="I270" s="2">
        <f t="shared" si="21"/>
        <v>0</v>
      </c>
      <c r="J270" s="2" t="str">
        <f t="shared" si="22"/>
        <v>Traite</v>
      </c>
      <c r="K270" s="2" t="str">
        <f t="shared" si="23"/>
        <v/>
      </c>
      <c r="L270" s="2" t="str">
        <f t="shared" si="24"/>
        <v>Maintien</v>
      </c>
    </row>
    <row r="271" spans="1:12" x14ac:dyDescent="0.25">
      <c r="A271" s="3" t="s">
        <v>1214</v>
      </c>
      <c r="B271" s="3" t="s">
        <v>415</v>
      </c>
      <c r="C271" s="3" t="s">
        <v>868</v>
      </c>
      <c r="D271" s="3" t="s">
        <v>37</v>
      </c>
      <c r="E271" s="3" t="s">
        <v>233</v>
      </c>
      <c r="F271" s="3">
        <v>2</v>
      </c>
      <c r="G271" s="3">
        <v>3</v>
      </c>
      <c r="H271" s="3" t="str">
        <f t="shared" si="20"/>
        <v>🟡 Modere</v>
      </c>
      <c r="I271" s="3">
        <f t="shared" si="21"/>
        <v>20</v>
      </c>
      <c r="J271" s="3" t="str">
        <f t="shared" si="22"/>
        <v>A planifier</v>
      </c>
      <c r="K271" s="3" t="str">
        <f t="shared" si="23"/>
        <v>PF-0267</v>
      </c>
      <c r="L271" s="3" t="str">
        <f t="shared" si="24"/>
        <v>Coaching interne</v>
      </c>
    </row>
    <row r="272" spans="1:12" x14ac:dyDescent="0.25">
      <c r="A272" s="2" t="s">
        <v>1215</v>
      </c>
      <c r="B272" s="2" t="s">
        <v>417</v>
      </c>
      <c r="C272" s="2" t="s">
        <v>876</v>
      </c>
      <c r="D272" s="2" t="s">
        <v>39</v>
      </c>
      <c r="E272" s="2" t="s">
        <v>202</v>
      </c>
      <c r="F272" s="2">
        <v>3</v>
      </c>
      <c r="G272" s="2">
        <v>2</v>
      </c>
      <c r="H272" s="2" t="str">
        <f t="shared" si="20"/>
        <v>🟢 OK</v>
      </c>
      <c r="I272" s="2">
        <f t="shared" si="21"/>
        <v>0</v>
      </c>
      <c r="J272" s="2" t="str">
        <f t="shared" si="22"/>
        <v>Traite</v>
      </c>
      <c r="K272" s="2" t="str">
        <f t="shared" si="23"/>
        <v/>
      </c>
      <c r="L272" s="2" t="str">
        <f t="shared" si="24"/>
        <v>Maintien</v>
      </c>
    </row>
    <row r="273" spans="1:12" x14ac:dyDescent="0.25">
      <c r="A273" s="3" t="s">
        <v>1216</v>
      </c>
      <c r="B273" s="3" t="s">
        <v>417</v>
      </c>
      <c r="C273" s="3" t="s">
        <v>876</v>
      </c>
      <c r="D273" s="3" t="s">
        <v>39</v>
      </c>
      <c r="E273" s="3" t="s">
        <v>207</v>
      </c>
      <c r="F273" s="3">
        <v>5</v>
      </c>
      <c r="G273" s="3">
        <v>3</v>
      </c>
      <c r="H273" s="3" t="str">
        <f t="shared" si="20"/>
        <v>🟢 OK</v>
      </c>
      <c r="I273" s="3">
        <f t="shared" si="21"/>
        <v>0</v>
      </c>
      <c r="J273" s="3" t="str">
        <f t="shared" si="22"/>
        <v>Traite</v>
      </c>
      <c r="K273" s="3" t="str">
        <f t="shared" si="23"/>
        <v/>
      </c>
      <c r="L273" s="3" t="str">
        <f t="shared" si="24"/>
        <v>Maintien</v>
      </c>
    </row>
    <row r="274" spans="1:12" x14ac:dyDescent="0.25">
      <c r="A274" s="2" t="s">
        <v>1217</v>
      </c>
      <c r="B274" s="2" t="s">
        <v>417</v>
      </c>
      <c r="C274" s="2" t="s">
        <v>876</v>
      </c>
      <c r="D274" s="2" t="s">
        <v>39</v>
      </c>
      <c r="E274" s="2" t="s">
        <v>212</v>
      </c>
      <c r="F274" s="2">
        <v>5</v>
      </c>
      <c r="G274" s="2">
        <v>3</v>
      </c>
      <c r="H274" s="2" t="str">
        <f t="shared" si="20"/>
        <v>🟢 OK</v>
      </c>
      <c r="I274" s="2">
        <f t="shared" si="21"/>
        <v>0</v>
      </c>
      <c r="J274" s="2" t="str">
        <f t="shared" si="22"/>
        <v>Traite</v>
      </c>
      <c r="K274" s="2" t="str">
        <f t="shared" si="23"/>
        <v/>
      </c>
      <c r="L274" s="2" t="str">
        <f t="shared" si="24"/>
        <v>Maintien</v>
      </c>
    </row>
    <row r="275" spans="1:12" x14ac:dyDescent="0.25">
      <c r="A275" s="3" t="s">
        <v>1218</v>
      </c>
      <c r="B275" s="3" t="s">
        <v>417</v>
      </c>
      <c r="C275" s="3" t="s">
        <v>876</v>
      </c>
      <c r="D275" s="3" t="s">
        <v>39</v>
      </c>
      <c r="E275" s="3" t="s">
        <v>218</v>
      </c>
      <c r="F275" s="3">
        <v>5</v>
      </c>
      <c r="G275" s="3">
        <v>4</v>
      </c>
      <c r="H275" s="3" t="str">
        <f t="shared" si="20"/>
        <v>🟢 OK</v>
      </c>
      <c r="I275" s="3">
        <f t="shared" si="21"/>
        <v>0</v>
      </c>
      <c r="J275" s="3" t="str">
        <f t="shared" si="22"/>
        <v>Traite</v>
      </c>
      <c r="K275" s="3" t="str">
        <f t="shared" si="23"/>
        <v/>
      </c>
      <c r="L275" s="3" t="str">
        <f t="shared" si="24"/>
        <v>Maintien</v>
      </c>
    </row>
    <row r="276" spans="1:12" x14ac:dyDescent="0.25">
      <c r="A276" s="2" t="s">
        <v>1219</v>
      </c>
      <c r="B276" s="2" t="s">
        <v>417</v>
      </c>
      <c r="C276" s="2" t="s">
        <v>876</v>
      </c>
      <c r="D276" s="2" t="s">
        <v>39</v>
      </c>
      <c r="E276" s="2" t="s">
        <v>223</v>
      </c>
      <c r="F276" s="2">
        <v>4</v>
      </c>
      <c r="G276" s="2">
        <v>4</v>
      </c>
      <c r="H276" s="2" t="str">
        <f t="shared" si="20"/>
        <v>🟢 OK</v>
      </c>
      <c r="I276" s="2">
        <f t="shared" si="21"/>
        <v>0</v>
      </c>
      <c r="J276" s="2" t="str">
        <f t="shared" si="22"/>
        <v>Traite</v>
      </c>
      <c r="K276" s="2" t="str">
        <f t="shared" si="23"/>
        <v/>
      </c>
      <c r="L276" s="2" t="str">
        <f t="shared" si="24"/>
        <v>Maintien</v>
      </c>
    </row>
    <row r="277" spans="1:12" x14ac:dyDescent="0.25">
      <c r="A277" s="3" t="s">
        <v>1220</v>
      </c>
      <c r="B277" s="3" t="s">
        <v>417</v>
      </c>
      <c r="C277" s="3" t="s">
        <v>876</v>
      </c>
      <c r="D277" s="3" t="s">
        <v>39</v>
      </c>
      <c r="E277" s="3" t="s">
        <v>233</v>
      </c>
      <c r="F277" s="3">
        <v>4</v>
      </c>
      <c r="G277" s="3">
        <v>3</v>
      </c>
      <c r="H277" s="3" t="str">
        <f t="shared" si="20"/>
        <v>🟢 OK</v>
      </c>
      <c r="I277" s="3">
        <f t="shared" si="21"/>
        <v>0</v>
      </c>
      <c r="J277" s="3" t="str">
        <f t="shared" si="22"/>
        <v>Traite</v>
      </c>
      <c r="K277" s="3" t="str">
        <f t="shared" si="23"/>
        <v/>
      </c>
      <c r="L277" s="3" t="str">
        <f t="shared" si="24"/>
        <v>Maintien</v>
      </c>
    </row>
    <row r="278" spans="1:12" x14ac:dyDescent="0.25">
      <c r="A278" s="2" t="s">
        <v>1221</v>
      </c>
      <c r="B278" s="2" t="s">
        <v>419</v>
      </c>
      <c r="C278" s="2" t="s">
        <v>888</v>
      </c>
      <c r="D278" s="2" t="s">
        <v>41</v>
      </c>
      <c r="E278" s="2" t="s">
        <v>202</v>
      </c>
      <c r="F278" s="2">
        <v>4</v>
      </c>
      <c r="G278" s="2">
        <v>4</v>
      </c>
      <c r="H278" s="2" t="str">
        <f t="shared" si="20"/>
        <v>🟢 OK</v>
      </c>
      <c r="I278" s="2">
        <f t="shared" si="21"/>
        <v>0</v>
      </c>
      <c r="J278" s="2" t="str">
        <f t="shared" si="22"/>
        <v>Traite</v>
      </c>
      <c r="K278" s="2" t="str">
        <f t="shared" si="23"/>
        <v/>
      </c>
      <c r="L278" s="2" t="str">
        <f t="shared" si="24"/>
        <v>Maintien</v>
      </c>
    </row>
    <row r="279" spans="1:12" x14ac:dyDescent="0.25">
      <c r="A279" s="3" t="s">
        <v>1222</v>
      </c>
      <c r="B279" s="3" t="s">
        <v>419</v>
      </c>
      <c r="C279" s="3" t="s">
        <v>888</v>
      </c>
      <c r="D279" s="3" t="s">
        <v>41</v>
      </c>
      <c r="E279" s="3" t="s">
        <v>223</v>
      </c>
      <c r="F279" s="3">
        <v>2</v>
      </c>
      <c r="G279" s="3">
        <v>2</v>
      </c>
      <c r="H279" s="3" t="str">
        <f t="shared" si="20"/>
        <v>🟢 OK</v>
      </c>
      <c r="I279" s="3">
        <f t="shared" si="21"/>
        <v>0</v>
      </c>
      <c r="J279" s="3" t="str">
        <f t="shared" si="22"/>
        <v>Traite</v>
      </c>
      <c r="K279" s="3" t="str">
        <f t="shared" si="23"/>
        <v/>
      </c>
      <c r="L279" s="3" t="str">
        <f t="shared" si="24"/>
        <v>Maintien</v>
      </c>
    </row>
    <row r="280" spans="1:12" x14ac:dyDescent="0.25">
      <c r="A280" s="2" t="s">
        <v>1223</v>
      </c>
      <c r="B280" s="2" t="s">
        <v>419</v>
      </c>
      <c r="C280" s="2" t="s">
        <v>888</v>
      </c>
      <c r="D280" s="2" t="s">
        <v>41</v>
      </c>
      <c r="E280" s="2" t="s">
        <v>228</v>
      </c>
      <c r="F280" s="2">
        <v>5</v>
      </c>
      <c r="G280" s="2">
        <v>5</v>
      </c>
      <c r="H280" s="2" t="str">
        <f t="shared" si="20"/>
        <v>🟢 OK</v>
      </c>
      <c r="I280" s="2">
        <f t="shared" si="21"/>
        <v>0</v>
      </c>
      <c r="J280" s="2" t="str">
        <f t="shared" si="22"/>
        <v>Traite</v>
      </c>
      <c r="K280" s="2" t="str">
        <f t="shared" si="23"/>
        <v/>
      </c>
      <c r="L280" s="2" t="str">
        <f t="shared" si="24"/>
        <v>Maintien</v>
      </c>
    </row>
    <row r="281" spans="1:12" x14ac:dyDescent="0.25">
      <c r="A281" s="3" t="s">
        <v>1224</v>
      </c>
      <c r="B281" s="3" t="s">
        <v>419</v>
      </c>
      <c r="C281" s="3" t="s">
        <v>888</v>
      </c>
      <c r="D281" s="3" t="s">
        <v>41</v>
      </c>
      <c r="E281" s="3" t="s">
        <v>233</v>
      </c>
      <c r="F281" s="3">
        <v>5</v>
      </c>
      <c r="G281" s="3">
        <v>3</v>
      </c>
      <c r="H281" s="3" t="str">
        <f t="shared" si="20"/>
        <v>🟢 OK</v>
      </c>
      <c r="I281" s="3">
        <f t="shared" si="21"/>
        <v>0</v>
      </c>
      <c r="J281" s="3" t="str">
        <f t="shared" si="22"/>
        <v>Traite</v>
      </c>
      <c r="K281" s="3" t="str">
        <f t="shared" si="23"/>
        <v/>
      </c>
      <c r="L281" s="3" t="str">
        <f t="shared" si="24"/>
        <v>Maintien</v>
      </c>
    </row>
    <row r="282" spans="1:12" x14ac:dyDescent="0.25">
      <c r="A282" s="2" t="s">
        <v>1225</v>
      </c>
      <c r="B282" s="2" t="s">
        <v>421</v>
      </c>
      <c r="C282" s="2" t="s">
        <v>895</v>
      </c>
      <c r="D282" s="2" t="s">
        <v>43</v>
      </c>
      <c r="E282" s="2" t="s">
        <v>146</v>
      </c>
      <c r="F282" s="2">
        <v>2</v>
      </c>
      <c r="G282" s="2">
        <v>2</v>
      </c>
      <c r="H282" s="2" t="str">
        <f t="shared" si="20"/>
        <v>🟢 OK</v>
      </c>
      <c r="I282" s="2">
        <f t="shared" si="21"/>
        <v>0</v>
      </c>
      <c r="J282" s="2" t="str">
        <f t="shared" si="22"/>
        <v>Traite</v>
      </c>
      <c r="K282" s="2" t="str">
        <f t="shared" si="23"/>
        <v/>
      </c>
      <c r="L282" s="2" t="str">
        <f t="shared" si="24"/>
        <v>Maintien</v>
      </c>
    </row>
    <row r="283" spans="1:12" x14ac:dyDescent="0.25">
      <c r="A283" s="3" t="s">
        <v>1226</v>
      </c>
      <c r="B283" s="3" t="s">
        <v>421</v>
      </c>
      <c r="C283" s="3" t="s">
        <v>895</v>
      </c>
      <c r="D283" s="3" t="s">
        <v>43</v>
      </c>
      <c r="E283" s="3" t="s">
        <v>160</v>
      </c>
      <c r="F283" s="3">
        <v>4</v>
      </c>
      <c r="G283" s="3">
        <v>4</v>
      </c>
      <c r="H283" s="3" t="str">
        <f t="shared" si="20"/>
        <v>🟢 OK</v>
      </c>
      <c r="I283" s="3">
        <f t="shared" si="21"/>
        <v>0</v>
      </c>
      <c r="J283" s="3" t="str">
        <f t="shared" si="22"/>
        <v>Traite</v>
      </c>
      <c r="K283" s="3" t="str">
        <f t="shared" si="23"/>
        <v/>
      </c>
      <c r="L283" s="3" t="str">
        <f t="shared" si="24"/>
        <v>Maintien</v>
      </c>
    </row>
    <row r="284" spans="1:12" x14ac:dyDescent="0.25">
      <c r="A284" s="2" t="s">
        <v>1227</v>
      </c>
      <c r="B284" s="2" t="s">
        <v>421</v>
      </c>
      <c r="C284" s="2" t="s">
        <v>895</v>
      </c>
      <c r="D284" s="2" t="s">
        <v>43</v>
      </c>
      <c r="E284" s="2" t="s">
        <v>186</v>
      </c>
      <c r="F284" s="2">
        <v>3</v>
      </c>
      <c r="G284" s="2">
        <v>3</v>
      </c>
      <c r="H284" s="2" t="str">
        <f t="shared" si="20"/>
        <v>🟢 OK</v>
      </c>
      <c r="I284" s="2">
        <f t="shared" si="21"/>
        <v>0</v>
      </c>
      <c r="J284" s="2" t="str">
        <f t="shared" si="22"/>
        <v>Traite</v>
      </c>
      <c r="K284" s="2" t="str">
        <f t="shared" si="23"/>
        <v/>
      </c>
      <c r="L284" s="2" t="str">
        <f t="shared" si="24"/>
        <v>Maintien</v>
      </c>
    </row>
    <row r="285" spans="1:12" x14ac:dyDescent="0.25">
      <c r="A285" s="3" t="s">
        <v>1228</v>
      </c>
      <c r="B285" s="3" t="s">
        <v>421</v>
      </c>
      <c r="C285" s="3" t="s">
        <v>895</v>
      </c>
      <c r="D285" s="3" t="s">
        <v>43</v>
      </c>
      <c r="E285" s="3" t="s">
        <v>202</v>
      </c>
      <c r="F285" s="3">
        <v>3</v>
      </c>
      <c r="G285" s="3">
        <v>3</v>
      </c>
      <c r="H285" s="3" t="str">
        <f t="shared" si="20"/>
        <v>🟢 OK</v>
      </c>
      <c r="I285" s="3">
        <f t="shared" si="21"/>
        <v>0</v>
      </c>
      <c r="J285" s="3" t="str">
        <f t="shared" si="22"/>
        <v>Traite</v>
      </c>
      <c r="K285" s="3" t="str">
        <f t="shared" si="23"/>
        <v/>
      </c>
      <c r="L285" s="3" t="str">
        <f t="shared" si="24"/>
        <v>Maintien</v>
      </c>
    </row>
    <row r="286" spans="1:12" x14ac:dyDescent="0.25">
      <c r="A286" s="2" t="s">
        <v>1229</v>
      </c>
      <c r="B286" s="2" t="s">
        <v>421</v>
      </c>
      <c r="C286" s="2" t="s">
        <v>895</v>
      </c>
      <c r="D286" s="2" t="s">
        <v>43</v>
      </c>
      <c r="E286" s="2" t="s">
        <v>218</v>
      </c>
      <c r="F286" s="2">
        <v>2</v>
      </c>
      <c r="G286" s="2">
        <v>3</v>
      </c>
      <c r="H286" s="2" t="str">
        <f t="shared" si="20"/>
        <v>🟡 Modere</v>
      </c>
      <c r="I286" s="2">
        <f t="shared" si="21"/>
        <v>20</v>
      </c>
      <c r="J286" s="2" t="str">
        <f t="shared" si="22"/>
        <v>A planifier</v>
      </c>
      <c r="K286" s="2" t="str">
        <f t="shared" si="23"/>
        <v>PF-0282</v>
      </c>
      <c r="L286" s="2" t="str">
        <f t="shared" si="24"/>
        <v>Coaching interne</v>
      </c>
    </row>
    <row r="287" spans="1:12" x14ac:dyDescent="0.25">
      <c r="A287" s="3" t="s">
        <v>1230</v>
      </c>
      <c r="B287" s="3" t="s">
        <v>421</v>
      </c>
      <c r="C287" s="3" t="s">
        <v>895</v>
      </c>
      <c r="D287" s="3" t="s">
        <v>43</v>
      </c>
      <c r="E287" s="3" t="s">
        <v>223</v>
      </c>
      <c r="F287" s="3">
        <v>3</v>
      </c>
      <c r="G287" s="3">
        <v>3</v>
      </c>
      <c r="H287" s="3" t="str">
        <f t="shared" si="20"/>
        <v>🟢 OK</v>
      </c>
      <c r="I287" s="3">
        <f t="shared" si="21"/>
        <v>0</v>
      </c>
      <c r="J287" s="3" t="str">
        <f t="shared" si="22"/>
        <v>Traite</v>
      </c>
      <c r="K287" s="3" t="str">
        <f t="shared" si="23"/>
        <v/>
      </c>
      <c r="L287" s="3" t="str">
        <f t="shared" si="24"/>
        <v>Maintien</v>
      </c>
    </row>
    <row r="288" spans="1:12" x14ac:dyDescent="0.25">
      <c r="A288" s="2" t="s">
        <v>1231</v>
      </c>
      <c r="B288" s="2" t="s">
        <v>423</v>
      </c>
      <c r="C288" s="2" t="s">
        <v>903</v>
      </c>
      <c r="D288" s="2" t="s">
        <v>35</v>
      </c>
      <c r="E288" s="2" t="s">
        <v>118</v>
      </c>
      <c r="F288" s="2">
        <v>4</v>
      </c>
      <c r="G288" s="2">
        <v>2</v>
      </c>
      <c r="H288" s="2" t="str">
        <f t="shared" si="20"/>
        <v>🟢 OK</v>
      </c>
      <c r="I288" s="2">
        <f t="shared" si="21"/>
        <v>0</v>
      </c>
      <c r="J288" s="2" t="str">
        <f t="shared" si="22"/>
        <v>Traite</v>
      </c>
      <c r="K288" s="2" t="str">
        <f t="shared" si="23"/>
        <v/>
      </c>
      <c r="L288" s="2" t="str">
        <f t="shared" si="24"/>
        <v>Maintien</v>
      </c>
    </row>
    <row r="289" spans="1:12" x14ac:dyDescent="0.25">
      <c r="A289" s="3" t="s">
        <v>1232</v>
      </c>
      <c r="B289" s="3" t="s">
        <v>423</v>
      </c>
      <c r="C289" s="3" t="s">
        <v>903</v>
      </c>
      <c r="D289" s="3" t="s">
        <v>35</v>
      </c>
      <c r="E289" s="3" t="s">
        <v>124</v>
      </c>
      <c r="F289" s="3">
        <v>5</v>
      </c>
      <c r="G289" s="3">
        <v>2</v>
      </c>
      <c r="H289" s="3" t="str">
        <f t="shared" si="20"/>
        <v>🟢 OK</v>
      </c>
      <c r="I289" s="3">
        <f t="shared" si="21"/>
        <v>0</v>
      </c>
      <c r="J289" s="3" t="str">
        <f t="shared" si="22"/>
        <v>Traite</v>
      </c>
      <c r="K289" s="3" t="str">
        <f t="shared" si="23"/>
        <v/>
      </c>
      <c r="L289" s="3" t="str">
        <f t="shared" si="24"/>
        <v>Maintien</v>
      </c>
    </row>
    <row r="290" spans="1:12" x14ac:dyDescent="0.25">
      <c r="A290" s="2" t="s">
        <v>1233</v>
      </c>
      <c r="B290" s="2" t="s">
        <v>423</v>
      </c>
      <c r="C290" s="2" t="s">
        <v>903</v>
      </c>
      <c r="D290" s="2" t="s">
        <v>35</v>
      </c>
      <c r="E290" s="2" t="s">
        <v>139</v>
      </c>
      <c r="F290" s="2">
        <v>5</v>
      </c>
      <c r="G290" s="2">
        <v>3</v>
      </c>
      <c r="H290" s="2" t="str">
        <f t="shared" si="20"/>
        <v>🟢 OK</v>
      </c>
      <c r="I290" s="2">
        <f t="shared" si="21"/>
        <v>0</v>
      </c>
      <c r="J290" s="2" t="str">
        <f t="shared" si="22"/>
        <v>Traite</v>
      </c>
      <c r="K290" s="2" t="str">
        <f t="shared" si="23"/>
        <v/>
      </c>
      <c r="L290" s="2" t="str">
        <f t="shared" si="24"/>
        <v>Maintien</v>
      </c>
    </row>
    <row r="291" spans="1:12" x14ac:dyDescent="0.25">
      <c r="A291" s="3" t="s">
        <v>1234</v>
      </c>
      <c r="B291" s="3" t="s">
        <v>423</v>
      </c>
      <c r="C291" s="3" t="s">
        <v>903</v>
      </c>
      <c r="D291" s="3" t="s">
        <v>35</v>
      </c>
      <c r="E291" s="3" t="s">
        <v>149</v>
      </c>
      <c r="F291" s="3">
        <v>5</v>
      </c>
      <c r="G291" s="3">
        <v>3</v>
      </c>
      <c r="H291" s="3" t="str">
        <f t="shared" si="20"/>
        <v>🟢 OK</v>
      </c>
      <c r="I291" s="3">
        <f t="shared" si="21"/>
        <v>0</v>
      </c>
      <c r="J291" s="3" t="str">
        <f t="shared" si="22"/>
        <v>Traite</v>
      </c>
      <c r="K291" s="3" t="str">
        <f t="shared" si="23"/>
        <v/>
      </c>
      <c r="L291" s="3" t="str">
        <f t="shared" si="24"/>
        <v>Maintien</v>
      </c>
    </row>
    <row r="292" spans="1:12" x14ac:dyDescent="0.25">
      <c r="A292" s="2" t="s">
        <v>1235</v>
      </c>
      <c r="B292" s="2" t="s">
        <v>423</v>
      </c>
      <c r="C292" s="2" t="s">
        <v>903</v>
      </c>
      <c r="D292" s="2" t="s">
        <v>35</v>
      </c>
      <c r="E292" s="2" t="s">
        <v>223</v>
      </c>
      <c r="F292" s="2">
        <v>3</v>
      </c>
      <c r="G292" s="2">
        <v>2</v>
      </c>
      <c r="H292" s="2" t="str">
        <f t="shared" si="20"/>
        <v>🟢 OK</v>
      </c>
      <c r="I292" s="2">
        <f t="shared" si="21"/>
        <v>0</v>
      </c>
      <c r="J292" s="2" t="str">
        <f t="shared" si="22"/>
        <v>Traite</v>
      </c>
      <c r="K292" s="2" t="str">
        <f t="shared" si="23"/>
        <v/>
      </c>
      <c r="L292" s="2" t="str">
        <f t="shared" si="24"/>
        <v>Maintien</v>
      </c>
    </row>
    <row r="293" spans="1:12" x14ac:dyDescent="0.25">
      <c r="A293" s="3" t="s">
        <v>1236</v>
      </c>
      <c r="B293" s="3" t="s">
        <v>425</v>
      </c>
      <c r="C293" s="3" t="s">
        <v>910</v>
      </c>
      <c r="D293" s="3" t="s">
        <v>37</v>
      </c>
      <c r="E293" s="3" t="s">
        <v>165</v>
      </c>
      <c r="F293" s="3">
        <v>5</v>
      </c>
      <c r="G293" s="3">
        <v>4</v>
      </c>
      <c r="H293" s="3" t="str">
        <f t="shared" si="20"/>
        <v>🟢 OK</v>
      </c>
      <c r="I293" s="3">
        <f t="shared" si="21"/>
        <v>0</v>
      </c>
      <c r="J293" s="3" t="str">
        <f t="shared" si="22"/>
        <v>Traite</v>
      </c>
      <c r="K293" s="3" t="str">
        <f t="shared" si="23"/>
        <v/>
      </c>
      <c r="L293" s="3" t="str">
        <f t="shared" si="24"/>
        <v>Maintien</v>
      </c>
    </row>
    <row r="294" spans="1:12" x14ac:dyDescent="0.25">
      <c r="A294" s="2" t="s">
        <v>1237</v>
      </c>
      <c r="B294" s="2" t="s">
        <v>425</v>
      </c>
      <c r="C294" s="2" t="s">
        <v>910</v>
      </c>
      <c r="D294" s="2" t="s">
        <v>37</v>
      </c>
      <c r="E294" s="2" t="s">
        <v>181</v>
      </c>
      <c r="F294" s="2">
        <v>5</v>
      </c>
      <c r="G294" s="2">
        <v>5</v>
      </c>
      <c r="H294" s="2" t="str">
        <f t="shared" si="20"/>
        <v>🟢 OK</v>
      </c>
      <c r="I294" s="2">
        <f t="shared" si="21"/>
        <v>0</v>
      </c>
      <c r="J294" s="2" t="str">
        <f t="shared" si="22"/>
        <v>Traite</v>
      </c>
      <c r="K294" s="2" t="str">
        <f t="shared" si="23"/>
        <v/>
      </c>
      <c r="L294" s="2" t="str">
        <f t="shared" si="24"/>
        <v>Maintien</v>
      </c>
    </row>
    <row r="295" spans="1:12" x14ac:dyDescent="0.25">
      <c r="A295" s="3" t="s">
        <v>1238</v>
      </c>
      <c r="B295" s="3" t="s">
        <v>425</v>
      </c>
      <c r="C295" s="3" t="s">
        <v>910</v>
      </c>
      <c r="D295" s="3" t="s">
        <v>37</v>
      </c>
      <c r="E295" s="3" t="s">
        <v>193</v>
      </c>
      <c r="F295" s="3">
        <v>4</v>
      </c>
      <c r="G295" s="3">
        <v>3</v>
      </c>
      <c r="H295" s="3" t="str">
        <f t="shared" si="20"/>
        <v>🟢 OK</v>
      </c>
      <c r="I295" s="3">
        <f t="shared" si="21"/>
        <v>0</v>
      </c>
      <c r="J295" s="3" t="str">
        <f t="shared" si="22"/>
        <v>Traite</v>
      </c>
      <c r="K295" s="3" t="str">
        <f t="shared" si="23"/>
        <v/>
      </c>
      <c r="L295" s="3" t="str">
        <f t="shared" si="24"/>
        <v>Maintien</v>
      </c>
    </row>
    <row r="296" spans="1:12" x14ac:dyDescent="0.25">
      <c r="A296" s="2" t="s">
        <v>1239</v>
      </c>
      <c r="B296" s="2" t="s">
        <v>425</v>
      </c>
      <c r="C296" s="2" t="s">
        <v>910</v>
      </c>
      <c r="D296" s="2" t="s">
        <v>37</v>
      </c>
      <c r="E296" s="2" t="s">
        <v>198</v>
      </c>
      <c r="F296" s="2">
        <v>3</v>
      </c>
      <c r="G296" s="2">
        <v>2</v>
      </c>
      <c r="H296" s="2" t="str">
        <f t="shared" si="20"/>
        <v>🟢 OK</v>
      </c>
      <c r="I296" s="2">
        <f t="shared" si="21"/>
        <v>0</v>
      </c>
      <c r="J296" s="2" t="str">
        <f t="shared" si="22"/>
        <v>Traite</v>
      </c>
      <c r="K296" s="2" t="str">
        <f t="shared" si="23"/>
        <v/>
      </c>
      <c r="L296" s="2" t="str">
        <f t="shared" si="24"/>
        <v>Maintien</v>
      </c>
    </row>
    <row r="297" spans="1:12" x14ac:dyDescent="0.25">
      <c r="A297" s="3" t="s">
        <v>1240</v>
      </c>
      <c r="B297" s="3" t="s">
        <v>425</v>
      </c>
      <c r="C297" s="3" t="s">
        <v>910</v>
      </c>
      <c r="D297" s="3" t="s">
        <v>37</v>
      </c>
      <c r="E297" s="3" t="s">
        <v>218</v>
      </c>
      <c r="F297" s="3">
        <v>5</v>
      </c>
      <c r="G297" s="3">
        <v>3</v>
      </c>
      <c r="H297" s="3" t="str">
        <f t="shared" si="20"/>
        <v>🟢 OK</v>
      </c>
      <c r="I297" s="3">
        <f t="shared" si="21"/>
        <v>0</v>
      </c>
      <c r="J297" s="3" t="str">
        <f t="shared" si="22"/>
        <v>Traite</v>
      </c>
      <c r="K297" s="3" t="str">
        <f t="shared" si="23"/>
        <v/>
      </c>
      <c r="L297" s="3" t="str">
        <f t="shared" si="24"/>
        <v>Maintien</v>
      </c>
    </row>
    <row r="298" spans="1:12" x14ac:dyDescent="0.25">
      <c r="A298" s="2" t="s">
        <v>1241</v>
      </c>
      <c r="B298" s="2" t="s">
        <v>427</v>
      </c>
      <c r="C298" s="2" t="s">
        <v>917</v>
      </c>
      <c r="D298" s="2" t="s">
        <v>39</v>
      </c>
      <c r="E298" s="2" t="s">
        <v>139</v>
      </c>
      <c r="F298" s="2">
        <v>3</v>
      </c>
      <c r="G298" s="2">
        <v>3</v>
      </c>
      <c r="H298" s="2" t="str">
        <f t="shared" si="20"/>
        <v>🟢 OK</v>
      </c>
      <c r="I298" s="2">
        <f t="shared" si="21"/>
        <v>0</v>
      </c>
      <c r="J298" s="2" t="str">
        <f t="shared" si="22"/>
        <v>Traite</v>
      </c>
      <c r="K298" s="2" t="str">
        <f t="shared" si="23"/>
        <v/>
      </c>
      <c r="L298" s="2" t="str">
        <f t="shared" si="24"/>
        <v>Maintien</v>
      </c>
    </row>
    <row r="299" spans="1:12" x14ac:dyDescent="0.25">
      <c r="A299" s="3" t="s">
        <v>1242</v>
      </c>
      <c r="B299" s="3" t="s">
        <v>427</v>
      </c>
      <c r="C299" s="3" t="s">
        <v>917</v>
      </c>
      <c r="D299" s="3" t="s">
        <v>39</v>
      </c>
      <c r="E299" s="3" t="s">
        <v>146</v>
      </c>
      <c r="F299" s="3">
        <v>3</v>
      </c>
      <c r="G299" s="3">
        <v>3</v>
      </c>
      <c r="H299" s="3" t="str">
        <f t="shared" si="20"/>
        <v>🟢 OK</v>
      </c>
      <c r="I299" s="3">
        <f t="shared" si="21"/>
        <v>0</v>
      </c>
      <c r="J299" s="3" t="str">
        <f t="shared" si="22"/>
        <v>Traite</v>
      </c>
      <c r="K299" s="3" t="str">
        <f t="shared" si="23"/>
        <v/>
      </c>
      <c r="L299" s="3" t="str">
        <f t="shared" si="24"/>
        <v>Maintien</v>
      </c>
    </row>
    <row r="300" spans="1:12" x14ac:dyDescent="0.25">
      <c r="A300" s="2" t="s">
        <v>1243</v>
      </c>
      <c r="B300" s="2" t="s">
        <v>427</v>
      </c>
      <c r="C300" s="2" t="s">
        <v>917</v>
      </c>
      <c r="D300" s="2" t="s">
        <v>39</v>
      </c>
      <c r="E300" s="2" t="s">
        <v>160</v>
      </c>
      <c r="F300" s="2">
        <v>5</v>
      </c>
      <c r="G300" s="2">
        <v>4</v>
      </c>
      <c r="H300" s="2" t="str">
        <f t="shared" si="20"/>
        <v>🟢 OK</v>
      </c>
      <c r="I300" s="2">
        <f t="shared" si="21"/>
        <v>0</v>
      </c>
      <c r="J300" s="2" t="str">
        <f t="shared" si="22"/>
        <v>Traite</v>
      </c>
      <c r="K300" s="2" t="str">
        <f t="shared" si="23"/>
        <v/>
      </c>
      <c r="L300" s="2" t="str">
        <f t="shared" si="24"/>
        <v>Maintien</v>
      </c>
    </row>
    <row r="301" spans="1:12" x14ac:dyDescent="0.25">
      <c r="A301" s="3" t="s">
        <v>1244</v>
      </c>
      <c r="B301" s="3" t="s">
        <v>427</v>
      </c>
      <c r="C301" s="3" t="s">
        <v>917</v>
      </c>
      <c r="D301" s="3" t="s">
        <v>39</v>
      </c>
      <c r="E301" s="3" t="s">
        <v>186</v>
      </c>
      <c r="F301" s="3">
        <v>2</v>
      </c>
      <c r="G301" s="3">
        <v>2</v>
      </c>
      <c r="H301" s="3" t="str">
        <f t="shared" si="20"/>
        <v>🟢 OK</v>
      </c>
      <c r="I301" s="3">
        <f t="shared" si="21"/>
        <v>0</v>
      </c>
      <c r="J301" s="3" t="str">
        <f t="shared" si="22"/>
        <v>Traite</v>
      </c>
      <c r="K301" s="3" t="str">
        <f t="shared" si="23"/>
        <v/>
      </c>
      <c r="L301" s="3" t="str">
        <f t="shared" si="24"/>
        <v>Maintien</v>
      </c>
    </row>
    <row r="302" spans="1:12" x14ac:dyDescent="0.25">
      <c r="A302" s="2" t="s">
        <v>1245</v>
      </c>
      <c r="B302" s="2" t="s">
        <v>427</v>
      </c>
      <c r="C302" s="2" t="s">
        <v>917</v>
      </c>
      <c r="D302" s="2" t="s">
        <v>39</v>
      </c>
      <c r="E302" s="2" t="s">
        <v>202</v>
      </c>
      <c r="F302" s="2">
        <v>2</v>
      </c>
      <c r="G302" s="2">
        <v>2</v>
      </c>
      <c r="H302" s="2" t="str">
        <f t="shared" si="20"/>
        <v>🟢 OK</v>
      </c>
      <c r="I302" s="2">
        <f t="shared" si="21"/>
        <v>0</v>
      </c>
      <c r="J302" s="2" t="str">
        <f t="shared" si="22"/>
        <v>Traite</v>
      </c>
      <c r="K302" s="2" t="str">
        <f t="shared" si="23"/>
        <v/>
      </c>
      <c r="L302" s="2" t="str">
        <f t="shared" si="24"/>
        <v>Maintien</v>
      </c>
    </row>
    <row r="303" spans="1:12" x14ac:dyDescent="0.25">
      <c r="A303" s="3" t="s">
        <v>1246</v>
      </c>
      <c r="B303" s="3" t="s">
        <v>429</v>
      </c>
      <c r="C303" s="3" t="s">
        <v>925</v>
      </c>
      <c r="D303" s="3" t="s">
        <v>41</v>
      </c>
      <c r="E303" s="3" t="s">
        <v>207</v>
      </c>
      <c r="F303" s="3">
        <v>2</v>
      </c>
      <c r="G303" s="3">
        <v>2</v>
      </c>
      <c r="H303" s="3" t="str">
        <f t="shared" si="20"/>
        <v>🟢 OK</v>
      </c>
      <c r="I303" s="3">
        <f t="shared" si="21"/>
        <v>0</v>
      </c>
      <c r="J303" s="3" t="str">
        <f t="shared" si="22"/>
        <v>Traite</v>
      </c>
      <c r="K303" s="3" t="str">
        <f t="shared" si="23"/>
        <v/>
      </c>
      <c r="L303" s="3" t="str">
        <f t="shared" si="24"/>
        <v>Maintien</v>
      </c>
    </row>
    <row r="304" spans="1:12" x14ac:dyDescent="0.25">
      <c r="A304" s="2" t="s">
        <v>1247</v>
      </c>
      <c r="B304" s="2" t="s">
        <v>429</v>
      </c>
      <c r="C304" s="2" t="s">
        <v>925</v>
      </c>
      <c r="D304" s="2" t="s">
        <v>41</v>
      </c>
      <c r="E304" s="2" t="s">
        <v>212</v>
      </c>
      <c r="F304" s="2">
        <v>3</v>
      </c>
      <c r="G304" s="2">
        <v>3</v>
      </c>
      <c r="H304" s="2" t="str">
        <f t="shared" si="20"/>
        <v>🟢 OK</v>
      </c>
      <c r="I304" s="2">
        <f t="shared" si="21"/>
        <v>0</v>
      </c>
      <c r="J304" s="2" t="str">
        <f t="shared" si="22"/>
        <v>Traite</v>
      </c>
      <c r="K304" s="2" t="str">
        <f t="shared" si="23"/>
        <v/>
      </c>
      <c r="L304" s="2" t="str">
        <f t="shared" si="24"/>
        <v>Maintien</v>
      </c>
    </row>
    <row r="305" spans="1:12" x14ac:dyDescent="0.25">
      <c r="A305" s="3" t="s">
        <v>1248</v>
      </c>
      <c r="B305" s="3" t="s">
        <v>429</v>
      </c>
      <c r="C305" s="3" t="s">
        <v>925</v>
      </c>
      <c r="D305" s="3" t="s">
        <v>41</v>
      </c>
      <c r="E305" s="3" t="s">
        <v>218</v>
      </c>
      <c r="F305" s="3">
        <v>3</v>
      </c>
      <c r="G305" s="3">
        <v>3</v>
      </c>
      <c r="H305" s="3" t="str">
        <f t="shared" si="20"/>
        <v>🟢 OK</v>
      </c>
      <c r="I305" s="3">
        <f t="shared" si="21"/>
        <v>0</v>
      </c>
      <c r="J305" s="3" t="str">
        <f t="shared" si="22"/>
        <v>Traite</v>
      </c>
      <c r="K305" s="3" t="str">
        <f t="shared" si="23"/>
        <v/>
      </c>
      <c r="L305" s="3" t="str">
        <f t="shared" si="24"/>
        <v>Maintien</v>
      </c>
    </row>
    <row r="306" spans="1:12" x14ac:dyDescent="0.25">
      <c r="A306" s="2" t="s">
        <v>1249</v>
      </c>
      <c r="B306" s="2" t="s">
        <v>429</v>
      </c>
      <c r="C306" s="2" t="s">
        <v>925</v>
      </c>
      <c r="D306" s="2" t="s">
        <v>41</v>
      </c>
      <c r="E306" s="2" t="s">
        <v>223</v>
      </c>
      <c r="F306" s="2">
        <v>5</v>
      </c>
      <c r="G306" s="2">
        <v>4</v>
      </c>
      <c r="H306" s="2" t="str">
        <f t="shared" si="20"/>
        <v>🟢 OK</v>
      </c>
      <c r="I306" s="2">
        <f t="shared" si="21"/>
        <v>0</v>
      </c>
      <c r="J306" s="2" t="str">
        <f t="shared" si="22"/>
        <v>Traite</v>
      </c>
      <c r="K306" s="2" t="str">
        <f t="shared" si="23"/>
        <v/>
      </c>
      <c r="L306" s="2" t="str">
        <f t="shared" si="24"/>
        <v>Maintien</v>
      </c>
    </row>
    <row r="307" spans="1:12" x14ac:dyDescent="0.25">
      <c r="A307" s="3" t="s">
        <v>1250</v>
      </c>
      <c r="B307" s="3" t="s">
        <v>431</v>
      </c>
      <c r="C307" s="3" t="s">
        <v>930</v>
      </c>
      <c r="D307" s="3" t="s">
        <v>43</v>
      </c>
      <c r="E307" s="3" t="s">
        <v>207</v>
      </c>
      <c r="F307" s="3">
        <v>4</v>
      </c>
      <c r="G307" s="3">
        <v>4</v>
      </c>
      <c r="H307" s="3" t="str">
        <f t="shared" si="20"/>
        <v>🟢 OK</v>
      </c>
      <c r="I307" s="3">
        <f t="shared" si="21"/>
        <v>0</v>
      </c>
      <c r="J307" s="3" t="str">
        <f t="shared" si="22"/>
        <v>Traite</v>
      </c>
      <c r="K307" s="3" t="str">
        <f t="shared" si="23"/>
        <v/>
      </c>
      <c r="L307" s="3" t="str">
        <f t="shared" si="24"/>
        <v>Maintien</v>
      </c>
    </row>
    <row r="308" spans="1:12" x14ac:dyDescent="0.25">
      <c r="A308" s="2" t="s">
        <v>1251</v>
      </c>
      <c r="B308" s="2" t="s">
        <v>431</v>
      </c>
      <c r="C308" s="2" t="s">
        <v>930</v>
      </c>
      <c r="D308" s="2" t="s">
        <v>43</v>
      </c>
      <c r="E308" s="2" t="s">
        <v>218</v>
      </c>
      <c r="F308" s="2">
        <v>2</v>
      </c>
      <c r="G308" s="2">
        <v>2</v>
      </c>
      <c r="H308" s="2" t="str">
        <f t="shared" si="20"/>
        <v>🟢 OK</v>
      </c>
      <c r="I308" s="2">
        <f t="shared" si="21"/>
        <v>0</v>
      </c>
      <c r="J308" s="2" t="str">
        <f t="shared" si="22"/>
        <v>Traite</v>
      </c>
      <c r="K308" s="2" t="str">
        <f t="shared" si="23"/>
        <v/>
      </c>
      <c r="L308" s="2" t="str">
        <f t="shared" si="24"/>
        <v>Maintien</v>
      </c>
    </row>
    <row r="309" spans="1:12" x14ac:dyDescent="0.25">
      <c r="A309" s="3" t="s">
        <v>1252</v>
      </c>
      <c r="B309" s="3" t="s">
        <v>431</v>
      </c>
      <c r="C309" s="3" t="s">
        <v>930</v>
      </c>
      <c r="D309" s="3" t="s">
        <v>43</v>
      </c>
      <c r="E309" s="3" t="s">
        <v>223</v>
      </c>
      <c r="F309" s="3">
        <v>3</v>
      </c>
      <c r="G309" s="3">
        <v>3</v>
      </c>
      <c r="H309" s="3" t="str">
        <f t="shared" si="20"/>
        <v>🟢 OK</v>
      </c>
      <c r="I309" s="3">
        <f t="shared" si="21"/>
        <v>0</v>
      </c>
      <c r="J309" s="3" t="str">
        <f t="shared" si="22"/>
        <v>Traite</v>
      </c>
      <c r="K309" s="3" t="str">
        <f t="shared" si="23"/>
        <v/>
      </c>
      <c r="L309" s="3" t="str">
        <f t="shared" si="24"/>
        <v>Maintien</v>
      </c>
    </row>
    <row r="310" spans="1:12" x14ac:dyDescent="0.25">
      <c r="A310" s="2" t="s">
        <v>1253</v>
      </c>
      <c r="B310" s="2" t="s">
        <v>431</v>
      </c>
      <c r="C310" s="2" t="s">
        <v>930</v>
      </c>
      <c r="D310" s="2" t="s">
        <v>43</v>
      </c>
      <c r="E310" s="2" t="s">
        <v>233</v>
      </c>
      <c r="F310" s="2">
        <v>3</v>
      </c>
      <c r="G310" s="2">
        <v>3</v>
      </c>
      <c r="H310" s="2" t="str">
        <f t="shared" si="20"/>
        <v>🟢 OK</v>
      </c>
      <c r="I310" s="2">
        <f t="shared" si="21"/>
        <v>0</v>
      </c>
      <c r="J310" s="2" t="str">
        <f t="shared" si="22"/>
        <v>Traite</v>
      </c>
      <c r="K310" s="2" t="str">
        <f t="shared" si="23"/>
        <v/>
      </c>
      <c r="L310" s="2" t="str">
        <f t="shared" si="24"/>
        <v>Maintien</v>
      </c>
    </row>
  </sheetData>
  <autoFilter ref="A4:L310" xr:uid="{00000000-0009-0000-0000-000004000000}"/>
  <mergeCells count="2">
    <mergeCell ref="A2:L2"/>
    <mergeCell ref="A1:L1"/>
  </mergeCells>
  <conditionalFormatting sqref="I5:I310">
    <cfRule type="colorScale" priority="1">
      <colorScale>
        <cfvo type="num" val="0"/>
        <cfvo type="num" val="30"/>
        <cfvo type="num" val="70"/>
        <color rgb="FF27AE60"/>
        <color rgb="FFF1C40F"/>
        <color rgb="FFE74C3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M24"/>
  <sheetViews>
    <sheetView workbookViewId="0">
      <pane xSplit="2" ySplit="4" topLeftCell="C16" activePane="bottomRight" state="frozen"/>
      <selection pane="topRight"/>
      <selection pane="bottomLeft"/>
      <selection pane="bottomRight" activeCell="A20" sqref="A20:XFD20"/>
    </sheetView>
  </sheetViews>
  <sheetFormatPr baseColWidth="10" defaultColWidth="9.140625" defaultRowHeight="15" x14ac:dyDescent="0.25"/>
  <cols>
    <col min="1" max="1" width="10" customWidth="1"/>
    <col min="2" max="2" width="25" customWidth="1"/>
    <col min="3" max="3" width="18" customWidth="1"/>
    <col min="4" max="4" width="14" customWidth="1"/>
    <col min="5" max="5" width="12" customWidth="1"/>
    <col min="6" max="6" width="22" customWidth="1"/>
    <col min="7" max="7" width="14" customWidth="1"/>
    <col min="8" max="8" width="12" customWidth="1"/>
    <col min="9" max="9" width="14" customWidth="1"/>
    <col min="10" max="10" width="12" customWidth="1"/>
    <col min="11" max="11" width="16" customWidth="1"/>
    <col min="12" max="13" width="14" customWidth="1"/>
  </cols>
  <sheetData>
    <row r="1" spans="1:13" ht="36" customHeight="1" x14ac:dyDescent="0.25">
      <c r="A1" s="19" t="s">
        <v>1254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20" t="s">
        <v>1255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30" customHeight="1" x14ac:dyDescent="0.25">
      <c r="A4" s="1" t="s">
        <v>73</v>
      </c>
      <c r="B4" s="1" t="s">
        <v>245</v>
      </c>
      <c r="C4" s="1" t="s">
        <v>243</v>
      </c>
      <c r="D4" s="1" t="s">
        <v>1256</v>
      </c>
      <c r="E4" s="1" t="s">
        <v>77</v>
      </c>
      <c r="F4" s="1" t="s">
        <v>1257</v>
      </c>
      <c r="G4" s="1" t="s">
        <v>1258</v>
      </c>
      <c r="H4" s="1" t="s">
        <v>1259</v>
      </c>
      <c r="I4" s="1" t="s">
        <v>1260</v>
      </c>
      <c r="J4" s="1" t="s">
        <v>1261</v>
      </c>
      <c r="K4" s="1" t="s">
        <v>1262</v>
      </c>
      <c r="L4" s="1" t="s">
        <v>1263</v>
      </c>
      <c r="M4" s="1" t="s">
        <v>1264</v>
      </c>
    </row>
    <row r="5" spans="1:13" ht="24.75" customHeight="1" x14ac:dyDescent="0.25">
      <c r="A5" s="3" t="s">
        <v>1265</v>
      </c>
      <c r="B5" s="3" t="s">
        <v>295</v>
      </c>
      <c r="C5" s="3" t="s">
        <v>41</v>
      </c>
      <c r="D5" s="3" t="s">
        <v>292</v>
      </c>
      <c r="E5" s="3" t="s">
        <v>108</v>
      </c>
      <c r="F5" s="3" t="s">
        <v>519</v>
      </c>
      <c r="G5" s="3" t="s">
        <v>287</v>
      </c>
      <c r="H5" s="4">
        <v>0.48</v>
      </c>
      <c r="I5" s="3" t="s">
        <v>306</v>
      </c>
      <c r="J5" s="4">
        <v>0.37</v>
      </c>
      <c r="K5" s="3" t="s">
        <v>1266</v>
      </c>
      <c r="L5" s="11">
        <v>45908</v>
      </c>
      <c r="M5" s="3" t="str">
        <f t="shared" ref="M5:M24" si="0">IF(K5="Critique","Transfert immediat + mentoring",IF(H5&lt;0.6,"Programme 12 mois","Suivi semestriel"))</f>
        <v>Programme 12 mois</v>
      </c>
    </row>
    <row r="6" spans="1:13" ht="32.25" customHeight="1" x14ac:dyDescent="0.25">
      <c r="A6" s="2" t="s">
        <v>1267</v>
      </c>
      <c r="B6" s="2" t="s">
        <v>300</v>
      </c>
      <c r="C6" s="2" t="s">
        <v>43</v>
      </c>
      <c r="D6" s="2" t="s">
        <v>297</v>
      </c>
      <c r="E6" s="2" t="s">
        <v>108</v>
      </c>
      <c r="F6" s="2" t="s">
        <v>528</v>
      </c>
      <c r="G6" s="2" t="s">
        <v>292</v>
      </c>
      <c r="H6" s="13">
        <v>0.71</v>
      </c>
      <c r="I6" s="2" t="s">
        <v>310</v>
      </c>
      <c r="J6" s="13">
        <v>0.37</v>
      </c>
      <c r="K6" s="2" t="s">
        <v>1266</v>
      </c>
      <c r="L6" s="12">
        <v>45890</v>
      </c>
      <c r="M6" s="2" t="str">
        <f t="shared" si="0"/>
        <v>Suivi semestriel</v>
      </c>
    </row>
    <row r="7" spans="1:13" ht="33" customHeight="1" x14ac:dyDescent="0.25">
      <c r="A7" s="3" t="s">
        <v>1268</v>
      </c>
      <c r="B7" s="3" t="s">
        <v>304</v>
      </c>
      <c r="C7" s="3" t="s">
        <v>35</v>
      </c>
      <c r="D7" s="3" t="s">
        <v>301</v>
      </c>
      <c r="E7" s="3" t="s">
        <v>103</v>
      </c>
      <c r="F7" s="3" t="s">
        <v>534</v>
      </c>
      <c r="G7" s="3" t="s">
        <v>297</v>
      </c>
      <c r="H7" s="4">
        <v>0.47</v>
      </c>
      <c r="I7" s="3" t="s">
        <v>315</v>
      </c>
      <c r="J7" s="4">
        <v>0.44</v>
      </c>
      <c r="K7" s="3" t="s">
        <v>108</v>
      </c>
      <c r="L7" s="11">
        <v>46017</v>
      </c>
      <c r="M7" s="3" t="str">
        <f t="shared" si="0"/>
        <v>Programme 12 mois</v>
      </c>
    </row>
    <row r="8" spans="1:13" ht="30" customHeight="1" x14ac:dyDescent="0.25">
      <c r="A8" s="2" t="s">
        <v>1269</v>
      </c>
      <c r="B8" s="2" t="s">
        <v>309</v>
      </c>
      <c r="C8" s="2" t="s">
        <v>37</v>
      </c>
      <c r="D8" s="2" t="s">
        <v>306</v>
      </c>
      <c r="E8" s="2" t="s">
        <v>103</v>
      </c>
      <c r="F8" s="2" t="s">
        <v>545</v>
      </c>
      <c r="G8" s="2" t="s">
        <v>301</v>
      </c>
      <c r="H8" s="13">
        <v>0.48</v>
      </c>
      <c r="I8" s="2" t="s">
        <v>319</v>
      </c>
      <c r="J8" s="13">
        <v>0.3</v>
      </c>
      <c r="K8" s="2" t="s">
        <v>145</v>
      </c>
      <c r="L8" s="12">
        <v>46018</v>
      </c>
      <c r="M8" s="2" t="str">
        <f t="shared" si="0"/>
        <v>Programme 12 mois</v>
      </c>
    </row>
    <row r="9" spans="1:13" ht="37.5" customHeight="1" x14ac:dyDescent="0.25">
      <c r="A9" s="3" t="s">
        <v>1270</v>
      </c>
      <c r="B9" s="3" t="s">
        <v>313</v>
      </c>
      <c r="C9" s="3" t="s">
        <v>39</v>
      </c>
      <c r="D9" s="3" t="s">
        <v>310</v>
      </c>
      <c r="E9" s="3" t="s">
        <v>103</v>
      </c>
      <c r="F9" s="3" t="s">
        <v>555</v>
      </c>
      <c r="G9" s="3" t="s">
        <v>306</v>
      </c>
      <c r="H9" s="4">
        <v>0.8</v>
      </c>
      <c r="I9" s="3" t="s">
        <v>323</v>
      </c>
      <c r="J9" s="4">
        <v>0.41</v>
      </c>
      <c r="K9" s="3" t="s">
        <v>145</v>
      </c>
      <c r="L9" s="11">
        <v>46063</v>
      </c>
      <c r="M9" s="3" t="str">
        <f t="shared" si="0"/>
        <v>Suivi semestriel</v>
      </c>
    </row>
    <row r="10" spans="1:13" ht="27.75" customHeight="1" x14ac:dyDescent="0.25">
      <c r="A10" s="2" t="s">
        <v>1271</v>
      </c>
      <c r="B10" s="2" t="s">
        <v>322</v>
      </c>
      <c r="C10" s="2" t="s">
        <v>43</v>
      </c>
      <c r="D10" s="2" t="s">
        <v>319</v>
      </c>
      <c r="E10" s="2" t="s">
        <v>108</v>
      </c>
      <c r="F10" s="2" t="s">
        <v>570</v>
      </c>
      <c r="G10" s="2" t="s">
        <v>310</v>
      </c>
      <c r="H10" s="13">
        <v>0.45</v>
      </c>
      <c r="I10" s="2" t="s">
        <v>327</v>
      </c>
      <c r="J10" s="13">
        <v>0.47</v>
      </c>
      <c r="K10" s="2" t="s">
        <v>1266</v>
      </c>
      <c r="L10" s="12">
        <v>45880</v>
      </c>
      <c r="M10" s="2" t="str">
        <f t="shared" si="0"/>
        <v>Programme 12 mois</v>
      </c>
    </row>
    <row r="11" spans="1:13" ht="24.75" customHeight="1" x14ac:dyDescent="0.25">
      <c r="A11" s="3" t="s">
        <v>1272</v>
      </c>
      <c r="B11" s="3" t="s">
        <v>330</v>
      </c>
      <c r="C11" s="3" t="s">
        <v>37</v>
      </c>
      <c r="D11" s="3" t="s">
        <v>327</v>
      </c>
      <c r="E11" s="3" t="s">
        <v>108</v>
      </c>
      <c r="F11" s="3" t="s">
        <v>587</v>
      </c>
      <c r="G11" s="3" t="s">
        <v>315</v>
      </c>
      <c r="H11" s="4">
        <v>0.83</v>
      </c>
      <c r="I11" s="3" t="s">
        <v>331</v>
      </c>
      <c r="J11" s="4">
        <v>0.44</v>
      </c>
      <c r="K11" s="3" t="s">
        <v>1266</v>
      </c>
      <c r="L11" s="11">
        <v>46103</v>
      </c>
      <c r="M11" s="3" t="str">
        <f t="shared" si="0"/>
        <v>Suivi semestriel</v>
      </c>
    </row>
    <row r="12" spans="1:13" ht="43.5" customHeight="1" x14ac:dyDescent="0.25">
      <c r="A12" s="2" t="s">
        <v>1273</v>
      </c>
      <c r="B12" s="2" t="s">
        <v>338</v>
      </c>
      <c r="C12" s="2" t="s">
        <v>41</v>
      </c>
      <c r="D12" s="2" t="s">
        <v>335</v>
      </c>
      <c r="E12" s="2" t="s">
        <v>103</v>
      </c>
      <c r="F12" s="2" t="s">
        <v>605</v>
      </c>
      <c r="G12" s="2" t="s">
        <v>319</v>
      </c>
      <c r="H12" s="13">
        <v>0.65</v>
      </c>
      <c r="I12" s="2" t="s">
        <v>335</v>
      </c>
      <c r="J12" s="13">
        <v>0.66</v>
      </c>
      <c r="K12" s="2" t="s">
        <v>103</v>
      </c>
      <c r="L12" s="12">
        <v>46078</v>
      </c>
      <c r="M12" s="2" t="str">
        <f t="shared" si="0"/>
        <v>Transfert immediat + mentoring</v>
      </c>
    </row>
    <row r="13" spans="1:13" ht="31.5" customHeight="1" x14ac:dyDescent="0.25">
      <c r="A13" s="3" t="s">
        <v>1274</v>
      </c>
      <c r="B13" s="3" t="s">
        <v>342</v>
      </c>
      <c r="C13" s="3" t="s">
        <v>43</v>
      </c>
      <c r="D13" s="3" t="s">
        <v>339</v>
      </c>
      <c r="E13" s="3" t="s">
        <v>103</v>
      </c>
      <c r="F13" s="3" t="s">
        <v>610</v>
      </c>
      <c r="G13" s="3" t="s">
        <v>323</v>
      </c>
      <c r="H13" s="4">
        <v>0.47</v>
      </c>
      <c r="I13" s="3" t="s">
        <v>339</v>
      </c>
      <c r="J13" s="4">
        <v>0.25</v>
      </c>
      <c r="K13" s="3" t="s">
        <v>145</v>
      </c>
      <c r="L13" s="11">
        <v>46072</v>
      </c>
      <c r="M13" s="3" t="str">
        <f t="shared" si="0"/>
        <v>Programme 12 mois</v>
      </c>
    </row>
    <row r="14" spans="1:13" ht="45" customHeight="1" x14ac:dyDescent="0.25">
      <c r="A14" s="2" t="s">
        <v>1275</v>
      </c>
      <c r="B14" s="2" t="s">
        <v>295</v>
      </c>
      <c r="C14" s="2" t="s">
        <v>41</v>
      </c>
      <c r="D14" s="2" t="s">
        <v>367</v>
      </c>
      <c r="E14" s="2" t="s">
        <v>108</v>
      </c>
      <c r="F14" s="2" t="s">
        <v>681</v>
      </c>
      <c r="G14" s="2" t="s">
        <v>327</v>
      </c>
      <c r="H14" s="13">
        <v>0.46</v>
      </c>
      <c r="I14" s="2" t="s">
        <v>343</v>
      </c>
      <c r="J14" s="13">
        <v>0.38</v>
      </c>
      <c r="K14" s="2" t="s">
        <v>103</v>
      </c>
      <c r="L14" s="12">
        <v>45958</v>
      </c>
      <c r="M14" s="2" t="str">
        <f t="shared" si="0"/>
        <v>Transfert immediat + mentoring</v>
      </c>
    </row>
    <row r="15" spans="1:13" ht="51.75" customHeight="1" x14ac:dyDescent="0.25">
      <c r="A15" s="3" t="s">
        <v>1276</v>
      </c>
      <c r="B15" s="3" t="s">
        <v>300</v>
      </c>
      <c r="C15" s="3" t="s">
        <v>43</v>
      </c>
      <c r="D15" s="3" t="s">
        <v>370</v>
      </c>
      <c r="E15" s="3" t="s">
        <v>108</v>
      </c>
      <c r="F15" s="3" t="s">
        <v>689</v>
      </c>
      <c r="G15" s="3" t="s">
        <v>331</v>
      </c>
      <c r="H15" s="4">
        <v>0.75</v>
      </c>
      <c r="I15" s="3" t="s">
        <v>346</v>
      </c>
      <c r="J15" s="4">
        <v>0.36</v>
      </c>
      <c r="K15" s="3" t="s">
        <v>103</v>
      </c>
      <c r="L15" s="11">
        <v>45890</v>
      </c>
      <c r="M15" s="3" t="str">
        <f t="shared" si="0"/>
        <v>Transfert immediat + mentoring</v>
      </c>
    </row>
    <row r="16" spans="1:13" ht="38.25" customHeight="1" x14ac:dyDescent="0.25">
      <c r="A16" s="2" t="s">
        <v>1277</v>
      </c>
      <c r="B16" s="2" t="s">
        <v>304</v>
      </c>
      <c r="C16" s="2" t="s">
        <v>35</v>
      </c>
      <c r="D16" s="2" t="s">
        <v>373</v>
      </c>
      <c r="E16" s="2" t="s">
        <v>103</v>
      </c>
      <c r="F16" s="2" t="s">
        <v>698</v>
      </c>
      <c r="G16" s="2" t="s">
        <v>335</v>
      </c>
      <c r="H16" s="13">
        <v>0.47</v>
      </c>
      <c r="I16" s="2" t="s">
        <v>349</v>
      </c>
      <c r="J16" s="13">
        <v>0.69</v>
      </c>
      <c r="K16" s="2" t="s">
        <v>108</v>
      </c>
      <c r="L16" s="12">
        <v>46017</v>
      </c>
      <c r="M16" s="2" t="str">
        <f t="shared" si="0"/>
        <v>Programme 12 mois</v>
      </c>
    </row>
    <row r="17" spans="1:13" ht="45" customHeight="1" x14ac:dyDescent="0.25">
      <c r="A17" s="3" t="s">
        <v>1278</v>
      </c>
      <c r="B17" s="3" t="s">
        <v>309</v>
      </c>
      <c r="C17" s="3" t="s">
        <v>37</v>
      </c>
      <c r="D17" s="3" t="s">
        <v>375</v>
      </c>
      <c r="E17" s="3" t="s">
        <v>103</v>
      </c>
      <c r="F17" s="3" t="s">
        <v>709</v>
      </c>
      <c r="G17" s="3" t="s">
        <v>339</v>
      </c>
      <c r="H17" s="4">
        <v>0.78</v>
      </c>
      <c r="I17" s="3" t="s">
        <v>352</v>
      </c>
      <c r="J17" s="4">
        <v>0.71</v>
      </c>
      <c r="K17" s="3" t="s">
        <v>103</v>
      </c>
      <c r="L17" s="11">
        <v>46052</v>
      </c>
      <c r="M17" s="3" t="str">
        <f t="shared" si="0"/>
        <v>Transfert immediat + mentoring</v>
      </c>
    </row>
    <row r="18" spans="1:13" ht="30" customHeight="1" x14ac:dyDescent="0.25">
      <c r="A18" s="2" t="s">
        <v>1279</v>
      </c>
      <c r="B18" s="2" t="s">
        <v>313</v>
      </c>
      <c r="C18" s="2" t="s">
        <v>39</v>
      </c>
      <c r="D18" s="2" t="s">
        <v>377</v>
      </c>
      <c r="E18" s="2" t="s">
        <v>103</v>
      </c>
      <c r="F18" s="2" t="s">
        <v>718</v>
      </c>
      <c r="G18" s="2" t="s">
        <v>343</v>
      </c>
      <c r="H18" s="13">
        <v>0.83</v>
      </c>
      <c r="I18" s="2" t="s">
        <v>355</v>
      </c>
      <c r="J18" s="13">
        <v>0.6</v>
      </c>
      <c r="K18" s="2" t="s">
        <v>108</v>
      </c>
      <c r="L18" s="12">
        <v>46101</v>
      </c>
      <c r="M18" s="2" t="str">
        <f t="shared" si="0"/>
        <v>Suivi semestriel</v>
      </c>
    </row>
    <row r="19" spans="1:13" ht="45.75" customHeight="1" x14ac:dyDescent="0.25">
      <c r="A19" s="3" t="s">
        <v>1280</v>
      </c>
      <c r="B19" s="3" t="s">
        <v>322</v>
      </c>
      <c r="C19" s="3" t="s">
        <v>43</v>
      </c>
      <c r="D19" s="3" t="s">
        <v>381</v>
      </c>
      <c r="E19" s="3" t="s">
        <v>108</v>
      </c>
      <c r="F19" s="3" t="s">
        <v>736</v>
      </c>
      <c r="G19" s="3" t="s">
        <v>346</v>
      </c>
      <c r="H19" s="4">
        <v>0.7</v>
      </c>
      <c r="I19" s="3" t="s">
        <v>358</v>
      </c>
      <c r="J19" s="4">
        <v>0.69</v>
      </c>
      <c r="K19" s="3" t="s">
        <v>103</v>
      </c>
      <c r="L19" s="11">
        <v>45929</v>
      </c>
      <c r="M19" s="3" t="str">
        <f t="shared" si="0"/>
        <v>Transfert immediat + mentoring</v>
      </c>
    </row>
    <row r="20" spans="1:13" ht="53.25" customHeight="1" x14ac:dyDescent="0.25">
      <c r="A20" s="2" t="s">
        <v>1281</v>
      </c>
      <c r="B20" s="2" t="s">
        <v>330</v>
      </c>
      <c r="C20" s="2" t="s">
        <v>37</v>
      </c>
      <c r="D20" s="2" t="s">
        <v>385</v>
      </c>
      <c r="E20" s="2" t="s">
        <v>108</v>
      </c>
      <c r="F20" s="2" t="s">
        <v>753</v>
      </c>
      <c r="G20" s="2" t="s">
        <v>349</v>
      </c>
      <c r="H20" s="13">
        <v>0.79</v>
      </c>
      <c r="I20" s="2" t="s">
        <v>361</v>
      </c>
      <c r="J20" s="13">
        <v>0.6</v>
      </c>
      <c r="K20" s="2" t="s">
        <v>103</v>
      </c>
      <c r="L20" s="12">
        <v>45971</v>
      </c>
      <c r="M20" s="2" t="str">
        <f t="shared" si="0"/>
        <v>Transfert immediat + mentoring</v>
      </c>
    </row>
    <row r="21" spans="1:13" ht="30.75" customHeight="1" x14ac:dyDescent="0.25">
      <c r="A21" s="3" t="s">
        <v>1282</v>
      </c>
      <c r="B21" s="3" t="s">
        <v>338</v>
      </c>
      <c r="C21" s="3" t="s">
        <v>41</v>
      </c>
      <c r="D21" s="3" t="s">
        <v>389</v>
      </c>
      <c r="E21" s="3" t="s">
        <v>103</v>
      </c>
      <c r="F21" s="3" t="s">
        <v>769</v>
      </c>
      <c r="G21" s="3" t="s">
        <v>352</v>
      </c>
      <c r="H21" s="4">
        <v>0.87</v>
      </c>
      <c r="I21" s="3" t="s">
        <v>364</v>
      </c>
      <c r="J21" s="4">
        <v>0.46</v>
      </c>
      <c r="K21" s="3" t="s">
        <v>108</v>
      </c>
      <c r="L21" s="11">
        <v>45974</v>
      </c>
      <c r="M21" s="3" t="str">
        <f t="shared" si="0"/>
        <v>Suivi semestriel</v>
      </c>
    </row>
    <row r="22" spans="1:13" ht="30" customHeight="1" x14ac:dyDescent="0.25">
      <c r="A22" s="2" t="s">
        <v>1283</v>
      </c>
      <c r="B22" s="2" t="s">
        <v>342</v>
      </c>
      <c r="C22" s="2" t="s">
        <v>43</v>
      </c>
      <c r="D22" s="2" t="s">
        <v>391</v>
      </c>
      <c r="E22" s="2" t="s">
        <v>103</v>
      </c>
      <c r="F22" s="2" t="s">
        <v>776</v>
      </c>
      <c r="G22" s="2" t="s">
        <v>355</v>
      </c>
      <c r="H22" s="13">
        <v>0.47</v>
      </c>
      <c r="I22" s="2" t="s">
        <v>367</v>
      </c>
      <c r="J22" s="13">
        <v>0.74</v>
      </c>
      <c r="K22" s="2" t="s">
        <v>145</v>
      </c>
      <c r="L22" s="12">
        <v>45919</v>
      </c>
      <c r="M22" s="2" t="str">
        <f t="shared" si="0"/>
        <v>Programme 12 mois</v>
      </c>
    </row>
    <row r="23" spans="1:13" ht="24" customHeight="1" x14ac:dyDescent="0.25">
      <c r="A23" s="3" t="s">
        <v>1284</v>
      </c>
      <c r="B23" s="3" t="s">
        <v>295</v>
      </c>
      <c r="C23" s="3" t="s">
        <v>41</v>
      </c>
      <c r="D23" s="3" t="s">
        <v>409</v>
      </c>
      <c r="E23" s="3" t="s">
        <v>108</v>
      </c>
      <c r="F23" s="3" t="s">
        <v>847</v>
      </c>
      <c r="G23" s="3" t="s">
        <v>358</v>
      </c>
      <c r="H23" s="4">
        <v>0.5</v>
      </c>
      <c r="I23" s="3" t="s">
        <v>370</v>
      </c>
      <c r="J23" s="4">
        <v>0.51</v>
      </c>
      <c r="K23" s="3" t="s">
        <v>108</v>
      </c>
      <c r="L23" s="11">
        <v>46061</v>
      </c>
      <c r="M23" s="3" t="str">
        <f t="shared" si="0"/>
        <v>Programme 12 mois</v>
      </c>
    </row>
    <row r="24" spans="1:13" ht="24.75" customHeight="1" x14ac:dyDescent="0.25">
      <c r="A24" s="2" t="s">
        <v>1285</v>
      </c>
      <c r="B24" s="2" t="s">
        <v>300</v>
      </c>
      <c r="C24" s="2" t="s">
        <v>43</v>
      </c>
      <c r="D24" s="2" t="s">
        <v>411</v>
      </c>
      <c r="E24" s="2" t="s">
        <v>108</v>
      </c>
      <c r="F24" s="2" t="s">
        <v>853</v>
      </c>
      <c r="G24" s="2" t="s">
        <v>361</v>
      </c>
      <c r="H24" s="13">
        <v>0.66</v>
      </c>
      <c r="I24" s="2" t="s">
        <v>373</v>
      </c>
      <c r="J24" s="13">
        <v>0.41</v>
      </c>
      <c r="K24" s="2" t="s">
        <v>103</v>
      </c>
      <c r="L24" s="12">
        <v>45878</v>
      </c>
      <c r="M24" s="2" t="str">
        <f t="shared" si="0"/>
        <v>Transfert immediat + mentoring</v>
      </c>
    </row>
  </sheetData>
  <autoFilter ref="A4:M24" xr:uid="{00000000-0009-0000-0000-000005000000}"/>
  <mergeCells count="2">
    <mergeCell ref="A2:M2"/>
    <mergeCell ref="A1:M1"/>
  </mergeCells>
  <conditionalFormatting sqref="H5:H24">
    <cfRule type="dataBar" priority="1">
      <dataBar>
        <cfvo type="num" val="0"/>
        <cfvo type="num" val="1"/>
        <color rgb="FF27AE60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98DB"/>
  </sheetPr>
  <dimension ref="A1:S5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26" customWidth="1"/>
    <col min="3" max="3" width="10" customWidth="1"/>
    <col min="4" max="4" width="20" customWidth="1"/>
    <col min="5" max="5" width="18" customWidth="1"/>
    <col min="6" max="7" width="14" customWidth="1"/>
    <col min="8" max="10" width="12" customWidth="1"/>
    <col min="11" max="12" width="16" customWidth="1"/>
    <col min="13" max="16" width="14" customWidth="1"/>
    <col min="17" max="17" width="16" customWidth="1"/>
    <col min="18" max="19" width="14" customWidth="1"/>
  </cols>
  <sheetData>
    <row r="1" spans="1:19" ht="36" customHeight="1" x14ac:dyDescent="0.25">
      <c r="A1" s="19" t="s">
        <v>1286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25">
      <c r="A2" s="20" t="s">
        <v>1287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4" spans="1:19" ht="30" customHeight="1" x14ac:dyDescent="0.25">
      <c r="A4" s="1" t="s">
        <v>1288</v>
      </c>
      <c r="B4" s="1" t="s">
        <v>74</v>
      </c>
      <c r="C4" s="1" t="s">
        <v>938</v>
      </c>
      <c r="D4" s="1" t="s">
        <v>939</v>
      </c>
      <c r="E4" s="1" t="s">
        <v>243</v>
      </c>
      <c r="F4" s="1" t="s">
        <v>1289</v>
      </c>
      <c r="G4" s="1" t="s">
        <v>1290</v>
      </c>
      <c r="H4" s="1" t="s">
        <v>1291</v>
      </c>
      <c r="I4" s="1" t="s">
        <v>941</v>
      </c>
      <c r="J4" s="1" t="s">
        <v>1292</v>
      </c>
      <c r="K4" s="1" t="s">
        <v>1293</v>
      </c>
      <c r="L4" s="1" t="s">
        <v>1294</v>
      </c>
      <c r="M4" s="1" t="s">
        <v>1295</v>
      </c>
      <c r="N4" s="1" t="s">
        <v>1296</v>
      </c>
      <c r="O4" s="1" t="s">
        <v>314</v>
      </c>
      <c r="P4" s="1" t="s">
        <v>1297</v>
      </c>
      <c r="Q4" s="1" t="s">
        <v>1298</v>
      </c>
      <c r="R4" s="1" t="s">
        <v>1299</v>
      </c>
      <c r="S4" s="1" t="s">
        <v>249</v>
      </c>
    </row>
    <row r="5" spans="1:19" x14ac:dyDescent="0.25">
      <c r="A5" s="3" t="s">
        <v>1300</v>
      </c>
      <c r="B5" s="3" t="s">
        <v>98</v>
      </c>
      <c r="C5" s="3" t="s">
        <v>254</v>
      </c>
      <c r="D5" s="3" t="s">
        <v>445</v>
      </c>
      <c r="E5" s="3" t="s">
        <v>35</v>
      </c>
      <c r="F5" s="3" t="s">
        <v>1301</v>
      </c>
      <c r="G5" s="11">
        <v>46333</v>
      </c>
      <c r="H5" s="3">
        <v>3</v>
      </c>
      <c r="I5" s="3">
        <v>3</v>
      </c>
      <c r="J5" s="3">
        <v>4</v>
      </c>
      <c r="K5" s="3" t="s">
        <v>1302</v>
      </c>
      <c r="L5" s="3" t="s">
        <v>1303</v>
      </c>
      <c r="M5" s="6">
        <v>2767</v>
      </c>
      <c r="N5" s="6">
        <f t="shared" ref="N5:N36" si="0">IF(S5="Realise",M5,IF(S5="En cours",M5*0.6,IF(S5="Planifie",M5*0.3,0)))</f>
        <v>830.1</v>
      </c>
      <c r="O5" s="3">
        <f>IFERROR(VLOOKUP(C5,'03_ANNUAIRE'!A:I,9,FALSE),"")</f>
        <v>0</v>
      </c>
      <c r="P5" s="6">
        <f t="shared" ref="P5:P36" si="1">M5+ROUND(M5*0.15,0)</f>
        <v>3182</v>
      </c>
      <c r="Q5" s="3" t="str">
        <f t="shared" ref="Q5:Q36" si="2">IF(S5="Realise","A reevaluer",IF(S5="En cours","Progression","En attente"))</f>
        <v>En attente</v>
      </c>
      <c r="R5" s="3" t="str">
        <f t="shared" ref="R5:R36" ca="1" si="3">IF(G5&lt;TODAY(),"Echeance depassee","A suivre")</f>
        <v>A suivre</v>
      </c>
      <c r="S5" s="3" t="s">
        <v>1304</v>
      </c>
    </row>
    <row r="6" spans="1:19" x14ac:dyDescent="0.25">
      <c r="A6" s="2" t="s">
        <v>1305</v>
      </c>
      <c r="B6" s="2" t="s">
        <v>119</v>
      </c>
      <c r="C6" s="2" t="s">
        <v>254</v>
      </c>
      <c r="D6" s="2" t="s">
        <v>445</v>
      </c>
      <c r="E6" s="2" t="s">
        <v>35</v>
      </c>
      <c r="F6" s="2" t="s">
        <v>1301</v>
      </c>
      <c r="G6" s="12">
        <v>46190</v>
      </c>
      <c r="H6" s="2">
        <v>3</v>
      </c>
      <c r="I6" s="2">
        <v>1</v>
      </c>
      <c r="J6" s="2">
        <v>2</v>
      </c>
      <c r="K6" s="2" t="s">
        <v>1306</v>
      </c>
      <c r="L6" s="2" t="s">
        <v>1303</v>
      </c>
      <c r="M6" s="5">
        <v>2335</v>
      </c>
      <c r="N6" s="5">
        <f t="shared" si="0"/>
        <v>700.5</v>
      </c>
      <c r="O6" s="2">
        <f>IFERROR(VLOOKUP(C6,'03_ANNUAIRE'!A:I,9,FALSE),"")</f>
        <v>0</v>
      </c>
      <c r="P6" s="5">
        <f t="shared" si="1"/>
        <v>2685</v>
      </c>
      <c r="Q6" s="2" t="str">
        <f t="shared" si="2"/>
        <v>En attente</v>
      </c>
      <c r="R6" s="2" t="str">
        <f t="shared" ca="1" si="3"/>
        <v>A suivre</v>
      </c>
      <c r="S6" s="2" t="s">
        <v>1304</v>
      </c>
    </row>
    <row r="7" spans="1:19" x14ac:dyDescent="0.25">
      <c r="A7" s="3" t="s">
        <v>1307</v>
      </c>
      <c r="B7" s="3" t="s">
        <v>125</v>
      </c>
      <c r="C7" s="3" t="s">
        <v>265</v>
      </c>
      <c r="D7" s="3" t="s">
        <v>468</v>
      </c>
      <c r="E7" s="3" t="s">
        <v>39</v>
      </c>
      <c r="F7" s="3" t="s">
        <v>1301</v>
      </c>
      <c r="G7" s="11">
        <v>46250</v>
      </c>
      <c r="H7" s="3">
        <v>3</v>
      </c>
      <c r="I7" s="3">
        <v>3</v>
      </c>
      <c r="J7" s="3">
        <v>4</v>
      </c>
      <c r="K7" s="3" t="s">
        <v>1308</v>
      </c>
      <c r="L7" s="3" t="s">
        <v>1303</v>
      </c>
      <c r="M7" s="6">
        <v>2587</v>
      </c>
      <c r="N7" s="6">
        <f t="shared" si="0"/>
        <v>0</v>
      </c>
      <c r="O7" s="3" t="str">
        <f>IFERROR(VLOOKUP(C7,'03_ANNUAIRE'!A:I,9,FALSE),"")</f>
        <v>EMP-001</v>
      </c>
      <c r="P7" s="6">
        <f t="shared" si="1"/>
        <v>2975</v>
      </c>
      <c r="Q7" s="3" t="str">
        <f t="shared" si="2"/>
        <v>En attente</v>
      </c>
      <c r="R7" s="3" t="str">
        <f t="shared" ca="1" si="3"/>
        <v>A suivre</v>
      </c>
      <c r="S7" s="3" t="s">
        <v>1309</v>
      </c>
    </row>
    <row r="8" spans="1:19" x14ac:dyDescent="0.25">
      <c r="A8" s="2" t="s">
        <v>1310</v>
      </c>
      <c r="B8" s="2" t="s">
        <v>132</v>
      </c>
      <c r="C8" s="2" t="s">
        <v>265</v>
      </c>
      <c r="D8" s="2" t="s">
        <v>468</v>
      </c>
      <c r="E8" s="2" t="s">
        <v>39</v>
      </c>
      <c r="F8" s="2" t="s">
        <v>1301</v>
      </c>
      <c r="G8" s="12">
        <v>46271</v>
      </c>
      <c r="H8" s="2">
        <v>3</v>
      </c>
      <c r="I8" s="2">
        <v>2</v>
      </c>
      <c r="J8" s="2">
        <v>3</v>
      </c>
      <c r="K8" s="2" t="s">
        <v>1308</v>
      </c>
      <c r="L8" s="2" t="s">
        <v>1303</v>
      </c>
      <c r="M8" s="5">
        <v>3125</v>
      </c>
      <c r="N8" s="5">
        <f t="shared" si="0"/>
        <v>0</v>
      </c>
      <c r="O8" s="2" t="str">
        <f>IFERROR(VLOOKUP(C8,'03_ANNUAIRE'!A:I,9,FALSE),"")</f>
        <v>EMP-001</v>
      </c>
      <c r="P8" s="5">
        <f t="shared" si="1"/>
        <v>3594</v>
      </c>
      <c r="Q8" s="2" t="str">
        <f t="shared" si="2"/>
        <v>En attente</v>
      </c>
      <c r="R8" s="2" t="str">
        <f t="shared" ca="1" si="3"/>
        <v>A suivre</v>
      </c>
      <c r="S8" s="2" t="s">
        <v>1309</v>
      </c>
    </row>
    <row r="9" spans="1:19" x14ac:dyDescent="0.25">
      <c r="A9" s="3" t="s">
        <v>1311</v>
      </c>
      <c r="B9" s="3" t="s">
        <v>234</v>
      </c>
      <c r="C9" s="3" t="s">
        <v>265</v>
      </c>
      <c r="D9" s="3" t="s">
        <v>468</v>
      </c>
      <c r="E9" s="3" t="s">
        <v>39</v>
      </c>
      <c r="F9" s="3" t="s">
        <v>1301</v>
      </c>
      <c r="G9" s="11">
        <v>46346</v>
      </c>
      <c r="H9" s="3">
        <v>3</v>
      </c>
      <c r="I9" s="3">
        <v>1</v>
      </c>
      <c r="J9" s="3">
        <v>2</v>
      </c>
      <c r="K9" s="3" t="s">
        <v>1302</v>
      </c>
      <c r="L9" s="3" t="s">
        <v>1303</v>
      </c>
      <c r="M9" s="6">
        <v>2158</v>
      </c>
      <c r="N9" s="6">
        <f t="shared" si="0"/>
        <v>1294.8</v>
      </c>
      <c r="O9" s="3" t="str">
        <f>IFERROR(VLOOKUP(C9,'03_ANNUAIRE'!A:I,9,FALSE),"")</f>
        <v>EMP-001</v>
      </c>
      <c r="P9" s="6">
        <f t="shared" si="1"/>
        <v>2482</v>
      </c>
      <c r="Q9" s="3" t="str">
        <f t="shared" si="2"/>
        <v>Progression</v>
      </c>
      <c r="R9" s="3" t="str">
        <f t="shared" ca="1" si="3"/>
        <v>A suivre</v>
      </c>
      <c r="S9" s="3" t="s">
        <v>1312</v>
      </c>
    </row>
    <row r="10" spans="1:19" x14ac:dyDescent="0.25">
      <c r="A10" s="2" t="s">
        <v>1313</v>
      </c>
      <c r="B10" s="2" t="s">
        <v>128</v>
      </c>
      <c r="C10" s="2" t="s">
        <v>270</v>
      </c>
      <c r="D10" s="2" t="s">
        <v>477</v>
      </c>
      <c r="E10" s="2" t="s">
        <v>41</v>
      </c>
      <c r="F10" s="2" t="s">
        <v>1301</v>
      </c>
      <c r="G10" s="12">
        <v>46173</v>
      </c>
      <c r="H10" s="2">
        <v>3</v>
      </c>
      <c r="I10" s="2">
        <v>4</v>
      </c>
      <c r="J10" s="2">
        <v>5</v>
      </c>
      <c r="K10" s="2" t="s">
        <v>1306</v>
      </c>
      <c r="L10" s="2" t="s">
        <v>1303</v>
      </c>
      <c r="M10" s="5">
        <v>3138</v>
      </c>
      <c r="N10" s="5">
        <f t="shared" si="0"/>
        <v>1882.8</v>
      </c>
      <c r="O10" s="2" t="str">
        <f>IFERROR(VLOOKUP(C10,'03_ANNUAIRE'!A:I,9,FALSE),"")</f>
        <v>EMP-001</v>
      </c>
      <c r="P10" s="5">
        <f t="shared" si="1"/>
        <v>3609</v>
      </c>
      <c r="Q10" s="2" t="str">
        <f t="shared" si="2"/>
        <v>Progression</v>
      </c>
      <c r="R10" s="2" t="str">
        <f t="shared" ca="1" si="3"/>
        <v>A suivre</v>
      </c>
      <c r="S10" s="2" t="s">
        <v>1312</v>
      </c>
    </row>
    <row r="11" spans="1:19" x14ac:dyDescent="0.25">
      <c r="A11" s="3" t="s">
        <v>1314</v>
      </c>
      <c r="B11" s="3" t="s">
        <v>150</v>
      </c>
      <c r="C11" s="3" t="s">
        <v>279</v>
      </c>
      <c r="D11" s="3" t="s">
        <v>494</v>
      </c>
      <c r="E11" s="3" t="s">
        <v>35</v>
      </c>
      <c r="F11" s="3" t="s">
        <v>1301</v>
      </c>
      <c r="G11" s="11">
        <v>46175</v>
      </c>
      <c r="H11" s="3">
        <v>3</v>
      </c>
      <c r="I11" s="3">
        <v>2</v>
      </c>
      <c r="J11" s="3">
        <v>3</v>
      </c>
      <c r="K11" s="3" t="s">
        <v>1302</v>
      </c>
      <c r="L11" s="3" t="s">
        <v>1303</v>
      </c>
      <c r="M11" s="6">
        <v>2758</v>
      </c>
      <c r="N11" s="6">
        <f t="shared" si="0"/>
        <v>0</v>
      </c>
      <c r="O11" s="3" t="str">
        <f>IFERROR(VLOOKUP(C11,'03_ANNUAIRE'!A:I,9,FALSE),"")</f>
        <v>EMP-006</v>
      </c>
      <c r="P11" s="6">
        <f t="shared" si="1"/>
        <v>3172</v>
      </c>
      <c r="Q11" s="3" t="str">
        <f t="shared" si="2"/>
        <v>En attente</v>
      </c>
      <c r="R11" s="3" t="str">
        <f t="shared" ca="1" si="3"/>
        <v>A suivre</v>
      </c>
      <c r="S11" s="3" t="s">
        <v>1309</v>
      </c>
    </row>
    <row r="12" spans="1:19" x14ac:dyDescent="0.25">
      <c r="A12" s="2" t="s">
        <v>1315</v>
      </c>
      <c r="B12" s="2" t="s">
        <v>161</v>
      </c>
      <c r="C12" s="2" t="s">
        <v>279</v>
      </c>
      <c r="D12" s="2" t="s">
        <v>494</v>
      </c>
      <c r="E12" s="2" t="s">
        <v>35</v>
      </c>
      <c r="F12" s="2" t="s">
        <v>1301</v>
      </c>
      <c r="G12" s="12">
        <v>46151</v>
      </c>
      <c r="H12" s="2">
        <v>3</v>
      </c>
      <c r="I12" s="2">
        <v>1</v>
      </c>
      <c r="J12" s="2">
        <v>2</v>
      </c>
      <c r="K12" s="2" t="s">
        <v>1308</v>
      </c>
      <c r="L12" s="2" t="s">
        <v>1303</v>
      </c>
      <c r="M12" s="5">
        <v>2633</v>
      </c>
      <c r="N12" s="5">
        <f t="shared" si="0"/>
        <v>2633</v>
      </c>
      <c r="O12" s="2" t="str">
        <f>IFERROR(VLOOKUP(C12,'03_ANNUAIRE'!A:I,9,FALSE),"")</f>
        <v>EMP-006</v>
      </c>
      <c r="P12" s="5">
        <f t="shared" si="1"/>
        <v>3028</v>
      </c>
      <c r="Q12" s="2" t="str">
        <f t="shared" si="2"/>
        <v>A reevaluer</v>
      </c>
      <c r="R12" s="2" t="str">
        <f t="shared" ca="1" si="3"/>
        <v>A suivre</v>
      </c>
      <c r="S12" s="2" t="s">
        <v>1316</v>
      </c>
    </row>
    <row r="13" spans="1:19" x14ac:dyDescent="0.25">
      <c r="A13" s="3" t="s">
        <v>1317</v>
      </c>
      <c r="B13" s="3" t="s">
        <v>166</v>
      </c>
      <c r="C13" s="3" t="s">
        <v>283</v>
      </c>
      <c r="D13" s="3" t="s">
        <v>502</v>
      </c>
      <c r="E13" s="3" t="s">
        <v>37</v>
      </c>
      <c r="F13" s="3" t="s">
        <v>1301</v>
      </c>
      <c r="G13" s="11">
        <v>46249</v>
      </c>
      <c r="H13" s="3">
        <v>3</v>
      </c>
      <c r="I13" s="3">
        <v>3</v>
      </c>
      <c r="J13" s="3">
        <v>4</v>
      </c>
      <c r="K13" s="3" t="s">
        <v>1306</v>
      </c>
      <c r="L13" s="3" t="s">
        <v>1303</v>
      </c>
      <c r="M13" s="6">
        <v>2562</v>
      </c>
      <c r="N13" s="6">
        <f t="shared" si="0"/>
        <v>768.6</v>
      </c>
      <c r="O13" s="3" t="str">
        <f>IFERROR(VLOOKUP(C13,'03_ANNUAIRE'!A:I,9,FALSE),"")</f>
        <v>EMP-006</v>
      </c>
      <c r="P13" s="6">
        <f t="shared" si="1"/>
        <v>2946</v>
      </c>
      <c r="Q13" s="3" t="str">
        <f t="shared" si="2"/>
        <v>En attente</v>
      </c>
      <c r="R13" s="3" t="str">
        <f t="shared" ca="1" si="3"/>
        <v>A suivre</v>
      </c>
      <c r="S13" s="3" t="s">
        <v>1304</v>
      </c>
    </row>
    <row r="14" spans="1:19" x14ac:dyDescent="0.25">
      <c r="A14" s="2" t="s">
        <v>1318</v>
      </c>
      <c r="B14" s="2" t="s">
        <v>177</v>
      </c>
      <c r="C14" s="2" t="s">
        <v>287</v>
      </c>
      <c r="D14" s="2" t="s">
        <v>512</v>
      </c>
      <c r="E14" s="2" t="s">
        <v>39</v>
      </c>
      <c r="F14" s="2" t="s">
        <v>1301</v>
      </c>
      <c r="G14" s="12">
        <v>46147</v>
      </c>
      <c r="H14" s="2">
        <v>3</v>
      </c>
      <c r="I14" s="2">
        <v>2</v>
      </c>
      <c r="J14" s="2">
        <v>3</v>
      </c>
      <c r="K14" s="2" t="s">
        <v>1306</v>
      </c>
      <c r="L14" s="2" t="s">
        <v>1303</v>
      </c>
      <c r="M14" s="5">
        <v>2509</v>
      </c>
      <c r="N14" s="5">
        <f t="shared" si="0"/>
        <v>2509</v>
      </c>
      <c r="O14" s="2" t="str">
        <f>IFERROR(VLOOKUP(C14,'03_ANNUAIRE'!A:I,9,FALSE),"")</f>
        <v>EMP-006</v>
      </c>
      <c r="P14" s="5">
        <f t="shared" si="1"/>
        <v>2885</v>
      </c>
      <c r="Q14" s="2" t="str">
        <f t="shared" si="2"/>
        <v>A reevaluer</v>
      </c>
      <c r="R14" s="2" t="str">
        <f t="shared" ca="1" si="3"/>
        <v>A suivre</v>
      </c>
      <c r="S14" s="2" t="s">
        <v>1316</v>
      </c>
    </row>
    <row r="15" spans="1:19" x14ac:dyDescent="0.25">
      <c r="A15" s="3" t="s">
        <v>1319</v>
      </c>
      <c r="B15" s="3" t="s">
        <v>224</v>
      </c>
      <c r="C15" s="3" t="s">
        <v>319</v>
      </c>
      <c r="D15" s="3" t="s">
        <v>570</v>
      </c>
      <c r="E15" s="3" t="s">
        <v>43</v>
      </c>
      <c r="F15" s="3" t="s">
        <v>1301</v>
      </c>
      <c r="G15" s="11">
        <v>46241</v>
      </c>
      <c r="H15" s="3">
        <v>3</v>
      </c>
      <c r="I15" s="3">
        <v>2</v>
      </c>
      <c r="J15" s="3">
        <v>3</v>
      </c>
      <c r="K15" s="3" t="s">
        <v>1308</v>
      </c>
      <c r="L15" s="3" t="s">
        <v>1303</v>
      </c>
      <c r="M15" s="6">
        <v>3203</v>
      </c>
      <c r="N15" s="6">
        <f t="shared" si="0"/>
        <v>0</v>
      </c>
      <c r="O15" s="3" t="str">
        <f>IFERROR(VLOOKUP(C15,'03_ANNUAIRE'!A:I,9,FALSE),"")</f>
        <v>EMP-011</v>
      </c>
      <c r="P15" s="6">
        <f t="shared" si="1"/>
        <v>3683</v>
      </c>
      <c r="Q15" s="3" t="str">
        <f t="shared" si="2"/>
        <v>En attente</v>
      </c>
      <c r="R15" s="3" t="str">
        <f t="shared" ca="1" si="3"/>
        <v>A suivre</v>
      </c>
      <c r="S15" s="3" t="s">
        <v>1309</v>
      </c>
    </row>
    <row r="16" spans="1:19" x14ac:dyDescent="0.25">
      <c r="A16" s="2" t="s">
        <v>1320</v>
      </c>
      <c r="B16" s="2" t="s">
        <v>150</v>
      </c>
      <c r="C16" s="2" t="s">
        <v>323</v>
      </c>
      <c r="D16" s="2" t="s">
        <v>577</v>
      </c>
      <c r="E16" s="2" t="s">
        <v>35</v>
      </c>
      <c r="F16" s="2" t="s">
        <v>1301</v>
      </c>
      <c r="G16" s="12">
        <v>46154</v>
      </c>
      <c r="H16" s="2">
        <v>3</v>
      </c>
      <c r="I16" s="2">
        <v>2</v>
      </c>
      <c r="J16" s="2">
        <v>3</v>
      </c>
      <c r="K16" s="2" t="s">
        <v>1308</v>
      </c>
      <c r="L16" s="2" t="s">
        <v>1303</v>
      </c>
      <c r="M16" s="5">
        <v>2534</v>
      </c>
      <c r="N16" s="5">
        <f t="shared" si="0"/>
        <v>760.19999999999993</v>
      </c>
      <c r="O16" s="2" t="str">
        <f>IFERROR(VLOOKUP(C16,'03_ANNUAIRE'!A:I,9,FALSE),"")</f>
        <v>EMP-016</v>
      </c>
      <c r="P16" s="5">
        <f t="shared" si="1"/>
        <v>2914</v>
      </c>
      <c r="Q16" s="2" t="str">
        <f t="shared" si="2"/>
        <v>En attente</v>
      </c>
      <c r="R16" s="2" t="str">
        <f t="shared" ca="1" si="3"/>
        <v>A suivre</v>
      </c>
      <c r="S16" s="2" t="s">
        <v>1304</v>
      </c>
    </row>
    <row r="17" spans="1:19" x14ac:dyDescent="0.25">
      <c r="A17" s="3" t="s">
        <v>1321</v>
      </c>
      <c r="B17" s="3" t="s">
        <v>166</v>
      </c>
      <c r="C17" s="3" t="s">
        <v>327</v>
      </c>
      <c r="D17" s="3" t="s">
        <v>587</v>
      </c>
      <c r="E17" s="3" t="s">
        <v>37</v>
      </c>
      <c r="F17" s="3" t="s">
        <v>1301</v>
      </c>
      <c r="G17" s="11">
        <v>46346</v>
      </c>
      <c r="H17" s="3">
        <v>3</v>
      </c>
      <c r="I17" s="3">
        <v>3</v>
      </c>
      <c r="J17" s="3">
        <v>4</v>
      </c>
      <c r="K17" s="3" t="s">
        <v>1306</v>
      </c>
      <c r="L17" s="3" t="s">
        <v>1303</v>
      </c>
      <c r="M17" s="6">
        <v>2294</v>
      </c>
      <c r="N17" s="6">
        <f t="shared" si="0"/>
        <v>1376.3999999999999</v>
      </c>
      <c r="O17" s="3" t="str">
        <f>IFERROR(VLOOKUP(C17,'03_ANNUAIRE'!A:I,9,FALSE),"")</f>
        <v>EMP-016</v>
      </c>
      <c r="P17" s="6">
        <f t="shared" si="1"/>
        <v>2638</v>
      </c>
      <c r="Q17" s="3" t="str">
        <f t="shared" si="2"/>
        <v>Progression</v>
      </c>
      <c r="R17" s="3" t="str">
        <f t="shared" ca="1" si="3"/>
        <v>A suivre</v>
      </c>
      <c r="S17" s="3" t="s">
        <v>1312</v>
      </c>
    </row>
    <row r="18" spans="1:19" x14ac:dyDescent="0.25">
      <c r="A18" s="2" t="s">
        <v>1322</v>
      </c>
      <c r="B18" s="2" t="s">
        <v>182</v>
      </c>
      <c r="C18" s="2" t="s">
        <v>327</v>
      </c>
      <c r="D18" s="2" t="s">
        <v>587</v>
      </c>
      <c r="E18" s="2" t="s">
        <v>37</v>
      </c>
      <c r="F18" s="2" t="s">
        <v>1301</v>
      </c>
      <c r="G18" s="12">
        <v>46340</v>
      </c>
      <c r="H18" s="2">
        <v>3</v>
      </c>
      <c r="I18" s="2">
        <v>4</v>
      </c>
      <c r="J18" s="2">
        <v>5</v>
      </c>
      <c r="K18" s="2" t="s">
        <v>1306</v>
      </c>
      <c r="L18" s="2" t="s">
        <v>1303</v>
      </c>
      <c r="M18" s="5">
        <v>3201</v>
      </c>
      <c r="N18" s="5">
        <f t="shared" si="0"/>
        <v>0</v>
      </c>
      <c r="O18" s="2" t="str">
        <f>IFERROR(VLOOKUP(C18,'03_ANNUAIRE'!A:I,9,FALSE),"")</f>
        <v>EMP-016</v>
      </c>
      <c r="P18" s="5">
        <f t="shared" si="1"/>
        <v>3681</v>
      </c>
      <c r="Q18" s="2" t="str">
        <f t="shared" si="2"/>
        <v>En attente</v>
      </c>
      <c r="R18" s="2" t="str">
        <f t="shared" ca="1" si="3"/>
        <v>A suivre</v>
      </c>
      <c r="S18" s="2" t="s">
        <v>1309</v>
      </c>
    </row>
    <row r="19" spans="1:19" x14ac:dyDescent="0.25">
      <c r="A19" s="3" t="s">
        <v>1323</v>
      </c>
      <c r="B19" s="3" t="s">
        <v>194</v>
      </c>
      <c r="C19" s="3" t="s">
        <v>327</v>
      </c>
      <c r="D19" s="3" t="s">
        <v>587</v>
      </c>
      <c r="E19" s="3" t="s">
        <v>37</v>
      </c>
      <c r="F19" s="3" t="s">
        <v>1301</v>
      </c>
      <c r="G19" s="11">
        <v>46198</v>
      </c>
      <c r="H19" s="3">
        <v>3</v>
      </c>
      <c r="I19" s="3">
        <v>2</v>
      </c>
      <c r="J19" s="3">
        <v>3</v>
      </c>
      <c r="K19" s="3" t="s">
        <v>1302</v>
      </c>
      <c r="L19" s="3" t="s">
        <v>1303</v>
      </c>
      <c r="M19" s="6">
        <v>3230</v>
      </c>
      <c r="N19" s="6">
        <f t="shared" si="0"/>
        <v>0</v>
      </c>
      <c r="O19" s="3" t="str">
        <f>IFERROR(VLOOKUP(C19,'03_ANNUAIRE'!A:I,9,FALSE),"")</f>
        <v>EMP-016</v>
      </c>
      <c r="P19" s="6">
        <f t="shared" si="1"/>
        <v>3715</v>
      </c>
      <c r="Q19" s="3" t="str">
        <f t="shared" si="2"/>
        <v>En attente</v>
      </c>
      <c r="R19" s="3" t="str">
        <f t="shared" ca="1" si="3"/>
        <v>A suivre</v>
      </c>
      <c r="S19" s="3" t="s">
        <v>1309</v>
      </c>
    </row>
    <row r="20" spans="1:19" x14ac:dyDescent="0.25">
      <c r="A20" s="2" t="s">
        <v>1324</v>
      </c>
      <c r="B20" s="2" t="s">
        <v>187</v>
      </c>
      <c r="C20" s="2" t="s">
        <v>331</v>
      </c>
      <c r="D20" s="2" t="s">
        <v>598</v>
      </c>
      <c r="E20" s="2" t="s">
        <v>39</v>
      </c>
      <c r="F20" s="2" t="s">
        <v>1301</v>
      </c>
      <c r="G20" s="12">
        <v>46218</v>
      </c>
      <c r="H20" s="2">
        <v>3</v>
      </c>
      <c r="I20" s="2">
        <v>1</v>
      </c>
      <c r="J20" s="2">
        <v>2</v>
      </c>
      <c r="K20" s="2" t="s">
        <v>1308</v>
      </c>
      <c r="L20" s="2" t="s">
        <v>1303</v>
      </c>
      <c r="M20" s="5">
        <v>2215</v>
      </c>
      <c r="N20" s="5">
        <f t="shared" si="0"/>
        <v>1329</v>
      </c>
      <c r="O20" s="2" t="str">
        <f>IFERROR(VLOOKUP(C20,'03_ANNUAIRE'!A:I,9,FALSE),"")</f>
        <v>EMP-016</v>
      </c>
      <c r="P20" s="5">
        <f t="shared" si="1"/>
        <v>2547</v>
      </c>
      <c r="Q20" s="2" t="str">
        <f t="shared" si="2"/>
        <v>Progression</v>
      </c>
      <c r="R20" s="2" t="str">
        <f t="shared" ca="1" si="3"/>
        <v>A suivre</v>
      </c>
      <c r="S20" s="2" t="s">
        <v>1312</v>
      </c>
    </row>
    <row r="21" spans="1:19" x14ac:dyDescent="0.25">
      <c r="A21" s="3" t="s">
        <v>1325</v>
      </c>
      <c r="B21" s="3" t="s">
        <v>224</v>
      </c>
      <c r="C21" s="3" t="s">
        <v>339</v>
      </c>
      <c r="D21" s="3" t="s">
        <v>610</v>
      </c>
      <c r="E21" s="3" t="s">
        <v>43</v>
      </c>
      <c r="F21" s="3" t="s">
        <v>1301</v>
      </c>
      <c r="G21" s="11">
        <v>46321</v>
      </c>
      <c r="H21" s="3">
        <v>3</v>
      </c>
      <c r="I21" s="3">
        <v>2</v>
      </c>
      <c r="J21" s="3">
        <v>3</v>
      </c>
      <c r="K21" s="3" t="s">
        <v>1308</v>
      </c>
      <c r="L21" s="3" t="s">
        <v>1303</v>
      </c>
      <c r="M21" s="6">
        <v>3187</v>
      </c>
      <c r="N21" s="6">
        <f t="shared" si="0"/>
        <v>956.09999999999991</v>
      </c>
      <c r="O21" s="3" t="str">
        <f>IFERROR(VLOOKUP(C21,'03_ANNUAIRE'!A:I,9,FALSE),"")</f>
        <v>EMP-016</v>
      </c>
      <c r="P21" s="6">
        <f t="shared" si="1"/>
        <v>3665</v>
      </c>
      <c r="Q21" s="3" t="str">
        <f t="shared" si="2"/>
        <v>En attente</v>
      </c>
      <c r="R21" s="3" t="str">
        <f t="shared" ca="1" si="3"/>
        <v>A suivre</v>
      </c>
      <c r="S21" s="3" t="s">
        <v>1304</v>
      </c>
    </row>
    <row r="22" spans="1:19" x14ac:dyDescent="0.25">
      <c r="A22" s="2" t="s">
        <v>1326</v>
      </c>
      <c r="B22" s="2" t="s">
        <v>219</v>
      </c>
      <c r="C22" s="2" t="s">
        <v>343</v>
      </c>
      <c r="D22" s="2" t="s">
        <v>617</v>
      </c>
      <c r="E22" s="2" t="s">
        <v>35</v>
      </c>
      <c r="F22" s="2" t="s">
        <v>1301</v>
      </c>
      <c r="G22" s="12">
        <v>46185</v>
      </c>
      <c r="H22" s="2">
        <v>3</v>
      </c>
      <c r="I22" s="2">
        <v>1</v>
      </c>
      <c r="J22" s="2">
        <v>2</v>
      </c>
      <c r="K22" s="2" t="s">
        <v>1308</v>
      </c>
      <c r="L22" s="2" t="s">
        <v>1303</v>
      </c>
      <c r="M22" s="5">
        <v>3067</v>
      </c>
      <c r="N22" s="5">
        <f t="shared" si="0"/>
        <v>1840.2</v>
      </c>
      <c r="O22" s="2" t="str">
        <f>IFERROR(VLOOKUP(C22,'03_ANNUAIRE'!A:I,9,FALSE),"")</f>
        <v>EMP-021</v>
      </c>
      <c r="P22" s="5">
        <f t="shared" si="1"/>
        <v>3527</v>
      </c>
      <c r="Q22" s="2" t="str">
        <f t="shared" si="2"/>
        <v>Progression</v>
      </c>
      <c r="R22" s="2" t="str">
        <f t="shared" ca="1" si="3"/>
        <v>A suivre</v>
      </c>
      <c r="S22" s="2" t="s">
        <v>1312</v>
      </c>
    </row>
    <row r="23" spans="1:19" x14ac:dyDescent="0.25">
      <c r="A23" s="3" t="s">
        <v>1327</v>
      </c>
      <c r="B23" s="3" t="s">
        <v>119</v>
      </c>
      <c r="C23" s="3" t="s">
        <v>349</v>
      </c>
      <c r="D23" s="3" t="s">
        <v>633</v>
      </c>
      <c r="E23" s="3" t="s">
        <v>39</v>
      </c>
      <c r="F23" s="3" t="s">
        <v>1301</v>
      </c>
      <c r="G23" s="11">
        <v>46317</v>
      </c>
      <c r="H23" s="3">
        <v>3</v>
      </c>
      <c r="I23" s="3">
        <v>3</v>
      </c>
      <c r="J23" s="3">
        <v>4</v>
      </c>
      <c r="K23" s="3" t="s">
        <v>1306</v>
      </c>
      <c r="L23" s="3" t="s">
        <v>1303</v>
      </c>
      <c r="M23" s="6">
        <v>2887</v>
      </c>
      <c r="N23" s="6">
        <f t="shared" si="0"/>
        <v>0</v>
      </c>
      <c r="O23" s="3" t="str">
        <f>IFERROR(VLOOKUP(C23,'03_ANNUAIRE'!A:I,9,FALSE),"")</f>
        <v>EMP-021</v>
      </c>
      <c r="P23" s="6">
        <f t="shared" si="1"/>
        <v>3320</v>
      </c>
      <c r="Q23" s="3" t="str">
        <f t="shared" si="2"/>
        <v>En attente</v>
      </c>
      <c r="R23" s="3" t="str">
        <f t="shared" ca="1" si="3"/>
        <v>A suivre</v>
      </c>
      <c r="S23" s="3" t="s">
        <v>1309</v>
      </c>
    </row>
    <row r="24" spans="1:19" x14ac:dyDescent="0.25">
      <c r="A24" s="2" t="s">
        <v>1328</v>
      </c>
      <c r="B24" s="2" t="s">
        <v>125</v>
      </c>
      <c r="C24" s="2" t="s">
        <v>349</v>
      </c>
      <c r="D24" s="2" t="s">
        <v>633</v>
      </c>
      <c r="E24" s="2" t="s">
        <v>39</v>
      </c>
      <c r="F24" s="2" t="s">
        <v>1301</v>
      </c>
      <c r="G24" s="12">
        <v>46137</v>
      </c>
      <c r="H24" s="2">
        <v>3</v>
      </c>
      <c r="I24" s="2">
        <v>3</v>
      </c>
      <c r="J24" s="2">
        <v>4</v>
      </c>
      <c r="K24" s="2" t="s">
        <v>1306</v>
      </c>
      <c r="L24" s="2" t="s">
        <v>1303</v>
      </c>
      <c r="M24" s="5">
        <v>3115</v>
      </c>
      <c r="N24" s="5">
        <f t="shared" si="0"/>
        <v>0</v>
      </c>
      <c r="O24" s="2" t="str">
        <f>IFERROR(VLOOKUP(C24,'03_ANNUAIRE'!A:I,9,FALSE),"")</f>
        <v>EMP-021</v>
      </c>
      <c r="P24" s="5">
        <f t="shared" si="1"/>
        <v>3582</v>
      </c>
      <c r="Q24" s="2" t="str">
        <f t="shared" si="2"/>
        <v>En attente</v>
      </c>
      <c r="R24" s="2" t="str">
        <f t="shared" ca="1" si="3"/>
        <v>A suivre</v>
      </c>
      <c r="S24" s="2" t="s">
        <v>1309</v>
      </c>
    </row>
    <row r="25" spans="1:19" x14ac:dyDescent="0.25">
      <c r="A25" s="3" t="s">
        <v>1329</v>
      </c>
      <c r="B25" s="3" t="s">
        <v>125</v>
      </c>
      <c r="C25" s="3" t="s">
        <v>352</v>
      </c>
      <c r="D25" s="3" t="s">
        <v>642</v>
      </c>
      <c r="E25" s="3" t="s">
        <v>41</v>
      </c>
      <c r="F25" s="3" t="s">
        <v>1301</v>
      </c>
      <c r="G25" s="11">
        <v>46319</v>
      </c>
      <c r="H25" s="3">
        <v>3</v>
      </c>
      <c r="I25" s="3">
        <v>4</v>
      </c>
      <c r="J25" s="3">
        <v>5</v>
      </c>
      <c r="K25" s="3" t="s">
        <v>1302</v>
      </c>
      <c r="L25" s="3" t="s">
        <v>1303</v>
      </c>
      <c r="M25" s="6">
        <v>2986</v>
      </c>
      <c r="N25" s="6">
        <f t="shared" si="0"/>
        <v>0</v>
      </c>
      <c r="O25" s="3" t="str">
        <f>IFERROR(VLOOKUP(C25,'03_ANNUAIRE'!A:I,9,FALSE),"")</f>
        <v>EMP-021</v>
      </c>
      <c r="P25" s="6">
        <f t="shared" si="1"/>
        <v>3434</v>
      </c>
      <c r="Q25" s="3" t="str">
        <f t="shared" si="2"/>
        <v>En attente</v>
      </c>
      <c r="R25" s="3" t="str">
        <f t="shared" ca="1" si="3"/>
        <v>A suivre</v>
      </c>
      <c r="S25" s="3" t="s">
        <v>1309</v>
      </c>
    </row>
    <row r="26" spans="1:19" x14ac:dyDescent="0.25">
      <c r="A26" s="2" t="s">
        <v>1330</v>
      </c>
      <c r="B26" s="2" t="s">
        <v>234</v>
      </c>
      <c r="C26" s="2" t="s">
        <v>352</v>
      </c>
      <c r="D26" s="2" t="s">
        <v>642</v>
      </c>
      <c r="E26" s="2" t="s">
        <v>41</v>
      </c>
      <c r="F26" s="2" t="s">
        <v>1301</v>
      </c>
      <c r="G26" s="12">
        <v>46194</v>
      </c>
      <c r="H26" s="2">
        <v>3</v>
      </c>
      <c r="I26" s="2">
        <v>2</v>
      </c>
      <c r="J26" s="2">
        <v>3</v>
      </c>
      <c r="K26" s="2" t="s">
        <v>1308</v>
      </c>
      <c r="L26" s="2" t="s">
        <v>1303</v>
      </c>
      <c r="M26" s="5">
        <v>3252</v>
      </c>
      <c r="N26" s="5">
        <f t="shared" si="0"/>
        <v>1951.1999999999998</v>
      </c>
      <c r="O26" s="2" t="str">
        <f>IFERROR(VLOOKUP(C26,'03_ANNUAIRE'!A:I,9,FALSE),"")</f>
        <v>EMP-021</v>
      </c>
      <c r="P26" s="5">
        <f t="shared" si="1"/>
        <v>3740</v>
      </c>
      <c r="Q26" s="2" t="str">
        <f t="shared" si="2"/>
        <v>Progression</v>
      </c>
      <c r="R26" s="2" t="str">
        <f t="shared" ca="1" si="3"/>
        <v>A suivre</v>
      </c>
      <c r="S26" s="2" t="s">
        <v>1312</v>
      </c>
    </row>
    <row r="27" spans="1:19" x14ac:dyDescent="0.25">
      <c r="A27" s="3" t="s">
        <v>1331</v>
      </c>
      <c r="B27" s="3" t="s">
        <v>147</v>
      </c>
      <c r="C27" s="3" t="s">
        <v>355</v>
      </c>
      <c r="D27" s="3" t="s">
        <v>653</v>
      </c>
      <c r="E27" s="3" t="s">
        <v>43</v>
      </c>
      <c r="F27" s="3" t="s">
        <v>1301</v>
      </c>
      <c r="G27" s="11">
        <v>46143</v>
      </c>
      <c r="H27" s="3">
        <v>3</v>
      </c>
      <c r="I27" s="3">
        <v>3</v>
      </c>
      <c r="J27" s="3">
        <v>4</v>
      </c>
      <c r="K27" s="3" t="s">
        <v>1308</v>
      </c>
      <c r="L27" s="3" t="s">
        <v>1303</v>
      </c>
      <c r="M27" s="6">
        <v>3065</v>
      </c>
      <c r="N27" s="6">
        <f t="shared" si="0"/>
        <v>0</v>
      </c>
      <c r="O27" s="3" t="str">
        <f>IFERROR(VLOOKUP(C27,'03_ANNUAIRE'!A:I,9,FALSE),"")</f>
        <v>EMP-021</v>
      </c>
      <c r="P27" s="6">
        <f t="shared" si="1"/>
        <v>3525</v>
      </c>
      <c r="Q27" s="3" t="str">
        <f t="shared" si="2"/>
        <v>En attente</v>
      </c>
      <c r="R27" s="3" t="str">
        <f t="shared" ca="1" si="3"/>
        <v>A suivre</v>
      </c>
      <c r="S27" s="3" t="s">
        <v>1309</v>
      </c>
    </row>
    <row r="28" spans="1:19" x14ac:dyDescent="0.25">
      <c r="A28" s="2" t="s">
        <v>1332</v>
      </c>
      <c r="B28" s="2" t="s">
        <v>161</v>
      </c>
      <c r="C28" s="2" t="s">
        <v>355</v>
      </c>
      <c r="D28" s="2" t="s">
        <v>653</v>
      </c>
      <c r="E28" s="2" t="s">
        <v>43</v>
      </c>
      <c r="F28" s="2" t="s">
        <v>1301</v>
      </c>
      <c r="G28" s="12">
        <v>46166</v>
      </c>
      <c r="H28" s="2">
        <v>3</v>
      </c>
      <c r="I28" s="2">
        <v>2</v>
      </c>
      <c r="J28" s="2">
        <v>3</v>
      </c>
      <c r="K28" s="2" t="s">
        <v>1302</v>
      </c>
      <c r="L28" s="2" t="s">
        <v>1303</v>
      </c>
      <c r="M28" s="5">
        <v>3187</v>
      </c>
      <c r="N28" s="5">
        <f t="shared" si="0"/>
        <v>0</v>
      </c>
      <c r="O28" s="2" t="str">
        <f>IFERROR(VLOOKUP(C28,'03_ANNUAIRE'!A:I,9,FALSE),"")</f>
        <v>EMP-021</v>
      </c>
      <c r="P28" s="5">
        <f t="shared" si="1"/>
        <v>3665</v>
      </c>
      <c r="Q28" s="2" t="str">
        <f t="shared" si="2"/>
        <v>En attente</v>
      </c>
      <c r="R28" s="2" t="str">
        <f t="shared" ca="1" si="3"/>
        <v>A suivre</v>
      </c>
      <c r="S28" s="2" t="s">
        <v>1309</v>
      </c>
    </row>
    <row r="29" spans="1:19" x14ac:dyDescent="0.25">
      <c r="A29" s="3" t="s">
        <v>1333</v>
      </c>
      <c r="B29" s="3" t="s">
        <v>203</v>
      </c>
      <c r="C29" s="3" t="s">
        <v>355</v>
      </c>
      <c r="D29" s="3" t="s">
        <v>653</v>
      </c>
      <c r="E29" s="3" t="s">
        <v>43</v>
      </c>
      <c r="F29" s="3" t="s">
        <v>1301</v>
      </c>
      <c r="G29" s="11">
        <v>46133</v>
      </c>
      <c r="H29" s="3">
        <v>3</v>
      </c>
      <c r="I29" s="3">
        <v>1</v>
      </c>
      <c r="J29" s="3">
        <v>2</v>
      </c>
      <c r="K29" s="3" t="s">
        <v>1302</v>
      </c>
      <c r="L29" s="3" t="s">
        <v>1303</v>
      </c>
      <c r="M29" s="6">
        <v>2822</v>
      </c>
      <c r="N29" s="6">
        <f t="shared" si="0"/>
        <v>1693.2</v>
      </c>
      <c r="O29" s="3" t="str">
        <f>IFERROR(VLOOKUP(C29,'03_ANNUAIRE'!A:I,9,FALSE),"")</f>
        <v>EMP-021</v>
      </c>
      <c r="P29" s="6">
        <f t="shared" si="1"/>
        <v>3245</v>
      </c>
      <c r="Q29" s="3" t="str">
        <f t="shared" si="2"/>
        <v>Progression</v>
      </c>
      <c r="R29" s="3" t="str">
        <f t="shared" ca="1" si="3"/>
        <v>A suivre</v>
      </c>
      <c r="S29" s="3" t="s">
        <v>1312</v>
      </c>
    </row>
    <row r="30" spans="1:19" x14ac:dyDescent="0.25">
      <c r="A30" s="2" t="s">
        <v>1334</v>
      </c>
      <c r="B30" s="2" t="s">
        <v>161</v>
      </c>
      <c r="C30" s="2" t="s">
        <v>358</v>
      </c>
      <c r="D30" s="2" t="s">
        <v>662</v>
      </c>
      <c r="E30" s="2" t="s">
        <v>35</v>
      </c>
      <c r="F30" s="2" t="s">
        <v>1301</v>
      </c>
      <c r="G30" s="12">
        <v>46276</v>
      </c>
      <c r="H30" s="2">
        <v>3</v>
      </c>
      <c r="I30" s="2">
        <v>1</v>
      </c>
      <c r="J30" s="2">
        <v>2</v>
      </c>
      <c r="K30" s="2" t="s">
        <v>1306</v>
      </c>
      <c r="L30" s="2" t="s">
        <v>1303</v>
      </c>
      <c r="M30" s="5">
        <v>2227</v>
      </c>
      <c r="N30" s="5">
        <f t="shared" si="0"/>
        <v>1336.2</v>
      </c>
      <c r="O30" s="2" t="str">
        <f>IFERROR(VLOOKUP(C30,'03_ANNUAIRE'!A:I,9,FALSE),"")</f>
        <v>EMP-026</v>
      </c>
      <c r="P30" s="5">
        <f t="shared" si="1"/>
        <v>2561</v>
      </c>
      <c r="Q30" s="2" t="str">
        <f t="shared" si="2"/>
        <v>Progression</v>
      </c>
      <c r="R30" s="2" t="str">
        <f t="shared" ca="1" si="3"/>
        <v>A suivre</v>
      </c>
      <c r="S30" s="2" t="s">
        <v>1312</v>
      </c>
    </row>
    <row r="31" spans="1:19" x14ac:dyDescent="0.25">
      <c r="A31" s="3" t="s">
        <v>1335</v>
      </c>
      <c r="B31" s="3" t="s">
        <v>187</v>
      </c>
      <c r="C31" s="3" t="s">
        <v>367</v>
      </c>
      <c r="D31" s="3" t="s">
        <v>681</v>
      </c>
      <c r="E31" s="3" t="s">
        <v>41</v>
      </c>
      <c r="F31" s="3" t="s">
        <v>1301</v>
      </c>
      <c r="G31" s="11">
        <v>46166</v>
      </c>
      <c r="H31" s="3">
        <v>3</v>
      </c>
      <c r="I31" s="3">
        <v>4</v>
      </c>
      <c r="J31" s="3">
        <v>5</v>
      </c>
      <c r="K31" s="3" t="s">
        <v>1306</v>
      </c>
      <c r="L31" s="3" t="s">
        <v>1303</v>
      </c>
      <c r="M31" s="6">
        <v>2116</v>
      </c>
      <c r="N31" s="6">
        <f t="shared" si="0"/>
        <v>634.79999999999995</v>
      </c>
      <c r="O31" s="3" t="str">
        <f>IFERROR(VLOOKUP(C31,'03_ANNUAIRE'!A:I,9,FALSE),"")</f>
        <v>EMP-026</v>
      </c>
      <c r="P31" s="6">
        <f t="shared" si="1"/>
        <v>2433</v>
      </c>
      <c r="Q31" s="3" t="str">
        <f t="shared" si="2"/>
        <v>En attente</v>
      </c>
      <c r="R31" s="3" t="str">
        <f t="shared" ca="1" si="3"/>
        <v>A suivre</v>
      </c>
      <c r="S31" s="3" t="s">
        <v>1304</v>
      </c>
    </row>
    <row r="32" spans="1:19" x14ac:dyDescent="0.25">
      <c r="A32" s="2" t="s">
        <v>1336</v>
      </c>
      <c r="B32" s="2" t="s">
        <v>208</v>
      </c>
      <c r="C32" s="2" t="s">
        <v>367</v>
      </c>
      <c r="D32" s="2" t="s">
        <v>681</v>
      </c>
      <c r="E32" s="2" t="s">
        <v>41</v>
      </c>
      <c r="F32" s="2" t="s">
        <v>1301</v>
      </c>
      <c r="G32" s="12">
        <v>46151</v>
      </c>
      <c r="H32" s="2">
        <v>3</v>
      </c>
      <c r="I32" s="2">
        <v>2</v>
      </c>
      <c r="J32" s="2">
        <v>3</v>
      </c>
      <c r="K32" s="2" t="s">
        <v>1308</v>
      </c>
      <c r="L32" s="2" t="s">
        <v>1303</v>
      </c>
      <c r="M32" s="5">
        <v>3054</v>
      </c>
      <c r="N32" s="5">
        <f t="shared" si="0"/>
        <v>0</v>
      </c>
      <c r="O32" s="2" t="str">
        <f>IFERROR(VLOOKUP(C32,'03_ANNUAIRE'!A:I,9,FALSE),"")</f>
        <v>EMP-026</v>
      </c>
      <c r="P32" s="5">
        <f t="shared" si="1"/>
        <v>3512</v>
      </c>
      <c r="Q32" s="2" t="str">
        <f t="shared" si="2"/>
        <v>En attente</v>
      </c>
      <c r="R32" s="2" t="str">
        <f t="shared" ca="1" si="3"/>
        <v>A suivre</v>
      </c>
      <c r="S32" s="2" t="s">
        <v>1309</v>
      </c>
    </row>
    <row r="33" spans="1:19" x14ac:dyDescent="0.25">
      <c r="A33" s="3" t="s">
        <v>1337</v>
      </c>
      <c r="B33" s="3" t="s">
        <v>219</v>
      </c>
      <c r="C33" s="3" t="s">
        <v>367</v>
      </c>
      <c r="D33" s="3" t="s">
        <v>681</v>
      </c>
      <c r="E33" s="3" t="s">
        <v>41</v>
      </c>
      <c r="F33" s="3" t="s">
        <v>1301</v>
      </c>
      <c r="G33" s="11">
        <v>46350</v>
      </c>
      <c r="H33" s="3">
        <v>3</v>
      </c>
      <c r="I33" s="3">
        <v>2</v>
      </c>
      <c r="J33" s="3">
        <v>3</v>
      </c>
      <c r="K33" s="3" t="s">
        <v>1302</v>
      </c>
      <c r="L33" s="3" t="s">
        <v>1303</v>
      </c>
      <c r="M33" s="6">
        <v>3074</v>
      </c>
      <c r="N33" s="6">
        <f t="shared" si="0"/>
        <v>0</v>
      </c>
      <c r="O33" s="3" t="str">
        <f>IFERROR(VLOOKUP(C33,'03_ANNUAIRE'!A:I,9,FALSE),"")</f>
        <v>EMP-026</v>
      </c>
      <c r="P33" s="6">
        <f t="shared" si="1"/>
        <v>3535</v>
      </c>
      <c r="Q33" s="3" t="str">
        <f t="shared" si="2"/>
        <v>En attente</v>
      </c>
      <c r="R33" s="3" t="str">
        <f t="shared" ca="1" si="3"/>
        <v>A suivre</v>
      </c>
      <c r="S33" s="3" t="s">
        <v>1309</v>
      </c>
    </row>
    <row r="34" spans="1:19" x14ac:dyDescent="0.25">
      <c r="A34" s="2" t="s">
        <v>1338</v>
      </c>
      <c r="B34" s="2" t="s">
        <v>194</v>
      </c>
      <c r="C34" s="2" t="s">
        <v>370</v>
      </c>
      <c r="D34" s="2" t="s">
        <v>689</v>
      </c>
      <c r="E34" s="2" t="s">
        <v>43</v>
      </c>
      <c r="F34" s="2" t="s">
        <v>103</v>
      </c>
      <c r="G34" s="12">
        <v>46347</v>
      </c>
      <c r="H34" s="2">
        <v>6</v>
      </c>
      <c r="I34" s="2">
        <v>3</v>
      </c>
      <c r="J34" s="2">
        <v>5</v>
      </c>
      <c r="K34" s="2" t="s">
        <v>1339</v>
      </c>
      <c r="L34" s="2" t="s">
        <v>1340</v>
      </c>
      <c r="M34" s="5">
        <v>4177</v>
      </c>
      <c r="N34" s="5">
        <f t="shared" si="0"/>
        <v>1253.0999999999999</v>
      </c>
      <c r="O34" s="2" t="str">
        <f>IFERROR(VLOOKUP(C34,'03_ANNUAIRE'!A:I,9,FALSE),"")</f>
        <v>EMP-026</v>
      </c>
      <c r="P34" s="5">
        <f t="shared" si="1"/>
        <v>4804</v>
      </c>
      <c r="Q34" s="2" t="str">
        <f t="shared" si="2"/>
        <v>En attente</v>
      </c>
      <c r="R34" s="2" t="str">
        <f t="shared" ca="1" si="3"/>
        <v>A suivre</v>
      </c>
      <c r="S34" s="2" t="s">
        <v>1304</v>
      </c>
    </row>
    <row r="35" spans="1:19" x14ac:dyDescent="0.25">
      <c r="A35" s="3" t="s">
        <v>1341</v>
      </c>
      <c r="B35" s="3" t="s">
        <v>199</v>
      </c>
      <c r="C35" s="3" t="s">
        <v>370</v>
      </c>
      <c r="D35" s="3" t="s">
        <v>689</v>
      </c>
      <c r="E35" s="3" t="s">
        <v>43</v>
      </c>
      <c r="F35" s="3" t="s">
        <v>1301</v>
      </c>
      <c r="G35" s="11">
        <v>46195</v>
      </c>
      <c r="H35" s="3">
        <v>3</v>
      </c>
      <c r="I35" s="3">
        <v>3</v>
      </c>
      <c r="J35" s="3">
        <v>4</v>
      </c>
      <c r="K35" s="3" t="s">
        <v>1306</v>
      </c>
      <c r="L35" s="3" t="s">
        <v>1303</v>
      </c>
      <c r="M35" s="6">
        <v>2276</v>
      </c>
      <c r="N35" s="6">
        <f t="shared" si="0"/>
        <v>0</v>
      </c>
      <c r="O35" s="3" t="str">
        <f>IFERROR(VLOOKUP(C35,'03_ANNUAIRE'!A:I,9,FALSE),"")</f>
        <v>EMP-026</v>
      </c>
      <c r="P35" s="6">
        <f t="shared" si="1"/>
        <v>2617</v>
      </c>
      <c r="Q35" s="3" t="str">
        <f t="shared" si="2"/>
        <v>En attente</v>
      </c>
      <c r="R35" s="3" t="str">
        <f t="shared" ca="1" si="3"/>
        <v>A suivre</v>
      </c>
      <c r="S35" s="3" t="s">
        <v>1309</v>
      </c>
    </row>
    <row r="36" spans="1:19" x14ac:dyDescent="0.25">
      <c r="A36" s="2" t="s">
        <v>1342</v>
      </c>
      <c r="B36" s="2" t="s">
        <v>203</v>
      </c>
      <c r="C36" s="2" t="s">
        <v>370</v>
      </c>
      <c r="D36" s="2" t="s">
        <v>689</v>
      </c>
      <c r="E36" s="2" t="s">
        <v>43</v>
      </c>
      <c r="F36" s="2" t="s">
        <v>103</v>
      </c>
      <c r="G36" s="12">
        <v>46171</v>
      </c>
      <c r="H36" s="2">
        <v>6</v>
      </c>
      <c r="I36" s="2">
        <v>1</v>
      </c>
      <c r="J36" s="2">
        <v>3</v>
      </c>
      <c r="K36" s="2" t="s">
        <v>1339</v>
      </c>
      <c r="L36" s="2" t="s">
        <v>1340</v>
      </c>
      <c r="M36" s="5">
        <v>4205</v>
      </c>
      <c r="N36" s="5">
        <f t="shared" si="0"/>
        <v>0</v>
      </c>
      <c r="O36" s="2" t="str">
        <f>IFERROR(VLOOKUP(C36,'03_ANNUAIRE'!A:I,9,FALSE),"")</f>
        <v>EMP-026</v>
      </c>
      <c r="P36" s="5">
        <f t="shared" si="1"/>
        <v>4836</v>
      </c>
      <c r="Q36" s="2" t="str">
        <f t="shared" si="2"/>
        <v>En attente</v>
      </c>
      <c r="R36" s="2" t="str">
        <f t="shared" ca="1" si="3"/>
        <v>A suivre</v>
      </c>
      <c r="S36" s="2" t="s">
        <v>1309</v>
      </c>
    </row>
    <row r="37" spans="1:19" x14ac:dyDescent="0.25">
      <c r="A37" s="3" t="s">
        <v>1343</v>
      </c>
      <c r="B37" s="3" t="s">
        <v>219</v>
      </c>
      <c r="C37" s="3" t="s">
        <v>370</v>
      </c>
      <c r="D37" s="3" t="s">
        <v>689</v>
      </c>
      <c r="E37" s="3" t="s">
        <v>43</v>
      </c>
      <c r="F37" s="3" t="s">
        <v>103</v>
      </c>
      <c r="G37" s="11">
        <v>46141</v>
      </c>
      <c r="H37" s="3">
        <v>6</v>
      </c>
      <c r="I37" s="3">
        <v>1</v>
      </c>
      <c r="J37" s="3">
        <v>3</v>
      </c>
      <c r="K37" s="3" t="s">
        <v>1339</v>
      </c>
      <c r="L37" s="3" t="s">
        <v>1340</v>
      </c>
      <c r="M37" s="6">
        <v>4377</v>
      </c>
      <c r="N37" s="6">
        <f t="shared" ref="N37:N68" si="4">IF(S37="Realise",M37,IF(S37="En cours",M37*0.6,IF(S37="Planifie",M37*0.3,0)))</f>
        <v>4377</v>
      </c>
      <c r="O37" s="3" t="str">
        <f>IFERROR(VLOOKUP(C37,'03_ANNUAIRE'!A:I,9,FALSE),"")</f>
        <v>EMP-026</v>
      </c>
      <c r="P37" s="6">
        <f t="shared" ref="P37:P56" si="5">M37+ROUND(M37*0.15,0)</f>
        <v>5034</v>
      </c>
      <c r="Q37" s="3" t="str">
        <f t="shared" ref="Q37:Q56" si="6">IF(S37="Realise","A reevaluer",IF(S37="En cours","Progression","En attente"))</f>
        <v>A reevaluer</v>
      </c>
      <c r="R37" s="3" t="str">
        <f t="shared" ref="R37:R56" ca="1" si="7">IF(G37&lt;TODAY(),"Echeance depassee","A suivre")</f>
        <v>A suivre</v>
      </c>
      <c r="S37" s="3" t="s">
        <v>1316</v>
      </c>
    </row>
    <row r="38" spans="1:19" x14ac:dyDescent="0.25">
      <c r="A38" s="2" t="s">
        <v>1344</v>
      </c>
      <c r="B38" s="2" t="s">
        <v>213</v>
      </c>
      <c r="C38" s="2" t="s">
        <v>375</v>
      </c>
      <c r="D38" s="2" t="s">
        <v>709</v>
      </c>
      <c r="E38" s="2" t="s">
        <v>37</v>
      </c>
      <c r="F38" s="2" t="s">
        <v>1301</v>
      </c>
      <c r="G38" s="12">
        <v>46326</v>
      </c>
      <c r="H38" s="2">
        <v>3</v>
      </c>
      <c r="I38" s="2">
        <v>4</v>
      </c>
      <c r="J38" s="2">
        <v>5</v>
      </c>
      <c r="K38" s="2" t="s">
        <v>1302</v>
      </c>
      <c r="L38" s="2" t="s">
        <v>1303</v>
      </c>
      <c r="M38" s="5">
        <v>3280</v>
      </c>
      <c r="N38" s="5">
        <f t="shared" si="4"/>
        <v>1968</v>
      </c>
      <c r="O38" s="2" t="str">
        <f>IFERROR(VLOOKUP(C38,'03_ANNUAIRE'!A:I,9,FALSE),"")</f>
        <v>EMP-031</v>
      </c>
      <c r="P38" s="5">
        <f t="shared" si="5"/>
        <v>3772</v>
      </c>
      <c r="Q38" s="2" t="str">
        <f t="shared" si="6"/>
        <v>Progression</v>
      </c>
      <c r="R38" s="2" t="str">
        <f t="shared" ca="1" si="7"/>
        <v>A suivre</v>
      </c>
      <c r="S38" s="2" t="s">
        <v>1312</v>
      </c>
    </row>
    <row r="39" spans="1:19" x14ac:dyDescent="0.25">
      <c r="A39" s="3" t="s">
        <v>1345</v>
      </c>
      <c r="B39" s="3" t="s">
        <v>219</v>
      </c>
      <c r="C39" s="3" t="s">
        <v>375</v>
      </c>
      <c r="D39" s="3" t="s">
        <v>709</v>
      </c>
      <c r="E39" s="3" t="s">
        <v>37</v>
      </c>
      <c r="F39" s="3" t="s">
        <v>1301</v>
      </c>
      <c r="G39" s="11">
        <v>46254</v>
      </c>
      <c r="H39" s="3">
        <v>3</v>
      </c>
      <c r="I39" s="3">
        <v>3</v>
      </c>
      <c r="J39" s="3">
        <v>4</v>
      </c>
      <c r="K39" s="3" t="s">
        <v>1308</v>
      </c>
      <c r="L39" s="3" t="s">
        <v>1303</v>
      </c>
      <c r="M39" s="6">
        <v>2648</v>
      </c>
      <c r="N39" s="6">
        <f t="shared" si="4"/>
        <v>0</v>
      </c>
      <c r="O39" s="3" t="str">
        <f>IFERROR(VLOOKUP(C39,'03_ANNUAIRE'!A:I,9,FALSE),"")</f>
        <v>EMP-031</v>
      </c>
      <c r="P39" s="6">
        <f t="shared" si="5"/>
        <v>3045</v>
      </c>
      <c r="Q39" s="3" t="str">
        <f t="shared" si="6"/>
        <v>En attente</v>
      </c>
      <c r="R39" s="3" t="str">
        <f t="shared" ca="1" si="7"/>
        <v>A suivre</v>
      </c>
      <c r="S39" s="3" t="s">
        <v>1309</v>
      </c>
    </row>
    <row r="40" spans="1:19" x14ac:dyDescent="0.25">
      <c r="A40" s="2" t="s">
        <v>1346</v>
      </c>
      <c r="B40" s="2" t="s">
        <v>203</v>
      </c>
      <c r="C40" s="2" t="s">
        <v>379</v>
      </c>
      <c r="D40" s="2" t="s">
        <v>726</v>
      </c>
      <c r="E40" s="2" t="s">
        <v>41</v>
      </c>
      <c r="F40" s="2" t="s">
        <v>1301</v>
      </c>
      <c r="G40" s="12">
        <v>46249</v>
      </c>
      <c r="H40" s="2">
        <v>3</v>
      </c>
      <c r="I40" s="2">
        <v>3</v>
      </c>
      <c r="J40" s="2">
        <v>4</v>
      </c>
      <c r="K40" s="2" t="s">
        <v>1308</v>
      </c>
      <c r="L40" s="2" t="s">
        <v>1303</v>
      </c>
      <c r="M40" s="5">
        <v>2949</v>
      </c>
      <c r="N40" s="5">
        <f t="shared" si="4"/>
        <v>884.69999999999993</v>
      </c>
      <c r="O40" s="2" t="str">
        <f>IFERROR(VLOOKUP(C40,'03_ANNUAIRE'!A:I,9,FALSE),"")</f>
        <v>EMP-031</v>
      </c>
      <c r="P40" s="5">
        <f t="shared" si="5"/>
        <v>3391</v>
      </c>
      <c r="Q40" s="2" t="str">
        <f t="shared" si="6"/>
        <v>En attente</v>
      </c>
      <c r="R40" s="2" t="str">
        <f t="shared" ca="1" si="7"/>
        <v>A suivre</v>
      </c>
      <c r="S40" s="2" t="s">
        <v>1304</v>
      </c>
    </row>
    <row r="41" spans="1:19" x14ac:dyDescent="0.25">
      <c r="A41" s="3" t="s">
        <v>1347</v>
      </c>
      <c r="B41" s="3" t="s">
        <v>224</v>
      </c>
      <c r="C41" s="3" t="s">
        <v>379</v>
      </c>
      <c r="D41" s="3" t="s">
        <v>726</v>
      </c>
      <c r="E41" s="3" t="s">
        <v>41</v>
      </c>
      <c r="F41" s="3" t="s">
        <v>1301</v>
      </c>
      <c r="G41" s="11">
        <v>46267</v>
      </c>
      <c r="H41" s="3">
        <v>3</v>
      </c>
      <c r="I41" s="3">
        <v>1</v>
      </c>
      <c r="J41" s="3">
        <v>2</v>
      </c>
      <c r="K41" s="3" t="s">
        <v>1302</v>
      </c>
      <c r="L41" s="3" t="s">
        <v>1303</v>
      </c>
      <c r="M41" s="6">
        <v>2689</v>
      </c>
      <c r="N41" s="6">
        <f t="shared" si="4"/>
        <v>1613.3999999999999</v>
      </c>
      <c r="O41" s="3" t="str">
        <f>IFERROR(VLOOKUP(C41,'03_ANNUAIRE'!A:I,9,FALSE),"")</f>
        <v>EMP-031</v>
      </c>
      <c r="P41" s="6">
        <f t="shared" si="5"/>
        <v>3092</v>
      </c>
      <c r="Q41" s="3" t="str">
        <f t="shared" si="6"/>
        <v>Progression</v>
      </c>
      <c r="R41" s="3" t="str">
        <f t="shared" ca="1" si="7"/>
        <v>A suivre</v>
      </c>
      <c r="S41" s="3" t="s">
        <v>1312</v>
      </c>
    </row>
    <row r="42" spans="1:19" x14ac:dyDescent="0.25">
      <c r="A42" s="2" t="s">
        <v>1348</v>
      </c>
      <c r="B42" s="2" t="s">
        <v>229</v>
      </c>
      <c r="C42" s="2" t="s">
        <v>379</v>
      </c>
      <c r="D42" s="2" t="s">
        <v>726</v>
      </c>
      <c r="E42" s="2" t="s">
        <v>41</v>
      </c>
      <c r="F42" s="2" t="s">
        <v>1301</v>
      </c>
      <c r="G42" s="12">
        <v>46352</v>
      </c>
      <c r="H42" s="2">
        <v>3</v>
      </c>
      <c r="I42" s="2">
        <v>4</v>
      </c>
      <c r="J42" s="2">
        <v>5</v>
      </c>
      <c r="K42" s="2" t="s">
        <v>1306</v>
      </c>
      <c r="L42" s="2" t="s">
        <v>1303</v>
      </c>
      <c r="M42" s="5">
        <v>2137</v>
      </c>
      <c r="N42" s="5">
        <f t="shared" si="4"/>
        <v>1282.2</v>
      </c>
      <c r="O42" s="2" t="str">
        <f>IFERROR(VLOOKUP(C42,'03_ANNUAIRE'!A:I,9,FALSE),"")</f>
        <v>EMP-031</v>
      </c>
      <c r="P42" s="5">
        <f t="shared" si="5"/>
        <v>2458</v>
      </c>
      <c r="Q42" s="2" t="str">
        <f t="shared" si="6"/>
        <v>Progression</v>
      </c>
      <c r="R42" s="2" t="str">
        <f t="shared" ca="1" si="7"/>
        <v>A suivre</v>
      </c>
      <c r="S42" s="2" t="s">
        <v>1312</v>
      </c>
    </row>
    <row r="43" spans="1:19" x14ac:dyDescent="0.25">
      <c r="A43" s="3" t="s">
        <v>1349</v>
      </c>
      <c r="B43" s="3" t="s">
        <v>213</v>
      </c>
      <c r="C43" s="3" t="s">
        <v>389</v>
      </c>
      <c r="D43" s="3" t="s">
        <v>769</v>
      </c>
      <c r="E43" s="3" t="s">
        <v>41</v>
      </c>
      <c r="F43" s="3" t="s">
        <v>1301</v>
      </c>
      <c r="G43" s="11">
        <v>46147</v>
      </c>
      <c r="H43" s="3">
        <v>3</v>
      </c>
      <c r="I43" s="3">
        <v>2</v>
      </c>
      <c r="J43" s="3">
        <v>3</v>
      </c>
      <c r="K43" s="3" t="s">
        <v>1306</v>
      </c>
      <c r="L43" s="3" t="s">
        <v>1303</v>
      </c>
      <c r="M43" s="6">
        <v>2138</v>
      </c>
      <c r="N43" s="6">
        <f t="shared" si="4"/>
        <v>0</v>
      </c>
      <c r="O43" s="3" t="str">
        <f>IFERROR(VLOOKUP(C43,'03_ANNUAIRE'!A:I,9,FALSE),"")</f>
        <v>EMP-036</v>
      </c>
      <c r="P43" s="6">
        <f t="shared" si="5"/>
        <v>2459</v>
      </c>
      <c r="Q43" s="3" t="str">
        <f t="shared" si="6"/>
        <v>En attente</v>
      </c>
      <c r="R43" s="3" t="str">
        <f t="shared" ca="1" si="7"/>
        <v>A suivre</v>
      </c>
      <c r="S43" s="3" t="s">
        <v>1309</v>
      </c>
    </row>
    <row r="44" spans="1:19" x14ac:dyDescent="0.25">
      <c r="A44" s="2" t="s">
        <v>1350</v>
      </c>
      <c r="B44" s="2" t="s">
        <v>234</v>
      </c>
      <c r="C44" s="2" t="s">
        <v>391</v>
      </c>
      <c r="D44" s="2" t="s">
        <v>776</v>
      </c>
      <c r="E44" s="2" t="s">
        <v>43</v>
      </c>
      <c r="F44" s="2" t="s">
        <v>1301</v>
      </c>
      <c r="G44" s="12">
        <v>46131</v>
      </c>
      <c r="H44" s="2">
        <v>3</v>
      </c>
      <c r="I44" s="2">
        <v>2</v>
      </c>
      <c r="J44" s="2">
        <v>3</v>
      </c>
      <c r="K44" s="2" t="s">
        <v>1306</v>
      </c>
      <c r="L44" s="2" t="s">
        <v>1303</v>
      </c>
      <c r="M44" s="5">
        <v>2323</v>
      </c>
      <c r="N44" s="5">
        <f t="shared" si="4"/>
        <v>2323</v>
      </c>
      <c r="O44" s="2" t="str">
        <f>IFERROR(VLOOKUP(C44,'03_ANNUAIRE'!A:I,9,FALSE),"")</f>
        <v>EMP-036</v>
      </c>
      <c r="P44" s="5">
        <f t="shared" si="5"/>
        <v>2671</v>
      </c>
      <c r="Q44" s="2" t="str">
        <f t="shared" si="6"/>
        <v>A reevaluer</v>
      </c>
      <c r="R44" s="2" t="str">
        <f t="shared" ca="1" si="7"/>
        <v>A suivre</v>
      </c>
      <c r="S44" s="2" t="s">
        <v>1316</v>
      </c>
    </row>
    <row r="45" spans="1:19" x14ac:dyDescent="0.25">
      <c r="A45" s="3" t="s">
        <v>1351</v>
      </c>
      <c r="B45" s="3" t="s">
        <v>119</v>
      </c>
      <c r="C45" s="3" t="s">
        <v>393</v>
      </c>
      <c r="D45" s="3" t="s">
        <v>785</v>
      </c>
      <c r="E45" s="3" t="s">
        <v>35</v>
      </c>
      <c r="F45" s="3" t="s">
        <v>1301</v>
      </c>
      <c r="G45" s="11">
        <v>46181</v>
      </c>
      <c r="H45" s="3">
        <v>3</v>
      </c>
      <c r="I45" s="3">
        <v>1</v>
      </c>
      <c r="J45" s="3">
        <v>2</v>
      </c>
      <c r="K45" s="3" t="s">
        <v>1308</v>
      </c>
      <c r="L45" s="3" t="s">
        <v>1303</v>
      </c>
      <c r="M45" s="6">
        <v>2270</v>
      </c>
      <c r="N45" s="6">
        <f t="shared" si="4"/>
        <v>1362</v>
      </c>
      <c r="O45" s="3" t="str">
        <f>IFERROR(VLOOKUP(C45,'03_ANNUAIRE'!A:I,9,FALSE),"")</f>
        <v>EMP-041</v>
      </c>
      <c r="P45" s="6">
        <f t="shared" si="5"/>
        <v>2611</v>
      </c>
      <c r="Q45" s="3" t="str">
        <f t="shared" si="6"/>
        <v>Progression</v>
      </c>
      <c r="R45" s="3" t="str">
        <f t="shared" ca="1" si="7"/>
        <v>A suivre</v>
      </c>
      <c r="S45" s="3" t="s">
        <v>1312</v>
      </c>
    </row>
    <row r="46" spans="1:19" x14ac:dyDescent="0.25">
      <c r="A46" s="2" t="s">
        <v>1352</v>
      </c>
      <c r="B46" s="2" t="s">
        <v>234</v>
      </c>
      <c r="C46" s="2" t="s">
        <v>397</v>
      </c>
      <c r="D46" s="2" t="s">
        <v>799</v>
      </c>
      <c r="E46" s="2" t="s">
        <v>39</v>
      </c>
      <c r="F46" s="2" t="s">
        <v>1301</v>
      </c>
      <c r="G46" s="12">
        <v>46171</v>
      </c>
      <c r="H46" s="2">
        <v>3</v>
      </c>
      <c r="I46" s="2">
        <v>1</v>
      </c>
      <c r="J46" s="2">
        <v>2</v>
      </c>
      <c r="K46" s="2" t="s">
        <v>1306</v>
      </c>
      <c r="L46" s="2" t="s">
        <v>1303</v>
      </c>
      <c r="M46" s="5">
        <v>2887</v>
      </c>
      <c r="N46" s="5">
        <f t="shared" si="4"/>
        <v>866.1</v>
      </c>
      <c r="O46" s="2" t="str">
        <f>IFERROR(VLOOKUP(C46,'03_ANNUAIRE'!A:I,9,FALSE),"")</f>
        <v>EMP-041</v>
      </c>
      <c r="P46" s="5">
        <f t="shared" si="5"/>
        <v>3320</v>
      </c>
      <c r="Q46" s="2" t="str">
        <f t="shared" si="6"/>
        <v>En attente</v>
      </c>
      <c r="R46" s="2" t="str">
        <f t="shared" ca="1" si="7"/>
        <v>A suivre</v>
      </c>
      <c r="S46" s="2" t="s">
        <v>1304</v>
      </c>
    </row>
    <row r="47" spans="1:19" x14ac:dyDescent="0.25">
      <c r="A47" s="3" t="s">
        <v>1353</v>
      </c>
      <c r="B47" s="3" t="s">
        <v>140</v>
      </c>
      <c r="C47" s="3" t="s">
        <v>403</v>
      </c>
      <c r="D47" s="3" t="s">
        <v>826</v>
      </c>
      <c r="E47" s="3" t="s">
        <v>35</v>
      </c>
      <c r="F47" s="3" t="s">
        <v>1301</v>
      </c>
      <c r="G47" s="11">
        <v>46246</v>
      </c>
      <c r="H47" s="3">
        <v>3</v>
      </c>
      <c r="I47" s="3">
        <v>3</v>
      </c>
      <c r="J47" s="3">
        <v>4</v>
      </c>
      <c r="K47" s="3" t="s">
        <v>1302</v>
      </c>
      <c r="L47" s="3" t="s">
        <v>1303</v>
      </c>
      <c r="M47" s="6">
        <v>3190</v>
      </c>
      <c r="N47" s="6">
        <f t="shared" si="4"/>
        <v>1914</v>
      </c>
      <c r="O47" s="3" t="str">
        <f>IFERROR(VLOOKUP(C47,'03_ANNUAIRE'!A:I,9,FALSE),"")</f>
        <v>EMP-046</v>
      </c>
      <c r="P47" s="6">
        <f t="shared" si="5"/>
        <v>3669</v>
      </c>
      <c r="Q47" s="3" t="str">
        <f t="shared" si="6"/>
        <v>Progression</v>
      </c>
      <c r="R47" s="3" t="str">
        <f t="shared" ca="1" si="7"/>
        <v>A suivre</v>
      </c>
      <c r="S47" s="3" t="s">
        <v>1312</v>
      </c>
    </row>
    <row r="48" spans="1:19" x14ac:dyDescent="0.25">
      <c r="A48" s="2" t="s">
        <v>1354</v>
      </c>
      <c r="B48" s="2" t="s">
        <v>229</v>
      </c>
      <c r="C48" s="2" t="s">
        <v>403</v>
      </c>
      <c r="D48" s="2" t="s">
        <v>826</v>
      </c>
      <c r="E48" s="2" t="s">
        <v>35</v>
      </c>
      <c r="F48" s="2" t="s">
        <v>1301</v>
      </c>
      <c r="G48" s="12">
        <v>46178</v>
      </c>
      <c r="H48" s="2">
        <v>3</v>
      </c>
      <c r="I48" s="2">
        <v>1</v>
      </c>
      <c r="J48" s="2">
        <v>2</v>
      </c>
      <c r="K48" s="2" t="s">
        <v>1308</v>
      </c>
      <c r="L48" s="2" t="s">
        <v>1303</v>
      </c>
      <c r="M48" s="5">
        <v>2976</v>
      </c>
      <c r="N48" s="5">
        <f t="shared" si="4"/>
        <v>892.8</v>
      </c>
      <c r="O48" s="2" t="str">
        <f>IFERROR(VLOOKUP(C48,'03_ANNUAIRE'!A:I,9,FALSE),"")</f>
        <v>EMP-046</v>
      </c>
      <c r="P48" s="5">
        <f t="shared" si="5"/>
        <v>3422</v>
      </c>
      <c r="Q48" s="2" t="str">
        <f t="shared" si="6"/>
        <v>En attente</v>
      </c>
      <c r="R48" s="2" t="str">
        <f t="shared" ca="1" si="7"/>
        <v>A suivre</v>
      </c>
      <c r="S48" s="2" t="s">
        <v>1304</v>
      </c>
    </row>
    <row r="49" spans="1:19" x14ac:dyDescent="0.25">
      <c r="A49" s="3" t="s">
        <v>1355</v>
      </c>
      <c r="B49" s="3" t="s">
        <v>172</v>
      </c>
      <c r="C49" s="3" t="s">
        <v>407</v>
      </c>
      <c r="D49" s="3" t="s">
        <v>840</v>
      </c>
      <c r="E49" s="3" t="s">
        <v>39</v>
      </c>
      <c r="F49" s="3" t="s">
        <v>1301</v>
      </c>
      <c r="G49" s="11">
        <v>46201</v>
      </c>
      <c r="H49" s="3">
        <v>3</v>
      </c>
      <c r="I49" s="3">
        <v>3</v>
      </c>
      <c r="J49" s="3">
        <v>4</v>
      </c>
      <c r="K49" s="3" t="s">
        <v>1306</v>
      </c>
      <c r="L49" s="3" t="s">
        <v>1303</v>
      </c>
      <c r="M49" s="6">
        <v>3172</v>
      </c>
      <c r="N49" s="6">
        <f t="shared" si="4"/>
        <v>951.59999999999991</v>
      </c>
      <c r="O49" s="3" t="str">
        <f>IFERROR(VLOOKUP(C49,'03_ANNUAIRE'!A:I,9,FALSE),"")</f>
        <v>EMP-046</v>
      </c>
      <c r="P49" s="6">
        <f t="shared" si="5"/>
        <v>3648</v>
      </c>
      <c r="Q49" s="3" t="str">
        <f t="shared" si="6"/>
        <v>En attente</v>
      </c>
      <c r="R49" s="3" t="str">
        <f t="shared" ca="1" si="7"/>
        <v>A suivre</v>
      </c>
      <c r="S49" s="3" t="s">
        <v>1304</v>
      </c>
    </row>
    <row r="50" spans="1:19" x14ac:dyDescent="0.25">
      <c r="A50" s="2" t="s">
        <v>1356</v>
      </c>
      <c r="B50" s="2" t="s">
        <v>219</v>
      </c>
      <c r="C50" s="2" t="s">
        <v>409</v>
      </c>
      <c r="D50" s="2" t="s">
        <v>847</v>
      </c>
      <c r="E50" s="2" t="s">
        <v>41</v>
      </c>
      <c r="F50" s="2" t="s">
        <v>1301</v>
      </c>
      <c r="G50" s="12">
        <v>46209</v>
      </c>
      <c r="H50" s="2">
        <v>3</v>
      </c>
      <c r="I50" s="2">
        <v>2</v>
      </c>
      <c r="J50" s="2">
        <v>3</v>
      </c>
      <c r="K50" s="2" t="s">
        <v>1306</v>
      </c>
      <c r="L50" s="2" t="s">
        <v>1303</v>
      </c>
      <c r="M50" s="5">
        <v>2675</v>
      </c>
      <c r="N50" s="5">
        <f t="shared" si="4"/>
        <v>802.5</v>
      </c>
      <c r="O50" s="2" t="str">
        <f>IFERROR(VLOOKUP(C50,'03_ANNUAIRE'!A:I,9,FALSE),"")</f>
        <v>EMP-046</v>
      </c>
      <c r="P50" s="5">
        <f t="shared" si="5"/>
        <v>3076</v>
      </c>
      <c r="Q50" s="2" t="str">
        <f t="shared" si="6"/>
        <v>En attente</v>
      </c>
      <c r="R50" s="2" t="str">
        <f t="shared" ca="1" si="7"/>
        <v>A suivre</v>
      </c>
      <c r="S50" s="2" t="s">
        <v>1304</v>
      </c>
    </row>
    <row r="51" spans="1:19" x14ac:dyDescent="0.25">
      <c r="A51" s="3" t="s">
        <v>1357</v>
      </c>
      <c r="B51" s="3" t="s">
        <v>208</v>
      </c>
      <c r="C51" s="3" t="s">
        <v>413</v>
      </c>
      <c r="D51" s="3" t="s">
        <v>860</v>
      </c>
      <c r="E51" s="3" t="s">
        <v>35</v>
      </c>
      <c r="F51" s="3" t="s">
        <v>1301</v>
      </c>
      <c r="G51" s="11">
        <v>46322</v>
      </c>
      <c r="H51" s="3">
        <v>3</v>
      </c>
      <c r="I51" s="3">
        <v>2</v>
      </c>
      <c r="J51" s="3">
        <v>3</v>
      </c>
      <c r="K51" s="3" t="s">
        <v>1308</v>
      </c>
      <c r="L51" s="3" t="s">
        <v>1303</v>
      </c>
      <c r="M51" s="6">
        <v>3079</v>
      </c>
      <c r="N51" s="6">
        <f t="shared" si="4"/>
        <v>3079</v>
      </c>
      <c r="O51" s="3" t="str">
        <f>IFERROR(VLOOKUP(C51,'03_ANNUAIRE'!A:I,9,FALSE),"")</f>
        <v>EMP-051</v>
      </c>
      <c r="P51" s="6">
        <f t="shared" si="5"/>
        <v>3541</v>
      </c>
      <c r="Q51" s="3" t="str">
        <f t="shared" si="6"/>
        <v>A reevaluer</v>
      </c>
      <c r="R51" s="3" t="str">
        <f t="shared" ca="1" si="7"/>
        <v>A suivre</v>
      </c>
      <c r="S51" s="3" t="s">
        <v>1316</v>
      </c>
    </row>
    <row r="52" spans="1:19" x14ac:dyDescent="0.25">
      <c r="A52" s="2" t="s">
        <v>1358</v>
      </c>
      <c r="B52" s="2" t="s">
        <v>224</v>
      </c>
      <c r="C52" s="2" t="s">
        <v>413</v>
      </c>
      <c r="D52" s="2" t="s">
        <v>860</v>
      </c>
      <c r="E52" s="2" t="s">
        <v>35</v>
      </c>
      <c r="F52" s="2" t="s">
        <v>1301</v>
      </c>
      <c r="G52" s="12">
        <v>46229</v>
      </c>
      <c r="H52" s="2">
        <v>3</v>
      </c>
      <c r="I52" s="2">
        <v>2</v>
      </c>
      <c r="J52" s="2">
        <v>3</v>
      </c>
      <c r="K52" s="2" t="s">
        <v>1308</v>
      </c>
      <c r="L52" s="2" t="s">
        <v>1303</v>
      </c>
      <c r="M52" s="5">
        <v>3194</v>
      </c>
      <c r="N52" s="5">
        <f t="shared" si="4"/>
        <v>1916.3999999999999</v>
      </c>
      <c r="O52" s="2" t="str">
        <f>IFERROR(VLOOKUP(C52,'03_ANNUAIRE'!A:I,9,FALSE),"")</f>
        <v>EMP-051</v>
      </c>
      <c r="P52" s="5">
        <f t="shared" si="5"/>
        <v>3673</v>
      </c>
      <c r="Q52" s="2" t="str">
        <f t="shared" si="6"/>
        <v>Progression</v>
      </c>
      <c r="R52" s="2" t="str">
        <f t="shared" ca="1" si="7"/>
        <v>A suivre</v>
      </c>
      <c r="S52" s="2" t="s">
        <v>1312</v>
      </c>
    </row>
    <row r="53" spans="1:19" x14ac:dyDescent="0.25">
      <c r="A53" s="3" t="s">
        <v>1359</v>
      </c>
      <c r="B53" s="3" t="s">
        <v>213</v>
      </c>
      <c r="C53" s="3" t="s">
        <v>415</v>
      </c>
      <c r="D53" s="3" t="s">
        <v>868</v>
      </c>
      <c r="E53" s="3" t="s">
        <v>37</v>
      </c>
      <c r="F53" s="3" t="s">
        <v>103</v>
      </c>
      <c r="G53" s="11">
        <v>46351</v>
      </c>
      <c r="H53" s="3">
        <v>6</v>
      </c>
      <c r="I53" s="3">
        <v>3</v>
      </c>
      <c r="J53" s="3">
        <v>5</v>
      </c>
      <c r="K53" s="3" t="s">
        <v>1339</v>
      </c>
      <c r="L53" s="3" t="s">
        <v>1340</v>
      </c>
      <c r="M53" s="6">
        <v>4422</v>
      </c>
      <c r="N53" s="6">
        <f t="shared" si="4"/>
        <v>2653.2</v>
      </c>
      <c r="O53" s="3" t="str">
        <f>IFERROR(VLOOKUP(C53,'03_ANNUAIRE'!A:I,9,FALSE),"")</f>
        <v>EMP-051</v>
      </c>
      <c r="P53" s="6">
        <f t="shared" si="5"/>
        <v>5085</v>
      </c>
      <c r="Q53" s="3" t="str">
        <f t="shared" si="6"/>
        <v>Progression</v>
      </c>
      <c r="R53" s="3" t="str">
        <f t="shared" ca="1" si="7"/>
        <v>A suivre</v>
      </c>
      <c r="S53" s="3" t="s">
        <v>1312</v>
      </c>
    </row>
    <row r="54" spans="1:19" x14ac:dyDescent="0.25">
      <c r="A54" s="2" t="s">
        <v>1360</v>
      </c>
      <c r="B54" s="2" t="s">
        <v>219</v>
      </c>
      <c r="C54" s="2" t="s">
        <v>415</v>
      </c>
      <c r="D54" s="2" t="s">
        <v>868</v>
      </c>
      <c r="E54" s="2" t="s">
        <v>37</v>
      </c>
      <c r="F54" s="2" t="s">
        <v>1301</v>
      </c>
      <c r="G54" s="12">
        <v>46320</v>
      </c>
      <c r="H54" s="2">
        <v>3</v>
      </c>
      <c r="I54" s="2">
        <v>3</v>
      </c>
      <c r="J54" s="2">
        <v>4</v>
      </c>
      <c r="K54" s="2" t="s">
        <v>1308</v>
      </c>
      <c r="L54" s="2" t="s">
        <v>1303</v>
      </c>
      <c r="M54" s="5">
        <v>2733</v>
      </c>
      <c r="N54" s="5">
        <f t="shared" si="4"/>
        <v>0</v>
      </c>
      <c r="O54" s="2" t="str">
        <f>IFERROR(VLOOKUP(C54,'03_ANNUAIRE'!A:I,9,FALSE),"")</f>
        <v>EMP-051</v>
      </c>
      <c r="P54" s="5">
        <f t="shared" si="5"/>
        <v>3143</v>
      </c>
      <c r="Q54" s="2" t="str">
        <f t="shared" si="6"/>
        <v>En attente</v>
      </c>
      <c r="R54" s="2" t="str">
        <f t="shared" ca="1" si="7"/>
        <v>A suivre</v>
      </c>
      <c r="S54" s="2" t="s">
        <v>1309</v>
      </c>
    </row>
    <row r="55" spans="1:19" x14ac:dyDescent="0.25">
      <c r="A55" s="3" t="s">
        <v>1361</v>
      </c>
      <c r="B55" s="3" t="s">
        <v>234</v>
      </c>
      <c r="C55" s="3" t="s">
        <v>415</v>
      </c>
      <c r="D55" s="3" t="s">
        <v>868</v>
      </c>
      <c r="E55" s="3" t="s">
        <v>37</v>
      </c>
      <c r="F55" s="3" t="s">
        <v>1301</v>
      </c>
      <c r="G55" s="11">
        <v>46199</v>
      </c>
      <c r="H55" s="3">
        <v>3</v>
      </c>
      <c r="I55" s="3">
        <v>2</v>
      </c>
      <c r="J55" s="3">
        <v>3</v>
      </c>
      <c r="K55" s="3" t="s">
        <v>1308</v>
      </c>
      <c r="L55" s="3" t="s">
        <v>1303</v>
      </c>
      <c r="M55" s="6">
        <v>2311</v>
      </c>
      <c r="N55" s="6">
        <f t="shared" si="4"/>
        <v>0</v>
      </c>
      <c r="O55" s="3" t="str">
        <f>IFERROR(VLOOKUP(C55,'03_ANNUAIRE'!A:I,9,FALSE),"")</f>
        <v>EMP-051</v>
      </c>
      <c r="P55" s="6">
        <f t="shared" si="5"/>
        <v>2658</v>
      </c>
      <c r="Q55" s="3" t="str">
        <f t="shared" si="6"/>
        <v>En attente</v>
      </c>
      <c r="R55" s="3" t="str">
        <f t="shared" ca="1" si="7"/>
        <v>A suivre</v>
      </c>
      <c r="S55" s="3" t="s">
        <v>1309</v>
      </c>
    </row>
    <row r="56" spans="1:19" x14ac:dyDescent="0.25">
      <c r="A56" s="2" t="s">
        <v>1362</v>
      </c>
      <c r="B56" s="2" t="s">
        <v>219</v>
      </c>
      <c r="C56" s="2" t="s">
        <v>421</v>
      </c>
      <c r="D56" s="2" t="s">
        <v>895</v>
      </c>
      <c r="E56" s="2" t="s">
        <v>43</v>
      </c>
      <c r="F56" s="2" t="s">
        <v>1301</v>
      </c>
      <c r="G56" s="12">
        <v>46164</v>
      </c>
      <c r="H56" s="2">
        <v>3</v>
      </c>
      <c r="I56" s="2">
        <v>2</v>
      </c>
      <c r="J56" s="2">
        <v>3</v>
      </c>
      <c r="K56" s="2" t="s">
        <v>1302</v>
      </c>
      <c r="L56" s="2" t="s">
        <v>1303</v>
      </c>
      <c r="M56" s="5">
        <v>2200</v>
      </c>
      <c r="N56" s="5">
        <f t="shared" si="4"/>
        <v>660</v>
      </c>
      <c r="O56" s="2" t="str">
        <f>IFERROR(VLOOKUP(C56,'03_ANNUAIRE'!A:I,9,FALSE),"")</f>
        <v>EMP-051</v>
      </c>
      <c r="P56" s="5">
        <f t="shared" si="5"/>
        <v>2530</v>
      </c>
      <c r="Q56" s="2" t="str">
        <f t="shared" si="6"/>
        <v>En attente</v>
      </c>
      <c r="R56" s="2" t="str">
        <f t="shared" ca="1" si="7"/>
        <v>A suivre</v>
      </c>
      <c r="S56" s="2" t="s">
        <v>1304</v>
      </c>
    </row>
  </sheetData>
  <autoFilter ref="A4:S56" xr:uid="{00000000-0009-0000-0000-000006000000}"/>
  <mergeCells count="2">
    <mergeCell ref="A2:S2"/>
    <mergeCell ref="A1:S1"/>
  </mergeCells>
  <conditionalFormatting sqref="N5:N56">
    <cfRule type="dataBar" priority="2">
      <dataBar>
        <cfvo type="num" val="0"/>
        <cfvo type="num" val="12000"/>
        <color rgb="FFD4AF37"/>
      </dataBar>
    </cfRule>
  </conditionalFormatting>
  <conditionalFormatting sqref="S5:S56">
    <cfRule type="expression" dxfId="2" priority="1">
      <formula>S5="A planifier"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44AD"/>
  </sheetPr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6" customWidth="1"/>
    <col min="2" max="7" width="14" customWidth="1"/>
    <col min="8" max="8" width="16" customWidth="1"/>
  </cols>
  <sheetData>
    <row r="1" spans="1:8" ht="36" customHeight="1" x14ac:dyDescent="0.25">
      <c r="A1" s="19" t="s">
        <v>1363</v>
      </c>
      <c r="B1" s="18"/>
      <c r="C1" s="18"/>
      <c r="D1" s="18"/>
      <c r="E1" s="18"/>
      <c r="F1" s="18"/>
      <c r="G1" s="18"/>
      <c r="H1" s="18"/>
    </row>
    <row r="2" spans="1:8" x14ac:dyDescent="0.25">
      <c r="A2" s="20" t="s">
        <v>1364</v>
      </c>
      <c r="B2" s="18"/>
      <c r="C2" s="18"/>
      <c r="D2" s="18"/>
      <c r="E2" s="18"/>
      <c r="F2" s="18"/>
      <c r="G2" s="18"/>
      <c r="H2" s="18"/>
    </row>
    <row r="4" spans="1:8" ht="30" customHeight="1" x14ac:dyDescent="0.25">
      <c r="A4" s="1" t="s">
        <v>1365</v>
      </c>
      <c r="B4" s="1" t="s">
        <v>1366</v>
      </c>
      <c r="C4" s="1" t="s">
        <v>1295</v>
      </c>
      <c r="D4" s="1" t="s">
        <v>1296</v>
      </c>
      <c r="E4" s="1" t="s">
        <v>1367</v>
      </c>
      <c r="F4" s="1" t="s">
        <v>1368</v>
      </c>
      <c r="G4" s="1" t="s">
        <v>1369</v>
      </c>
      <c r="H4" s="1" t="s">
        <v>91</v>
      </c>
    </row>
    <row r="5" spans="1:8" x14ac:dyDescent="0.25">
      <c r="A5" s="3" t="s">
        <v>1370</v>
      </c>
      <c r="B5" s="6">
        <v>48343</v>
      </c>
      <c r="C5" s="6">
        <f>SUMIF('07_PLAN_FORMATION'!E:E,IFERROR(LEFT(A5,FIND(" -",A5)-1),A5),'07_PLAN_FORMATION'!M:M)</f>
        <v>33030</v>
      </c>
      <c r="D5" s="6">
        <f>SUMIF('07_PLAN_FORMATION'!E:E,IFERROR(LEFT(A5,FIND(" -",A5)-1),A5),'07_PLAN_FORMATION'!N:N)</f>
        <v>17264.400000000001</v>
      </c>
      <c r="E5" s="6">
        <f t="shared" ref="E5:E14" si="0">B5-D5</f>
        <v>31078.6</v>
      </c>
      <c r="F5" s="8">
        <f t="shared" ref="F5:F14" si="1">IFERROR(D5/B5,0)</f>
        <v>0.3571230581469913</v>
      </c>
      <c r="G5" s="3">
        <f>COUNTIF('07_PLAN_FORMATION'!E:E,IFERROR(LEFT(A5,FIND(" -",A5)-1),A5))</f>
        <v>12</v>
      </c>
      <c r="H5" s="3" t="str">
        <f t="shared" ref="H5:H14" si="2">IF(F5&gt;1,"🔴 Depassement",IF(F5&gt;0.85,"🟡 Surveillance","🟢 OK"))</f>
        <v>🟢 OK</v>
      </c>
    </row>
    <row r="6" spans="1:8" x14ac:dyDescent="0.25">
      <c r="A6" s="2" t="s">
        <v>1371</v>
      </c>
      <c r="B6" s="5">
        <v>58187</v>
      </c>
      <c r="C6" s="5">
        <f>SUMIF('07_PLAN_FORMATION'!E:E,IFERROR(LEFT(A6,FIND(" -",A6)-1),A6),'07_PLAN_FORMATION'!M:M)</f>
        <v>26681</v>
      </c>
      <c r="D6" s="5">
        <f>SUMIF('07_PLAN_FORMATION'!E:E,IFERROR(LEFT(A6,FIND(" -",A6)-1),A6),'07_PLAN_FORMATION'!N:N)</f>
        <v>6766.2</v>
      </c>
      <c r="E6" s="5">
        <f t="shared" si="0"/>
        <v>51420.800000000003</v>
      </c>
      <c r="F6" s="10">
        <f t="shared" si="1"/>
        <v>0.11628370598243594</v>
      </c>
      <c r="G6" s="2">
        <f>COUNTIF('07_PLAN_FORMATION'!E:E,IFERROR(LEFT(A6,FIND(" -",A6)-1),A6))</f>
        <v>9</v>
      </c>
      <c r="H6" s="2" t="str">
        <f t="shared" si="2"/>
        <v>🟢 OK</v>
      </c>
    </row>
    <row r="7" spans="1:8" x14ac:dyDescent="0.25">
      <c r="A7" s="3" t="s">
        <v>1372</v>
      </c>
      <c r="B7" s="6">
        <v>42465</v>
      </c>
      <c r="C7" s="6">
        <f>SUMIF('07_PLAN_FORMATION'!E:E,IFERROR(LEFT(A7,FIND(" -",A7)-1),A7),'07_PLAN_FORMATION'!M:M)</f>
        <v>24655</v>
      </c>
      <c r="D7" s="6">
        <f>SUMIF('07_PLAN_FORMATION'!E:E,IFERROR(LEFT(A7,FIND(" -",A7)-1),A7),'07_PLAN_FORMATION'!N:N)</f>
        <v>6950.5</v>
      </c>
      <c r="E7" s="6">
        <f t="shared" si="0"/>
        <v>35514.5</v>
      </c>
      <c r="F7" s="8">
        <f t="shared" si="1"/>
        <v>0.16367596844460144</v>
      </c>
      <c r="G7" s="3">
        <f>COUNTIF('07_PLAN_FORMATION'!E:E,IFERROR(LEFT(A7,FIND(" -",A7)-1),A7))</f>
        <v>9</v>
      </c>
      <c r="H7" s="3" t="str">
        <f t="shared" si="2"/>
        <v>🟢 OK</v>
      </c>
    </row>
    <row r="8" spans="1:8" x14ac:dyDescent="0.25">
      <c r="A8" s="2" t="s">
        <v>1373</v>
      </c>
      <c r="B8" s="5">
        <v>35506</v>
      </c>
      <c r="C8" s="5">
        <f>SUMIF('07_PLAN_FORMATION'!E:E,IFERROR(LEFT(A8,FIND(" -",A8)-1),A8),'07_PLAN_FORMATION'!M:M)</f>
        <v>30208</v>
      </c>
      <c r="D8" s="5">
        <f>SUMIF('07_PLAN_FORMATION'!E:E,IFERROR(LEFT(A8,FIND(" -",A8)-1),A8),'07_PLAN_FORMATION'!N:N)</f>
        <v>9051.6</v>
      </c>
      <c r="E8" s="5">
        <f t="shared" si="0"/>
        <v>26454.400000000001</v>
      </c>
      <c r="F8" s="10">
        <f t="shared" si="1"/>
        <v>0.25493156086295277</v>
      </c>
      <c r="G8" s="2">
        <f>COUNTIF('07_PLAN_FORMATION'!E:E,IFERROR(LEFT(A8,FIND(" -",A8)-1),A8))</f>
        <v>11</v>
      </c>
      <c r="H8" s="2" t="str">
        <f t="shared" si="2"/>
        <v>🟢 OK</v>
      </c>
    </row>
    <row r="9" spans="1:8" x14ac:dyDescent="0.25">
      <c r="A9" s="3" t="s">
        <v>1374</v>
      </c>
      <c r="B9" s="6">
        <v>27079</v>
      </c>
      <c r="C9" s="6">
        <f>SUMIF('07_PLAN_FORMATION'!E:E,IFERROR(LEFT(A9,FIND(" -",A9)-1),A9),'07_PLAN_FORMATION'!M:M)</f>
        <v>35022</v>
      </c>
      <c r="D9" s="6">
        <f>SUMIF('07_PLAN_FORMATION'!E:E,IFERROR(LEFT(A9,FIND(" -",A9)-1),A9),'07_PLAN_FORMATION'!N:N)</f>
        <v>11262.4</v>
      </c>
      <c r="E9" s="6">
        <f t="shared" si="0"/>
        <v>15816.6</v>
      </c>
      <c r="F9" s="8">
        <f t="shared" si="1"/>
        <v>0.41590900697957828</v>
      </c>
      <c r="G9" s="3">
        <f>COUNTIF('07_PLAN_FORMATION'!E:E,IFERROR(LEFT(A9,FIND(" -",A9)-1),A9))</f>
        <v>11</v>
      </c>
      <c r="H9" s="3" t="str">
        <f t="shared" si="2"/>
        <v>🟢 OK</v>
      </c>
    </row>
    <row r="10" spans="1:8" x14ac:dyDescent="0.25">
      <c r="A10" s="2" t="s">
        <v>46</v>
      </c>
      <c r="B10" s="5">
        <v>30199</v>
      </c>
      <c r="C10" s="5">
        <f>SUMIF('07_PLAN_FORMATION'!E:E,IFERROR(LEFT(A10,FIND(" -",A10)-1),A10),'07_PLAN_FORMATION'!M:M)</f>
        <v>0</v>
      </c>
      <c r="D10" s="5">
        <f>SUMIF('07_PLAN_FORMATION'!E:E,IFERROR(LEFT(A10,FIND(" -",A10)-1),A10),'07_PLAN_FORMATION'!N:N)</f>
        <v>0</v>
      </c>
      <c r="E10" s="5">
        <f t="shared" si="0"/>
        <v>30199</v>
      </c>
      <c r="F10" s="10">
        <f t="shared" si="1"/>
        <v>0</v>
      </c>
      <c r="G10" s="2">
        <f>COUNTIF('07_PLAN_FORMATION'!E:E,IFERROR(LEFT(A10,FIND(" -",A10)-1),A10))</f>
        <v>0</v>
      </c>
      <c r="H10" s="2" t="str">
        <f t="shared" si="2"/>
        <v>🟢 OK</v>
      </c>
    </row>
    <row r="11" spans="1:8" x14ac:dyDescent="0.25">
      <c r="A11" s="3" t="s">
        <v>52</v>
      </c>
      <c r="B11" s="6">
        <v>62344</v>
      </c>
      <c r="C11" s="6">
        <f>SUMIF('07_PLAN_FORMATION'!E:E,IFERROR(LEFT(A11,FIND(" -",A11)-1),A11),'07_PLAN_FORMATION'!M:M)</f>
        <v>0</v>
      </c>
      <c r="D11" s="6">
        <f>SUMIF('07_PLAN_FORMATION'!E:E,IFERROR(LEFT(A11,FIND(" -",A11)-1),A11),'07_PLAN_FORMATION'!N:N)</f>
        <v>0</v>
      </c>
      <c r="E11" s="6">
        <f t="shared" si="0"/>
        <v>62344</v>
      </c>
      <c r="F11" s="8">
        <f t="shared" si="1"/>
        <v>0</v>
      </c>
      <c r="G11" s="3">
        <f>COUNTIF('07_PLAN_FORMATION'!E:E,IFERROR(LEFT(A11,FIND(" -",A11)-1),A11))</f>
        <v>0</v>
      </c>
      <c r="H11" s="3" t="str">
        <f t="shared" si="2"/>
        <v>🟢 OK</v>
      </c>
    </row>
    <row r="12" spans="1:8" x14ac:dyDescent="0.25">
      <c r="A12" s="2" t="s">
        <v>50</v>
      </c>
      <c r="B12" s="5">
        <v>18421</v>
      </c>
      <c r="C12" s="5">
        <f>SUMIF('07_PLAN_FORMATION'!E:E,IFERROR(LEFT(A12,FIND(" -",A12)-1),A12),'07_PLAN_FORMATION'!M:M)</f>
        <v>0</v>
      </c>
      <c r="D12" s="5">
        <f>SUMIF('07_PLAN_FORMATION'!E:E,IFERROR(LEFT(A12,FIND(" -",A12)-1),A12),'07_PLAN_FORMATION'!N:N)</f>
        <v>0</v>
      </c>
      <c r="E12" s="5">
        <f t="shared" si="0"/>
        <v>18421</v>
      </c>
      <c r="F12" s="10">
        <f t="shared" si="1"/>
        <v>0</v>
      </c>
      <c r="G12" s="2">
        <f>COUNTIF('07_PLAN_FORMATION'!E:E,IFERROR(LEFT(A12,FIND(" -",A12)-1),A12))</f>
        <v>0</v>
      </c>
      <c r="H12" s="2" t="str">
        <f t="shared" si="2"/>
        <v>🟢 OK</v>
      </c>
    </row>
    <row r="13" spans="1:8" x14ac:dyDescent="0.25">
      <c r="A13" s="3" t="s">
        <v>48</v>
      </c>
      <c r="B13" s="6">
        <v>40172</v>
      </c>
      <c r="C13" s="6">
        <f>SUMIF('07_PLAN_FORMATION'!E:E,IFERROR(LEFT(A13,FIND(" -",A13)-1),A13),'07_PLAN_FORMATION'!M:M)</f>
        <v>0</v>
      </c>
      <c r="D13" s="6">
        <f>SUMIF('07_PLAN_FORMATION'!E:E,IFERROR(LEFT(A13,FIND(" -",A13)-1),A13),'07_PLAN_FORMATION'!N:N)</f>
        <v>0</v>
      </c>
      <c r="E13" s="6">
        <f t="shared" si="0"/>
        <v>40172</v>
      </c>
      <c r="F13" s="8">
        <f t="shared" si="1"/>
        <v>0</v>
      </c>
      <c r="G13" s="3">
        <f>COUNTIF('07_PLAN_FORMATION'!E:E,IFERROR(LEFT(A13,FIND(" -",A13)-1),A13))</f>
        <v>0</v>
      </c>
      <c r="H13" s="3" t="str">
        <f t="shared" si="2"/>
        <v>🟢 OK</v>
      </c>
    </row>
    <row r="14" spans="1:8" x14ac:dyDescent="0.25">
      <c r="A14" s="2" t="s">
        <v>56</v>
      </c>
      <c r="B14" s="5">
        <v>50950</v>
      </c>
      <c r="C14" s="5">
        <f>SUMIF('07_PLAN_FORMATION'!E:E,IFERROR(LEFT(A14,FIND(" -",A14)-1),A14),'07_PLAN_FORMATION'!M:M)</f>
        <v>0</v>
      </c>
      <c r="D14" s="5">
        <f>SUMIF('07_PLAN_FORMATION'!E:E,IFERROR(LEFT(A14,FIND(" -",A14)-1),A14),'07_PLAN_FORMATION'!N:N)</f>
        <v>0</v>
      </c>
      <c r="E14" s="5">
        <f t="shared" si="0"/>
        <v>50950</v>
      </c>
      <c r="F14" s="10">
        <f t="shared" si="1"/>
        <v>0</v>
      </c>
      <c r="G14" s="2">
        <f>COUNTIF('07_PLAN_FORMATION'!E:E,IFERROR(LEFT(A14,FIND(" -",A14)-1),A14))</f>
        <v>0</v>
      </c>
      <c r="H14" s="2" t="str">
        <f t="shared" si="2"/>
        <v>🟢 OK</v>
      </c>
    </row>
  </sheetData>
  <autoFilter ref="A4:H14" xr:uid="{00000000-0009-0000-0000-000007000000}"/>
  <mergeCells count="2">
    <mergeCell ref="A2:H2"/>
    <mergeCell ref="A1:H1"/>
  </mergeCells>
  <conditionalFormatting sqref="F5:F14">
    <cfRule type="dataBar" priority="1">
      <dataBar>
        <cfvo type="num" val="0"/>
        <cfvo type="num" val="1.2"/>
        <color rgb="FF3498DB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2C2C"/>
  </sheetPr>
  <dimension ref="A1:F9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16" customWidth="1"/>
    <col min="4" max="4" width="20" customWidth="1"/>
    <col min="5" max="5" width="22" customWidth="1"/>
    <col min="6" max="6" width="50" customWidth="1"/>
  </cols>
  <sheetData>
    <row r="1" spans="1:6" ht="36" customHeight="1" x14ac:dyDescent="0.25">
      <c r="A1" s="19" t="s">
        <v>1375</v>
      </c>
      <c r="B1" s="18"/>
      <c r="C1" s="18"/>
      <c r="D1" s="18"/>
      <c r="E1" s="18"/>
      <c r="F1" s="18"/>
    </row>
    <row r="2" spans="1:6" x14ac:dyDescent="0.25">
      <c r="A2" s="20" t="s">
        <v>1376</v>
      </c>
      <c r="B2" s="18"/>
      <c r="C2" s="18"/>
      <c r="D2" s="18"/>
      <c r="E2" s="18"/>
      <c r="F2" s="18"/>
    </row>
    <row r="4" spans="1:6" ht="30" customHeight="1" x14ac:dyDescent="0.25">
      <c r="A4" s="1" t="s">
        <v>73</v>
      </c>
      <c r="B4" s="1" t="s">
        <v>1377</v>
      </c>
      <c r="C4" s="1" t="s">
        <v>1378</v>
      </c>
      <c r="D4" s="1" t="s">
        <v>1379</v>
      </c>
      <c r="E4" s="1" t="s">
        <v>1365</v>
      </c>
      <c r="F4" s="1" t="s">
        <v>443</v>
      </c>
    </row>
    <row r="5" spans="1:6" x14ac:dyDescent="0.25">
      <c r="A5" s="3" t="s">
        <v>1380</v>
      </c>
      <c r="B5" s="11">
        <v>46069</v>
      </c>
      <c r="C5" s="3" t="s">
        <v>1381</v>
      </c>
      <c r="D5" s="3" t="s">
        <v>1382</v>
      </c>
      <c r="E5" s="3" t="s">
        <v>1383</v>
      </c>
      <c r="F5" s="3" t="s">
        <v>1384</v>
      </c>
    </row>
    <row r="6" spans="1:6" x14ac:dyDescent="0.25">
      <c r="A6" s="2" t="s">
        <v>1385</v>
      </c>
      <c r="B6" s="12">
        <v>46082</v>
      </c>
      <c r="C6" s="2" t="s">
        <v>1386</v>
      </c>
      <c r="D6" s="2" t="s">
        <v>1387</v>
      </c>
      <c r="E6" s="2" t="s">
        <v>1388</v>
      </c>
      <c r="F6" s="2" t="s">
        <v>1389</v>
      </c>
    </row>
    <row r="7" spans="1:6" x14ac:dyDescent="0.25">
      <c r="A7" s="3" t="s">
        <v>1390</v>
      </c>
      <c r="B7" s="11">
        <v>46093</v>
      </c>
      <c r="C7" s="3" t="s">
        <v>1391</v>
      </c>
      <c r="D7" s="3" t="s">
        <v>1392</v>
      </c>
      <c r="E7" s="3" t="s">
        <v>1391</v>
      </c>
      <c r="F7" s="3" t="s">
        <v>1393</v>
      </c>
    </row>
    <row r="8" spans="1:6" x14ac:dyDescent="0.25">
      <c r="A8" s="2" t="s">
        <v>1394</v>
      </c>
      <c r="B8" s="12">
        <v>46102</v>
      </c>
      <c r="C8" s="2" t="s">
        <v>1395</v>
      </c>
      <c r="D8" s="2" t="s">
        <v>1396</v>
      </c>
      <c r="E8" s="2" t="s">
        <v>1395</v>
      </c>
      <c r="F8" s="2" t="s">
        <v>1397</v>
      </c>
    </row>
    <row r="9" spans="1:6" x14ac:dyDescent="0.25">
      <c r="A9" s="3" t="s">
        <v>1398</v>
      </c>
      <c r="B9" s="11">
        <v>46111</v>
      </c>
      <c r="C9" s="3" t="s">
        <v>1399</v>
      </c>
      <c r="D9" s="3" t="s">
        <v>1382</v>
      </c>
      <c r="E9" s="3" t="s">
        <v>1400</v>
      </c>
      <c r="F9" s="3" t="s">
        <v>1401</v>
      </c>
    </row>
  </sheetData>
  <autoFilter ref="A4:F9" xr:uid="{00000000-0009-0000-0000-000008000000}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4AF37"/>
  </sheetPr>
  <dimension ref="A1:L37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12" width="16" customWidth="1"/>
  </cols>
  <sheetData>
    <row r="1" spans="1:12" ht="36" customHeight="1" x14ac:dyDescent="0.25">
      <c r="A1" s="19" t="s">
        <v>1402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20" t="s">
        <v>1403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24" customHeight="1" x14ac:dyDescent="0.25">
      <c r="A4" s="17" t="s">
        <v>1404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30" customHeight="1" x14ac:dyDescent="0.25">
      <c r="A5" s="1" t="s">
        <v>1405</v>
      </c>
      <c r="B5" s="1" t="s">
        <v>4</v>
      </c>
      <c r="C5" s="1" t="s">
        <v>1406</v>
      </c>
      <c r="D5" s="1" t="s">
        <v>249</v>
      </c>
    </row>
    <row r="6" spans="1:12" x14ac:dyDescent="0.25">
      <c r="A6" s="2" t="s">
        <v>1407</v>
      </c>
      <c r="B6" s="10">
        <f>IFERROR(COUNTIF('04_MATRICE_SKILLS'!L:L,"Conforme")/COUNTA('04_MATRICE_SKILLS'!A:A),0)</f>
        <v>0.58932714617169368</v>
      </c>
      <c r="C6" s="10">
        <v>0.85</v>
      </c>
      <c r="D6" s="2" t="str">
        <f t="shared" ref="D6:D13" si="0">IF(B6&gt;=C6,"🟢 OK",IF(B6&gt;=C6*0.8,"🟡 Sous cible","🔴 Alerte"))</f>
        <v>🔴 Alerte</v>
      </c>
    </row>
    <row r="7" spans="1:12" ht="25.5" x14ac:dyDescent="0.25">
      <c r="A7" s="3" t="s">
        <v>1408</v>
      </c>
      <c r="B7" s="8">
        <f>IFERROR(COUNTIFS('02_REF_COMPETENCES'!N:N,"Critique",'02_REF_COMPETENCES'!X:X,"&gt;=0.8")/COUNTIF('02_REF_COMPETENCES'!N:N,"Critique"),0)</f>
        <v>0</v>
      </c>
      <c r="C7" s="8">
        <v>1</v>
      </c>
      <c r="D7" s="3" t="str">
        <f t="shared" si="0"/>
        <v>🔴 Alerte</v>
      </c>
    </row>
    <row r="8" spans="1:12" x14ac:dyDescent="0.25">
      <c r="A8" s="2" t="s">
        <v>1409</v>
      </c>
      <c r="B8" s="14">
        <f>COUNTIFS('05_GAP_ANALYSIS'!H:H,"🔴*",'05_GAP_ANALYSIS'!J:J,"Non traite")</f>
        <v>4</v>
      </c>
      <c r="C8" s="2">
        <v>0</v>
      </c>
      <c r="D8" s="2" t="str">
        <f t="shared" si="0"/>
        <v>🟢 OK</v>
      </c>
    </row>
    <row r="9" spans="1:12" x14ac:dyDescent="0.25">
      <c r="A9" s="3" t="s">
        <v>1410</v>
      </c>
      <c r="B9" s="7">
        <f>IFERROR(AVERAGE('04_MATRICE_SKILLS'!I:I),0)</f>
        <v>3.0817757009345796</v>
      </c>
      <c r="C9" s="3">
        <v>3.5</v>
      </c>
      <c r="D9" s="3" t="str">
        <f t="shared" si="0"/>
        <v>🟡 Sous cible</v>
      </c>
    </row>
    <row r="10" spans="1:12" ht="25.5" x14ac:dyDescent="0.25">
      <c r="A10" s="2" t="s">
        <v>1411</v>
      </c>
      <c r="B10" s="10">
        <f>IFERROR(COUNTIFS('06_SUCCESSION'!E:E,"Critique",'06_SUCCESSION'!G:G,"&lt;&gt;")/COUNTIF('06_SUCCESSION'!E:E,"Critique"),0)</f>
        <v>1</v>
      </c>
      <c r="C10" s="10">
        <v>1</v>
      </c>
      <c r="D10" s="2" t="str">
        <f t="shared" si="0"/>
        <v>🟢 OK</v>
      </c>
    </row>
    <row r="11" spans="1:12" x14ac:dyDescent="0.25">
      <c r="A11" s="3" t="s">
        <v>1412</v>
      </c>
      <c r="B11" s="8">
        <f>IFERROR(SUM('08_BUDGET'!D:D)/SUM('08_BUDGET'!B:B),0)</f>
        <v>0.12400124738315454</v>
      </c>
      <c r="C11" s="8">
        <v>0.9</v>
      </c>
      <c r="D11" s="3" t="str">
        <f t="shared" si="0"/>
        <v>🔴 Alerte</v>
      </c>
    </row>
    <row r="12" spans="1:12" x14ac:dyDescent="0.25">
      <c r="A12" s="2" t="s">
        <v>1413</v>
      </c>
      <c r="B12" s="14">
        <f ca="1">COUNTIFS('04_MATRICE_SKILLS'!N:N,"&gt;="&amp;TODAY()-365)</f>
        <v>427</v>
      </c>
      <c r="C12" s="2">
        <v>50</v>
      </c>
      <c r="D12" s="2" t="str">
        <f t="shared" ca="1" si="0"/>
        <v>🟢 OK</v>
      </c>
    </row>
    <row r="13" spans="1:12" x14ac:dyDescent="0.25">
      <c r="A13" s="3" t="s">
        <v>1414</v>
      </c>
      <c r="B13" s="8">
        <f ca="1">IFERROR(COUNTIF('11_CONTROLES'!F5:F27,"✅*")/COUNTA('11_CONTROLES'!F5:F27),0)</f>
        <v>0.73913043478260865</v>
      </c>
      <c r="C13" s="8">
        <v>0.9</v>
      </c>
      <c r="D13" s="3" t="str">
        <f t="shared" ca="1" si="0"/>
        <v>🟡 Sous cible</v>
      </c>
    </row>
    <row r="17" spans="1:12" ht="24" customHeight="1" x14ac:dyDescent="0.25">
      <c r="A17" s="17" t="s">
        <v>1415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30" customHeight="1" x14ac:dyDescent="0.25">
      <c r="A18" s="1" t="s">
        <v>243</v>
      </c>
      <c r="B18" s="1" t="s">
        <v>1416</v>
      </c>
      <c r="C18" s="1" t="s">
        <v>1417</v>
      </c>
      <c r="D18" s="1" t="s">
        <v>96</v>
      </c>
      <c r="E18" s="1" t="s">
        <v>1418</v>
      </c>
    </row>
    <row r="19" spans="1:12" x14ac:dyDescent="0.25">
      <c r="A19" s="3" t="s">
        <v>35</v>
      </c>
      <c r="B19" s="3">
        <f>COUNTIF('03_ANNUAIRE'!D:D,A19)</f>
        <v>12</v>
      </c>
      <c r="C19" s="7">
        <f>IFERROR(AVERAGEIF('04_MATRICE_SKILLS'!D:D,A19,'04_MATRICE_SKILLS'!I:I),0)</f>
        <v>2.9130434782608696</v>
      </c>
      <c r="D19" s="8">
        <f>IFERROR(COUNTIFS('04_MATRICE_SKILLS'!D:D,A19,'04_MATRICE_SKILLS'!L:L,"Conforme")/MAX(COUNTIF('04_MATRICE_SKILLS'!D:D,A19),1),0)</f>
        <v>0.55434782608695654</v>
      </c>
      <c r="E19" s="3">
        <f>COUNTIFS('05_GAP_ANALYSIS'!D:D,A19,'05_GAP_ANALYSIS'!H:H,"🔴*")</f>
        <v>0</v>
      </c>
    </row>
    <row r="20" spans="1:12" x14ac:dyDescent="0.25">
      <c r="A20" s="2" t="s">
        <v>37</v>
      </c>
      <c r="B20" s="2">
        <f>COUNTIF('03_ANNUAIRE'!D:D,A20)</f>
        <v>12</v>
      </c>
      <c r="C20" s="9">
        <f>IFERROR(AVERAGEIF('04_MATRICE_SKILLS'!D:D,A20,'04_MATRICE_SKILLS'!I:I),0)</f>
        <v>2.9659090909090908</v>
      </c>
      <c r="D20" s="10">
        <f>IFERROR(COUNTIFS('04_MATRICE_SKILLS'!D:D,A20,'04_MATRICE_SKILLS'!L:L,"Conforme")/MAX(COUNTIF('04_MATRICE_SKILLS'!D:D,A20),1),0)</f>
        <v>0.57954545454545459</v>
      </c>
      <c r="E20" s="2">
        <f>COUNTIFS('05_GAP_ANALYSIS'!D:D,A20,'05_GAP_ANALYSIS'!H:H,"🔴*")</f>
        <v>1</v>
      </c>
    </row>
    <row r="21" spans="1:12" x14ac:dyDescent="0.25">
      <c r="A21" s="3" t="s">
        <v>39</v>
      </c>
      <c r="B21" s="3">
        <f>COUNTIF('03_ANNUAIRE'!D:D,A21)</f>
        <v>12</v>
      </c>
      <c r="C21" s="7">
        <f>IFERROR(AVERAGEIF('04_MATRICE_SKILLS'!D:D,A21,'04_MATRICE_SKILLS'!I:I),0)</f>
        <v>3.0705882352941178</v>
      </c>
      <c r="D21" s="8">
        <f>IFERROR(COUNTIFS('04_MATRICE_SKILLS'!D:D,A21,'04_MATRICE_SKILLS'!L:L,"Conforme")/MAX(COUNTIF('04_MATRICE_SKILLS'!D:D,A21),1),0)</f>
        <v>0.63529411764705879</v>
      </c>
      <c r="E21" s="3">
        <f>COUNTIFS('05_GAP_ANALYSIS'!D:D,A21,'05_GAP_ANALYSIS'!H:H,"🔴*")</f>
        <v>0</v>
      </c>
    </row>
    <row r="22" spans="1:12" x14ac:dyDescent="0.25">
      <c r="A22" s="2" t="s">
        <v>41</v>
      </c>
      <c r="B22" s="2">
        <f>COUNTIF('03_ANNUAIRE'!D:D,A22)</f>
        <v>12</v>
      </c>
      <c r="C22" s="9">
        <f>IFERROR(AVERAGEIF('04_MATRICE_SKILLS'!D:D,A22,'04_MATRICE_SKILLS'!I:I),0)</f>
        <v>3.4567901234567899</v>
      </c>
      <c r="D22" s="10">
        <f>IFERROR(COUNTIFS('04_MATRICE_SKILLS'!D:D,A22,'04_MATRICE_SKILLS'!L:L,"Conforme")/MAX(COUNTIF('04_MATRICE_SKILLS'!D:D,A22),1),0)</f>
        <v>0.60493827160493829</v>
      </c>
      <c r="E22" s="2">
        <f>COUNTIFS('05_GAP_ANALYSIS'!D:D,A22,'05_GAP_ANALYSIS'!H:H,"🔴*")</f>
        <v>0</v>
      </c>
    </row>
    <row r="23" spans="1:12" x14ac:dyDescent="0.25">
      <c r="A23" s="3" t="s">
        <v>43</v>
      </c>
      <c r="B23" s="3">
        <f>COUNTIF('03_ANNUAIRE'!D:D,A23)</f>
        <v>12</v>
      </c>
      <c r="C23" s="7">
        <f>IFERROR(AVERAGEIF('04_MATRICE_SKILLS'!D:D,A23,'04_MATRICE_SKILLS'!I:I),0)</f>
        <v>3.0365853658536586</v>
      </c>
      <c r="D23" s="8">
        <f>IFERROR(COUNTIFS('04_MATRICE_SKILLS'!D:D,A23,'04_MATRICE_SKILLS'!L:L,"Conforme")/MAX(COUNTIF('04_MATRICE_SKILLS'!D:D,A23),1),0)</f>
        <v>0.59756097560975607</v>
      </c>
      <c r="E23" s="3">
        <f>COUNTIFS('05_GAP_ANALYSIS'!D:D,A23,'05_GAP_ANALYSIS'!H:H,"🔴*")</f>
        <v>3</v>
      </c>
    </row>
    <row r="26" spans="1:12" ht="24" customHeight="1" x14ac:dyDescent="0.25">
      <c r="A26" s="17" t="s">
        <v>1419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30" customHeight="1" x14ac:dyDescent="0.25">
      <c r="A27" s="1" t="s">
        <v>74</v>
      </c>
      <c r="B27" s="1" t="s">
        <v>1420</v>
      </c>
      <c r="C27" s="1" t="s">
        <v>1289</v>
      </c>
    </row>
    <row r="28" spans="1:12" x14ac:dyDescent="0.25">
      <c r="A28" s="2" t="str" cm="1">
        <f t="array" ref="A28">IFERROR(INDEX(_xlfn.SORTBY('14_MATRICE_RISQUES'!B$5:B$24,'14_MATRICE_RISQUES'!L$5:L$24,-1),1),"")</f>
        <v>Soudure faisceau electrons</v>
      </c>
      <c r="B28" s="2" cm="1">
        <f t="array" ref="B28">IFERROR(INDEX(_xlfn.SORTBY('14_MATRICE_RISQUES'!L$5:L$24,'14_MATRICE_RISQUES'!L$5:L$24,-1),1),0)</f>
        <v>100</v>
      </c>
      <c r="C28" s="2" t="str">
        <f>IF(B28&gt;=70,"🔴 Critique",IF(B28&gt;=50,"🟠 Haute",IF(B28&gt;=30,"🟡 Moyenne","🟢 Basse")))</f>
        <v>🔴 Critique</v>
      </c>
    </row>
    <row r="29" spans="1:12" x14ac:dyDescent="0.25">
      <c r="A29" s="3" t="str" cm="1">
        <f t="array" ref="A29">IFERROR(INDEX(_xlfn.SORTBY('14_MATRICE_RISQUES'!B$5:B$24,'14_MATRICE_RISQUES'!L$5:L$24,-1),2),"")</f>
        <v>Usinage CN 5 axes</v>
      </c>
      <c r="B29" s="3" cm="1">
        <f t="array" ref="B29">IFERROR(INDEX(_xlfn.SORTBY('14_MATRICE_RISQUES'!L$5:L$24,'14_MATRICE_RISQUES'!L$5:L$24,-1),2),0)</f>
        <v>84</v>
      </c>
      <c r="C29" s="3" t="str">
        <f>IF(B29&gt;=70,"🔴 Critique",IF(B29&gt;=50,"🟠 Haute",IF(B29&gt;=30,"🟡 Moyenne","🟢 Basse")))</f>
        <v>🔴 Critique</v>
      </c>
    </row>
    <row r="30" spans="1:12" x14ac:dyDescent="0.25">
      <c r="A30" s="2" t="str" cm="1">
        <f t="array" ref="A30">IFERROR(INDEX(_xlfn.SORTBY('14_MATRICE_RISQUES'!B$5:B$24,'14_MATRICE_RISQUES'!L$5:L$24,-1),3),"")</f>
        <v>Programmation FAO CATIA Mfg</v>
      </c>
      <c r="B30" s="2" cm="1">
        <f t="array" ref="B30">IFERROR(INDEX(_xlfn.SORTBY('14_MATRICE_RISQUES'!L$5:L$24,'14_MATRICE_RISQUES'!L$5:L$24,-1),3),0)</f>
        <v>68</v>
      </c>
      <c r="C30" s="2" t="str">
        <f>IF(B30&gt;=70,"🔴 Critique",IF(B30&gt;=50,"🟠 Haute",IF(B30&gt;=30,"🟡 Moyenne","🟢 Basse")))</f>
        <v>🟠 Haute</v>
      </c>
    </row>
    <row r="31" spans="1:12" x14ac:dyDescent="0.25">
      <c r="A31" s="3" t="str" cm="1">
        <f t="array" ref="A31">IFERROR(INDEX(_xlfn.SORTBY('14_MATRICE_RISQUES'!B$5:B$24,'14_MATRICE_RISQUES'!L$5:L$24,-1),4),"")</f>
        <v>Rectification de precision</v>
      </c>
      <c r="B31" s="3" cm="1">
        <f t="array" ref="B31">IFERROR(INDEX(_xlfn.SORTBY('14_MATRICE_RISQUES'!L$5:L$24,'14_MATRICE_RISQUES'!L$5:L$24,-1),4),0)</f>
        <v>51</v>
      </c>
      <c r="C31" s="3" t="str">
        <f>IF(B31&gt;=70,"🔴 Critique",IF(B31&gt;=50,"🟠 Haute",IF(B31&gt;=30,"🟡 Moyenne","🟢 Basse")))</f>
        <v>🟠 Haute</v>
      </c>
    </row>
    <row r="32" spans="1:12" x14ac:dyDescent="0.25">
      <c r="A32" s="2" t="str" cm="1">
        <f t="array" ref="A32">IFERROR(INDEX(_xlfn.SORTBY('14_MATRICE_RISQUES'!B$5:B$24,'14_MATRICE_RISQUES'!L$5:L$24,-1),5),"")</f>
        <v>Electroerosion EDM</v>
      </c>
      <c r="B32" s="2" cm="1">
        <f t="array" ref="B32">IFERROR(INDEX(_xlfn.SORTBY('14_MATRICE_RISQUES'!L$5:L$24,'14_MATRICE_RISQUES'!L$5:L$24,-1),5),0)</f>
        <v>51</v>
      </c>
      <c r="C32" s="2" t="str">
        <f>IF(B32&gt;=70,"🔴 Critique",IF(B32&gt;=50,"🟠 Haute",IF(B32&gt;=30,"🟡 Moyenne","🟢 Basse")))</f>
        <v>🟠 Haute</v>
      </c>
    </row>
    <row r="33" spans="1:3" x14ac:dyDescent="0.25">
      <c r="A33" s="3" t="str" cm="1">
        <f t="array" ref="A33">IFERROR(INDEX(_xlfn.SORTBY('14_MATRICE_RISQUES'!B$5:B$24,'14_MATRICE_RISQUES'!L$5:L$24,-1),6),"")</f>
        <v>Magnetoscopie MT Niveau 2</v>
      </c>
      <c r="B33" s="3" cm="1">
        <f t="array" ref="B33">IFERROR(INDEX(_xlfn.SORTBY('14_MATRICE_RISQUES'!L$5:L$24,'14_MATRICE_RISQUES'!L$5:L$24,-1),6),0)</f>
        <v>40</v>
      </c>
      <c r="C33" s="3" t="str">
        <f>IF(B33&gt;=70,"🔴 Critique",IF(B33&gt;=50,"🟠 Haute",IF(B33&gt;=30,"🟡 Moyenne","🟢 Basse")))</f>
        <v>🟡 Moyenne</v>
      </c>
    </row>
    <row r="34" spans="1:3" x14ac:dyDescent="0.25">
      <c r="A34" s="2" t="str" cm="1">
        <f t="array" ref="A34">IFERROR(INDEX(_xlfn.SORTBY('14_MATRICE_RISQUES'!B$5:B$24,'14_MATRICE_RISQUES'!L$5:L$24,-1),7),"")</f>
        <v>Ultrasons UT Niveau 2</v>
      </c>
      <c r="B34" s="2" cm="1">
        <f t="array" ref="B34">IFERROR(INDEX(_xlfn.SORTBY('14_MATRICE_RISQUES'!L$5:L$24,'14_MATRICE_RISQUES'!L$5:L$24,-1),7),0)</f>
        <v>40</v>
      </c>
      <c r="C34" s="2" t="str">
        <f>IF(B34&gt;=70,"🔴 Critique",IF(B34&gt;=50,"🟠 Haute",IF(B34&gt;=30,"🟡 Moyenne","🟢 Basse")))</f>
        <v>🟡 Moyenne</v>
      </c>
    </row>
    <row r="35" spans="1:3" x14ac:dyDescent="0.25">
      <c r="A35" s="3" t="str" cm="1">
        <f t="array" ref="A35">IFERROR(INDEX(_xlfn.SORTBY('14_MATRICE_RISQUES'!B$5:B$24,'14_MATRICE_RISQUES'!L$5:L$24,-1),8),"")</f>
        <v>Radiographie RT Niveau 2</v>
      </c>
      <c r="B35" s="3" cm="1">
        <f t="array" ref="B35">IFERROR(INDEX(_xlfn.SORTBY('14_MATRICE_RISQUES'!L$5:L$24,'14_MATRICE_RISQUES'!L$5:L$24,-1),8),0)</f>
        <v>40</v>
      </c>
      <c r="C35" s="3" t="str">
        <f>IF(B35&gt;=70,"🔴 Critique",IF(B35&gt;=50,"🟠 Haute",IF(B35&gt;=30,"🟡 Moyenne","🟢 Basse")))</f>
        <v>🟡 Moyenne</v>
      </c>
    </row>
    <row r="36" spans="1:3" x14ac:dyDescent="0.25">
      <c r="A36" s="2" t="str" cm="1">
        <f t="array" ref="A36">IFERROR(INDEX(_xlfn.SORTBY('14_MATRICE_RISQUES'!B$5:B$24,'14_MATRICE_RISQUES'!L$5:L$24,-1),9),"")</f>
        <v>Brasage aeronautique</v>
      </c>
      <c r="B36" s="2" cm="1">
        <f t="array" ref="B36">IFERROR(INDEX(_xlfn.SORTBY('14_MATRICE_RISQUES'!L$5:L$24,'14_MATRICE_RISQUES'!L$5:L$24,-1),9),0)</f>
        <v>38</v>
      </c>
      <c r="C36" s="2" t="str">
        <f>IF(B36&gt;=70,"🔴 Critique",IF(B36&gt;=50,"🟠 Haute",IF(B36&gt;=30,"🟡 Moyenne","🟢 Basse")))</f>
        <v>🟡 Moyenne</v>
      </c>
    </row>
    <row r="37" spans="1:3" x14ac:dyDescent="0.25">
      <c r="A37" s="3" t="str" cm="1">
        <f t="array" ref="A37">IFERROR(INDEX(_xlfn.SORTBY('14_MATRICE_RISQUES'!B$5:B$24,'14_MATRICE_RISQUES'!L$5:L$24,-1),10),"")</f>
        <v>Shot peening controle</v>
      </c>
      <c r="B37" s="3" cm="1">
        <f t="array" ref="B37">IFERROR(INDEX(_xlfn.SORTBY('14_MATRICE_RISQUES'!L$5:L$24,'14_MATRICE_RISQUES'!L$5:L$24,-1),10),0)</f>
        <v>38</v>
      </c>
      <c r="C37" s="3" t="str">
        <f>IF(B37&gt;=70,"🔴 Critique",IF(B37&gt;=50,"🟠 Haute",IF(B37&gt;=30,"🟡 Moyenne","🟢 Basse")))</f>
        <v>🟡 Moyenne</v>
      </c>
    </row>
  </sheetData>
  <mergeCells count="5">
    <mergeCell ref="A26:L26"/>
    <mergeCell ref="A2:L2"/>
    <mergeCell ref="A1:L1"/>
    <mergeCell ref="A17:L17"/>
    <mergeCell ref="A4:L4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B0000"/>
  </sheetPr>
  <dimension ref="A1:G27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6" customWidth="1"/>
    <col min="3" max="3" width="46" customWidth="1"/>
    <col min="4" max="5" width="16" customWidth="1"/>
    <col min="6" max="6" width="22" customWidth="1"/>
    <col min="7" max="7" width="36" customWidth="1"/>
  </cols>
  <sheetData>
    <row r="1" spans="1:7" ht="36" customHeight="1" x14ac:dyDescent="0.25">
      <c r="A1" s="19" t="s">
        <v>1421</v>
      </c>
      <c r="B1" s="18"/>
      <c r="C1" s="18"/>
      <c r="D1" s="18"/>
      <c r="E1" s="18"/>
      <c r="F1" s="18"/>
      <c r="G1" s="18"/>
    </row>
    <row r="2" spans="1:7" x14ac:dyDescent="0.25">
      <c r="A2" s="20" t="s">
        <v>1422</v>
      </c>
      <c r="B2" s="18"/>
      <c r="C2" s="18"/>
      <c r="D2" s="18"/>
      <c r="E2" s="18"/>
      <c r="F2" s="18"/>
      <c r="G2" s="18"/>
    </row>
    <row r="3" spans="1:7" x14ac:dyDescent="0.25">
      <c r="A3" s="21" t="s">
        <v>1414</v>
      </c>
      <c r="B3" s="18"/>
      <c r="C3" s="18"/>
      <c r="D3" s="18"/>
      <c r="E3" s="3" t="str">
        <f ca="1">ROUND((COUNTIF(F5:F27,"✅*")/COUNTA(F5:F27))*100,0)&amp;"/100"</f>
        <v>74/100</v>
      </c>
      <c r="F3" s="3" t="str">
        <f ca="1">IF(VALUE(LEFT(E3,FIND("/",E3)-1))=100,"🟢 Excellent",IF(VALUE(LEFT(E3,FIND("/",E3)-1))&gt;=80,"🟡 Bon","🔴 Insuffisant"))</f>
        <v>🔴 Insuffisant</v>
      </c>
    </row>
    <row r="4" spans="1:7" ht="30" customHeight="1" x14ac:dyDescent="0.25">
      <c r="A4" s="1" t="s">
        <v>1423</v>
      </c>
      <c r="B4" s="1" t="s">
        <v>75</v>
      </c>
      <c r="C4" s="1" t="s">
        <v>1399</v>
      </c>
      <c r="D4" s="1" t="s">
        <v>943</v>
      </c>
      <c r="E4" s="1" t="s">
        <v>1424</v>
      </c>
      <c r="F4" s="1" t="s">
        <v>1298</v>
      </c>
      <c r="G4" s="1" t="s">
        <v>1425</v>
      </c>
    </row>
    <row r="5" spans="1:7" x14ac:dyDescent="0.25">
      <c r="A5" s="3">
        <v>1</v>
      </c>
      <c r="B5" s="3" t="s">
        <v>1426</v>
      </c>
      <c r="C5" s="3" t="s">
        <v>1427</v>
      </c>
      <c r="D5" s="3" t="s">
        <v>1428</v>
      </c>
      <c r="E5" s="3">
        <f>SUMPRODUCT((COUNTIF('03_ANNUAIRE'!A:A,'04_MATRICE_SKILLS'!B5:B500)=0)*('04_MATRICE_SKILLS'!B5:B500&lt;&gt;""))</f>
        <v>0</v>
      </c>
      <c r="F5" s="3" t="str">
        <f t="shared" ref="F5:F27" si="0">IF(E5=0,"✅ OK","❌ ECHEC ("&amp;E5&amp;" anomalie(s))")</f>
        <v>✅ OK</v>
      </c>
      <c r="G5" s="3" t="s">
        <v>1429</v>
      </c>
    </row>
    <row r="6" spans="1:7" x14ac:dyDescent="0.25">
      <c r="A6" s="2">
        <v>2</v>
      </c>
      <c r="B6" s="2" t="s">
        <v>1426</v>
      </c>
      <c r="C6" s="2" t="s">
        <v>1430</v>
      </c>
      <c r="D6" s="2" t="s">
        <v>1428</v>
      </c>
      <c r="E6" s="2">
        <f>SUMPRODUCT((COUNTIF('02_REF_COMPETENCES'!A:A,'04_MATRICE_SKILLS'!F5:F500)=0)*('04_MATRICE_SKILLS'!F5:F500&lt;&gt;""))</f>
        <v>0</v>
      </c>
      <c r="F6" s="2" t="str">
        <f t="shared" si="0"/>
        <v>✅ OK</v>
      </c>
      <c r="G6" s="2" t="s">
        <v>1431</v>
      </c>
    </row>
    <row r="7" spans="1:7" x14ac:dyDescent="0.25">
      <c r="A7" s="3">
        <v>3</v>
      </c>
      <c r="B7" s="3" t="s">
        <v>1426</v>
      </c>
      <c r="C7" s="3" t="s">
        <v>1432</v>
      </c>
      <c r="D7" s="3" t="s">
        <v>1428</v>
      </c>
      <c r="E7" s="3">
        <f>SUMPRODUCT((COUNTIF('03_ANNUAIRE'!A5:A200,'03_ANNUAIRE'!A5:A200)&gt;1)*('03_ANNUAIRE'!A5:A200&lt;&gt;""))/2</f>
        <v>0</v>
      </c>
      <c r="F7" s="3" t="str">
        <f t="shared" si="0"/>
        <v>✅ OK</v>
      </c>
      <c r="G7" s="3" t="s">
        <v>1433</v>
      </c>
    </row>
    <row r="8" spans="1:7" x14ac:dyDescent="0.25">
      <c r="A8" s="2">
        <v>4</v>
      </c>
      <c r="B8" s="2" t="s">
        <v>1426</v>
      </c>
      <c r="C8" s="2" t="s">
        <v>1434</v>
      </c>
      <c r="D8" s="2" t="s">
        <v>1428</v>
      </c>
      <c r="E8" s="2">
        <f>SUMPRODUCT((COUNTIF('02_REF_COMPETENCES'!A5:A200,'02_REF_COMPETENCES'!A5:A200)&gt;1)*('02_REF_COMPETENCES'!A5:A200&lt;&gt;""))/2</f>
        <v>0</v>
      </c>
      <c r="F8" s="2" t="str">
        <f t="shared" si="0"/>
        <v>✅ OK</v>
      </c>
      <c r="G8" s="2" t="s">
        <v>1435</v>
      </c>
    </row>
    <row r="9" spans="1:7" x14ac:dyDescent="0.25">
      <c r="A9" s="3">
        <v>5</v>
      </c>
      <c r="B9" s="3" t="s">
        <v>1426</v>
      </c>
      <c r="C9" s="3" t="s">
        <v>1436</v>
      </c>
      <c r="D9" s="3" t="s">
        <v>1428</v>
      </c>
      <c r="E9" s="3">
        <f>SUMPRODUCT((COUNTIFS('04_MATRICE_SKILLS'!B5:B500,'04_MATRICE_SKILLS'!B5:B500,'04_MATRICE_SKILLS'!F5:F500,'04_MATRICE_SKILLS'!F5:F500)&gt;1)*('04_MATRICE_SKILLS'!B5:B500&lt;&gt;""))/2</f>
        <v>0</v>
      </c>
      <c r="F9" s="3" t="str">
        <f t="shared" si="0"/>
        <v>✅ OK</v>
      </c>
      <c r="G9" s="3" t="s">
        <v>1437</v>
      </c>
    </row>
    <row r="10" spans="1:7" x14ac:dyDescent="0.25">
      <c r="A10" s="2">
        <v>6</v>
      </c>
      <c r="B10" s="2" t="s">
        <v>1438</v>
      </c>
      <c r="C10" s="2" t="s">
        <v>1439</v>
      </c>
      <c r="D10" s="2" t="s">
        <v>1428</v>
      </c>
      <c r="E10" s="2">
        <f>COUNTIF('04_MATRICE_SKILLS'!I:I,"&gt;5")+COUNTIF('04_MATRICE_SKILLS'!I:I,"&lt;0")</f>
        <v>0</v>
      </c>
      <c r="F10" s="2" t="str">
        <f t="shared" si="0"/>
        <v>✅ OK</v>
      </c>
      <c r="G10" s="2" t="s">
        <v>1440</v>
      </c>
    </row>
    <row r="11" spans="1:7" x14ac:dyDescent="0.25">
      <c r="A11" s="3">
        <v>7</v>
      </c>
      <c r="B11" s="3" t="s">
        <v>1438</v>
      </c>
      <c r="C11" s="3" t="s">
        <v>1441</v>
      </c>
      <c r="D11" s="3" t="s">
        <v>1301</v>
      </c>
      <c r="E11" s="3">
        <f>COUNTIFS('04_MATRICE_SKILLS'!J:J,"",'04_MATRICE_SKILLS'!L:L,"&lt;&gt;Bonus")</f>
        <v>1048147</v>
      </c>
      <c r="F11" s="3" t="str">
        <f t="shared" si="0"/>
        <v>❌ ECHEC (1048147 anomalie(s))</v>
      </c>
      <c r="G11" s="3" t="s">
        <v>1442</v>
      </c>
    </row>
    <row r="12" spans="1:7" x14ac:dyDescent="0.25">
      <c r="A12" s="2">
        <v>8</v>
      </c>
      <c r="B12" s="2" t="s">
        <v>1438</v>
      </c>
      <c r="C12" s="2" t="s">
        <v>1443</v>
      </c>
      <c r="D12" s="2" t="s">
        <v>1301</v>
      </c>
      <c r="E12" s="2">
        <f>COUNTIFS('03_ANNUAIRE'!K:K,"Actif",'03_ANNUAIRE'!M:M,0)</f>
        <v>0</v>
      </c>
      <c r="F12" s="2" t="str">
        <f t="shared" si="0"/>
        <v>✅ OK</v>
      </c>
      <c r="G12" s="2" t="s">
        <v>1444</v>
      </c>
    </row>
    <row r="13" spans="1:7" x14ac:dyDescent="0.25">
      <c r="A13" s="3">
        <v>9</v>
      </c>
      <c r="B13" s="3" t="s">
        <v>1438</v>
      </c>
      <c r="C13" s="3" t="s">
        <v>1445</v>
      </c>
      <c r="D13" s="3" t="s">
        <v>1428</v>
      </c>
      <c r="E13" s="3">
        <f>COUNTIFS('02_REF_COMPETENCES'!N:N,"Critique",'02_REF_COMPETENCES'!P:P,0)</f>
        <v>0</v>
      </c>
      <c r="F13" s="3" t="str">
        <f t="shared" si="0"/>
        <v>✅ OK</v>
      </c>
      <c r="G13" s="3" t="s">
        <v>1446</v>
      </c>
    </row>
    <row r="14" spans="1:7" x14ac:dyDescent="0.25">
      <c r="A14" s="2">
        <v>10</v>
      </c>
      <c r="B14" s="2" t="s">
        <v>1438</v>
      </c>
      <c r="C14" s="2" t="s">
        <v>1447</v>
      </c>
      <c r="D14" s="2" t="s">
        <v>1448</v>
      </c>
      <c r="E14" s="2">
        <f>IF(COUNTIF('05_GAP_ANALYSIS'!H:H,"🟢*")/MAX(COUNTA('05_GAP_ANALYSIS'!H:H),1)&lt;0.5,1,0)</f>
        <v>0</v>
      </c>
      <c r="F14" s="2" t="str">
        <f t="shared" si="0"/>
        <v>✅ OK</v>
      </c>
      <c r="G14" s="2" t="s">
        <v>1449</v>
      </c>
    </row>
    <row r="15" spans="1:7" x14ac:dyDescent="0.25">
      <c r="A15" s="3">
        <v>11</v>
      </c>
      <c r="B15" s="3" t="s">
        <v>1450</v>
      </c>
      <c r="C15" s="3" t="s">
        <v>1451</v>
      </c>
      <c r="D15" s="3" t="s">
        <v>1301</v>
      </c>
      <c r="E15" s="3">
        <f>COUNTIFS('06_SUCCESSION'!E:E,"Critique",'06_SUCCESSION'!G:G,"")</f>
        <v>0</v>
      </c>
      <c r="F15" s="3" t="str">
        <f t="shared" si="0"/>
        <v>✅ OK</v>
      </c>
      <c r="G15" s="3" t="s">
        <v>1452</v>
      </c>
    </row>
    <row r="16" spans="1:7" x14ac:dyDescent="0.25">
      <c r="A16" s="2">
        <v>12</v>
      </c>
      <c r="B16" s="2" t="s">
        <v>1450</v>
      </c>
      <c r="C16" s="2" t="s">
        <v>1453</v>
      </c>
      <c r="D16" s="2" t="s">
        <v>1428</v>
      </c>
      <c r="E16" s="2">
        <f>COUNTIFS('02_REF_COMPETENCES'!N:N,"Critique",'02_REF_COMPETENCES'!X:X,"&lt;0.8")</f>
        <v>0</v>
      </c>
      <c r="F16" s="2" t="str">
        <f t="shared" si="0"/>
        <v>✅ OK</v>
      </c>
      <c r="G16" s="2" t="s">
        <v>1454</v>
      </c>
    </row>
    <row r="17" spans="1:7" x14ac:dyDescent="0.25">
      <c r="A17" s="3">
        <v>13</v>
      </c>
      <c r="B17" s="3" t="s">
        <v>1450</v>
      </c>
      <c r="C17" s="3" t="s">
        <v>1455</v>
      </c>
      <c r="D17" s="3" t="s">
        <v>1301</v>
      </c>
      <c r="E17" s="3">
        <f>COUNTIF('10_DASHBOARD_KPI'!E19:E23,0)</f>
        <v>3</v>
      </c>
      <c r="F17" s="3" t="str">
        <f t="shared" si="0"/>
        <v>❌ ECHEC (3 anomalie(s))</v>
      </c>
      <c r="G17" s="3" t="s">
        <v>1456</v>
      </c>
    </row>
    <row r="18" spans="1:7" x14ac:dyDescent="0.25">
      <c r="A18" s="2">
        <v>14</v>
      </c>
      <c r="B18" s="2" t="s">
        <v>1457</v>
      </c>
      <c r="C18" s="2" t="s">
        <v>1458</v>
      </c>
      <c r="D18" s="2" t="s">
        <v>1428</v>
      </c>
      <c r="E18" s="2">
        <f>COUNTIFS('05_GAP_ANALYSIS'!H:H,"🔴*",'05_GAP_ANALYSIS'!J:J,"Non traite")</f>
        <v>4</v>
      </c>
      <c r="F18" s="2" t="str">
        <f t="shared" si="0"/>
        <v>❌ ECHEC (4 anomalie(s))</v>
      </c>
      <c r="G18" s="2" t="s">
        <v>1459</v>
      </c>
    </row>
    <row r="19" spans="1:7" x14ac:dyDescent="0.25">
      <c r="A19" s="3">
        <v>15</v>
      </c>
      <c r="B19" s="3" t="s">
        <v>1457</v>
      </c>
      <c r="C19" s="3" t="s">
        <v>1460</v>
      </c>
      <c r="D19" s="3" t="s">
        <v>1301</v>
      </c>
      <c r="E19" s="3">
        <f>COUNTIFS('05_GAP_ANALYSIS'!H:H,"🔴*",'05_GAP_ANALYSIS'!K:K,"")</f>
        <v>0</v>
      </c>
      <c r="F19" s="3" t="str">
        <f t="shared" si="0"/>
        <v>✅ OK</v>
      </c>
      <c r="G19" s="3" t="s">
        <v>1461</v>
      </c>
    </row>
    <row r="20" spans="1:7" x14ac:dyDescent="0.25">
      <c r="A20" s="2">
        <v>16</v>
      </c>
      <c r="B20" s="2" t="s">
        <v>1391</v>
      </c>
      <c r="C20" s="2" t="s">
        <v>1462</v>
      </c>
      <c r="D20" s="2" t="s">
        <v>1448</v>
      </c>
      <c r="E20" s="2">
        <f>COUNTIF('08_BUDGET'!H:H,"*Depassement*")</f>
        <v>0</v>
      </c>
      <c r="F20" s="2" t="str">
        <f t="shared" si="0"/>
        <v>✅ OK</v>
      </c>
      <c r="G20" s="2" t="s">
        <v>1463</v>
      </c>
    </row>
    <row r="21" spans="1:7" x14ac:dyDescent="0.25">
      <c r="A21" s="3">
        <v>17</v>
      </c>
      <c r="B21" s="3" t="s">
        <v>1391</v>
      </c>
      <c r="C21" s="3" t="s">
        <v>1464</v>
      </c>
      <c r="D21" s="3" t="s">
        <v>1448</v>
      </c>
      <c r="E21" s="3">
        <f>IF(ABS(SUM('07_PLAN_FORMATION'!N:N)-SUM('08_BUDGET'!D:D))&gt;100,1,0)</f>
        <v>0</v>
      </c>
      <c r="F21" s="3" t="str">
        <f t="shared" si="0"/>
        <v>✅ OK</v>
      </c>
      <c r="G21" s="3" t="s">
        <v>1465</v>
      </c>
    </row>
    <row r="22" spans="1:7" x14ac:dyDescent="0.25">
      <c r="A22" s="2">
        <v>18</v>
      </c>
      <c r="B22" s="2" t="s">
        <v>1466</v>
      </c>
      <c r="C22" s="2" t="s">
        <v>1467</v>
      </c>
      <c r="D22" s="2" t="s">
        <v>1448</v>
      </c>
      <c r="E22" s="2">
        <f ca="1">COUNTIFS('04_MATRICE_SKILLS'!N:N,"&lt;"&amp;TODAY()-365,'04_MATRICE_SKILLS'!N:N,"&lt;&gt;")</f>
        <v>1</v>
      </c>
      <c r="F22" s="2" t="str">
        <f t="shared" ca="1" si="0"/>
        <v>❌ ECHEC (1 anomalie(s))</v>
      </c>
      <c r="G22" s="2" t="s">
        <v>1468</v>
      </c>
    </row>
    <row r="23" spans="1:7" x14ac:dyDescent="0.25">
      <c r="A23" s="3">
        <v>19</v>
      </c>
      <c r="B23" s="3" t="s">
        <v>1466</v>
      </c>
      <c r="C23" s="3" t="s">
        <v>1469</v>
      </c>
      <c r="D23" s="3" t="s">
        <v>1448</v>
      </c>
      <c r="E23" s="3">
        <f ca="1">COUNTIFS('07_PLAN_FORMATION'!G:G,"&lt;"&amp;TODAY(),'07_PLAN_FORMATION'!S:S,"Planifie")</f>
        <v>0</v>
      </c>
      <c r="F23" s="3" t="str">
        <f t="shared" ca="1" si="0"/>
        <v>✅ OK</v>
      </c>
      <c r="G23" s="3" t="s">
        <v>1470</v>
      </c>
    </row>
    <row r="24" spans="1:7" x14ac:dyDescent="0.25">
      <c r="A24" s="2">
        <v>20</v>
      </c>
      <c r="B24" s="2" t="s">
        <v>52</v>
      </c>
      <c r="C24" s="2" t="s">
        <v>1471</v>
      </c>
      <c r="D24" s="2" t="s">
        <v>1301</v>
      </c>
      <c r="E24" s="2">
        <f>COUNTBLANK('04_MATRICE_SKILLS'!B5:B500)</f>
        <v>68</v>
      </c>
      <c r="F24" s="2" t="str">
        <f t="shared" si="0"/>
        <v>❌ ECHEC (68 anomalie(s))</v>
      </c>
      <c r="G24" s="2" t="s">
        <v>1472</v>
      </c>
    </row>
    <row r="25" spans="1:7" x14ac:dyDescent="0.25">
      <c r="A25" s="3">
        <v>21</v>
      </c>
      <c r="B25" s="3" t="s">
        <v>52</v>
      </c>
      <c r="C25" s="3" t="s">
        <v>1473</v>
      </c>
      <c r="D25" s="3" t="s">
        <v>1448</v>
      </c>
      <c r="E25" s="3">
        <f>COUNTIFS('04_MATRICE_SKILLS'!I:I,"&gt;="&amp;4,'04_MATRICE_SKILLS'!O:O,"")</f>
        <v>0</v>
      </c>
      <c r="F25" s="3" t="str">
        <f t="shared" si="0"/>
        <v>✅ OK</v>
      </c>
      <c r="G25" s="3" t="s">
        <v>1474</v>
      </c>
    </row>
    <row r="26" spans="1:7" x14ac:dyDescent="0.25">
      <c r="A26" s="2">
        <v>22</v>
      </c>
      <c r="B26" s="2" t="s">
        <v>52</v>
      </c>
      <c r="C26" s="2" t="s">
        <v>1475</v>
      </c>
      <c r="D26" s="2" t="s">
        <v>1448</v>
      </c>
      <c r="E26" s="2">
        <f>COUNTIFS('04_MATRICE_SKILLS'!M:M,"",'04_MATRICE_SKILLS'!I:I,"&gt;0")</f>
        <v>0</v>
      </c>
      <c r="F26" s="2" t="str">
        <f t="shared" si="0"/>
        <v>✅ OK</v>
      </c>
      <c r="G26" s="2" t="s">
        <v>1476</v>
      </c>
    </row>
    <row r="27" spans="1:7" x14ac:dyDescent="0.25">
      <c r="A27" s="3">
        <v>23</v>
      </c>
      <c r="B27" s="3" t="s">
        <v>52</v>
      </c>
      <c r="C27" s="3" t="s">
        <v>1477</v>
      </c>
      <c r="D27" s="3" t="s">
        <v>1301</v>
      </c>
      <c r="E27" s="3">
        <f ca="1">COUNTIFS('06_SUCCESSION'!E:E,"Critique",'06_SUCCESSION'!L:L,"&lt;"&amp;TODAY()-180)</f>
        <v>1</v>
      </c>
      <c r="F27" s="3" t="str">
        <f t="shared" ca="1" si="0"/>
        <v>❌ ECHEC (1 anomalie(s))</v>
      </c>
      <c r="G27" s="3" t="s">
        <v>1478</v>
      </c>
    </row>
  </sheetData>
  <mergeCells count="3">
    <mergeCell ref="A3:D3"/>
    <mergeCell ref="A2:G2"/>
    <mergeCell ref="A1:G1"/>
  </mergeCells>
  <conditionalFormatting sqref="F5:F27">
    <cfRule type="expression" dxfId="1" priority="1">
      <formula>LEFT(F5,1)="✅"</formula>
    </cfRule>
    <cfRule type="expression" dxfId="0" priority="2">
      <formula>LEFT(F5,1)="❌"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6213E"/>
  </sheetPr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22" customWidth="1"/>
    <col min="4" max="4" width="70" customWidth="1"/>
  </cols>
  <sheetData>
    <row r="1" spans="1:4" ht="36" customHeight="1" x14ac:dyDescent="0.25">
      <c r="A1" s="19" t="s">
        <v>1479</v>
      </c>
      <c r="B1" s="18"/>
      <c r="C1" s="18"/>
      <c r="D1" s="18"/>
    </row>
    <row r="2" spans="1:4" x14ac:dyDescent="0.25">
      <c r="A2" s="20" t="s">
        <v>1480</v>
      </c>
      <c r="B2" s="18"/>
      <c r="C2" s="18"/>
      <c r="D2" s="18"/>
    </row>
    <row r="4" spans="1:4" ht="30" customHeight="1" x14ac:dyDescent="0.25">
      <c r="A4" s="1" t="s">
        <v>1481</v>
      </c>
      <c r="B4" s="1" t="s">
        <v>1482</v>
      </c>
      <c r="C4" s="1" t="s">
        <v>1365</v>
      </c>
      <c r="D4" s="1" t="s">
        <v>1483</v>
      </c>
    </row>
    <row r="5" spans="1:4" x14ac:dyDescent="0.25">
      <c r="A5" s="3" t="s">
        <v>1484</v>
      </c>
      <c r="B5" s="3" t="s">
        <v>1485</v>
      </c>
      <c r="C5" s="3" t="s">
        <v>1486</v>
      </c>
      <c r="D5" s="3" t="s">
        <v>1487</v>
      </c>
    </row>
    <row r="6" spans="1:4" x14ac:dyDescent="0.25">
      <c r="A6" s="2" t="s">
        <v>236</v>
      </c>
      <c r="B6" s="2" t="s">
        <v>235</v>
      </c>
      <c r="C6" s="2" t="s">
        <v>1488</v>
      </c>
      <c r="D6" s="2" t="s">
        <v>1489</v>
      </c>
    </row>
    <row r="7" spans="1:4" x14ac:dyDescent="0.25">
      <c r="A7" s="3" t="s">
        <v>122</v>
      </c>
      <c r="B7" s="3" t="s">
        <v>120</v>
      </c>
      <c r="C7" s="3" t="s">
        <v>1490</v>
      </c>
      <c r="D7" s="3" t="s">
        <v>1491</v>
      </c>
    </row>
    <row r="8" spans="1:4" x14ac:dyDescent="0.25">
      <c r="A8" s="2" t="s">
        <v>1492</v>
      </c>
      <c r="B8" s="2" t="s">
        <v>1493</v>
      </c>
      <c r="C8" s="2" t="s">
        <v>1494</v>
      </c>
      <c r="D8" s="2" t="s">
        <v>1495</v>
      </c>
    </row>
    <row r="9" spans="1:4" x14ac:dyDescent="0.25">
      <c r="A9" s="3" t="s">
        <v>1496</v>
      </c>
      <c r="B9" s="3" t="s">
        <v>46</v>
      </c>
      <c r="C9" s="3" t="s">
        <v>1497</v>
      </c>
      <c r="D9" s="3" t="s">
        <v>1498</v>
      </c>
    </row>
    <row r="10" spans="1:4" ht="25.5" x14ac:dyDescent="0.25">
      <c r="A10" s="2" t="s">
        <v>205</v>
      </c>
      <c r="B10" s="2" t="s">
        <v>204</v>
      </c>
      <c r="C10" s="2" t="s">
        <v>50</v>
      </c>
      <c r="D10" s="2" t="s">
        <v>1499</v>
      </c>
    </row>
    <row r="11" spans="1:4" x14ac:dyDescent="0.25">
      <c r="A11" s="3" t="s">
        <v>1500</v>
      </c>
      <c r="B11" s="3" t="s">
        <v>1501</v>
      </c>
      <c r="C11" s="3" t="s">
        <v>1502</v>
      </c>
      <c r="D11" s="3" t="s">
        <v>1503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7AE60"/>
  </sheetPr>
  <dimension ref="A1:H26"/>
  <sheetViews>
    <sheetView workbookViewId="0"/>
  </sheetViews>
  <sheetFormatPr baseColWidth="10" defaultColWidth="9.140625" defaultRowHeight="15" x14ac:dyDescent="0.25"/>
  <cols>
    <col min="1" max="8" width="16" customWidth="1"/>
  </cols>
  <sheetData>
    <row r="1" spans="1:8" ht="36" customHeight="1" x14ac:dyDescent="0.25">
      <c r="A1" s="19" t="s">
        <v>1504</v>
      </c>
      <c r="B1" s="18"/>
      <c r="C1" s="18"/>
      <c r="D1" s="18"/>
      <c r="E1" s="18"/>
      <c r="F1" s="18"/>
      <c r="G1" s="18"/>
      <c r="H1" s="18"/>
    </row>
    <row r="2" spans="1:8" x14ac:dyDescent="0.25">
      <c r="A2" s="20" t="s">
        <v>1505</v>
      </c>
      <c r="B2" s="18"/>
      <c r="C2" s="18"/>
      <c r="D2" s="18"/>
      <c r="E2" s="18"/>
      <c r="F2" s="18"/>
      <c r="G2" s="18"/>
      <c r="H2" s="18"/>
    </row>
    <row r="4" spans="1:8" ht="24" customHeight="1" x14ac:dyDescent="0.25">
      <c r="A4" s="17" t="s">
        <v>1506</v>
      </c>
      <c r="B4" s="18"/>
      <c r="C4" s="18"/>
      <c r="D4" s="18"/>
      <c r="E4" s="18"/>
      <c r="F4" s="18"/>
      <c r="G4" s="18"/>
      <c r="H4" s="18"/>
    </row>
    <row r="6" spans="1:8" ht="25.5" x14ac:dyDescent="0.25">
      <c r="A6" s="3" t="s">
        <v>1507</v>
      </c>
      <c r="D6" s="3">
        <f>COUNTA('03_ANNUAIRE'!A5:A64)</f>
        <v>60</v>
      </c>
    </row>
    <row r="7" spans="1:8" ht="25.5" x14ac:dyDescent="0.25">
      <c r="A7" s="3" t="s">
        <v>1508</v>
      </c>
      <c r="D7" s="3">
        <f>'10_DASHBOARD_KPI'!B6</f>
        <v>0.58932714617169368</v>
      </c>
    </row>
    <row r="8" spans="1:8" ht="25.5" x14ac:dyDescent="0.25">
      <c r="A8" s="3" t="s">
        <v>1408</v>
      </c>
      <c r="D8" s="3">
        <f>'10_DASHBOARD_KPI'!B7</f>
        <v>0</v>
      </c>
    </row>
    <row r="9" spans="1:8" ht="25.5" x14ac:dyDescent="0.25">
      <c r="A9" s="3" t="s">
        <v>1509</v>
      </c>
      <c r="D9" s="3">
        <f>'10_DASHBOARD_KPI'!B8</f>
        <v>4</v>
      </c>
    </row>
    <row r="10" spans="1:8" ht="25.5" x14ac:dyDescent="0.25">
      <c r="A10" s="3" t="s">
        <v>1414</v>
      </c>
      <c r="D10" s="3">
        <f ca="1">'10_DASHBOARD_KPI'!B13</f>
        <v>0.73913043478260865</v>
      </c>
    </row>
    <row r="11" spans="1:8" ht="25.5" x14ac:dyDescent="0.25">
      <c r="A11" s="3" t="s">
        <v>1412</v>
      </c>
      <c r="D11" s="3">
        <f>'10_DASHBOARD_KPI'!B11</f>
        <v>0.12400124738315454</v>
      </c>
    </row>
    <row r="14" spans="1:8" ht="24" customHeight="1" x14ac:dyDescent="0.25">
      <c r="A14" s="22" t="s">
        <v>1510</v>
      </c>
      <c r="B14" s="18"/>
      <c r="C14" s="18"/>
      <c r="D14" s="18"/>
      <c r="E14" s="18"/>
      <c r="F14" s="18"/>
      <c r="G14" s="18"/>
      <c r="H14" s="18"/>
    </row>
    <row r="16" spans="1:8" ht="51" x14ac:dyDescent="0.25">
      <c r="A16" s="3" t="s">
        <v>1511</v>
      </c>
    </row>
    <row r="17" spans="1:8" ht="25.5" x14ac:dyDescent="0.25">
      <c r="A17" s="3" t="s">
        <v>1512</v>
      </c>
    </row>
    <row r="18" spans="1:8" ht="51" x14ac:dyDescent="0.25">
      <c r="A18" s="3" t="s">
        <v>1513</v>
      </c>
    </row>
    <row r="19" spans="1:8" ht="38.25" x14ac:dyDescent="0.25">
      <c r="A19" s="3" t="s">
        <v>1514</v>
      </c>
    </row>
    <row r="22" spans="1:8" ht="24" customHeight="1" x14ac:dyDescent="0.25">
      <c r="A22" s="23" t="s">
        <v>1515</v>
      </c>
      <c r="B22" s="18"/>
      <c r="C22" s="18"/>
      <c r="D22" s="18"/>
      <c r="E22" s="18"/>
      <c r="F22" s="18"/>
      <c r="G22" s="18"/>
      <c r="H22" s="18"/>
    </row>
    <row r="24" spans="1:8" ht="63.75" x14ac:dyDescent="0.25">
      <c r="A24" s="3" t="s">
        <v>1516</v>
      </c>
    </row>
    <row r="25" spans="1:8" ht="89.25" x14ac:dyDescent="0.25">
      <c r="A25" s="3" t="s">
        <v>1517</v>
      </c>
    </row>
    <row r="26" spans="1:8" ht="76.5" x14ac:dyDescent="0.25">
      <c r="A26" s="3" t="s">
        <v>1518</v>
      </c>
    </row>
  </sheetData>
  <mergeCells count="5">
    <mergeCell ref="A4:H4"/>
    <mergeCell ref="A2:H2"/>
    <mergeCell ref="A14:H14"/>
    <mergeCell ref="A1:H1"/>
    <mergeCell ref="A22:H22"/>
  </mergeCells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74C3C"/>
  </sheetPr>
  <dimension ref="A1:N2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4" customWidth="1"/>
    <col min="3" max="3" width="20" customWidth="1"/>
    <col min="4" max="4" width="10" customWidth="1"/>
    <col min="5" max="12" width="12" customWidth="1"/>
    <col min="13" max="13" width="18" customWidth="1"/>
    <col min="14" max="14" width="38" customWidth="1"/>
  </cols>
  <sheetData>
    <row r="1" spans="1:14" ht="36" customHeight="1" x14ac:dyDescent="0.25">
      <c r="A1" s="19" t="s">
        <v>1519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20" t="s">
        <v>1520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0" customHeight="1" x14ac:dyDescent="0.25">
      <c r="A4" s="1" t="s">
        <v>73</v>
      </c>
      <c r="B4" s="1" t="s">
        <v>74</v>
      </c>
      <c r="C4" s="1" t="s">
        <v>75</v>
      </c>
      <c r="D4" s="1" t="s">
        <v>77</v>
      </c>
      <c r="E4" s="1" t="s">
        <v>1521</v>
      </c>
      <c r="F4" s="1" t="s">
        <v>1522</v>
      </c>
      <c r="G4" s="1" t="s">
        <v>1523</v>
      </c>
      <c r="H4" s="1" t="s">
        <v>1524</v>
      </c>
      <c r="I4" s="1" t="s">
        <v>83</v>
      </c>
      <c r="J4" s="1" t="s">
        <v>1525</v>
      </c>
      <c r="K4" s="1" t="s">
        <v>1526</v>
      </c>
      <c r="L4" s="1" t="s">
        <v>1527</v>
      </c>
      <c r="M4" s="1" t="s">
        <v>1289</v>
      </c>
      <c r="N4" s="1" t="s">
        <v>947</v>
      </c>
    </row>
    <row r="5" spans="1:14" x14ac:dyDescent="0.25">
      <c r="A5" s="3" t="str">
        <f>IF('02_REF_COMPETENCES'!A5&lt;&gt;"",'02_REF_COMPETENCES'!A5,"")</f>
        <v>COMP-001</v>
      </c>
      <c r="B5" s="3" t="str">
        <f>IF(A5="","",'02_REF_COMPETENCES'!B5)</f>
        <v>Soudure TIG aeronautique</v>
      </c>
      <c r="C5" s="3" t="str">
        <f>IF(A5="","",'02_REF_COMPETENCES'!C5)</f>
        <v>Procedes speciaux</v>
      </c>
      <c r="D5" s="3">
        <f>IF(A5="","",'02_REF_COMPETENCES'!E5)</f>
        <v>5</v>
      </c>
      <c r="E5" s="8">
        <f>IF(A5="","",'02_REF_COMPETENCES'!X5)</f>
        <v>1.3333333333333333</v>
      </c>
      <c r="F5" s="3">
        <f>IF(A5="","",'02_REF_COMPETENCES'!P5)</f>
        <v>8</v>
      </c>
      <c r="G5" s="3">
        <f>IF(A5="","",'02_REF_COMPETENCES'!Q5)</f>
        <v>6</v>
      </c>
      <c r="H5" s="3">
        <f t="shared" ref="H5:H24" si="0">IF(F5&lt;=1,5,IF(F5&lt;=3,4,IF(F5&lt;=5,3,IF(F5&lt;=10,2,1))))</f>
        <v>2</v>
      </c>
      <c r="I5" s="3">
        <f t="shared" ref="I5:I24" si="1">IF(D5&gt;=5,5,IF(D5&gt;=4,4,IF(D5&gt;=3,3,2)))</f>
        <v>5</v>
      </c>
      <c r="J5" s="3">
        <f t="shared" ref="J5:J24" si="2">ROUND(D5*(5-MIN(E5,1)*5+1)*H5*I5/25*20,0)</f>
        <v>40</v>
      </c>
      <c r="K5" s="3" t="str">
        <f>IF(COUNTIFS('07_PLAN_FORMATION'!B:B,B5,'07_PLAN_FORMATION'!S:S,"Planifie")&gt;0,"Oui","Non")</f>
        <v>Oui</v>
      </c>
      <c r="L5" s="3">
        <f t="shared" ref="L5:L24" si="3">ROUND(J5*IF(K5="Oui",0.6,1),0)</f>
        <v>24</v>
      </c>
      <c r="M5" s="3" t="str">
        <f t="shared" ref="M5:M24" si="4">IF(L5&gt;=70,"🔴 Critique",IF(L5&gt;=50,"🟠 Haute",IF(L5&gt;=30,"🟡 Moyenne",IF(L5&gt;=15,"🔵 Basse","🟢 Maitrise"))))</f>
        <v>🔵 Basse</v>
      </c>
      <c r="N5" s="3" t="str">
        <f t="shared" ref="N5:N24" si="5">IF(L5&gt;=70,"Recrutement + formation express",IF(L5&gt;=50,"Planifier formation sous 30 jours",IF(L5&gt;=30,"Integrer au plan semestriel","Surveillance normale")))</f>
        <v>Surveillance normale</v>
      </c>
    </row>
    <row r="6" spans="1:14" x14ac:dyDescent="0.25">
      <c r="A6" s="2" t="str">
        <f>IF('02_REF_COMPETENCES'!A6&lt;&gt;"",'02_REF_COMPETENCES'!A6,"")</f>
        <v>COMP-002</v>
      </c>
      <c r="B6" s="2" t="str">
        <f>IF(A6="","",'02_REF_COMPETENCES'!B6)</f>
        <v>Soudure MIG/MAG aeronautique</v>
      </c>
      <c r="C6" s="2" t="str">
        <f>IF(A6="","",'02_REF_COMPETENCES'!C6)</f>
        <v>Procedes speciaux</v>
      </c>
      <c r="D6" s="2">
        <f>IF(A6="","",'02_REF_COMPETENCES'!E6)</f>
        <v>4</v>
      </c>
      <c r="E6" s="10">
        <f>IF(A6="","",'02_REF_COMPETENCES'!X6)</f>
        <v>1.1666666666666667</v>
      </c>
      <c r="F6" s="2">
        <f>IF(A6="","",'02_REF_COMPETENCES'!P6)</f>
        <v>7</v>
      </c>
      <c r="G6" s="2">
        <f>IF(A6="","",'02_REF_COMPETENCES'!Q6)</f>
        <v>6</v>
      </c>
      <c r="H6" s="2">
        <f t="shared" si="0"/>
        <v>2</v>
      </c>
      <c r="I6" s="2">
        <f t="shared" si="1"/>
        <v>4</v>
      </c>
      <c r="J6" s="2">
        <f t="shared" si="2"/>
        <v>26</v>
      </c>
      <c r="K6" s="2" t="str">
        <f>IF(COUNTIFS('07_PLAN_FORMATION'!B:B,B6,'07_PLAN_FORMATION'!S:S,"Planifie")&gt;0,"Oui","Non")</f>
        <v>Non</v>
      </c>
      <c r="L6" s="2">
        <f t="shared" si="3"/>
        <v>26</v>
      </c>
      <c r="M6" s="2" t="str">
        <f t="shared" si="4"/>
        <v>🔵 Basse</v>
      </c>
      <c r="N6" s="2" t="str">
        <f t="shared" si="5"/>
        <v>Surveillance normale</v>
      </c>
    </row>
    <row r="7" spans="1:14" x14ac:dyDescent="0.25">
      <c r="A7" s="3" t="str">
        <f>IF('02_REF_COMPETENCES'!A7&lt;&gt;"",'02_REF_COMPETENCES'!A7,"")</f>
        <v>COMP-003</v>
      </c>
      <c r="B7" s="3" t="str">
        <f>IF(A7="","",'02_REF_COMPETENCES'!B7)</f>
        <v>Soudure faisceau electrons</v>
      </c>
      <c r="C7" s="3" t="str">
        <f>IF(A7="","",'02_REF_COMPETENCES'!C7)</f>
        <v>Procedes speciaux</v>
      </c>
      <c r="D7" s="3">
        <f>IF(A7="","",'02_REF_COMPETENCES'!E7)</f>
        <v>5</v>
      </c>
      <c r="E7" s="8">
        <f>IF(A7="","",'02_REF_COMPETENCES'!X7)</f>
        <v>1</v>
      </c>
      <c r="F7" s="3">
        <f>IF(A7="","",'02_REF_COMPETENCES'!P7)</f>
        <v>1</v>
      </c>
      <c r="G7" s="3">
        <f>IF(A7="","",'02_REF_COMPETENCES'!Q7)</f>
        <v>0</v>
      </c>
      <c r="H7" s="3">
        <f t="shared" si="0"/>
        <v>5</v>
      </c>
      <c r="I7" s="3">
        <f t="shared" si="1"/>
        <v>5</v>
      </c>
      <c r="J7" s="3">
        <f t="shared" si="2"/>
        <v>100</v>
      </c>
      <c r="K7" s="3" t="str">
        <f>IF(COUNTIFS('07_PLAN_FORMATION'!B:B,B7,'07_PLAN_FORMATION'!S:S,"Planifie")&gt;0,"Oui","Non")</f>
        <v>Non</v>
      </c>
      <c r="L7" s="3">
        <f t="shared" si="3"/>
        <v>100</v>
      </c>
      <c r="M7" s="3" t="str">
        <f t="shared" si="4"/>
        <v>🔴 Critique</v>
      </c>
      <c r="N7" s="3" t="str">
        <f t="shared" si="5"/>
        <v>Recrutement + formation express</v>
      </c>
    </row>
    <row r="8" spans="1:14" x14ac:dyDescent="0.25">
      <c r="A8" s="2" t="str">
        <f>IF('02_REF_COMPETENCES'!A8&lt;&gt;"",'02_REF_COMPETENCES'!A8,"")</f>
        <v>COMP-004</v>
      </c>
      <c r="B8" s="2" t="str">
        <f>IF(A8="","",'02_REF_COMPETENCES'!B8)</f>
        <v>Brasage aeronautique</v>
      </c>
      <c r="C8" s="2" t="str">
        <f>IF(A8="","",'02_REF_COMPETENCES'!C8)</f>
        <v>Procedes speciaux</v>
      </c>
      <c r="D8" s="2">
        <f>IF(A8="","",'02_REF_COMPETENCES'!E8)</f>
        <v>4</v>
      </c>
      <c r="E8" s="10">
        <f>IF(A8="","",'02_REF_COMPETENCES'!X8)</f>
        <v>1.6666666666666667</v>
      </c>
      <c r="F8" s="2">
        <f>IF(A8="","",'02_REF_COMPETENCES'!P8)</f>
        <v>5</v>
      </c>
      <c r="G8" s="2">
        <f>IF(A8="","",'02_REF_COMPETENCES'!Q8)</f>
        <v>3</v>
      </c>
      <c r="H8" s="2">
        <f t="shared" si="0"/>
        <v>3</v>
      </c>
      <c r="I8" s="2">
        <f t="shared" si="1"/>
        <v>4</v>
      </c>
      <c r="J8" s="2">
        <f t="shared" si="2"/>
        <v>38</v>
      </c>
      <c r="K8" s="2" t="str">
        <f>IF(COUNTIFS('07_PLAN_FORMATION'!B:B,B8,'07_PLAN_FORMATION'!S:S,"Planifie")&gt;0,"Oui","Non")</f>
        <v>Non</v>
      </c>
      <c r="L8" s="2">
        <f t="shared" si="3"/>
        <v>38</v>
      </c>
      <c r="M8" s="2" t="str">
        <f t="shared" si="4"/>
        <v>🟡 Moyenne</v>
      </c>
      <c r="N8" s="2" t="str">
        <f t="shared" si="5"/>
        <v>Integrer au plan semestriel</v>
      </c>
    </row>
    <row r="9" spans="1:14" x14ac:dyDescent="0.25">
      <c r="A9" s="3" t="str">
        <f>IF('02_REF_COMPETENCES'!A9&lt;&gt;"",'02_REF_COMPETENCES'!A9,"")</f>
        <v>COMP-005</v>
      </c>
      <c r="B9" s="3" t="str">
        <f>IF(A9="","",'02_REF_COMPETENCES'!B9)</f>
        <v>Ressuage PT Niveau 2</v>
      </c>
      <c r="C9" s="3" t="str">
        <f>IF(A9="","",'02_REF_COMPETENCES'!C9)</f>
        <v>CND/NDT</v>
      </c>
      <c r="D9" s="3">
        <f>IF(A9="","",'02_REF_COMPETENCES'!E9)</f>
        <v>4</v>
      </c>
      <c r="E9" s="8">
        <f>IF(A9="","",'02_REF_COMPETENCES'!X9)</f>
        <v>0.8666666666666667</v>
      </c>
      <c r="F9" s="3">
        <f>IF(A9="","",'02_REF_COMPETENCES'!P9)</f>
        <v>13</v>
      </c>
      <c r="G9" s="3">
        <f>IF(A9="","",'02_REF_COMPETENCES'!Q9)</f>
        <v>15</v>
      </c>
      <c r="H9" s="3">
        <f t="shared" si="0"/>
        <v>1</v>
      </c>
      <c r="I9" s="3">
        <f t="shared" si="1"/>
        <v>4</v>
      </c>
      <c r="J9" s="3">
        <f t="shared" si="2"/>
        <v>21</v>
      </c>
      <c r="K9" s="3" t="str">
        <f>IF(COUNTIFS('07_PLAN_FORMATION'!B:B,B9,'07_PLAN_FORMATION'!S:S,"Planifie")&gt;0,"Oui","Non")</f>
        <v>Oui</v>
      </c>
      <c r="L9" s="3">
        <f t="shared" si="3"/>
        <v>13</v>
      </c>
      <c r="M9" s="3" t="str">
        <f t="shared" si="4"/>
        <v>🟢 Maitrise</v>
      </c>
      <c r="N9" s="3" t="str">
        <f t="shared" si="5"/>
        <v>Surveillance normale</v>
      </c>
    </row>
    <row r="10" spans="1:14" x14ac:dyDescent="0.25">
      <c r="A10" s="2" t="str">
        <f>IF('02_REF_COMPETENCES'!A10&lt;&gt;"",'02_REF_COMPETENCES'!A10,"")</f>
        <v>COMP-006</v>
      </c>
      <c r="B10" s="2" t="str">
        <f>IF(A10="","",'02_REF_COMPETENCES'!B10)</f>
        <v>Magnetoscopie MT Niveau 2</v>
      </c>
      <c r="C10" s="2" t="str">
        <f>IF(A10="","",'02_REF_COMPETENCES'!C10)</f>
        <v>CND/NDT</v>
      </c>
      <c r="D10" s="2">
        <f>IF(A10="","",'02_REF_COMPETENCES'!E10)</f>
        <v>4</v>
      </c>
      <c r="E10" s="10">
        <f>IF(A10="","",'02_REF_COMPETENCES'!X10)</f>
        <v>0.88888888888888884</v>
      </c>
      <c r="F10" s="2">
        <f>IF(A10="","",'02_REF_COMPETENCES'!P10)</f>
        <v>8</v>
      </c>
      <c r="G10" s="2">
        <f>IF(A10="","",'02_REF_COMPETENCES'!Q10)</f>
        <v>9</v>
      </c>
      <c r="H10" s="2">
        <f t="shared" si="0"/>
        <v>2</v>
      </c>
      <c r="I10" s="2">
        <f t="shared" si="1"/>
        <v>4</v>
      </c>
      <c r="J10" s="2">
        <f t="shared" si="2"/>
        <v>40</v>
      </c>
      <c r="K10" s="2" t="str">
        <f>IF(COUNTIFS('07_PLAN_FORMATION'!B:B,B10,'07_PLAN_FORMATION'!S:S,"Planifie")&gt;0,"Oui","Non")</f>
        <v>Non</v>
      </c>
      <c r="L10" s="2">
        <f t="shared" si="3"/>
        <v>40</v>
      </c>
      <c r="M10" s="2" t="str">
        <f t="shared" si="4"/>
        <v>🟡 Moyenne</v>
      </c>
      <c r="N10" s="2" t="str">
        <f t="shared" si="5"/>
        <v>Integrer au plan semestriel</v>
      </c>
    </row>
    <row r="11" spans="1:14" x14ac:dyDescent="0.25">
      <c r="A11" s="3" t="str">
        <f>IF('02_REF_COMPETENCES'!A11&lt;&gt;"",'02_REF_COMPETENCES'!A11,"")</f>
        <v>COMP-007</v>
      </c>
      <c r="B11" s="3" t="str">
        <f>IF(A11="","",'02_REF_COMPETENCES'!B11)</f>
        <v>Ultrasons UT Niveau 2</v>
      </c>
      <c r="C11" s="3" t="str">
        <f>IF(A11="","",'02_REF_COMPETENCES'!C11)</f>
        <v>CND/NDT</v>
      </c>
      <c r="D11" s="3">
        <f>IF(A11="","",'02_REF_COMPETENCES'!E11)</f>
        <v>5</v>
      </c>
      <c r="E11" s="8">
        <f>IF(A11="","",'02_REF_COMPETENCES'!X11)</f>
        <v>1.1666666666666667</v>
      </c>
      <c r="F11" s="3">
        <f>IF(A11="","",'02_REF_COMPETENCES'!P11)</f>
        <v>7</v>
      </c>
      <c r="G11" s="3">
        <f>IF(A11="","",'02_REF_COMPETENCES'!Q11)</f>
        <v>6</v>
      </c>
      <c r="H11" s="3">
        <f t="shared" si="0"/>
        <v>2</v>
      </c>
      <c r="I11" s="3">
        <f t="shared" si="1"/>
        <v>5</v>
      </c>
      <c r="J11" s="3">
        <f t="shared" si="2"/>
        <v>40</v>
      </c>
      <c r="K11" s="3" t="str">
        <f>IF(COUNTIFS('07_PLAN_FORMATION'!B:B,B11,'07_PLAN_FORMATION'!S:S,"Planifie")&gt;0,"Oui","Non")</f>
        <v>Non</v>
      </c>
      <c r="L11" s="3">
        <f t="shared" si="3"/>
        <v>40</v>
      </c>
      <c r="M11" s="3" t="str">
        <f t="shared" si="4"/>
        <v>🟡 Moyenne</v>
      </c>
      <c r="N11" s="3" t="str">
        <f t="shared" si="5"/>
        <v>Integrer au plan semestriel</v>
      </c>
    </row>
    <row r="12" spans="1:14" x14ac:dyDescent="0.25">
      <c r="A12" s="2" t="str">
        <f>IF('02_REF_COMPETENCES'!A12&lt;&gt;"",'02_REF_COMPETENCES'!A12,"")</f>
        <v>COMP-008</v>
      </c>
      <c r="B12" s="2" t="str">
        <f>IF(A12="","",'02_REF_COMPETENCES'!B12)</f>
        <v>Radiographie RT Niveau 2</v>
      </c>
      <c r="C12" s="2" t="str">
        <f>IF(A12="","",'02_REF_COMPETENCES'!C12)</f>
        <v>CND/NDT</v>
      </c>
      <c r="D12" s="2">
        <f>IF(A12="","",'02_REF_COMPETENCES'!E12)</f>
        <v>5</v>
      </c>
      <c r="E12" s="10">
        <f>IF(A12="","",'02_REF_COMPETENCES'!X12)</f>
        <v>1</v>
      </c>
      <c r="F12" s="2">
        <f>IF(A12="","",'02_REF_COMPETENCES'!P12)</f>
        <v>6</v>
      </c>
      <c r="G12" s="2">
        <f>IF(A12="","",'02_REF_COMPETENCES'!Q12)</f>
        <v>6</v>
      </c>
      <c r="H12" s="2">
        <f t="shared" si="0"/>
        <v>2</v>
      </c>
      <c r="I12" s="2">
        <f t="shared" si="1"/>
        <v>5</v>
      </c>
      <c r="J12" s="2">
        <f t="shared" si="2"/>
        <v>40</v>
      </c>
      <c r="K12" s="2" t="str">
        <f>IF(COUNTIFS('07_PLAN_FORMATION'!B:B,B12,'07_PLAN_FORMATION'!S:S,"Planifie")&gt;0,"Oui","Non")</f>
        <v>Non</v>
      </c>
      <c r="L12" s="2">
        <f t="shared" si="3"/>
        <v>40</v>
      </c>
      <c r="M12" s="2" t="str">
        <f t="shared" si="4"/>
        <v>🟡 Moyenne</v>
      </c>
      <c r="N12" s="2" t="str">
        <f t="shared" si="5"/>
        <v>Integrer au plan semestriel</v>
      </c>
    </row>
    <row r="13" spans="1:14" x14ac:dyDescent="0.25">
      <c r="A13" s="3" t="str">
        <f>IF('02_REF_COMPETENCES'!A13&lt;&gt;"",'02_REF_COMPETENCES'!A13,"")</f>
        <v>COMP-009</v>
      </c>
      <c r="B13" s="3" t="str">
        <f>IF(A13="","",'02_REF_COMPETENCES'!B13)</f>
        <v>Courants de Foucault ET N2</v>
      </c>
      <c r="C13" s="3" t="str">
        <f>IF(A13="","",'02_REF_COMPETENCES'!C13)</f>
        <v>CND/NDT</v>
      </c>
      <c r="D13" s="3">
        <f>IF(A13="","",'02_REF_COMPETENCES'!E13)</f>
        <v>4</v>
      </c>
      <c r="E13" s="8">
        <f>IF(A13="","",'02_REF_COMPETENCES'!X13)</f>
        <v>1</v>
      </c>
      <c r="F13" s="3">
        <f>IF(A13="","",'02_REF_COMPETENCES'!P13)</f>
        <v>6</v>
      </c>
      <c r="G13" s="3">
        <f>IF(A13="","",'02_REF_COMPETENCES'!Q13)</f>
        <v>6</v>
      </c>
      <c r="H13" s="3">
        <f t="shared" si="0"/>
        <v>2</v>
      </c>
      <c r="I13" s="3">
        <f t="shared" si="1"/>
        <v>4</v>
      </c>
      <c r="J13" s="3">
        <f t="shared" si="2"/>
        <v>26</v>
      </c>
      <c r="K13" s="3" t="str">
        <f>IF(COUNTIFS('07_PLAN_FORMATION'!B:B,B13,'07_PLAN_FORMATION'!S:S,"Planifie")&gt;0,"Oui","Non")</f>
        <v>Non</v>
      </c>
      <c r="L13" s="3">
        <f t="shared" si="3"/>
        <v>26</v>
      </c>
      <c r="M13" s="3" t="str">
        <f t="shared" si="4"/>
        <v>🔵 Basse</v>
      </c>
      <c r="N13" s="3" t="str">
        <f t="shared" si="5"/>
        <v>Surveillance normale</v>
      </c>
    </row>
    <row r="14" spans="1:14" x14ac:dyDescent="0.25">
      <c r="A14" s="2" t="str">
        <f>IF('02_REF_COMPETENCES'!A14&lt;&gt;"",'02_REF_COMPETENCES'!A14,"")</f>
        <v>COMP-010</v>
      </c>
      <c r="B14" s="2" t="str">
        <f>IF(A14="","",'02_REF_COMPETENCES'!B14)</f>
        <v>Usinage CN 3 axes</v>
      </c>
      <c r="C14" s="2" t="str">
        <f>IF(A14="","",'02_REF_COMPETENCES'!C14)</f>
        <v>Usinage &amp; fabrication</v>
      </c>
      <c r="D14" s="2">
        <f>IF(A14="","",'02_REF_COMPETENCES'!E14)</f>
        <v>3</v>
      </c>
      <c r="E14" s="10">
        <f>IF(A14="","",'02_REF_COMPETENCES'!X14)</f>
        <v>1</v>
      </c>
      <c r="F14" s="2">
        <f>IF(A14="","",'02_REF_COMPETENCES'!P14)</f>
        <v>12</v>
      </c>
      <c r="G14" s="2">
        <f>IF(A14="","",'02_REF_COMPETENCES'!Q14)</f>
        <v>12</v>
      </c>
      <c r="H14" s="2">
        <f t="shared" si="0"/>
        <v>1</v>
      </c>
      <c r="I14" s="2">
        <f t="shared" si="1"/>
        <v>3</v>
      </c>
      <c r="J14" s="2">
        <f t="shared" si="2"/>
        <v>7</v>
      </c>
      <c r="K14" s="2" t="str">
        <f>IF(COUNTIFS('07_PLAN_FORMATION'!B:B,B14,'07_PLAN_FORMATION'!S:S,"Planifie")&gt;0,"Oui","Non")</f>
        <v>Non</v>
      </c>
      <c r="L14" s="2">
        <f t="shared" si="3"/>
        <v>7</v>
      </c>
      <c r="M14" s="2" t="str">
        <f t="shared" si="4"/>
        <v>🟢 Maitrise</v>
      </c>
      <c r="N14" s="2" t="str">
        <f t="shared" si="5"/>
        <v>Surveillance normale</v>
      </c>
    </row>
    <row r="15" spans="1:14" x14ac:dyDescent="0.25">
      <c r="A15" s="3" t="str">
        <f>IF('02_REF_COMPETENCES'!A15&lt;&gt;"",'02_REF_COMPETENCES'!A15,"")</f>
        <v>COMP-011</v>
      </c>
      <c r="B15" s="3" t="str">
        <f>IF(A15="","",'02_REF_COMPETENCES'!B15)</f>
        <v>Usinage CN 5 axes</v>
      </c>
      <c r="C15" s="3" t="str">
        <f>IF(A15="","",'02_REF_COMPETENCES'!C15)</f>
        <v>Usinage &amp; fabrication</v>
      </c>
      <c r="D15" s="3">
        <f>IF(A15="","",'02_REF_COMPETENCES'!E15)</f>
        <v>5</v>
      </c>
      <c r="E15" s="8">
        <f>IF(A15="","",'02_REF_COMPETENCES'!X15)</f>
        <v>0.77777777777777779</v>
      </c>
      <c r="F15" s="3">
        <f>IF(A15="","",'02_REF_COMPETENCES'!P15)</f>
        <v>7</v>
      </c>
      <c r="G15" s="3">
        <f>IF(A15="","",'02_REF_COMPETENCES'!Q15)</f>
        <v>9</v>
      </c>
      <c r="H15" s="3">
        <f t="shared" si="0"/>
        <v>2</v>
      </c>
      <c r="I15" s="3">
        <f t="shared" si="1"/>
        <v>5</v>
      </c>
      <c r="J15" s="3">
        <f t="shared" si="2"/>
        <v>84</v>
      </c>
      <c r="K15" s="3" t="str">
        <f>IF(COUNTIFS('07_PLAN_FORMATION'!B:B,B15,'07_PLAN_FORMATION'!S:S,"Planifie")&gt;0,"Oui","Non")</f>
        <v>Non</v>
      </c>
      <c r="L15" s="3">
        <f t="shared" si="3"/>
        <v>84</v>
      </c>
      <c r="M15" s="3" t="str">
        <f t="shared" si="4"/>
        <v>🔴 Critique</v>
      </c>
      <c r="N15" s="3" t="str">
        <f t="shared" si="5"/>
        <v>Recrutement + formation express</v>
      </c>
    </row>
    <row r="16" spans="1:14" x14ac:dyDescent="0.25">
      <c r="A16" s="2" t="str">
        <f>IF('02_REF_COMPETENCES'!A16&lt;&gt;"",'02_REF_COMPETENCES'!A16,"")</f>
        <v>COMP-012</v>
      </c>
      <c r="B16" s="2" t="str">
        <f>IF(A16="","",'02_REF_COMPETENCES'!B16)</f>
        <v>Tournage CN</v>
      </c>
      <c r="C16" s="2" t="str">
        <f>IF(A16="","",'02_REF_COMPETENCES'!C16)</f>
        <v>Usinage &amp; fabrication</v>
      </c>
      <c r="D16" s="2">
        <f>IF(A16="","",'02_REF_COMPETENCES'!E16)</f>
        <v>3</v>
      </c>
      <c r="E16" s="10">
        <f>IF(A16="","",'02_REF_COMPETENCES'!X16)</f>
        <v>1</v>
      </c>
      <c r="F16" s="2">
        <f>IF(A16="","",'02_REF_COMPETENCES'!P16)</f>
        <v>6</v>
      </c>
      <c r="G16" s="2">
        <f>IF(A16="","",'02_REF_COMPETENCES'!Q16)</f>
        <v>6</v>
      </c>
      <c r="H16" s="2">
        <f t="shared" si="0"/>
        <v>2</v>
      </c>
      <c r="I16" s="2">
        <f t="shared" si="1"/>
        <v>3</v>
      </c>
      <c r="J16" s="2">
        <f t="shared" si="2"/>
        <v>14</v>
      </c>
      <c r="K16" s="2" t="str">
        <f>IF(COUNTIFS('07_PLAN_FORMATION'!B:B,B16,'07_PLAN_FORMATION'!S:S,"Planifie")&gt;0,"Oui","Non")</f>
        <v>Oui</v>
      </c>
      <c r="L16" s="2">
        <f t="shared" si="3"/>
        <v>8</v>
      </c>
      <c r="M16" s="2" t="str">
        <f t="shared" si="4"/>
        <v>🟢 Maitrise</v>
      </c>
      <c r="N16" s="2" t="str">
        <f t="shared" si="5"/>
        <v>Surveillance normale</v>
      </c>
    </row>
    <row r="17" spans="1:14" x14ac:dyDescent="0.25">
      <c r="A17" s="3" t="str">
        <f>IF('02_REF_COMPETENCES'!A17&lt;&gt;"",'02_REF_COMPETENCES'!A17,"")</f>
        <v>COMP-013</v>
      </c>
      <c r="B17" s="3" t="str">
        <f>IF(A17="","",'02_REF_COMPETENCES'!B17)</f>
        <v>Rectification de precision</v>
      </c>
      <c r="C17" s="3" t="str">
        <f>IF(A17="","",'02_REF_COMPETENCES'!C17)</f>
        <v>Usinage &amp; fabrication</v>
      </c>
      <c r="D17" s="3">
        <f>IF(A17="","",'02_REF_COMPETENCES'!E17)</f>
        <v>4</v>
      </c>
      <c r="E17" s="8">
        <f>IF(A17="","",'02_REF_COMPETENCES'!X17)</f>
        <v>2</v>
      </c>
      <c r="F17" s="3">
        <f>IF(A17="","",'02_REF_COMPETENCES'!P17)</f>
        <v>2</v>
      </c>
      <c r="G17" s="3">
        <f>IF(A17="","",'02_REF_COMPETENCES'!Q17)</f>
        <v>0</v>
      </c>
      <c r="H17" s="3">
        <f t="shared" si="0"/>
        <v>4</v>
      </c>
      <c r="I17" s="3">
        <f t="shared" si="1"/>
        <v>4</v>
      </c>
      <c r="J17" s="3">
        <f t="shared" si="2"/>
        <v>51</v>
      </c>
      <c r="K17" s="3" t="str">
        <f>IF(COUNTIFS('07_PLAN_FORMATION'!B:B,B17,'07_PLAN_FORMATION'!S:S,"Planifie")&gt;0,"Oui","Non")</f>
        <v>Non</v>
      </c>
      <c r="L17" s="3">
        <f t="shared" si="3"/>
        <v>51</v>
      </c>
      <c r="M17" s="3" t="str">
        <f t="shared" si="4"/>
        <v>🟠 Haute</v>
      </c>
      <c r="N17" s="3" t="str">
        <f t="shared" si="5"/>
        <v>Planifier formation sous 30 jours</v>
      </c>
    </row>
    <row r="18" spans="1:14" x14ac:dyDescent="0.25">
      <c r="A18" s="2" t="str">
        <f>IF('02_REF_COMPETENCES'!A18&lt;&gt;"",'02_REF_COMPETENCES'!A18,"")</f>
        <v>COMP-014</v>
      </c>
      <c r="B18" s="2" t="str">
        <f>IF(A18="","",'02_REF_COMPETENCES'!B18)</f>
        <v>Electroerosion EDM</v>
      </c>
      <c r="C18" s="2" t="str">
        <f>IF(A18="","",'02_REF_COMPETENCES'!C18)</f>
        <v>Usinage &amp; fabrication</v>
      </c>
      <c r="D18" s="2">
        <f>IF(A18="","",'02_REF_COMPETENCES'!E18)</f>
        <v>4</v>
      </c>
      <c r="E18" s="10">
        <f>IF(A18="","",'02_REF_COMPETENCES'!X18)</f>
        <v>2</v>
      </c>
      <c r="F18" s="2">
        <f>IF(A18="","",'02_REF_COMPETENCES'!P18)</f>
        <v>2</v>
      </c>
      <c r="G18" s="2">
        <f>IF(A18="","",'02_REF_COMPETENCES'!Q18)</f>
        <v>0</v>
      </c>
      <c r="H18" s="2">
        <f t="shared" si="0"/>
        <v>4</v>
      </c>
      <c r="I18" s="2">
        <f t="shared" si="1"/>
        <v>4</v>
      </c>
      <c r="J18" s="2">
        <f t="shared" si="2"/>
        <v>51</v>
      </c>
      <c r="K18" s="2" t="str">
        <f>IF(COUNTIFS('07_PLAN_FORMATION'!B:B,B18,'07_PLAN_FORMATION'!S:S,"Planifie")&gt;0,"Oui","Non")</f>
        <v>Non</v>
      </c>
      <c r="L18" s="2">
        <f t="shared" si="3"/>
        <v>51</v>
      </c>
      <c r="M18" s="2" t="str">
        <f t="shared" si="4"/>
        <v>🟠 Haute</v>
      </c>
      <c r="N18" s="2" t="str">
        <f t="shared" si="5"/>
        <v>Planifier formation sous 30 jours</v>
      </c>
    </row>
    <row r="19" spans="1:14" x14ac:dyDescent="0.25">
      <c r="A19" s="3" t="str">
        <f>IF('02_REF_COMPETENCES'!A19&lt;&gt;"",'02_REF_COMPETENCES'!A19,"")</f>
        <v>COMP-015</v>
      </c>
      <c r="B19" s="3" t="str">
        <f>IF(A19="","",'02_REF_COMPETENCES'!B19)</f>
        <v>Programmation FAO CATIA Mfg</v>
      </c>
      <c r="C19" s="3" t="str">
        <f>IF(A19="","",'02_REF_COMPETENCES'!C19)</f>
        <v>Usinage &amp; fabrication</v>
      </c>
      <c r="D19" s="3">
        <f>IF(A19="","",'02_REF_COMPETENCES'!E19)</f>
        <v>4</v>
      </c>
      <c r="E19" s="8">
        <f>IF(A19="","",'02_REF_COMPETENCES'!X19)</f>
        <v>0.66666666666666663</v>
      </c>
      <c r="F19" s="3">
        <f>IF(A19="","",'02_REF_COMPETENCES'!P19)</f>
        <v>8</v>
      </c>
      <c r="G19" s="3">
        <f>IF(A19="","",'02_REF_COMPETENCES'!Q19)</f>
        <v>12</v>
      </c>
      <c r="H19" s="3">
        <f t="shared" si="0"/>
        <v>2</v>
      </c>
      <c r="I19" s="3">
        <f t="shared" si="1"/>
        <v>4</v>
      </c>
      <c r="J19" s="3">
        <f t="shared" si="2"/>
        <v>68</v>
      </c>
      <c r="K19" s="3" t="str">
        <f>IF(COUNTIFS('07_PLAN_FORMATION'!B:B,B19,'07_PLAN_FORMATION'!S:S,"Planifie")&gt;0,"Oui","Non")</f>
        <v>Non</v>
      </c>
      <c r="L19" s="3">
        <f t="shared" si="3"/>
        <v>68</v>
      </c>
      <c r="M19" s="3" t="str">
        <f t="shared" si="4"/>
        <v>🟠 Haute</v>
      </c>
      <c r="N19" s="3" t="str">
        <f t="shared" si="5"/>
        <v>Planifier formation sous 30 jours</v>
      </c>
    </row>
    <row r="20" spans="1:14" x14ac:dyDescent="0.25">
      <c r="A20" s="2" t="str">
        <f>IF('02_REF_COMPETENCES'!A20&lt;&gt;"",'02_REF_COMPETENCES'!A20,"")</f>
        <v>COMP-016</v>
      </c>
      <c r="B20" s="2" t="str">
        <f>IF(A20="","",'02_REF_COMPETENCES'!B20)</f>
        <v>Traitement thermique aero</v>
      </c>
      <c r="C20" s="2" t="str">
        <f>IF(A20="","",'02_REF_COMPETENCES'!C20)</f>
        <v>Traitements</v>
      </c>
      <c r="D20" s="2">
        <f>IF(A20="","",'02_REF_COMPETENCES'!E20)</f>
        <v>5</v>
      </c>
      <c r="E20" s="10">
        <f>IF(A20="","",'02_REF_COMPETENCES'!X20)</f>
        <v>1.1666666666666667</v>
      </c>
      <c r="F20" s="2">
        <f>IF(A20="","",'02_REF_COMPETENCES'!P20)</f>
        <v>7</v>
      </c>
      <c r="G20" s="2">
        <f>IF(A20="","",'02_REF_COMPETENCES'!Q20)</f>
        <v>6</v>
      </c>
      <c r="H20" s="2">
        <f t="shared" si="0"/>
        <v>2</v>
      </c>
      <c r="I20" s="2">
        <f t="shared" si="1"/>
        <v>5</v>
      </c>
      <c r="J20" s="2">
        <f t="shared" si="2"/>
        <v>40</v>
      </c>
      <c r="K20" s="2" t="str">
        <f>IF(COUNTIFS('07_PLAN_FORMATION'!B:B,B20,'07_PLAN_FORMATION'!S:S,"Planifie")&gt;0,"Oui","Non")</f>
        <v>Oui</v>
      </c>
      <c r="L20" s="2">
        <f t="shared" si="3"/>
        <v>24</v>
      </c>
      <c r="M20" s="2" t="str">
        <f t="shared" si="4"/>
        <v>🔵 Basse</v>
      </c>
      <c r="N20" s="2" t="str">
        <f t="shared" si="5"/>
        <v>Surveillance normale</v>
      </c>
    </row>
    <row r="21" spans="1:14" x14ac:dyDescent="0.25">
      <c r="A21" s="3" t="str">
        <f>IF('02_REF_COMPETENCES'!A21&lt;&gt;"",'02_REF_COMPETENCES'!A21,"")</f>
        <v>COMP-017</v>
      </c>
      <c r="B21" s="3" t="str">
        <f>IF(A21="","",'02_REF_COMPETENCES'!B21)</f>
        <v>Traitement surface anodisation</v>
      </c>
      <c r="C21" s="3" t="str">
        <f>IF(A21="","",'02_REF_COMPETENCES'!C21)</f>
        <v>Traitements</v>
      </c>
      <c r="D21" s="3">
        <f>IF(A21="","",'02_REF_COMPETENCES'!E21)</f>
        <v>4</v>
      </c>
      <c r="E21" s="8">
        <f>IF(A21="","",'02_REF_COMPETENCES'!X21)</f>
        <v>2</v>
      </c>
      <c r="F21" s="3">
        <f>IF(A21="","",'02_REF_COMPETENCES'!P21)</f>
        <v>6</v>
      </c>
      <c r="G21" s="3">
        <f>IF(A21="","",'02_REF_COMPETENCES'!Q21)</f>
        <v>3</v>
      </c>
      <c r="H21" s="3">
        <f t="shared" si="0"/>
        <v>2</v>
      </c>
      <c r="I21" s="3">
        <f t="shared" si="1"/>
        <v>4</v>
      </c>
      <c r="J21" s="3">
        <f t="shared" si="2"/>
        <v>26</v>
      </c>
      <c r="K21" s="3" t="str">
        <f>IF(COUNTIFS('07_PLAN_FORMATION'!B:B,B21,'07_PLAN_FORMATION'!S:S,"Planifie")&gt;0,"Oui","Non")</f>
        <v>Oui</v>
      </c>
      <c r="L21" s="3">
        <f t="shared" si="3"/>
        <v>16</v>
      </c>
      <c r="M21" s="3" t="str">
        <f t="shared" si="4"/>
        <v>🔵 Basse</v>
      </c>
      <c r="N21" s="3" t="str">
        <f t="shared" si="5"/>
        <v>Surveillance normale</v>
      </c>
    </row>
    <row r="22" spans="1:14" x14ac:dyDescent="0.25">
      <c r="A22" s="2" t="str">
        <f>IF('02_REF_COMPETENCES'!A22&lt;&gt;"",'02_REF_COMPETENCES'!A22,"")</f>
        <v>COMP-018</v>
      </c>
      <c r="B22" s="2" t="str">
        <f>IF(A22="","",'02_REF_COMPETENCES'!B22)</f>
        <v>Shot peening controle</v>
      </c>
      <c r="C22" s="2" t="str">
        <f>IF(A22="","",'02_REF_COMPETENCES'!C22)</f>
        <v>Traitements</v>
      </c>
      <c r="D22" s="2">
        <f>IF(A22="","",'02_REF_COMPETENCES'!E22)</f>
        <v>4</v>
      </c>
      <c r="E22" s="10">
        <f>IF(A22="","",'02_REF_COMPETENCES'!X22)</f>
        <v>1.3333333333333333</v>
      </c>
      <c r="F22" s="2">
        <f>IF(A22="","",'02_REF_COMPETENCES'!P22)</f>
        <v>4</v>
      </c>
      <c r="G22" s="2">
        <f>IF(A22="","",'02_REF_COMPETENCES'!Q22)</f>
        <v>3</v>
      </c>
      <c r="H22" s="2">
        <f t="shared" si="0"/>
        <v>3</v>
      </c>
      <c r="I22" s="2">
        <f t="shared" si="1"/>
        <v>4</v>
      </c>
      <c r="J22" s="2">
        <f t="shared" si="2"/>
        <v>38</v>
      </c>
      <c r="K22" s="2" t="str">
        <f>IF(COUNTIFS('07_PLAN_FORMATION'!B:B,B22,'07_PLAN_FORMATION'!S:S,"Planifie")&gt;0,"Oui","Non")</f>
        <v>Non</v>
      </c>
      <c r="L22" s="2">
        <f t="shared" si="3"/>
        <v>38</v>
      </c>
      <c r="M22" s="2" t="str">
        <f t="shared" si="4"/>
        <v>🟡 Moyenne</v>
      </c>
      <c r="N22" s="2" t="str">
        <f t="shared" si="5"/>
        <v>Integrer au plan semestriel</v>
      </c>
    </row>
    <row r="23" spans="1:14" x14ac:dyDescent="0.25">
      <c r="A23" s="3" t="str">
        <f>IF('02_REF_COMPETENCES'!A23&lt;&gt;"",'02_REF_COMPETENCES'!A23,"")</f>
        <v>COMP-019</v>
      </c>
      <c r="B23" s="3" t="str">
        <f>IF(A23="","",'02_REF_COMPETENCES'!B23)</f>
        <v>Controle metallurgique</v>
      </c>
      <c r="C23" s="3" t="str">
        <f>IF(A23="","",'02_REF_COMPETENCES'!C23)</f>
        <v>Traitements</v>
      </c>
      <c r="D23" s="3">
        <f>IF(A23="","",'02_REF_COMPETENCES'!E23)</f>
        <v>5</v>
      </c>
      <c r="E23" s="8">
        <f>IF(A23="","",'02_REF_COMPETENCES'!X23)</f>
        <v>1.4444444444444444</v>
      </c>
      <c r="F23" s="3">
        <f>IF(A23="","",'02_REF_COMPETENCES'!P23)</f>
        <v>13</v>
      </c>
      <c r="G23" s="3">
        <f>IF(A23="","",'02_REF_COMPETENCES'!Q23)</f>
        <v>9</v>
      </c>
      <c r="H23" s="3">
        <f t="shared" si="0"/>
        <v>1</v>
      </c>
      <c r="I23" s="3">
        <f t="shared" si="1"/>
        <v>5</v>
      </c>
      <c r="J23" s="3">
        <f t="shared" si="2"/>
        <v>20</v>
      </c>
      <c r="K23" s="3" t="str">
        <f>IF(COUNTIFS('07_PLAN_FORMATION'!B:B,B23,'07_PLAN_FORMATION'!S:S,"Planifie")&gt;0,"Oui","Non")</f>
        <v>Non</v>
      </c>
      <c r="L23" s="3">
        <f t="shared" si="3"/>
        <v>20</v>
      </c>
      <c r="M23" s="3" t="str">
        <f t="shared" si="4"/>
        <v>🔵 Basse</v>
      </c>
      <c r="N23" s="3" t="str">
        <f t="shared" si="5"/>
        <v>Surveillance normale</v>
      </c>
    </row>
    <row r="24" spans="1:14" x14ac:dyDescent="0.25">
      <c r="A24" s="2" t="str">
        <f>IF('02_REF_COMPETENCES'!A24&lt;&gt;"",'02_REF_COMPETENCES'!A24,"")</f>
        <v>COMP-020</v>
      </c>
      <c r="B24" s="2" t="str">
        <f>IF(A24="","",'02_REF_COMPETENCES'!B24)</f>
        <v>Conception CAO CATIA V5/V6</v>
      </c>
      <c r="C24" s="2" t="str">
        <f>IF(A24="","",'02_REF_COMPETENCES'!C24)</f>
        <v>Bureau d'etudes</v>
      </c>
      <c r="D24" s="2">
        <f>IF(A24="","",'02_REF_COMPETENCES'!E24)</f>
        <v>4</v>
      </c>
      <c r="E24" s="10">
        <f>IF(A24="","",'02_REF_COMPETENCES'!X24)</f>
        <v>1.1666666666666667</v>
      </c>
      <c r="F24" s="2">
        <f>IF(A24="","",'02_REF_COMPETENCES'!P24)</f>
        <v>14</v>
      </c>
      <c r="G24" s="2">
        <f>IF(A24="","",'02_REF_COMPETENCES'!Q24)</f>
        <v>12</v>
      </c>
      <c r="H24" s="2">
        <f t="shared" si="0"/>
        <v>1</v>
      </c>
      <c r="I24" s="2">
        <f t="shared" si="1"/>
        <v>4</v>
      </c>
      <c r="J24" s="2">
        <f t="shared" si="2"/>
        <v>13</v>
      </c>
      <c r="K24" s="2" t="str">
        <f>IF(COUNTIFS('07_PLAN_FORMATION'!B:B,B24,'07_PLAN_FORMATION'!S:S,"Planifie")&gt;0,"Oui","Non")</f>
        <v>Oui</v>
      </c>
      <c r="L24" s="2">
        <f t="shared" si="3"/>
        <v>8</v>
      </c>
      <c r="M24" s="2" t="str">
        <f t="shared" si="4"/>
        <v>🟢 Maitrise</v>
      </c>
      <c r="N24" s="2" t="str">
        <f t="shared" si="5"/>
        <v>Surveillance normale</v>
      </c>
    </row>
  </sheetData>
  <mergeCells count="2">
    <mergeCell ref="A2:N2"/>
    <mergeCell ref="A1:N1"/>
  </mergeCells>
  <conditionalFormatting sqref="L5:L24">
    <cfRule type="colorScale" priority="1">
      <colorScale>
        <cfvo type="num" val="0"/>
        <cfvo type="num" val="50"/>
        <cfvo type="num" val="100"/>
        <color rgb="FF27AE60"/>
        <color rgb="FFF1C40F"/>
        <color rgb="FFE74C3C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E44AD"/>
  </sheetPr>
  <dimension ref="A1:K17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18" customWidth="1"/>
    <col min="4" max="4" width="26" customWidth="1"/>
    <col min="5" max="5" width="14" customWidth="1"/>
    <col min="6" max="6" width="16" customWidth="1"/>
    <col min="7" max="7" width="28" customWidth="1"/>
    <col min="8" max="8" width="18" customWidth="1"/>
    <col min="9" max="9" width="14" customWidth="1"/>
    <col min="10" max="10" width="20" customWidth="1"/>
    <col min="11" max="11" width="28" customWidth="1"/>
  </cols>
  <sheetData>
    <row r="1" spans="1:11" ht="36" customHeight="1" x14ac:dyDescent="0.25">
      <c r="A1" s="19" t="s">
        <v>1528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20" t="s">
        <v>1529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30" customHeight="1" x14ac:dyDescent="0.25">
      <c r="A4" s="1" t="s">
        <v>1530</v>
      </c>
      <c r="B4" s="1" t="s">
        <v>1531</v>
      </c>
      <c r="C4" s="1" t="s">
        <v>243</v>
      </c>
      <c r="D4" s="1" t="s">
        <v>245</v>
      </c>
      <c r="E4" s="1" t="s">
        <v>1532</v>
      </c>
      <c r="F4" s="1" t="s">
        <v>1533</v>
      </c>
      <c r="G4" s="1" t="s">
        <v>1534</v>
      </c>
      <c r="H4" s="1" t="s">
        <v>1535</v>
      </c>
      <c r="I4" s="1" t="s">
        <v>1536</v>
      </c>
      <c r="J4" s="1" t="s">
        <v>1524</v>
      </c>
      <c r="K4" s="1" t="s">
        <v>1537</v>
      </c>
    </row>
    <row r="5" spans="1:11" x14ac:dyDescent="0.25">
      <c r="A5" s="15" t="s">
        <v>254</v>
      </c>
      <c r="B5" s="3" t="str">
        <f>IFERROR(VLOOKUP(A5,'03_ANNUAIRE'!A:C,2,FALSE)&amp;" "&amp;VLOOKUP(A5,'03_ANNUAIRE'!A:C,3,FALSE),"Saisir ID")</f>
        <v>DUPONT Jean-Marc</v>
      </c>
      <c r="C5" s="3" t="str">
        <f>IFERROR(VLOOKUP(A5,'03_ANNUAIRE'!A:D,4,FALSE),"")</f>
        <v>Villaroche (77)</v>
      </c>
      <c r="D5" s="3" t="str">
        <f>IFERROR(VLOOKUP(A5,'03_ANNUAIRE'!A:F,6,FALSE),"")</f>
        <v>Soudeur TIG qualifie</v>
      </c>
      <c r="E5" s="3">
        <f>COUNTIF('04_MATRICE_SKILLS'!B:B,A5)</f>
        <v>10</v>
      </c>
      <c r="F5" s="3">
        <f>COUNTIFS('04_MATRICE_SKILLS'!B:B,A5,'04_MATRICE_SKILLS'!H:H,"Critique")</f>
        <v>3</v>
      </c>
      <c r="G5" s="3">
        <f>IFERROR(SUMPRODUCT(('04_MATRICE_SKILLS'!B$5:B$500=A5)*(COUNTIFS('04_MATRICE_SKILLS'!F$5:F$500,'04_MATRICE_SKILLS'!F$5:F$500,'04_MATRICE_SKILLS'!L$5:L$500,"Conforme")&lt;=2)),0)</f>
        <v>1</v>
      </c>
      <c r="H5" s="6">
        <f>IFERROR(SUMPRODUCT(('04_MATRICE_SKILLS'!B$5:B$500=A5)*(VLOOKUP('04_MATRICE_SKILLS'!F$5:F$500,'02_REF_COMPETENCES'!A:J,10,FALSE))),0)</f>
        <v>500000</v>
      </c>
      <c r="I5" s="3">
        <f>IF(F5&gt;3,18,IF(F5&gt;1,12,IF(F5&gt;0,6,0)))</f>
        <v>12</v>
      </c>
      <c r="J5" s="3" t="str">
        <f>IF(G5&gt;=3,"🔴 Irremplacable",IF(G5&gt;=1,"🟠 Difficile","🟢 Remplacable"))</f>
        <v>🟠 Difficile</v>
      </c>
      <c r="K5" s="3" t="str">
        <f>IF(G5&gt;=3,"Impact majeur",IF(G5&gt;=1,"Impact significatif","Impact faible"))</f>
        <v>Impact significatif</v>
      </c>
    </row>
    <row r="6" spans="1:11" x14ac:dyDescent="0.25">
      <c r="A6" s="15"/>
      <c r="B6" s="3" t="str">
        <f>IFERROR(VLOOKUP(A6,'03_ANNUAIRE'!A:C,2,FALSE)&amp;" "&amp;VLOOKUP(A6,'03_ANNUAIRE'!A:C,3,FALSE),"Saisir ID")</f>
        <v>Saisir ID</v>
      </c>
      <c r="C6" s="3" t="str">
        <f>IFERROR(VLOOKUP(A6,'03_ANNUAIRE'!A:D,4,FALSE),"")</f>
        <v/>
      </c>
      <c r="D6" s="3" t="str">
        <f>IFERROR(VLOOKUP(A6,'03_ANNUAIRE'!A:F,6,FALSE),"")</f>
        <v/>
      </c>
      <c r="E6" s="3">
        <f>COUNTIF('04_MATRICE_SKILLS'!B:B,A6)</f>
        <v>0</v>
      </c>
      <c r="F6" s="3">
        <f>COUNTIFS('04_MATRICE_SKILLS'!B:B,A6,'04_MATRICE_SKILLS'!H:H,"Critique")</f>
        <v>0</v>
      </c>
      <c r="G6" s="3">
        <f>IFERROR(SUMPRODUCT(('04_MATRICE_SKILLS'!B$5:B$500=A6)*(COUNTIFS('04_MATRICE_SKILLS'!F$5:F$500,'04_MATRICE_SKILLS'!F$5:F$500,'04_MATRICE_SKILLS'!L$5:L$500,"Conforme")&lt;=2)),0)</f>
        <v>68</v>
      </c>
      <c r="H6" s="6">
        <f>IFERROR(SUMPRODUCT(('04_MATRICE_SKILLS'!B$5:B$500=A6)*(VLOOKUP('04_MATRICE_SKILLS'!F$5:F$500,'02_REF_COMPETENCES'!A:J,10,FALSE))),0)</f>
        <v>2380000</v>
      </c>
      <c r="I6" s="3">
        <f>IF(F6&gt;3,18,IF(F6&gt;1,12,IF(F6&gt;0,6,0)))</f>
        <v>0</v>
      </c>
      <c r="J6" s="3" t="str">
        <f>IF(G6&gt;=3,"🔴 Irremplacable",IF(G6&gt;=1,"🟠 Difficile","🟢 Remplacable"))</f>
        <v>🔴 Irremplacable</v>
      </c>
      <c r="K6" s="3" t="str">
        <f>IF(G6&gt;=3,"Impact majeur",IF(G6&gt;=1,"Impact significatif","Impact faible"))</f>
        <v>Impact majeur</v>
      </c>
    </row>
    <row r="7" spans="1:11" x14ac:dyDescent="0.25">
      <c r="A7" s="15"/>
      <c r="B7" s="3" t="str">
        <f>IFERROR(VLOOKUP(A7,'03_ANNUAIRE'!A:C,2,FALSE)&amp;" "&amp;VLOOKUP(A7,'03_ANNUAIRE'!A:C,3,FALSE),"Saisir ID")</f>
        <v>Saisir ID</v>
      </c>
      <c r="C7" s="3" t="str">
        <f>IFERROR(VLOOKUP(A7,'03_ANNUAIRE'!A:D,4,FALSE),"")</f>
        <v/>
      </c>
      <c r="D7" s="3" t="str">
        <f>IFERROR(VLOOKUP(A7,'03_ANNUAIRE'!A:F,6,FALSE),"")</f>
        <v/>
      </c>
      <c r="E7" s="3">
        <f>COUNTIF('04_MATRICE_SKILLS'!B:B,A7)</f>
        <v>0</v>
      </c>
      <c r="F7" s="3">
        <f>COUNTIFS('04_MATRICE_SKILLS'!B:B,A7,'04_MATRICE_SKILLS'!H:H,"Critique")</f>
        <v>0</v>
      </c>
      <c r="G7" s="3">
        <f>IFERROR(SUMPRODUCT(('04_MATRICE_SKILLS'!B$5:B$500=A7)*(COUNTIFS('04_MATRICE_SKILLS'!F$5:F$500,'04_MATRICE_SKILLS'!F$5:F$500,'04_MATRICE_SKILLS'!L$5:L$500,"Conforme")&lt;=2)),0)</f>
        <v>68</v>
      </c>
      <c r="H7" s="6">
        <f>IFERROR(SUMPRODUCT(('04_MATRICE_SKILLS'!B$5:B$500=A7)*(VLOOKUP('04_MATRICE_SKILLS'!F$5:F$500,'02_REF_COMPETENCES'!A:J,10,FALSE))),0)</f>
        <v>1904000</v>
      </c>
      <c r="I7" s="3">
        <f>IF(F7&gt;3,18,IF(F7&gt;1,12,IF(F7&gt;0,6,0)))</f>
        <v>0</v>
      </c>
      <c r="J7" s="3" t="str">
        <f>IF(G7&gt;=3,"🔴 Irremplacable",IF(G7&gt;=1,"🟠 Difficile","🟢 Remplacable"))</f>
        <v>🔴 Irremplacable</v>
      </c>
      <c r="K7" s="3" t="str">
        <f>IF(G7&gt;=3,"Impact majeur",IF(G7&gt;=1,"Impact significatif","Impact faible"))</f>
        <v>Impact majeur</v>
      </c>
    </row>
    <row r="8" spans="1:11" x14ac:dyDescent="0.25">
      <c r="A8" s="15"/>
      <c r="B8" s="3" t="str">
        <f>IFERROR(VLOOKUP(A8,'03_ANNUAIRE'!A:C,2,FALSE)&amp;" "&amp;VLOOKUP(A8,'03_ANNUAIRE'!A:C,3,FALSE),"Saisir ID")</f>
        <v>Saisir ID</v>
      </c>
      <c r="C8" s="3" t="str">
        <f>IFERROR(VLOOKUP(A8,'03_ANNUAIRE'!A:D,4,FALSE),"")</f>
        <v/>
      </c>
      <c r="D8" s="3" t="str">
        <f>IFERROR(VLOOKUP(A8,'03_ANNUAIRE'!A:F,6,FALSE),"")</f>
        <v/>
      </c>
      <c r="E8" s="3">
        <f>COUNTIF('04_MATRICE_SKILLS'!B:B,A8)</f>
        <v>0</v>
      </c>
      <c r="F8" s="3">
        <f>COUNTIFS('04_MATRICE_SKILLS'!B:B,A8,'04_MATRICE_SKILLS'!H:H,"Critique")</f>
        <v>0</v>
      </c>
      <c r="G8" s="3">
        <f>IFERROR(SUMPRODUCT(('04_MATRICE_SKILLS'!B$5:B$500=A8)*(COUNTIFS('04_MATRICE_SKILLS'!F$5:F$500,'04_MATRICE_SKILLS'!F$5:F$500,'04_MATRICE_SKILLS'!L$5:L$500,"Conforme")&lt;=2)),0)</f>
        <v>68</v>
      </c>
      <c r="H8" s="6">
        <f>IFERROR(SUMPRODUCT(('04_MATRICE_SKILLS'!B$5:B$500=A8)*(VLOOKUP('04_MATRICE_SKILLS'!F$5:F$500,'02_REF_COMPETENCES'!A:J,10,FALSE))),0)</f>
        <v>1904000</v>
      </c>
      <c r="I8" s="3">
        <f>IF(F8&gt;3,18,IF(F8&gt;1,12,IF(F8&gt;0,6,0)))</f>
        <v>0</v>
      </c>
      <c r="J8" s="3" t="str">
        <f>IF(G8&gt;=3,"🔴 Irremplacable",IF(G8&gt;=1,"🟠 Difficile","🟢 Remplacable"))</f>
        <v>🔴 Irremplacable</v>
      </c>
      <c r="K8" s="3" t="str">
        <f>IF(G8&gt;=3,"Impact majeur",IF(G8&gt;=1,"Impact significatif","Impact faible"))</f>
        <v>Impact majeur</v>
      </c>
    </row>
    <row r="9" spans="1:11" x14ac:dyDescent="0.25">
      <c r="A9" s="15"/>
      <c r="B9" s="3" t="str">
        <f>IFERROR(VLOOKUP(A9,'03_ANNUAIRE'!A:C,2,FALSE)&amp;" "&amp;VLOOKUP(A9,'03_ANNUAIRE'!A:C,3,FALSE),"Saisir ID")</f>
        <v>Saisir ID</v>
      </c>
      <c r="C9" s="3" t="str">
        <f>IFERROR(VLOOKUP(A9,'03_ANNUAIRE'!A:D,4,FALSE),"")</f>
        <v/>
      </c>
      <c r="D9" s="3" t="str">
        <f>IFERROR(VLOOKUP(A9,'03_ANNUAIRE'!A:F,6,FALSE),"")</f>
        <v/>
      </c>
      <c r="E9" s="3">
        <f>COUNTIF('04_MATRICE_SKILLS'!B:B,A9)</f>
        <v>0</v>
      </c>
      <c r="F9" s="3">
        <f>COUNTIFS('04_MATRICE_SKILLS'!B:B,A9,'04_MATRICE_SKILLS'!H:H,"Critique")</f>
        <v>0</v>
      </c>
      <c r="G9" s="3">
        <f>IFERROR(SUMPRODUCT(('04_MATRICE_SKILLS'!B$5:B$500=A9)*(COUNTIFS('04_MATRICE_SKILLS'!F$5:F$500,'04_MATRICE_SKILLS'!F$5:F$500,'04_MATRICE_SKILLS'!L$5:L$500,"Conforme")&lt;=2)),0)</f>
        <v>68</v>
      </c>
      <c r="H9" s="6">
        <f>IFERROR(SUMPRODUCT(('04_MATRICE_SKILLS'!B$5:B$500=A9)*(VLOOKUP('04_MATRICE_SKILLS'!F$5:F$500,'02_REF_COMPETENCES'!A:J,10,FALSE))),0)</f>
        <v>2856000</v>
      </c>
      <c r="I9" s="3">
        <f>IF(F9&gt;3,18,IF(F9&gt;1,12,IF(F9&gt;0,6,0)))</f>
        <v>0</v>
      </c>
      <c r="J9" s="3" t="str">
        <f>IF(G9&gt;=3,"🔴 Irremplacable",IF(G9&gt;=1,"🟠 Difficile","🟢 Remplacable"))</f>
        <v>🔴 Irremplacable</v>
      </c>
      <c r="K9" s="3" t="str">
        <f>IF(G9&gt;=3,"Impact majeur",IF(G9&gt;=1,"Impact significatif","Impact faible"))</f>
        <v>Impact majeur</v>
      </c>
    </row>
    <row r="12" spans="1:11" ht="24" customHeight="1" x14ac:dyDescent="0.25">
      <c r="A12" s="17" t="s">
        <v>1538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1" ht="38.25" x14ac:dyDescent="0.25">
      <c r="A13" s="3" t="s">
        <v>1539</v>
      </c>
      <c r="C13" s="3">
        <f>SUM(E5:E9)</f>
        <v>10</v>
      </c>
    </row>
    <row r="14" spans="1:11" ht="25.5" x14ac:dyDescent="0.25">
      <c r="A14" s="3" t="s">
        <v>1540</v>
      </c>
      <c r="C14" s="3">
        <f>SUM(G5:G9)</f>
        <v>273</v>
      </c>
    </row>
    <row r="15" spans="1:11" ht="25.5" x14ac:dyDescent="0.25">
      <c r="A15" s="3" t="s">
        <v>1541</v>
      </c>
      <c r="C15" s="6">
        <f>SUM(H5:H9)</f>
        <v>9544000</v>
      </c>
    </row>
    <row r="16" spans="1:11" ht="25.5" x14ac:dyDescent="0.25">
      <c r="A16" s="3" t="s">
        <v>1542</v>
      </c>
      <c r="C16" s="16">
        <f>AVERAGE(I5:I9)</f>
        <v>2.4</v>
      </c>
    </row>
    <row r="17" spans="1:3" ht="25.5" x14ac:dyDescent="0.25">
      <c r="A17" s="3" t="s">
        <v>1543</v>
      </c>
      <c r="C17" s="3">
        <f>COUNTIF(J5:J9,"*Irremplacable*")</f>
        <v>4</v>
      </c>
    </row>
  </sheetData>
  <mergeCells count="3">
    <mergeCell ref="A2:K2"/>
    <mergeCell ref="A1:K1"/>
    <mergeCell ref="A12:K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498DB"/>
  </sheetPr>
  <dimension ref="A1:H3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4" customWidth="1"/>
    <col min="3" max="3" width="16" customWidth="1"/>
    <col min="4" max="4" width="22" customWidth="1"/>
    <col min="5" max="5" width="26" customWidth="1"/>
    <col min="6" max="7" width="16" customWidth="1"/>
    <col min="8" max="8" width="18" customWidth="1"/>
  </cols>
  <sheetData>
    <row r="1" spans="1:8" ht="36" customHeight="1" x14ac:dyDescent="0.25">
      <c r="A1" s="19" t="s">
        <v>1544</v>
      </c>
      <c r="B1" s="18"/>
      <c r="C1" s="18"/>
      <c r="D1" s="18"/>
      <c r="E1" s="18"/>
      <c r="F1" s="18"/>
      <c r="G1" s="18"/>
      <c r="H1" s="18"/>
    </row>
    <row r="2" spans="1:8" x14ac:dyDescent="0.25">
      <c r="A2" s="20" t="s">
        <v>1545</v>
      </c>
      <c r="B2" s="18"/>
      <c r="C2" s="18"/>
      <c r="D2" s="18"/>
      <c r="E2" s="18"/>
      <c r="F2" s="18"/>
      <c r="G2" s="18"/>
      <c r="H2" s="18"/>
    </row>
    <row r="4" spans="1:8" ht="30" customHeight="1" x14ac:dyDescent="0.25">
      <c r="A4" s="1" t="s">
        <v>1377</v>
      </c>
      <c r="B4" s="1" t="s">
        <v>1378</v>
      </c>
      <c r="C4" s="1" t="s">
        <v>243</v>
      </c>
      <c r="D4" s="1" t="s">
        <v>939</v>
      </c>
      <c r="E4" s="1" t="s">
        <v>1546</v>
      </c>
      <c r="F4" s="1" t="s">
        <v>1289</v>
      </c>
      <c r="G4" s="1" t="s">
        <v>249</v>
      </c>
      <c r="H4" s="1" t="s">
        <v>441</v>
      </c>
    </row>
    <row r="5" spans="1:8" ht="25.5" x14ac:dyDescent="0.25">
      <c r="A5" s="11">
        <f>IFERROR(INDEX('07_PLAN_FORMATION'!G:G,ROW()+0),"")</f>
        <v>46333</v>
      </c>
      <c r="B5" s="3" t="s">
        <v>1547</v>
      </c>
      <c r="C5" s="3" t="str">
        <f>IFERROR(INDEX('07_PLAN_FORMATION'!E:E,ROW()+0),"")</f>
        <v>Villaroche (77)</v>
      </c>
      <c r="D5" s="3" t="str">
        <f>IFERROR(INDEX('07_PLAN_FORMATION'!D:D,ROW()+0),"")</f>
        <v>DUPONT Jean-Marc</v>
      </c>
      <c r="E5" s="3" t="str">
        <f>IFERROR(INDEX('07_PLAN_FORMATION'!B:B,ROW()+0),"")</f>
        <v>Soudure TIG aeronautique</v>
      </c>
      <c r="F5" s="3" t="str">
        <f>IFERROR(INDEX('07_PLAN_FORMATION'!F:F,ROW()+0),"")</f>
        <v>Important</v>
      </c>
      <c r="G5" s="3" t="str">
        <f>IFERROR(INDEX('07_PLAN_FORMATION'!S:S,ROW()+0),"")</f>
        <v>Planifie</v>
      </c>
      <c r="H5" s="3" t="s">
        <v>1548</v>
      </c>
    </row>
    <row r="6" spans="1:8" ht="25.5" x14ac:dyDescent="0.25">
      <c r="A6" s="12">
        <f>IFERROR(INDEX('07_PLAN_FORMATION'!G:G,ROW()+0),"")</f>
        <v>46190</v>
      </c>
      <c r="B6" s="2" t="s">
        <v>1547</v>
      </c>
      <c r="C6" s="2" t="str">
        <f>IFERROR(INDEX('07_PLAN_FORMATION'!E:E,ROW()+0),"")</f>
        <v>Villaroche (77)</v>
      </c>
      <c r="D6" s="2" t="str">
        <f>IFERROR(INDEX('07_PLAN_FORMATION'!D:D,ROW()+0),"")</f>
        <v>DUPONT Jean-Marc</v>
      </c>
      <c r="E6" s="2" t="str">
        <f>IFERROR(INDEX('07_PLAN_FORMATION'!B:B,ROW()+0),"")</f>
        <v>Ressuage PT Niveau 2</v>
      </c>
      <c r="F6" s="2" t="str">
        <f>IFERROR(INDEX('07_PLAN_FORMATION'!F:F,ROW()+0),"")</f>
        <v>Important</v>
      </c>
      <c r="G6" s="2" t="str">
        <f>IFERROR(INDEX('07_PLAN_FORMATION'!S:S,ROW()+0),"")</f>
        <v>Planifie</v>
      </c>
      <c r="H6" s="2" t="s">
        <v>1548</v>
      </c>
    </row>
    <row r="7" spans="1:8" ht="25.5" x14ac:dyDescent="0.25">
      <c r="A7" s="11">
        <f>IFERROR(INDEX('07_PLAN_FORMATION'!G:G,ROW()+0),"")</f>
        <v>46250</v>
      </c>
      <c r="B7" s="3" t="s">
        <v>1547</v>
      </c>
      <c r="C7" s="3" t="str">
        <f>IFERROR(INDEX('07_PLAN_FORMATION'!E:E,ROW()+0),"")</f>
        <v>Chatellerault (86)</v>
      </c>
      <c r="D7" s="3" t="str">
        <f>IFERROR(INDEX('07_PLAN_FORMATION'!D:D,ROW()+0),"")</f>
        <v>BERNARD Thomas</v>
      </c>
      <c r="E7" s="3" t="str">
        <f>IFERROR(INDEX('07_PLAN_FORMATION'!B:B,ROW()+0),"")</f>
        <v>Magnetoscopie MT Niveau 2</v>
      </c>
      <c r="F7" s="3" t="str">
        <f>IFERROR(INDEX('07_PLAN_FORMATION'!F:F,ROW()+0),"")</f>
        <v>Important</v>
      </c>
      <c r="G7" s="3" t="str">
        <f>IFERROR(INDEX('07_PLAN_FORMATION'!S:S,ROW()+0),"")</f>
        <v>A planifier</v>
      </c>
      <c r="H7" s="3" t="s">
        <v>1548</v>
      </c>
    </row>
    <row r="8" spans="1:8" ht="25.5" x14ac:dyDescent="0.25">
      <c r="A8" s="12">
        <f>IFERROR(INDEX('07_PLAN_FORMATION'!G:G,ROW()+0),"")</f>
        <v>46271</v>
      </c>
      <c r="B8" s="2" t="s">
        <v>1547</v>
      </c>
      <c r="C8" s="2" t="str">
        <f>IFERROR(INDEX('07_PLAN_FORMATION'!E:E,ROW()+0),"")</f>
        <v>Chatellerault (86)</v>
      </c>
      <c r="D8" s="2" t="str">
        <f>IFERROR(INDEX('07_PLAN_FORMATION'!D:D,ROW()+0),"")</f>
        <v>BERNARD Thomas</v>
      </c>
      <c r="E8" s="2" t="str">
        <f>IFERROR(INDEX('07_PLAN_FORMATION'!B:B,ROW()+0),"")</f>
        <v>Radiographie RT Niveau 2</v>
      </c>
      <c r="F8" s="2" t="str">
        <f>IFERROR(INDEX('07_PLAN_FORMATION'!F:F,ROW()+0),"")</f>
        <v>Important</v>
      </c>
      <c r="G8" s="2" t="str">
        <f>IFERROR(INDEX('07_PLAN_FORMATION'!S:S,ROW()+0),"")</f>
        <v>A planifier</v>
      </c>
      <c r="H8" s="2" t="s">
        <v>1548</v>
      </c>
    </row>
    <row r="9" spans="1:8" ht="25.5" x14ac:dyDescent="0.25">
      <c r="A9" s="11">
        <f>IFERROR(INDEX('07_PLAN_FORMATION'!G:G,ROW()+0),"")</f>
        <v>46346</v>
      </c>
      <c r="B9" s="3" t="s">
        <v>1547</v>
      </c>
      <c r="C9" s="3" t="str">
        <f>IFERROR(INDEX('07_PLAN_FORMATION'!E:E,ROW()+0),"")</f>
        <v>Chatellerault (86)</v>
      </c>
      <c r="D9" s="3" t="str">
        <f>IFERROR(INDEX('07_PLAN_FORMATION'!D:D,ROW()+0),"")</f>
        <v>BERNARD Thomas</v>
      </c>
      <c r="E9" s="3" t="str">
        <f>IFERROR(INDEX('07_PLAN_FORMATION'!B:B,ROW()+0),"")</f>
        <v>First Article Inspection FAI</v>
      </c>
      <c r="F9" s="3" t="str">
        <f>IFERROR(INDEX('07_PLAN_FORMATION'!F:F,ROW()+0),"")</f>
        <v>Important</v>
      </c>
      <c r="G9" s="3" t="str">
        <f>IFERROR(INDEX('07_PLAN_FORMATION'!S:S,ROW()+0),"")</f>
        <v>En cours</v>
      </c>
      <c r="H9" s="3" t="s">
        <v>1548</v>
      </c>
    </row>
    <row r="10" spans="1:8" ht="25.5" x14ac:dyDescent="0.25">
      <c r="A10" s="12">
        <f>IFERROR(INDEX('07_PLAN_FORMATION'!G:G,ROW()+0),"")</f>
        <v>46173</v>
      </c>
      <c r="B10" s="2" t="s">
        <v>1547</v>
      </c>
      <c r="C10" s="2" t="str">
        <f>IFERROR(INDEX('07_PLAN_FORMATION'!E:E,ROW()+0),"")</f>
        <v>Bordes (64)</v>
      </c>
      <c r="D10" s="2" t="str">
        <f>IFERROR(INDEX('07_PLAN_FORMATION'!D:D,ROW()+0),"")</f>
        <v>PETIT Nicolas</v>
      </c>
      <c r="E10" s="2" t="str">
        <f>IFERROR(INDEX('07_PLAN_FORMATION'!B:B,ROW()+0),"")</f>
        <v>Ultrasons UT Niveau 2</v>
      </c>
      <c r="F10" s="2" t="str">
        <f>IFERROR(INDEX('07_PLAN_FORMATION'!F:F,ROW()+0),"")</f>
        <v>Important</v>
      </c>
      <c r="G10" s="2" t="str">
        <f>IFERROR(INDEX('07_PLAN_FORMATION'!S:S,ROW()+0),"")</f>
        <v>En cours</v>
      </c>
      <c r="H10" s="2" t="s">
        <v>1548</v>
      </c>
    </row>
    <row r="11" spans="1:8" ht="25.5" x14ac:dyDescent="0.25">
      <c r="A11" s="11">
        <f>IFERROR(INDEX('07_PLAN_FORMATION'!G:G,ROW()+0),"")</f>
        <v>46175</v>
      </c>
      <c r="B11" s="3" t="s">
        <v>1547</v>
      </c>
      <c r="C11" s="3" t="str">
        <f>IFERROR(INDEX('07_PLAN_FORMATION'!E:E,ROW()+0),"")</f>
        <v>Villaroche (77)</v>
      </c>
      <c r="D11" s="3" t="str">
        <f>IFERROR(INDEX('07_PLAN_FORMATION'!D:D,ROW()+0),"")</f>
        <v>RICHARD Antoine</v>
      </c>
      <c r="E11" s="3" t="str">
        <f>IFERROR(INDEX('07_PLAN_FORMATION'!B:B,ROW()+0),"")</f>
        <v>Tournage CN</v>
      </c>
      <c r="F11" s="3" t="str">
        <f>IFERROR(INDEX('07_PLAN_FORMATION'!F:F,ROW()+0),"")</f>
        <v>Important</v>
      </c>
      <c r="G11" s="3" t="str">
        <f>IFERROR(INDEX('07_PLAN_FORMATION'!S:S,ROW()+0),"")</f>
        <v>A planifier</v>
      </c>
      <c r="H11" s="3" t="s">
        <v>1548</v>
      </c>
    </row>
    <row r="12" spans="1:8" ht="25.5" x14ac:dyDescent="0.25">
      <c r="A12" s="12">
        <f>IFERROR(INDEX('07_PLAN_FORMATION'!G:G,ROW()+0),"")</f>
        <v>46151</v>
      </c>
      <c r="B12" s="2" t="s">
        <v>1547</v>
      </c>
      <c r="C12" s="2" t="str">
        <f>IFERROR(INDEX('07_PLAN_FORMATION'!E:E,ROW()+0),"")</f>
        <v>Villaroche (77)</v>
      </c>
      <c r="D12" s="2" t="str">
        <f>IFERROR(INDEX('07_PLAN_FORMATION'!D:D,ROW()+0),"")</f>
        <v>RICHARD Antoine</v>
      </c>
      <c r="E12" s="2" t="str">
        <f>IFERROR(INDEX('07_PLAN_FORMATION'!B:B,ROW()+0),"")</f>
        <v>Programmation FAO CATIA Mfg</v>
      </c>
      <c r="F12" s="2" t="str">
        <f>IFERROR(INDEX('07_PLAN_FORMATION'!F:F,ROW()+0),"")</f>
        <v>Important</v>
      </c>
      <c r="G12" s="2" t="str">
        <f>IFERROR(INDEX('07_PLAN_FORMATION'!S:S,ROW()+0),"")</f>
        <v>Realise</v>
      </c>
      <c r="H12" s="2" t="s">
        <v>1548</v>
      </c>
    </row>
    <row r="13" spans="1:8" ht="25.5" x14ac:dyDescent="0.25">
      <c r="A13" s="11">
        <f>IFERROR(INDEX('07_PLAN_FORMATION'!G:G,ROW()+0),"")</f>
        <v>46249</v>
      </c>
      <c r="B13" s="3" t="s">
        <v>1547</v>
      </c>
      <c r="C13" s="3" t="str">
        <f>IFERROR(INDEX('07_PLAN_FORMATION'!E:E,ROW()+0),"")</f>
        <v>Gennevilliers (92)</v>
      </c>
      <c r="D13" s="3" t="str">
        <f>IFERROR(INDEX('07_PLAN_FORMATION'!D:D,ROW()+0),"")</f>
        <v>DURAND Sebastien</v>
      </c>
      <c r="E13" s="3" t="str">
        <f>IFERROR(INDEX('07_PLAN_FORMATION'!B:B,ROW()+0),"")</f>
        <v>Traitement thermique aero</v>
      </c>
      <c r="F13" s="3" t="str">
        <f>IFERROR(INDEX('07_PLAN_FORMATION'!F:F,ROW()+0),"")</f>
        <v>Important</v>
      </c>
      <c r="G13" s="3" t="str">
        <f>IFERROR(INDEX('07_PLAN_FORMATION'!S:S,ROW()+0),"")</f>
        <v>Planifie</v>
      </c>
      <c r="H13" s="3" t="s">
        <v>1548</v>
      </c>
    </row>
    <row r="14" spans="1:8" ht="25.5" x14ac:dyDescent="0.25">
      <c r="A14" s="12">
        <f>IFERROR(INDEX('07_PLAN_FORMATION'!G:G,ROW()+0),"")</f>
        <v>46147</v>
      </c>
      <c r="B14" s="2" t="s">
        <v>1547</v>
      </c>
      <c r="C14" s="2" t="str">
        <f>IFERROR(INDEX('07_PLAN_FORMATION'!E:E,ROW()+0),"")</f>
        <v>Chatellerault (86)</v>
      </c>
      <c r="D14" s="2" t="str">
        <f>IFERROR(INDEX('07_PLAN_FORMATION'!D:D,ROW()+0),"")</f>
        <v>MOREAU Francois</v>
      </c>
      <c r="E14" s="2" t="str">
        <f>IFERROR(INDEX('07_PLAN_FORMATION'!B:B,ROW()+0),"")</f>
        <v>Shot peening controle</v>
      </c>
      <c r="F14" s="2" t="str">
        <f>IFERROR(INDEX('07_PLAN_FORMATION'!F:F,ROW()+0),"")</f>
        <v>Important</v>
      </c>
      <c r="G14" s="2" t="str">
        <f>IFERROR(INDEX('07_PLAN_FORMATION'!S:S,ROW()+0),"")</f>
        <v>Realise</v>
      </c>
      <c r="H14" s="2" t="s">
        <v>1548</v>
      </c>
    </row>
    <row r="15" spans="1:8" ht="25.5" x14ac:dyDescent="0.25">
      <c r="A15" s="11">
        <f>IFERROR(INDEX('07_PLAN_FORMATION'!G:G,ROW()+0),"")</f>
        <v>46241</v>
      </c>
      <c r="B15" s="3" t="s">
        <v>1547</v>
      </c>
      <c r="C15" s="3" t="str">
        <f>IFERROR(INDEX('07_PLAN_FORMATION'!E:E,ROW()+0),"")</f>
        <v>Istres (13)</v>
      </c>
      <c r="D15" s="3" t="str">
        <f>IFERROR(INDEX('07_PLAN_FORMATION'!D:D,ROW()+0),"")</f>
        <v>DAVID Frederic</v>
      </c>
      <c r="E15" s="3" t="str">
        <f>IFERROR(INDEX('07_PLAN_FORMATION'!B:B,ROW()+0),"")</f>
        <v>Lean Manufacturing / 6 Sigma</v>
      </c>
      <c r="F15" s="3" t="str">
        <f>IFERROR(INDEX('07_PLAN_FORMATION'!F:F,ROW()+0),"")</f>
        <v>Important</v>
      </c>
      <c r="G15" s="3" t="str">
        <f>IFERROR(INDEX('07_PLAN_FORMATION'!S:S,ROW()+0),"")</f>
        <v>A planifier</v>
      </c>
      <c r="H15" s="3" t="s">
        <v>1548</v>
      </c>
    </row>
    <row r="16" spans="1:8" ht="25.5" x14ac:dyDescent="0.25">
      <c r="A16" s="12">
        <f>IFERROR(INDEX('07_PLAN_FORMATION'!G:G,ROW()+0),"")</f>
        <v>46154</v>
      </c>
      <c r="B16" s="2" t="s">
        <v>1547</v>
      </c>
      <c r="C16" s="2" t="str">
        <f>IFERROR(INDEX('07_PLAN_FORMATION'!E:E,ROW()+0),"")</f>
        <v>Villaroche (77)</v>
      </c>
      <c r="D16" s="2" t="str">
        <f>IFERROR(INDEX('07_PLAN_FORMATION'!D:D,ROW()+0),"")</f>
        <v>BERTRAND Olivier</v>
      </c>
      <c r="E16" s="2" t="str">
        <f>IFERROR(INDEX('07_PLAN_FORMATION'!B:B,ROW()+0),"")</f>
        <v>Tournage CN</v>
      </c>
      <c r="F16" s="2" t="str">
        <f>IFERROR(INDEX('07_PLAN_FORMATION'!F:F,ROW()+0),"")</f>
        <v>Important</v>
      </c>
      <c r="G16" s="2" t="str">
        <f>IFERROR(INDEX('07_PLAN_FORMATION'!S:S,ROW()+0),"")</f>
        <v>Planifie</v>
      </c>
      <c r="H16" s="2" t="s">
        <v>1548</v>
      </c>
    </row>
    <row r="17" spans="1:8" ht="25.5" x14ac:dyDescent="0.25">
      <c r="A17" s="11">
        <f>IFERROR(INDEX('07_PLAN_FORMATION'!G:G,ROW()+0),"")</f>
        <v>46346</v>
      </c>
      <c r="B17" s="3" t="s">
        <v>1547</v>
      </c>
      <c r="C17" s="3" t="str">
        <f>IFERROR(INDEX('07_PLAN_FORMATION'!E:E,ROW()+0),"")</f>
        <v>Gennevilliers (92)</v>
      </c>
      <c r="D17" s="3" t="str">
        <f>IFERROR(INDEX('07_PLAN_FORMATION'!D:D,ROW()+0),"")</f>
        <v>MOREL Alexandre</v>
      </c>
      <c r="E17" s="3" t="str">
        <f>IFERROR(INDEX('07_PLAN_FORMATION'!B:B,ROW()+0),"")</f>
        <v>Traitement thermique aero</v>
      </c>
      <c r="F17" s="3" t="str">
        <f>IFERROR(INDEX('07_PLAN_FORMATION'!F:F,ROW()+0),"")</f>
        <v>Important</v>
      </c>
      <c r="G17" s="3" t="str">
        <f>IFERROR(INDEX('07_PLAN_FORMATION'!S:S,ROW()+0),"")</f>
        <v>En cours</v>
      </c>
      <c r="H17" s="3" t="s">
        <v>1548</v>
      </c>
    </row>
    <row r="18" spans="1:8" ht="25.5" x14ac:dyDescent="0.25">
      <c r="A18" s="12">
        <f>IFERROR(INDEX('07_PLAN_FORMATION'!G:G,ROW()+0),"")</f>
        <v>46340</v>
      </c>
      <c r="B18" s="2" t="s">
        <v>1547</v>
      </c>
      <c r="C18" s="2" t="str">
        <f>IFERROR(INDEX('07_PLAN_FORMATION'!E:E,ROW()+0),"")</f>
        <v>Gennevilliers (92)</v>
      </c>
      <c r="D18" s="2" t="str">
        <f>IFERROR(INDEX('07_PLAN_FORMATION'!D:D,ROW()+0),"")</f>
        <v>MOREL Alexandre</v>
      </c>
      <c r="E18" s="2" t="str">
        <f>IFERROR(INDEX('07_PLAN_FORMATION'!B:B,ROW()+0),"")</f>
        <v>Controle metallurgique</v>
      </c>
      <c r="F18" s="2" t="str">
        <f>IFERROR(INDEX('07_PLAN_FORMATION'!F:F,ROW()+0),"")</f>
        <v>Important</v>
      </c>
      <c r="G18" s="2" t="str">
        <f>IFERROR(INDEX('07_PLAN_FORMATION'!S:S,ROW()+0),"")</f>
        <v>A planifier</v>
      </c>
      <c r="H18" s="2" t="s">
        <v>1548</v>
      </c>
    </row>
    <row r="19" spans="1:8" ht="25.5" x14ac:dyDescent="0.25">
      <c r="A19" s="11">
        <f>IFERROR(INDEX('07_PLAN_FORMATION'!G:G,ROW()+0),"")</f>
        <v>46198</v>
      </c>
      <c r="B19" s="3" t="s">
        <v>1547</v>
      </c>
      <c r="C19" s="3" t="str">
        <f>IFERROR(INDEX('07_PLAN_FORMATION'!E:E,ROW()+0),"")</f>
        <v>Gennevilliers (92)</v>
      </c>
      <c r="D19" s="3" t="str">
        <f>IFERROR(INDEX('07_PLAN_FORMATION'!D:D,ROW()+0),"")</f>
        <v>MOREL Alexandre</v>
      </c>
      <c r="E19" s="3" t="str">
        <f>IFERROR(INDEX('07_PLAN_FORMATION'!B:B,ROW()+0),"")</f>
        <v>Calcul structures NASTRAN</v>
      </c>
      <c r="F19" s="3" t="str">
        <f>IFERROR(INDEX('07_PLAN_FORMATION'!F:F,ROW()+0),"")</f>
        <v>Important</v>
      </c>
      <c r="G19" s="3" t="str">
        <f>IFERROR(INDEX('07_PLAN_FORMATION'!S:S,ROW()+0),"")</f>
        <v>A planifier</v>
      </c>
      <c r="H19" s="3" t="s">
        <v>1548</v>
      </c>
    </row>
    <row r="20" spans="1:8" ht="25.5" x14ac:dyDescent="0.25">
      <c r="A20" s="12">
        <f>IFERROR(INDEX('07_PLAN_FORMATION'!G:G,ROW()+0),"")</f>
        <v>46218</v>
      </c>
      <c r="B20" s="2" t="s">
        <v>1547</v>
      </c>
      <c r="C20" s="2" t="str">
        <f>IFERROR(INDEX('07_PLAN_FORMATION'!E:E,ROW()+0),"")</f>
        <v>Chatellerault (86)</v>
      </c>
      <c r="D20" s="2" t="str">
        <f>IFERROR(INDEX('07_PLAN_FORMATION'!D:D,ROW()+0),"")</f>
        <v>FOURNIER Guillaume</v>
      </c>
      <c r="E20" s="2" t="str">
        <f>IFERROR(INDEX('07_PLAN_FORMATION'!B:B,ROW()+0),"")</f>
        <v>Conception CAO CATIA V5/V6</v>
      </c>
      <c r="F20" s="2" t="str">
        <f>IFERROR(INDEX('07_PLAN_FORMATION'!F:F,ROW()+0),"")</f>
        <v>Important</v>
      </c>
      <c r="G20" s="2" t="str">
        <f>IFERROR(INDEX('07_PLAN_FORMATION'!S:S,ROW()+0),"")</f>
        <v>En cours</v>
      </c>
      <c r="H20" s="2" t="s">
        <v>1548</v>
      </c>
    </row>
    <row r="21" spans="1:8" ht="25.5" x14ac:dyDescent="0.25">
      <c r="A21" s="11">
        <f>IFERROR(INDEX('07_PLAN_FORMATION'!G:G,ROW()+0),"")</f>
        <v>46321</v>
      </c>
      <c r="B21" s="3" t="s">
        <v>1547</v>
      </c>
      <c r="C21" s="3" t="str">
        <f>IFERROR(INDEX('07_PLAN_FORMATION'!E:E,ROW()+0),"")</f>
        <v>Istres (13)</v>
      </c>
      <c r="D21" s="3" t="str">
        <f>IFERROR(INDEX('07_PLAN_FORMATION'!D:D,ROW()+0),"")</f>
        <v>BONNET Benoit</v>
      </c>
      <c r="E21" s="3" t="str">
        <f>IFERROR(INDEX('07_PLAN_FORMATION'!B:B,ROW()+0),"")</f>
        <v>Lean Manufacturing / 6 Sigma</v>
      </c>
      <c r="F21" s="3" t="str">
        <f>IFERROR(INDEX('07_PLAN_FORMATION'!F:F,ROW()+0),"")</f>
        <v>Important</v>
      </c>
      <c r="G21" s="3" t="str">
        <f>IFERROR(INDEX('07_PLAN_FORMATION'!S:S,ROW()+0),"")</f>
        <v>Planifie</v>
      </c>
      <c r="H21" s="3" t="s">
        <v>1548</v>
      </c>
    </row>
    <row r="22" spans="1:8" ht="25.5" x14ac:dyDescent="0.25">
      <c r="A22" s="12">
        <f>IFERROR(INDEX('07_PLAN_FORMATION'!G:G,ROW()+0),"")</f>
        <v>46185</v>
      </c>
      <c r="B22" s="2" t="s">
        <v>1547</v>
      </c>
      <c r="C22" s="2" t="str">
        <f>IFERROR(INDEX('07_PLAN_FORMATION'!E:E,ROW()+0),"")</f>
        <v>Villaroche (77)</v>
      </c>
      <c r="D22" s="2" t="str">
        <f>IFERROR(INDEX('07_PLAN_FORMATION'!D:D,ROW()+0),"")</f>
        <v>LAMBERT Maxime</v>
      </c>
      <c r="E22" s="2" t="str">
        <f>IFERROR(INDEX('07_PLAN_FORMATION'!B:B,ROW()+0),"")</f>
        <v>AMDEC/FMEA aeronautique</v>
      </c>
      <c r="F22" s="2" t="str">
        <f>IFERROR(INDEX('07_PLAN_FORMATION'!F:F,ROW()+0),"")</f>
        <v>Important</v>
      </c>
      <c r="G22" s="2" t="str">
        <f>IFERROR(INDEX('07_PLAN_FORMATION'!S:S,ROW()+0),"")</f>
        <v>En cours</v>
      </c>
      <c r="H22" s="2" t="s">
        <v>1548</v>
      </c>
    </row>
    <row r="23" spans="1:8" ht="25.5" x14ac:dyDescent="0.25">
      <c r="A23" s="11">
        <f>IFERROR(INDEX('07_PLAN_FORMATION'!G:G,ROW()+0),"")</f>
        <v>46317</v>
      </c>
      <c r="B23" s="3" t="s">
        <v>1547</v>
      </c>
      <c r="C23" s="3" t="str">
        <f>IFERROR(INDEX('07_PLAN_FORMATION'!E:E,ROW()+0),"")</f>
        <v>Chatellerault (86)</v>
      </c>
      <c r="D23" s="3" t="str">
        <f>IFERROR(INDEX('07_PLAN_FORMATION'!D:D,ROW()+0),"")</f>
        <v>ROUSSEAU Stephane</v>
      </c>
      <c r="E23" s="3" t="str">
        <f>IFERROR(INDEX('07_PLAN_FORMATION'!B:B,ROW()+0),"")</f>
        <v>Ressuage PT Niveau 2</v>
      </c>
      <c r="F23" s="3" t="str">
        <f>IFERROR(INDEX('07_PLAN_FORMATION'!F:F,ROW()+0),"")</f>
        <v>Important</v>
      </c>
      <c r="G23" s="3" t="str">
        <f>IFERROR(INDEX('07_PLAN_FORMATION'!S:S,ROW()+0),"")</f>
        <v>A planifier</v>
      </c>
      <c r="H23" s="3" t="s">
        <v>1548</v>
      </c>
    </row>
    <row r="24" spans="1:8" ht="25.5" x14ac:dyDescent="0.25">
      <c r="A24" s="12">
        <f>IFERROR(INDEX('07_PLAN_FORMATION'!G:G,ROW()+0),"")</f>
        <v>46137</v>
      </c>
      <c r="B24" s="2" t="s">
        <v>1547</v>
      </c>
      <c r="C24" s="2" t="str">
        <f>IFERROR(INDEX('07_PLAN_FORMATION'!E:E,ROW()+0),"")</f>
        <v>Chatellerault (86)</v>
      </c>
      <c r="D24" s="2" t="str">
        <f>IFERROR(INDEX('07_PLAN_FORMATION'!D:D,ROW()+0),"")</f>
        <v>ROUSSEAU Stephane</v>
      </c>
      <c r="E24" s="2" t="str">
        <f>IFERROR(INDEX('07_PLAN_FORMATION'!B:B,ROW()+0),"")</f>
        <v>Magnetoscopie MT Niveau 2</v>
      </c>
      <c r="F24" s="2" t="str">
        <f>IFERROR(INDEX('07_PLAN_FORMATION'!F:F,ROW()+0),"")</f>
        <v>Important</v>
      </c>
      <c r="G24" s="2" t="str">
        <f>IFERROR(INDEX('07_PLAN_FORMATION'!S:S,ROW()+0),"")</f>
        <v>A planifier</v>
      </c>
      <c r="H24" s="2" t="s">
        <v>1548</v>
      </c>
    </row>
    <row r="25" spans="1:8" ht="25.5" x14ac:dyDescent="0.25">
      <c r="A25" s="11">
        <f>IFERROR(INDEX('07_PLAN_FORMATION'!G:G,ROW()+0),"")</f>
        <v>46319</v>
      </c>
      <c r="B25" s="3" t="s">
        <v>1547</v>
      </c>
      <c r="C25" s="3" t="str">
        <f>IFERROR(INDEX('07_PLAN_FORMATION'!E:E,ROW()+0),"")</f>
        <v>Bordes (64)</v>
      </c>
      <c r="D25" s="3" t="str">
        <f>IFERROR(INDEX('07_PLAN_FORMATION'!D:D,ROW()+0),"")</f>
        <v>MERCIER Yannick</v>
      </c>
      <c r="E25" s="3" t="str">
        <f>IFERROR(INDEX('07_PLAN_FORMATION'!B:B,ROW()+0),"")</f>
        <v>Magnetoscopie MT Niveau 2</v>
      </c>
      <c r="F25" s="3" t="str">
        <f>IFERROR(INDEX('07_PLAN_FORMATION'!F:F,ROW()+0),"")</f>
        <v>Important</v>
      </c>
      <c r="G25" s="3" t="str">
        <f>IFERROR(INDEX('07_PLAN_FORMATION'!S:S,ROW()+0),"")</f>
        <v>A planifier</v>
      </c>
      <c r="H25" s="3" t="s">
        <v>1548</v>
      </c>
    </row>
    <row r="26" spans="1:8" ht="25.5" x14ac:dyDescent="0.25">
      <c r="A26" s="12">
        <f>IFERROR(INDEX('07_PLAN_FORMATION'!G:G,ROW()+0),"")</f>
        <v>46194</v>
      </c>
      <c r="B26" s="2" t="s">
        <v>1547</v>
      </c>
      <c r="C26" s="2" t="str">
        <f>IFERROR(INDEX('07_PLAN_FORMATION'!E:E,ROW()+0),"")</f>
        <v>Bordes (64)</v>
      </c>
      <c r="D26" s="2" t="str">
        <f>IFERROR(INDEX('07_PLAN_FORMATION'!D:D,ROW()+0),"")</f>
        <v>MERCIER Yannick</v>
      </c>
      <c r="E26" s="2" t="str">
        <f>IFERROR(INDEX('07_PLAN_FORMATION'!B:B,ROW()+0),"")</f>
        <v>First Article Inspection FAI</v>
      </c>
      <c r="F26" s="2" t="str">
        <f>IFERROR(INDEX('07_PLAN_FORMATION'!F:F,ROW()+0),"")</f>
        <v>Important</v>
      </c>
      <c r="G26" s="2" t="str">
        <f>IFERROR(INDEX('07_PLAN_FORMATION'!S:S,ROW()+0),"")</f>
        <v>En cours</v>
      </c>
      <c r="H26" s="2" t="s">
        <v>1548</v>
      </c>
    </row>
    <row r="27" spans="1:8" ht="25.5" x14ac:dyDescent="0.25">
      <c r="A27" s="11">
        <f>IFERROR(INDEX('07_PLAN_FORMATION'!G:G,ROW()+0),"")</f>
        <v>46143</v>
      </c>
      <c r="B27" s="3" t="s">
        <v>1547</v>
      </c>
      <c r="C27" s="3" t="str">
        <f>IFERROR(INDEX('07_PLAN_FORMATION'!E:E,ROW()+0),"")</f>
        <v>Istres (13)</v>
      </c>
      <c r="D27" s="3" t="str">
        <f>IFERROR(INDEX('07_PLAN_FORMATION'!D:D,ROW()+0),"")</f>
        <v>BLANC Romain</v>
      </c>
      <c r="E27" s="3" t="str">
        <f>IFERROR(INDEX('07_PLAN_FORMATION'!B:B,ROW()+0),"")</f>
        <v>Usinage CN 5 axes</v>
      </c>
      <c r="F27" s="3" t="str">
        <f>IFERROR(INDEX('07_PLAN_FORMATION'!F:F,ROW()+0),"")</f>
        <v>Important</v>
      </c>
      <c r="G27" s="3" t="str">
        <f>IFERROR(INDEX('07_PLAN_FORMATION'!S:S,ROW()+0),"")</f>
        <v>A planifier</v>
      </c>
      <c r="H27" s="3" t="s">
        <v>1548</v>
      </c>
    </row>
    <row r="28" spans="1:8" ht="25.5" x14ac:dyDescent="0.25">
      <c r="A28" s="12">
        <f>IFERROR(INDEX('07_PLAN_FORMATION'!G:G,ROW()+0),"")</f>
        <v>46166</v>
      </c>
      <c r="B28" s="2" t="s">
        <v>1547</v>
      </c>
      <c r="C28" s="2" t="str">
        <f>IFERROR(INDEX('07_PLAN_FORMATION'!E:E,ROW()+0),"")</f>
        <v>Istres (13)</v>
      </c>
      <c r="D28" s="2" t="str">
        <f>IFERROR(INDEX('07_PLAN_FORMATION'!D:D,ROW()+0),"")</f>
        <v>BLANC Romain</v>
      </c>
      <c r="E28" s="2" t="str">
        <f>IFERROR(INDEX('07_PLAN_FORMATION'!B:B,ROW()+0),"")</f>
        <v>Programmation FAO CATIA Mfg</v>
      </c>
      <c r="F28" s="2" t="str">
        <f>IFERROR(INDEX('07_PLAN_FORMATION'!F:F,ROW()+0),"")</f>
        <v>Important</v>
      </c>
      <c r="G28" s="2" t="str">
        <f>IFERROR(INDEX('07_PLAN_FORMATION'!S:S,ROW()+0),"")</f>
        <v>A planifier</v>
      </c>
      <c r="H28" s="2" t="s">
        <v>1548</v>
      </c>
    </row>
    <row r="29" spans="1:8" ht="25.5" x14ac:dyDescent="0.25">
      <c r="A29" s="11">
        <f>IFERROR(INDEX('07_PLAN_FORMATION'!G:G,ROW()+0),"")</f>
        <v>46133</v>
      </c>
      <c r="B29" s="3" t="s">
        <v>1547</v>
      </c>
      <c r="C29" s="3" t="str">
        <f>IFERROR(INDEX('07_PLAN_FORMATION'!E:E,ROW()+0),"")</f>
        <v>Istres (13)</v>
      </c>
      <c r="D29" s="3" t="str">
        <f>IFERROR(INDEX('07_PLAN_FORMATION'!D:D,ROW()+0),"")</f>
        <v>BLANC Romain</v>
      </c>
      <c r="E29" s="3" t="str">
        <f>IFERROR(INDEX('07_PLAN_FORMATION'!B:B,ROW()+0),"")</f>
        <v>Cotation GPS GD&amp;T aero</v>
      </c>
      <c r="F29" s="3" t="str">
        <f>IFERROR(INDEX('07_PLAN_FORMATION'!F:F,ROW()+0),"")</f>
        <v>Important</v>
      </c>
      <c r="G29" s="3" t="str">
        <f>IFERROR(INDEX('07_PLAN_FORMATION'!S:S,ROW()+0),"")</f>
        <v>En cours</v>
      </c>
      <c r="H29" s="3" t="s">
        <v>1548</v>
      </c>
    </row>
    <row r="30" spans="1:8" ht="25.5" x14ac:dyDescent="0.25">
      <c r="A30" s="12">
        <f>IFERROR(INDEX('07_PLAN_FORMATION'!G:G,ROW()+0),"")</f>
        <v>46276</v>
      </c>
      <c r="B30" s="2" t="s">
        <v>1547</v>
      </c>
      <c r="C30" s="2" t="str">
        <f>IFERROR(INDEX('07_PLAN_FORMATION'!E:E,ROW()+0),"")</f>
        <v>Villaroche (77)</v>
      </c>
      <c r="D30" s="2" t="str">
        <f>IFERROR(INDEX('07_PLAN_FORMATION'!D:D,ROW()+0),"")</f>
        <v>GUERIN Fabien</v>
      </c>
      <c r="E30" s="2" t="str">
        <f>IFERROR(INDEX('07_PLAN_FORMATION'!B:B,ROW()+0),"")</f>
        <v>Programmation FAO CATIA Mfg</v>
      </c>
      <c r="F30" s="2" t="str">
        <f>IFERROR(INDEX('07_PLAN_FORMATION'!F:F,ROW()+0),"")</f>
        <v>Important</v>
      </c>
      <c r="G30" s="2" t="str">
        <f>IFERROR(INDEX('07_PLAN_FORMATION'!S:S,ROW()+0),"")</f>
        <v>En cours</v>
      </c>
      <c r="H30" s="2" t="s">
        <v>1548</v>
      </c>
    </row>
    <row r="31" spans="1:8" ht="25.5" x14ac:dyDescent="0.25">
      <c r="A31" s="11">
        <f>IFERROR(INDEX('07_PLAN_FORMATION'!G:G,ROW()+0),"")</f>
        <v>46166</v>
      </c>
      <c r="B31" s="3" t="s">
        <v>1547</v>
      </c>
      <c r="C31" s="3" t="str">
        <f>IFERROR(INDEX('07_PLAN_FORMATION'!E:E,ROW()+0),"")</f>
        <v>Bordes (64)</v>
      </c>
      <c r="D31" s="3" t="str">
        <f>IFERROR(INDEX('07_PLAN_FORMATION'!D:D,ROW()+0),"")</f>
        <v>BARBIER Pascal</v>
      </c>
      <c r="E31" s="3" t="str">
        <f>IFERROR(INDEX('07_PLAN_FORMATION'!B:B,ROW()+0),"")</f>
        <v>Conception CAO CATIA V5/V6</v>
      </c>
      <c r="F31" s="3" t="str">
        <f>IFERROR(INDEX('07_PLAN_FORMATION'!F:F,ROW()+0),"")</f>
        <v>Important</v>
      </c>
      <c r="G31" s="3" t="str">
        <f>IFERROR(INDEX('07_PLAN_FORMATION'!S:S,ROW()+0),"")</f>
        <v>Planifie</v>
      </c>
      <c r="H31" s="3" t="s">
        <v>1548</v>
      </c>
    </row>
    <row r="32" spans="1:8" ht="25.5" x14ac:dyDescent="0.25">
      <c r="A32" s="12">
        <f>IFERROR(INDEX('07_PLAN_FORMATION'!G:G,ROW()+0),"")</f>
        <v>46151</v>
      </c>
      <c r="B32" s="2" t="s">
        <v>1547</v>
      </c>
      <c r="C32" s="2" t="str">
        <f>IFERROR(INDEX('07_PLAN_FORMATION'!E:E,ROW()+0),"")</f>
        <v>Bordes (64)</v>
      </c>
      <c r="D32" s="2" t="str">
        <f>IFERROR(INDEX('07_PLAN_FORMATION'!D:D,ROW()+0),"")</f>
        <v>BARBIER Pascal</v>
      </c>
      <c r="E32" s="2" t="str">
        <f>IFERROR(INDEX('07_PLAN_FORMATION'!B:B,ROW()+0),"")</f>
        <v>Gestion de configuration</v>
      </c>
      <c r="F32" s="2" t="str">
        <f>IFERROR(INDEX('07_PLAN_FORMATION'!F:F,ROW()+0),"")</f>
        <v>Important</v>
      </c>
      <c r="G32" s="2" t="str">
        <f>IFERROR(INDEX('07_PLAN_FORMATION'!S:S,ROW()+0),"")</f>
        <v>A planifier</v>
      </c>
      <c r="H32" s="2" t="s">
        <v>1548</v>
      </c>
    </row>
    <row r="33" spans="1:8" ht="25.5" x14ac:dyDescent="0.25">
      <c r="A33" s="11">
        <f>IFERROR(INDEX('07_PLAN_FORMATION'!G:G,ROW()+0),"")</f>
        <v>46350</v>
      </c>
      <c r="B33" s="3" t="s">
        <v>1547</v>
      </c>
      <c r="C33" s="3" t="str">
        <f>IFERROR(INDEX('07_PLAN_FORMATION'!E:E,ROW()+0),"")</f>
        <v>Bordes (64)</v>
      </c>
      <c r="D33" s="3" t="str">
        <f>IFERROR(INDEX('07_PLAN_FORMATION'!D:D,ROW()+0),"")</f>
        <v>BARBIER Pascal</v>
      </c>
      <c r="E33" s="3" t="str">
        <f>IFERROR(INDEX('07_PLAN_FORMATION'!B:B,ROW()+0),"")</f>
        <v>AMDEC/FMEA aeronautique</v>
      </c>
      <c r="F33" s="3" t="str">
        <f>IFERROR(INDEX('07_PLAN_FORMATION'!F:F,ROW()+0),"")</f>
        <v>Important</v>
      </c>
      <c r="G33" s="3" t="str">
        <f>IFERROR(INDEX('07_PLAN_FORMATION'!S:S,ROW()+0),"")</f>
        <v>A planifier</v>
      </c>
      <c r="H33" s="3" t="s">
        <v>1548</v>
      </c>
    </row>
    <row r="34" spans="1:8" ht="25.5" x14ac:dyDescent="0.25">
      <c r="A34" s="12">
        <f>IFERROR(INDEX('07_PLAN_FORMATION'!G:G,ROW()+0),"")</f>
        <v>46347</v>
      </c>
      <c r="B34" s="2" t="s">
        <v>1547</v>
      </c>
      <c r="C34" s="2" t="str">
        <f>IFERROR(INDEX('07_PLAN_FORMATION'!E:E,ROW()+0),"")</f>
        <v>Istres (13)</v>
      </c>
      <c r="D34" s="2" t="str">
        <f>IFERROR(INDEX('07_PLAN_FORMATION'!D:D,ROW()+0),"")</f>
        <v>PERRIN Damien</v>
      </c>
      <c r="E34" s="2" t="str">
        <f>IFERROR(INDEX('07_PLAN_FORMATION'!B:B,ROW()+0),"")</f>
        <v>Calcul structures NASTRAN</v>
      </c>
      <c r="F34" s="2" t="str">
        <f>IFERROR(INDEX('07_PLAN_FORMATION'!F:F,ROW()+0),"")</f>
        <v>Critique</v>
      </c>
      <c r="G34" s="2" t="str">
        <f>IFERROR(INDEX('07_PLAN_FORMATION'!S:S,ROW()+0),"")</f>
        <v>Planifie</v>
      </c>
      <c r="H34" s="2" t="s">
        <v>1548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6213E"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8" customWidth="1"/>
    <col min="2" max="8" width="18" customWidth="1"/>
  </cols>
  <sheetData>
    <row r="1" spans="1:8" ht="36" customHeight="1" x14ac:dyDescent="0.25">
      <c r="A1" s="19" t="s">
        <v>1549</v>
      </c>
      <c r="B1" s="18"/>
      <c r="C1" s="18"/>
      <c r="D1" s="18"/>
      <c r="E1" s="18"/>
      <c r="F1" s="18"/>
      <c r="G1" s="18"/>
      <c r="H1" s="18"/>
    </row>
    <row r="2" spans="1:8" x14ac:dyDescent="0.25">
      <c r="A2" s="20" t="s">
        <v>1550</v>
      </c>
      <c r="B2" s="18"/>
      <c r="C2" s="18"/>
      <c r="D2" s="18"/>
      <c r="E2" s="18"/>
      <c r="F2" s="18"/>
      <c r="G2" s="18"/>
      <c r="H2" s="18"/>
    </row>
    <row r="4" spans="1:8" ht="30" customHeight="1" x14ac:dyDescent="0.25">
      <c r="A4" s="1" t="s">
        <v>1551</v>
      </c>
      <c r="B4" s="1" t="s">
        <v>35</v>
      </c>
      <c r="C4" s="1" t="s">
        <v>37</v>
      </c>
      <c r="D4" s="1" t="s">
        <v>39</v>
      </c>
      <c r="E4" s="1" t="s">
        <v>41</v>
      </c>
      <c r="F4" s="1" t="s">
        <v>43</v>
      </c>
      <c r="G4" s="1" t="s">
        <v>1552</v>
      </c>
      <c r="H4" s="1" t="s">
        <v>1553</v>
      </c>
    </row>
    <row r="5" spans="1:8" x14ac:dyDescent="0.25">
      <c r="A5" s="3" t="s">
        <v>1416</v>
      </c>
      <c r="B5" s="3">
        <f>COUNTIF('03_ANNUAIRE'!D:D,"Villaroche (77)")</f>
        <v>12</v>
      </c>
      <c r="C5" s="3">
        <f>COUNTIF('03_ANNUAIRE'!D:D,"Gennevilliers (92)")</f>
        <v>12</v>
      </c>
      <c r="D5" s="3">
        <f>COUNTIF('03_ANNUAIRE'!D:D,"Chatellerault (86)")</f>
        <v>12</v>
      </c>
      <c r="E5" s="3">
        <f>COUNTIF('03_ANNUAIRE'!D:D,"Bordes (64)")</f>
        <v>12</v>
      </c>
      <c r="F5" s="3">
        <f>COUNTIF('03_ANNUAIRE'!D:D,"Istres (13)")</f>
        <v>12</v>
      </c>
      <c r="G5" s="7">
        <f t="shared" ref="G5:G10" si="0">AVERAGE(B5:F5)</f>
        <v>12</v>
      </c>
      <c r="H5" s="7">
        <f t="shared" ref="H5:H10" si="1">STDEV(B5:F5)</f>
        <v>0</v>
      </c>
    </row>
    <row r="6" spans="1:8" x14ac:dyDescent="0.25">
      <c r="A6" s="2" t="s">
        <v>1417</v>
      </c>
      <c r="B6" s="9">
        <f>IFERROR(AVERAGEIF('04_MATRICE_SKILLS'!D:D,"Villaroche (77)",'04_MATRICE_SKILLS'!I:I),0)</f>
        <v>2.9130434782608696</v>
      </c>
      <c r="C6" s="9">
        <f>IFERROR(AVERAGEIF('04_MATRICE_SKILLS'!D:D,"Gennevilliers (92)",'04_MATRICE_SKILLS'!I:I),0)</f>
        <v>2.9659090909090908</v>
      </c>
      <c r="D6" s="9">
        <f>IFERROR(AVERAGEIF('04_MATRICE_SKILLS'!D:D,"Chatellerault (86)",'04_MATRICE_SKILLS'!I:I),0)</f>
        <v>3.0705882352941178</v>
      </c>
      <c r="E6" s="9">
        <f>IFERROR(AVERAGEIF('04_MATRICE_SKILLS'!D:D,"Bordes (64)",'04_MATRICE_SKILLS'!I:I),0)</f>
        <v>3.4567901234567899</v>
      </c>
      <c r="F6" s="9">
        <f>IFERROR(AVERAGEIF('04_MATRICE_SKILLS'!D:D,"Istres (13)",'04_MATRICE_SKILLS'!I:I),0)</f>
        <v>3.0365853658536586</v>
      </c>
      <c r="G6" s="9">
        <f t="shared" si="0"/>
        <v>3.0885832587549054</v>
      </c>
      <c r="H6" s="9">
        <f t="shared" si="1"/>
        <v>0.21474814489400898</v>
      </c>
    </row>
    <row r="7" spans="1:8" x14ac:dyDescent="0.25">
      <c r="A7" s="3" t="s">
        <v>96</v>
      </c>
      <c r="B7" s="8">
        <f>IFERROR(COUNTIFS('04_MATRICE_SKILLS'!D:D,"Villaroche (77)",'04_MATRICE_SKILLS'!L:L,"Conforme")/MAX(COUNTIF('04_MATRICE_SKILLS'!D:D,"Villaroche (77)"),1),0)</f>
        <v>0.55434782608695654</v>
      </c>
      <c r="C7" s="8">
        <f>IFERROR(COUNTIFS('04_MATRICE_SKILLS'!D:D,"Gennevilliers (92)",'04_MATRICE_SKILLS'!L:L,"Conforme")/MAX(COUNTIF('04_MATRICE_SKILLS'!D:D,"Gennevilliers (92)"),1),0)</f>
        <v>0.57954545454545459</v>
      </c>
      <c r="D7" s="8">
        <f>IFERROR(COUNTIFS('04_MATRICE_SKILLS'!D:D,"Chatellerault (86)",'04_MATRICE_SKILLS'!L:L,"Conforme")/MAX(COUNTIF('04_MATRICE_SKILLS'!D:D,"Chatellerault (86)"),1),0)</f>
        <v>0.63529411764705879</v>
      </c>
      <c r="E7" s="8">
        <f>IFERROR(COUNTIFS('04_MATRICE_SKILLS'!D:D,"Bordes (64)",'04_MATRICE_SKILLS'!L:L,"Conforme")/MAX(COUNTIF('04_MATRICE_SKILLS'!D:D,"Bordes (64)"),1),0)</f>
        <v>0.60493827160493829</v>
      </c>
      <c r="F7" s="8">
        <f>IFERROR(COUNTIFS('04_MATRICE_SKILLS'!D:D,"Istres (13)",'04_MATRICE_SKILLS'!L:L,"Conforme")/MAX(COUNTIF('04_MATRICE_SKILLS'!D:D,"Istres (13)"),1),0)</f>
        <v>0.59756097560975607</v>
      </c>
      <c r="G7" s="7">
        <f t="shared" si="0"/>
        <v>0.59433732909883286</v>
      </c>
      <c r="H7" s="7">
        <f t="shared" si="1"/>
        <v>3.0075697460611679E-2</v>
      </c>
    </row>
    <row r="8" spans="1:8" x14ac:dyDescent="0.25">
      <c r="A8" s="2" t="s">
        <v>1418</v>
      </c>
      <c r="B8" s="2">
        <f>COUNTIFS('05_GAP_ANALYSIS'!D:D,"Villaroche (77)",'05_GAP_ANALYSIS'!H:H,"🔴*")</f>
        <v>0</v>
      </c>
      <c r="C8" s="2">
        <f>COUNTIFS('05_GAP_ANALYSIS'!D:D,"Gennevilliers (92)",'05_GAP_ANALYSIS'!H:H,"🔴*")</f>
        <v>1</v>
      </c>
      <c r="D8" s="2">
        <f>COUNTIFS('05_GAP_ANALYSIS'!D:D,"Chatellerault (86)",'05_GAP_ANALYSIS'!H:H,"🔴*")</f>
        <v>0</v>
      </c>
      <c r="E8" s="2">
        <f>COUNTIFS('05_GAP_ANALYSIS'!D:D,"Bordes (64)",'05_GAP_ANALYSIS'!H:H,"🔴*")</f>
        <v>0</v>
      </c>
      <c r="F8" s="2">
        <f>COUNTIFS('05_GAP_ANALYSIS'!D:D,"Istres (13)",'05_GAP_ANALYSIS'!H:H,"🔴*")</f>
        <v>3</v>
      </c>
      <c r="G8" s="9">
        <f t="shared" si="0"/>
        <v>0.8</v>
      </c>
      <c r="H8" s="9">
        <f t="shared" si="1"/>
        <v>1.3038404810405297</v>
      </c>
    </row>
    <row r="9" spans="1:8" x14ac:dyDescent="0.25">
      <c r="A9" s="3" t="s">
        <v>1296</v>
      </c>
      <c r="B9" s="6">
        <f>SUMIF('08_BUDGET'!A:A,"Villaroche (77) - Formation",'08_BUDGET'!D:D)</f>
        <v>17264.400000000001</v>
      </c>
      <c r="C9" s="6">
        <f>SUMIF('08_BUDGET'!A:A,"Gennevilliers (92) - Formation",'08_BUDGET'!D:D)</f>
        <v>6766.2</v>
      </c>
      <c r="D9" s="6">
        <f>SUMIF('08_BUDGET'!A:A,"Chatellerault (86) - Formation",'08_BUDGET'!D:D)</f>
        <v>6950.5</v>
      </c>
      <c r="E9" s="6">
        <f>SUMIF('08_BUDGET'!A:A,"Bordes (64) - Formation",'08_BUDGET'!D:D)</f>
        <v>9051.6</v>
      </c>
      <c r="F9" s="6">
        <f>SUMIF('08_BUDGET'!A:A,"Istres (13) - Formation",'08_BUDGET'!D:D)</f>
        <v>11262.4</v>
      </c>
      <c r="G9" s="7">
        <f t="shared" si="0"/>
        <v>10259.02</v>
      </c>
      <c r="H9" s="7">
        <f t="shared" si="1"/>
        <v>4321.0554141320599</v>
      </c>
    </row>
    <row r="10" spans="1:8" x14ac:dyDescent="0.25">
      <c r="A10" s="2" t="s">
        <v>1554</v>
      </c>
      <c r="B10" s="10">
        <f>IFERROR(AVERAGEIF('03_ANNUAIRE'!D:D,"Villaroche (77)",'03_ANNUAIRE'!Q:Q),0)</f>
        <v>0.91666666666666663</v>
      </c>
      <c r="C10" s="10">
        <f>IFERROR(AVERAGEIF('03_ANNUAIRE'!D:D,"Gennevilliers (92)",'03_ANNUAIRE'!Q:Q),0)</f>
        <v>0.91666666666666663</v>
      </c>
      <c r="D10" s="10">
        <f>IFERROR(AVERAGEIF('03_ANNUAIRE'!D:D,"Chatellerault (86)",'03_ANNUAIRE'!Q:Q),0)</f>
        <v>1.0166666666666666</v>
      </c>
      <c r="E10" s="10">
        <f>IFERROR(AVERAGEIF('03_ANNUAIRE'!D:D,"Bordes (64)",'03_ANNUAIRE'!Q:Q),0)</f>
        <v>0.95000000000000007</v>
      </c>
      <c r="F10" s="10">
        <f>IFERROR(AVERAGEIF('03_ANNUAIRE'!D:D,"Istres (13)",'03_ANNUAIRE'!Q:Q),0)</f>
        <v>0.88333333333333341</v>
      </c>
      <c r="G10" s="9">
        <f t="shared" si="0"/>
        <v>0.93666666666666676</v>
      </c>
      <c r="H10" s="9">
        <f t="shared" si="1"/>
        <v>5.0552502960343637E-2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4AF37"/>
  </sheetPr>
  <dimension ref="A1:E9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4" width="18" customWidth="1"/>
    <col min="5" max="5" width="60" customWidth="1"/>
  </cols>
  <sheetData>
    <row r="1" spans="1:5" ht="36" customHeight="1" x14ac:dyDescent="0.25">
      <c r="A1" s="19" t="s">
        <v>1555</v>
      </c>
      <c r="B1" s="18"/>
      <c r="C1" s="18"/>
      <c r="D1" s="18"/>
      <c r="E1" s="18"/>
    </row>
    <row r="2" spans="1:5" x14ac:dyDescent="0.25">
      <c r="A2" s="20" t="s">
        <v>1556</v>
      </c>
      <c r="B2" s="18"/>
      <c r="C2" s="18"/>
      <c r="D2" s="18"/>
      <c r="E2" s="18"/>
    </row>
    <row r="4" spans="1:5" ht="30" customHeight="1" x14ac:dyDescent="0.25">
      <c r="A4" s="1" t="s">
        <v>1423</v>
      </c>
      <c r="B4" s="1" t="s">
        <v>1378</v>
      </c>
      <c r="C4" s="1" t="s">
        <v>58</v>
      </c>
      <c r="D4" s="1" t="s">
        <v>1557</v>
      </c>
      <c r="E4" s="1" t="s">
        <v>1558</v>
      </c>
    </row>
    <row r="5" spans="1:5" ht="25.5" x14ac:dyDescent="0.25">
      <c r="A5" s="3">
        <v>1</v>
      </c>
      <c r="B5" s="3" t="s">
        <v>1559</v>
      </c>
      <c r="C5" s="3" t="s">
        <v>103</v>
      </c>
      <c r="D5" s="3" t="s">
        <v>1560</v>
      </c>
      <c r="E5" s="3" t="str">
        <f>"Couverture critique detectee sur "&amp;INDEX('14_MATRICE_RISQUES'!B:B,MATCH("🔴 Critique",'14_MATRICE_RISQUES'!M:M,0))</f>
        <v>Couverture critique detectee sur Soudure faisceau electrons</v>
      </c>
    </row>
    <row r="6" spans="1:5" x14ac:dyDescent="0.25">
      <c r="A6" s="2">
        <v>2</v>
      </c>
      <c r="B6" s="2" t="s">
        <v>1561</v>
      </c>
      <c r="C6" s="2" t="s">
        <v>103</v>
      </c>
      <c r="D6" s="2" t="s">
        <v>1562</v>
      </c>
      <c r="E6" s="2" t="str">
        <f>"Gap critique non traite pour "&amp;INDEX('05_GAP_ANALYSIS'!C:C,MATCH("🔴 Critique",'05_GAP_ANALYSIS'!H:H,0))</f>
        <v>Gap critique non traite pour PERRIN Damien</v>
      </c>
    </row>
    <row r="7" spans="1:5" x14ac:dyDescent="0.25">
      <c r="A7" s="3">
        <v>3</v>
      </c>
      <c r="B7" s="3" t="s">
        <v>1563</v>
      </c>
      <c r="C7" s="3" t="s">
        <v>1301</v>
      </c>
      <c r="D7" s="3" t="s">
        <v>1396</v>
      </c>
      <c r="E7" s="3" t="str">
        <f>"Plan de succession a revoir sur "&amp;INDEX('06_SUCCESSION'!B:B,MATCH("Critique",'06_SUCCESSION'!E:E,0))</f>
        <v>Plan de succession a revoir sur Responsable qualite PART 21</v>
      </c>
    </row>
    <row r="8" spans="1:5" x14ac:dyDescent="0.25">
      <c r="A8" s="2">
        <v>4</v>
      </c>
      <c r="B8" s="2" t="s">
        <v>1564</v>
      </c>
      <c r="C8" s="2" t="s">
        <v>1448</v>
      </c>
      <c r="D8" s="2" t="s">
        <v>1392</v>
      </c>
      <c r="E8" s="2" t="str">
        <f>"Depassement potentiel budget formation : "&amp;TEXT(SUM('08_BUDGET'!D:D),"# ##0 €")</f>
        <v>Depassement potentiel budget formation : 51 295 €</v>
      </c>
    </row>
    <row r="9" spans="1:5" ht="25.5" x14ac:dyDescent="0.25">
      <c r="A9" s="3">
        <v>5</v>
      </c>
      <c r="B9" s="3" t="s">
        <v>1565</v>
      </c>
      <c r="C9" s="3" t="s">
        <v>1301</v>
      </c>
      <c r="D9" s="3" t="s">
        <v>1566</v>
      </c>
      <c r="E9" s="3" t="str">
        <f ca="1">"Score qualite donnees actuel : "&amp;'11_CONTROLES'!E3</f>
        <v>Score qualite donnees actuel : 74/100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Claude Log</vt:lpstr>
      <vt:lpstr>01_PARAMETRES</vt:lpstr>
      <vt:lpstr>02_REF_COMPETENCES</vt:lpstr>
      <vt:lpstr>03_ANNUAIRE</vt:lpstr>
      <vt:lpstr>04_MATRICE_SKILLS</vt:lpstr>
      <vt:lpstr>05_GAP_ANALYSIS</vt:lpstr>
      <vt:lpstr>06_SUCCESSION</vt:lpstr>
      <vt:lpstr>07_PLAN_FORMATION</vt:lpstr>
      <vt:lpstr>08_BUDGET</vt:lpstr>
      <vt:lpstr>09_HISTORIQUE</vt:lpstr>
      <vt:lpstr>10_DASHBOARD_KPI</vt:lpstr>
      <vt:lpstr>11_CONTROLES</vt:lpstr>
      <vt:lpstr>12_NOTES_REGLEMENTAIRES</vt:lpstr>
      <vt:lpstr>13_EXPORT_RAPPORT</vt:lpstr>
      <vt:lpstr>14_MATRICE_RISQUES</vt:lpstr>
      <vt:lpstr>15_SIMULATION_DEPARTS</vt:lpstr>
      <vt:lpstr>16_CALENDRIER_CONSOLIDE</vt:lpstr>
      <vt:lpstr>17_BENCHMARK_SITES</vt:lpstr>
      <vt:lpstr>18_GENERATEUR_NOTIF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NEURAL - SkillsMapAero - Cartographie des competences aeronautiques</dc:title>
  <dc:subject>Cartographie dynamique des competences, gaps et succession</dc:subject>
  <dc:creator>NEURAL - Intelligence augmentee pour l'entreprise</dc:creator>
  <cp:keywords>NEURAL, SkillsMapAero, aeronautique, competences, RH, succession, formation</cp:keywords>
  <dc:description>Classeur genere par script Python openpyxl pour le suivi des competences aeronautiques.</dc:description>
  <cp:lastModifiedBy>Ludovic Labeaut</cp:lastModifiedBy>
  <dcterms:created xsi:type="dcterms:W3CDTF">2026-04-02T16:31:31Z</dcterms:created>
  <dcterms:modified xsi:type="dcterms:W3CDTF">2026-04-03T13:54:22Z</dcterms:modified>
  <cp:category>Aeronautique - RH</cp:category>
</cp:coreProperties>
</file>