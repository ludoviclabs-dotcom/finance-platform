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5" activeTab="5" autoFilterDateGrouping="1"/>
  </bookViews>
  <sheets>
    <sheet name="Claude Log" sheetId="1" state="visible" r:id="rId1"/>
    <sheet name="Couverture" sheetId="2" state="visible" r:id="rId2"/>
    <sheet name="Sommaire" sheetId="3" state="visible" r:id="rId3"/>
    <sheet name="Liaison_Donnees" sheetId="4" state="visible" r:id="rId4"/>
    <sheet name="Finance_Climat" sheetId="5" state="visible" r:id="rId5"/>
    <sheet name="DPP_Produits" sheetId="6" state="visible" r:id="rId6"/>
    <sheet name="Benchmark" sheetId="7" state="visible" r:id="rId7"/>
    <sheet name="SFDR_Report" sheetId="8" state="visible" r:id="rId8"/>
    <sheet name="_Ref_Secteurs" sheetId="9" state="visible" r:id="rId9"/>
    <sheet name="Controles_QC" sheetId="10" state="visible" r:id="rId1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6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b val="1"/>
      <color rgb="FFFFFFFF"/>
      <sz val="26"/>
    </font>
    <font>
      <name val="Aptos Black"/>
      <family val="2"/>
      <i val="1"/>
      <color rgb="FFFFFFFF"/>
      <sz val="12"/>
    </font>
    <font>
      <name val="Calibri"/>
      <family val="2"/>
      <color rgb="FF1B5E20"/>
      <sz val="11"/>
      <scheme val="minor"/>
    </font>
    <font>
      <name val="Calibri"/>
      <family val="2"/>
      <b val="1"/>
      <color rgb="FF1B5E20"/>
      <sz val="11"/>
      <scheme val="minor"/>
    </font>
    <font>
      <name val="Calibri"/>
      <family val="2"/>
      <color rgb="FF616161"/>
      <sz val="10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C62828"/>
      <sz val="11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4"/>
      <scheme val="minor"/>
    </font>
    <font>
      <name val="Calibri"/>
      <family val="2"/>
      <i val="1"/>
      <color rgb="FF616161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color rgb="FF757575"/>
      <sz val="11"/>
      <scheme val="minor"/>
    </font>
    <font>
      <name val="Calibri"/>
      <family val="2"/>
      <b val="1"/>
      <color rgb="FF757575"/>
      <sz val="11"/>
      <scheme val="minor"/>
    </font>
    <font>
      <name val="Calibri"/>
      <family val="2"/>
      <i val="1"/>
      <color rgb="FF9E9E9E"/>
      <sz val="9"/>
      <scheme val="minor"/>
    </font>
    <font>
      <name val="Calibri"/>
      <family val="2"/>
      <b val="1"/>
      <i val="1"/>
      <color rgb="FF9E9E9E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i val="1"/>
      <color rgb="FFE65100"/>
      <sz val="11"/>
      <scheme val="minor"/>
    </font>
    <font>
      <name val="Calibri"/>
      <family val="2"/>
      <i val="1"/>
      <color rgb="FFE65100"/>
      <sz val="10"/>
      <scheme val="minor"/>
    </font>
    <font>
      <name val="Calibri"/>
      <family val="2"/>
      <b val="1"/>
      <color rgb="FFE65100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1B5E20"/>
      <sz val="16"/>
      <scheme val="minor"/>
    </font>
    <font>
      <name val="Calibri"/>
      <family val="2"/>
      <b val="1"/>
      <color rgb="FFC62828"/>
      <sz val="16"/>
      <scheme val="minor"/>
    </font>
    <font>
      <name val="Calibri"/>
      <family val="2"/>
      <b val="1"/>
      <color rgb="FFE65100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1B5E20"/>
      <sz val="14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i val="1"/>
      <color rgb="FF555555"/>
      <sz val="9"/>
      <scheme val="minor"/>
    </font>
    <font>
      <name val="Calibri"/>
      <family val="2"/>
      <b val="1"/>
      <color rgb="FF1565C0"/>
      <sz val="11"/>
      <u val="single"/>
      <scheme val="minor"/>
    </font>
    <font>
      <name val="Calibri"/>
      <family val="2"/>
      <i val="1"/>
      <color rgb="FF333333"/>
      <sz val="11"/>
      <scheme val="minor"/>
    </font>
    <font>
      <name val="Calibri"/>
      <family val="2"/>
      <color rgb="FF1A1A1A"/>
      <sz val="11"/>
      <scheme val="minor"/>
    </font>
    <font>
      <name val="Calibri"/>
      <family val="2"/>
      <b val="1"/>
      <color rgb="FF616161"/>
      <sz val="10"/>
      <scheme val="minor"/>
    </font>
    <font>
      <name val="Calibri"/>
      <family val="2"/>
      <b val="1"/>
      <color rgb="FF1B5E20"/>
      <sz val="12"/>
      <scheme val="minor"/>
    </font>
  </fonts>
  <fills count="4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FFF00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/>
      <bottom style="medium">
        <color rgb="FF1B5E20"/>
      </bottom>
      <diagonal/>
    </border>
    <border>
      <left/>
      <right/>
      <top style="medium">
        <color auto="1"/>
      </top>
      <bottom style="medium">
        <color rgb="FF1B5E2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1B5E2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medium">
        <color rgb="FF1B5E20"/>
      </bottom>
      <diagonal/>
    </border>
    <border>
      <left style="medium">
        <color indexed="64"/>
      </left>
      <right/>
      <top style="dotted">
        <color indexed="64"/>
      </top>
      <bottom style="medium">
        <color rgb="FF1B5E20"/>
      </bottom>
      <diagonal/>
    </border>
    <border>
      <left/>
      <right/>
      <top style="dotted">
        <color indexed="64"/>
      </top>
      <bottom style="medium">
        <color rgb="FF1B5E20"/>
      </bottom>
      <diagonal/>
    </border>
    <border>
      <left/>
      <right style="medium">
        <color indexed="64"/>
      </right>
      <top style="dotted">
        <color indexed="64"/>
      </top>
      <bottom style="medium">
        <color rgb="FF1B5E2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rgb="FF1B5E20"/>
      </bottom>
      <diagonal/>
    </border>
    <border>
      <left/>
      <right style="dotted">
        <color indexed="64"/>
      </right>
      <top/>
      <bottom style="medium">
        <color rgb="FF1B5E20"/>
      </bottom>
      <diagonal/>
    </border>
    <border>
      <left/>
      <right style="dotted">
        <color indexed="64"/>
      </right>
      <top style="dotted">
        <color indexed="64"/>
      </top>
      <bottom style="medium">
        <color rgb="FF1B5E20"/>
      </bottom>
      <diagonal/>
    </border>
    <border>
      <left style="dotted">
        <color indexed="64"/>
      </left>
      <right/>
      <top style="dotted">
        <color indexed="64"/>
      </top>
      <bottom style="medium">
        <color rgb="FF1B5E20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rgb="FF1B5E20"/>
      </bottom>
      <diagonal/>
    </border>
    <border>
      <left/>
      <right/>
      <top/>
      <bottom style="thin">
        <color rgb="FFE0E0E0"/>
      </bottom>
      <diagonal/>
    </border>
    <border>
      <left/>
      <right style="medium">
        <color rgb="FF1B5E20"/>
      </right>
      <top/>
      <bottom/>
      <diagonal/>
    </border>
    <border>
      <left/>
      <right style="medium">
        <color rgb="FF1B5E20"/>
      </right>
      <top style="medium">
        <color rgb="FF1B5E20"/>
      </top>
      <bottom/>
      <diagonal/>
    </border>
    <border>
      <left style="medium">
        <color indexed="64"/>
      </left>
      <right/>
      <top/>
      <bottom style="medium">
        <color rgb="FF1B5E20"/>
      </bottom>
      <diagonal/>
    </border>
    <border>
      <left/>
      <right style="medium">
        <color indexed="64"/>
      </right>
      <top/>
      <bottom style="medium">
        <color rgb="FF1B5E20"/>
      </bottom>
      <diagonal/>
    </border>
    <border>
      <left style="medium">
        <color rgb="FF1B5E20"/>
      </left>
      <right/>
      <top style="medium">
        <color rgb="FF1B5E20"/>
      </top>
      <bottom/>
      <diagonal/>
    </border>
    <border>
      <left style="medium">
        <color rgb="FF1B5E20"/>
      </left>
      <right/>
      <top/>
      <bottom/>
      <diagonal/>
    </border>
    <border>
      <left style="medium">
        <color rgb="FF1B5E20"/>
      </left>
      <right/>
      <top/>
      <bottom style="medium">
        <color rgb="FF1B5E20"/>
      </bottom>
      <diagonal/>
    </border>
    <border>
      <left/>
      <right style="medium">
        <color rgb="FF1B5E20"/>
      </right>
      <top/>
      <bottom style="medium">
        <color rgb="FF1B5E20"/>
      </bottom>
      <diagonal/>
    </border>
    <border>
      <left style="medium">
        <color indexed="64"/>
      </left>
      <right style="medium">
        <color indexed="64"/>
      </right>
      <top/>
      <bottom style="medium">
        <color rgb="FF1B5E20"/>
      </bottom>
      <diagonal/>
    </border>
    <border>
      <left style="medium">
        <color indexed="64"/>
      </left>
      <right/>
      <top style="medium">
        <color indexed="64"/>
      </top>
      <bottom style="medium">
        <color rgb="FF1B5E20"/>
      </bottom>
      <diagonal/>
    </border>
    <border>
      <left/>
      <right style="medium">
        <color indexed="64"/>
      </right>
      <top style="medium">
        <color indexed="64"/>
      </top>
      <bottom style="medium">
        <color rgb="FF1B5E20"/>
      </bottom>
      <diagonal/>
    </border>
    <border>
      <left style="medium">
        <color indexed="64"/>
      </left>
      <right style="medium">
        <color rgb="FF1B5E20"/>
      </right>
      <top/>
      <bottom style="medium">
        <color rgb="FF1B5E20"/>
      </bottom>
      <diagonal/>
    </border>
    <border>
      <left style="medium">
        <color rgb="FF1B5E20"/>
      </left>
      <right/>
      <top style="medium">
        <color rgb="FF1B5E20"/>
      </top>
      <bottom style="medium">
        <color indexed="64"/>
      </bottom>
      <diagonal/>
    </border>
    <border>
      <left style="medium">
        <color rgb="FF1B5E20"/>
      </left>
      <right/>
      <top/>
      <bottom style="thin">
        <color rgb="FF90A4AE"/>
      </bottom>
      <diagonal/>
    </border>
    <border>
      <left/>
      <right/>
      <top/>
      <bottom style="thin">
        <color rgb="FF90A4AE"/>
      </bottom>
      <diagonal/>
    </border>
    <border>
      <left/>
      <right style="medium">
        <color rgb="FF1B5E20"/>
      </right>
      <top/>
      <bottom style="thin">
        <color rgb="FF90A4AE"/>
      </bottom>
      <diagonal/>
    </border>
    <border>
      <left style="medium">
        <color indexed="64"/>
      </left>
      <right/>
      <top style="medium">
        <color indexed="64"/>
      </top>
      <bottom style="thin">
        <color rgb="FF90A4AE"/>
      </bottom>
      <diagonal/>
    </border>
    <border>
      <left/>
      <right/>
      <top style="medium">
        <color indexed="64"/>
      </top>
      <bottom style="thin">
        <color rgb="FF90A4AE"/>
      </bottom>
      <diagonal/>
    </border>
    <border>
      <left/>
      <right style="medium">
        <color rgb="FF1B5E20"/>
      </right>
      <top style="medium">
        <color indexed="64"/>
      </top>
      <bottom style="thin">
        <color rgb="FF90A4A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indexed="64"/>
      </bottom>
      <diagonal/>
    </border>
    <border>
      <left/>
      <right/>
      <top style="medium">
        <color rgb="FF1B5E20"/>
      </top>
      <bottom style="medium">
        <color indexed="64"/>
      </bottom>
      <diagonal/>
    </border>
    <border>
      <left/>
      <right style="medium">
        <color rgb="FF1B5E20"/>
      </right>
      <top style="medium">
        <color rgb="FF1B5E20"/>
      </top>
      <bottom style="medium">
        <color indexed="64"/>
      </bottom>
      <diagonal/>
    </border>
    <border>
      <left/>
      <right style="medium">
        <color rgb="FF1B5E20"/>
      </right>
      <top style="medium">
        <color indexed="64"/>
      </top>
      <bottom/>
      <diagonal/>
    </border>
    <border>
      <left style="medium">
        <color indexed="64"/>
      </left>
      <right style="medium">
        <color rgb="FF1B5E20"/>
      </right>
      <top style="medium">
        <color indexed="64"/>
      </top>
      <bottom style="thin">
        <color rgb="FF90A4AE"/>
      </bottom>
      <diagonal/>
    </border>
    <border>
      <left style="medium">
        <color rgb="FF1B5E20"/>
      </left>
      <right style="medium">
        <color indexed="64"/>
      </right>
      <top/>
      <bottom style="medium">
        <color rgb="FF1B5E20"/>
      </bottom>
      <diagonal/>
    </border>
    <border>
      <left style="medium">
        <color rgb="FF1B5E2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477"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19" fillId="33" borderId="0" pivotButton="0" quotePrefix="0" xfId="0"/>
    <xf numFmtId="0" fontId="22" fillId="34" borderId="0" applyAlignment="1" pivotButton="0" quotePrefix="0" xfId="0">
      <alignment horizontal="center" vertical="center"/>
    </xf>
    <xf numFmtId="0" fontId="25" fillId="36" borderId="0" applyAlignment="1" pivotButton="0" quotePrefix="0" xfId="0">
      <alignment horizontal="center"/>
    </xf>
    <xf numFmtId="0" fontId="26" fillId="37" borderId="0" applyAlignment="1" pivotButton="0" quotePrefix="0" xfId="0">
      <alignment horizontal="center"/>
    </xf>
    <xf numFmtId="0" fontId="25" fillId="37" borderId="13" pivotButton="0" quotePrefix="0" xfId="0"/>
    <xf numFmtId="0" fontId="25" fillId="37" borderId="19" pivotButton="0" quotePrefix="0" xfId="0"/>
    <xf numFmtId="0" fontId="25" fillId="37" borderId="18" pivotButton="0" quotePrefix="0" xfId="0"/>
    <xf numFmtId="0" fontId="25" fillId="37" borderId="23" pivotButton="0" quotePrefix="0" xfId="0"/>
    <xf numFmtId="0" fontId="27" fillId="38" borderId="20" applyAlignment="1" pivotButton="0" quotePrefix="0" xfId="0">
      <alignment horizontal="center"/>
    </xf>
    <xf numFmtId="0" fontId="27" fillId="38" borderId="21" applyAlignment="1" pivotButton="0" quotePrefix="0" xfId="0">
      <alignment horizontal="center"/>
    </xf>
    <xf numFmtId="0" fontId="27" fillId="38" borderId="15" applyAlignment="1" pivotButton="0" quotePrefix="0" xfId="0">
      <alignment horizontal="center"/>
    </xf>
    <xf numFmtId="14" fontId="27" fillId="38" borderId="22" applyAlignment="1" pivotButton="0" quotePrefix="0" xfId="0">
      <alignment horizontal="center"/>
    </xf>
    <xf numFmtId="0" fontId="24" fillId="36" borderId="25" applyAlignment="1" pivotButton="0" quotePrefix="0" xfId="0">
      <alignment horizontal="left"/>
    </xf>
    <xf numFmtId="0" fontId="24" fillId="36" borderId="26" applyAlignment="1" pivotButton="0" quotePrefix="0" xfId="0">
      <alignment horizontal="left"/>
    </xf>
    <xf numFmtId="0" fontId="24" fillId="36" borderId="20" applyAlignment="1" pivotButton="0" quotePrefix="0" xfId="0">
      <alignment horizontal="left"/>
    </xf>
    <xf numFmtId="0" fontId="24" fillId="36" borderId="27" applyAlignment="1" pivotButton="0" quotePrefix="0" xfId="0">
      <alignment horizontal="left"/>
    </xf>
    <xf numFmtId="0" fontId="24" fillId="36" borderId="28" applyAlignment="1" pivotButton="0" quotePrefix="0" xfId="0">
      <alignment horizontal="left"/>
    </xf>
    <xf numFmtId="0" fontId="24" fillId="36" borderId="29" applyAlignment="1" pivotButton="0" quotePrefix="0" xfId="0">
      <alignment horizontal="left"/>
    </xf>
    <xf numFmtId="0" fontId="24" fillId="36" borderId="16" applyAlignment="1" pivotButton="0" quotePrefix="0" xfId="0">
      <alignment horizontal="left"/>
    </xf>
    <xf numFmtId="0" fontId="24" fillId="36" borderId="24" applyAlignment="1" pivotButton="0" quotePrefix="0" xfId="0">
      <alignment horizontal="left"/>
    </xf>
    <xf numFmtId="0" fontId="24" fillId="36" borderId="17" applyAlignment="1" pivotButton="0" quotePrefix="0" xfId="0">
      <alignment horizontal="left"/>
    </xf>
    <xf numFmtId="0" fontId="28" fillId="39" borderId="0" applyAlignment="1" pivotButton="0" quotePrefix="0" xfId="0">
      <alignment horizontal="center"/>
    </xf>
    <xf numFmtId="0" fontId="0" fillId="38" borderId="0" pivotButton="0" quotePrefix="0" xfId="0"/>
    <xf numFmtId="0" fontId="0" fillId="38" borderId="0" applyAlignment="1" pivotButton="0" quotePrefix="0" xfId="0">
      <alignment horizontal="center"/>
    </xf>
    <xf numFmtId="0" fontId="19" fillId="35" borderId="36" applyAlignment="1" pivotButton="0" quotePrefix="0" xfId="0">
      <alignment horizontal="center"/>
    </xf>
    <xf numFmtId="0" fontId="30" fillId="37" borderId="38" applyAlignment="1" pivotButton="0" quotePrefix="0" xfId="0">
      <alignment horizontal="center"/>
    </xf>
    <xf numFmtId="0" fontId="0" fillId="37" borderId="38" pivotButton="0" quotePrefix="0" xfId="0"/>
    <xf numFmtId="0" fontId="0" fillId="37" borderId="38" applyAlignment="1" pivotButton="0" quotePrefix="0" xfId="0">
      <alignment horizontal="center"/>
    </xf>
    <xf numFmtId="0" fontId="30" fillId="38" borderId="38" applyAlignment="1" pivotButton="0" quotePrefix="0" xfId="0">
      <alignment horizontal="center"/>
    </xf>
    <xf numFmtId="0" fontId="0" fillId="38" borderId="38" pivotButton="0" quotePrefix="0" xfId="0"/>
    <xf numFmtId="0" fontId="0" fillId="38" borderId="38" applyAlignment="1" pivotButton="0" quotePrefix="0" xfId="0">
      <alignment horizontal="center"/>
    </xf>
    <xf numFmtId="0" fontId="30" fillId="37" borderId="39" applyAlignment="1" pivotButton="0" quotePrefix="0" xfId="0">
      <alignment horizontal="center"/>
    </xf>
    <xf numFmtId="0" fontId="0" fillId="37" borderId="39" pivotButton="0" quotePrefix="0" xfId="0"/>
    <xf numFmtId="0" fontId="0" fillId="37" borderId="39" applyAlignment="1" pivotButton="0" quotePrefix="0" xfId="0">
      <alignment horizontal="center"/>
    </xf>
    <xf numFmtId="0" fontId="29" fillId="34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/>
    </xf>
    <xf numFmtId="0" fontId="19" fillId="35" borderId="10" applyAlignment="1" pivotButton="0" quotePrefix="0" xfId="0">
      <alignment horizontal="center"/>
    </xf>
    <xf numFmtId="0" fontId="19" fillId="35" borderId="11" applyAlignment="1" pivotButton="0" quotePrefix="0" xfId="0">
      <alignment horizontal="center"/>
    </xf>
    <xf numFmtId="0" fontId="19" fillId="35" borderId="12" applyAlignment="1" pivotButton="0" quotePrefix="0" xfId="0">
      <alignment horizontal="center"/>
    </xf>
    <xf numFmtId="0" fontId="25" fillId="40" borderId="25" pivotButton="0" quotePrefix="0" xfId="0"/>
    <xf numFmtId="0" fontId="25" fillId="40" borderId="26" pivotButton="0" quotePrefix="0" xfId="0"/>
    <xf numFmtId="0" fontId="25" fillId="40" borderId="20" pivotButton="0" quotePrefix="0" xfId="0"/>
    <xf numFmtId="0" fontId="25" fillId="40" borderId="19" pivotButton="0" quotePrefix="0" xfId="0"/>
    <xf numFmtId="0" fontId="27" fillId="41" borderId="0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27" fillId="41" borderId="30" applyAlignment="1" pivotButton="0" quotePrefix="0" xfId="0">
      <alignment horizontal="center"/>
    </xf>
    <xf numFmtId="0" fontId="27" fillId="41" borderId="0" applyAlignment="1" pivotButton="0" quotePrefix="0" xfId="0">
      <alignment horizontal="center"/>
    </xf>
    <xf numFmtId="0" fontId="27" fillId="41" borderId="32" applyAlignment="1" pivotButton="0" quotePrefix="0" xfId="0">
      <alignment horizontal="center"/>
    </xf>
    <xf numFmtId="0" fontId="25" fillId="40" borderId="30" applyAlignment="1" pivotButton="0" quotePrefix="0" xfId="0">
      <alignment horizontal="center"/>
    </xf>
    <xf numFmtId="0" fontId="33" fillId="37" borderId="0" applyAlignment="1" pivotButton="0" quotePrefix="0" xfId="0">
      <alignment horizontal="center"/>
    </xf>
    <xf numFmtId="0" fontId="33" fillId="37" borderId="30" applyAlignment="1" pivotButton="0" quotePrefix="0" xfId="0">
      <alignment horizontal="center"/>
    </xf>
    <xf numFmtId="0" fontId="34" fillId="0" borderId="3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34" fillId="0" borderId="32" applyAlignment="1" pivotButton="0" quotePrefix="0" xfId="0">
      <alignment horizontal="center"/>
    </xf>
    <xf numFmtId="0" fontId="35" fillId="40" borderId="30" applyAlignment="1" pivotButton="0" quotePrefix="0" xfId="0">
      <alignment horizontal="center"/>
    </xf>
    <xf numFmtId="0" fontId="36" fillId="0" borderId="15" pivotButton="0" quotePrefix="0" xfId="0"/>
    <xf numFmtId="0" fontId="36" fillId="0" borderId="31" pivotButton="0" quotePrefix="0" xfId="0"/>
    <xf numFmtId="0" fontId="36" fillId="0" borderId="29" pivotButton="0" quotePrefix="0" xfId="0"/>
    <xf numFmtId="0" fontId="37" fillId="40" borderId="21" pivotButton="0" quotePrefix="0" xfId="0"/>
    <xf numFmtId="0" fontId="36" fillId="0" borderId="21" pivotButton="0" quotePrefix="0" xfId="0"/>
    <xf numFmtId="0" fontId="0" fillId="0" borderId="40" pivotButton="0" quotePrefix="0" xfId="0"/>
    <xf numFmtId="0" fontId="27" fillId="41" borderId="41" applyAlignment="1" pivotButton="0" quotePrefix="0" xfId="0">
      <alignment horizontal="center"/>
    </xf>
    <xf numFmtId="0" fontId="34" fillId="0" borderId="41" applyAlignment="1" pivotButton="0" quotePrefix="0" xfId="0">
      <alignment horizontal="center"/>
    </xf>
    <xf numFmtId="0" fontId="36" fillId="0" borderId="42" pivotButton="0" quotePrefix="0" xfId="0"/>
    <xf numFmtId="0" fontId="29" fillId="34" borderId="0" applyAlignment="1" pivotButton="0" quotePrefix="0" xfId="0">
      <alignment horizontal="center"/>
    </xf>
    <xf numFmtId="0" fontId="38" fillId="35" borderId="0" pivotButton="0" quotePrefix="0" xfId="0"/>
    <xf numFmtId="0" fontId="19" fillId="42" borderId="0" applyAlignment="1" pivotButton="0" quotePrefix="0" xfId="0">
      <alignment horizontal="center"/>
    </xf>
    <xf numFmtId="0" fontId="0" fillId="43" borderId="0" pivotButton="0" quotePrefix="0" xfId="0"/>
    <xf numFmtId="0" fontId="27" fillId="44" borderId="0" pivotButton="0" quotePrefix="0" xfId="0"/>
    <xf numFmtId="0" fontId="0" fillId="43" borderId="0" applyAlignment="1" pivotButton="0" quotePrefix="0" xfId="0">
      <alignment horizontal="center"/>
    </xf>
    <xf numFmtId="0" fontId="0" fillId="38" borderId="0" applyAlignment="1" pivotButton="0" quotePrefix="0" xfId="0">
      <alignment horizontal="center"/>
    </xf>
    <xf numFmtId="14" fontId="0" fillId="0" borderId="0" pivotButton="0" quotePrefix="0" xfId="0"/>
    <xf numFmtId="0" fontId="19" fillId="42" borderId="0" applyAlignment="1" pivotButton="0" quotePrefix="0" xfId="0">
      <alignment horizontal="center"/>
    </xf>
    <xf numFmtId="0" fontId="0" fillId="43" borderId="0" applyAlignment="1" pivotButton="0" quotePrefix="0" xfId="0">
      <alignment horizontal="center" vertical="center"/>
    </xf>
    <xf numFmtId="0" fontId="16" fillId="4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6" borderId="13" applyAlignment="1" pivotButton="0" quotePrefix="0" xfId="0">
      <alignment horizontal="center" vertical="center"/>
    </xf>
    <xf numFmtId="0" fontId="0" fillId="36" borderId="43" applyAlignment="1" pivotButton="0" quotePrefix="0" xfId="0">
      <alignment horizontal="center" vertical="center"/>
    </xf>
    <xf numFmtId="0" fontId="0" fillId="36" borderId="18" applyAlignment="1" pivotButton="0" quotePrefix="0" xfId="0">
      <alignment horizontal="center" vertical="center"/>
    </xf>
    <xf numFmtId="0" fontId="0" fillId="36" borderId="31" applyAlignment="1" pivotButton="0" quotePrefix="0" xfId="0">
      <alignment horizontal="center" vertical="center"/>
    </xf>
    <xf numFmtId="0" fontId="0" fillId="37" borderId="23" applyAlignment="1" pivotButton="0" quotePrefix="0" xfId="0">
      <alignment horizontal="center" vertical="center"/>
    </xf>
    <xf numFmtId="0" fontId="0" fillId="37" borderId="22" applyAlignment="1" pivotButton="0" quotePrefix="0" xfId="0">
      <alignment horizontal="center" vertical="center"/>
    </xf>
    <xf numFmtId="0" fontId="19" fillId="35" borderId="13" applyAlignment="1" pivotButton="0" quotePrefix="0" xfId="0">
      <alignment horizontal="center" vertical="center" wrapText="1"/>
    </xf>
    <xf numFmtId="0" fontId="19" fillId="35" borderId="36" applyAlignment="1" pivotButton="0" quotePrefix="0" xfId="0">
      <alignment horizontal="center" vertical="center" wrapText="1"/>
    </xf>
    <xf numFmtId="0" fontId="0" fillId="38" borderId="0" applyAlignment="1" pivotButton="0" quotePrefix="0" xfId="0">
      <alignment horizontal="center"/>
    </xf>
    <xf numFmtId="0" fontId="0" fillId="38" borderId="0" pivotButton="0" quotePrefix="0" xfId="0"/>
    <xf numFmtId="0" fontId="0" fillId="43" borderId="0" applyAlignment="1" pivotButton="0" quotePrefix="0" xfId="0">
      <alignment horizontal="center"/>
    </xf>
    <xf numFmtId="0" fontId="0" fillId="43" borderId="0" pivotButton="0" quotePrefix="0" xfId="0"/>
    <xf numFmtId="0" fontId="0" fillId="43" borderId="54" applyAlignment="1" pivotButton="0" quotePrefix="0" xfId="0">
      <alignment horizontal="center"/>
    </xf>
    <xf numFmtId="0" fontId="0" fillId="38" borderId="54" applyAlignment="1" pivotButton="0" quotePrefix="0" xfId="0">
      <alignment horizontal="center"/>
    </xf>
    <xf numFmtId="0" fontId="0" fillId="43" borderId="56" applyAlignment="1" pivotButton="0" quotePrefix="0" xfId="0">
      <alignment horizontal="center"/>
    </xf>
    <xf numFmtId="0" fontId="0" fillId="38" borderId="51" applyAlignment="1" pivotButton="0" quotePrefix="0" xfId="0">
      <alignment horizontal="center" vertical="center"/>
    </xf>
    <xf numFmtId="0" fontId="0" fillId="38" borderId="28" applyAlignment="1" pivotButton="0" quotePrefix="0" xfId="0">
      <alignment horizontal="center" vertical="center"/>
    </xf>
    <xf numFmtId="0" fontId="0" fillId="43" borderId="49" applyAlignment="1" pivotButton="0" quotePrefix="0" xfId="0">
      <alignment horizontal="center" vertical="center"/>
    </xf>
    <xf numFmtId="0" fontId="0" fillId="43" borderId="53" applyAlignment="1" pivotButton="0" quotePrefix="0" xfId="0">
      <alignment horizontal="center" vertical="center"/>
    </xf>
    <xf numFmtId="0" fontId="0" fillId="43" borderId="54" applyAlignment="1" pivotButton="0" quotePrefix="0" xfId="0">
      <alignment horizontal="center" vertical="center"/>
    </xf>
    <xf numFmtId="0" fontId="0" fillId="43" borderId="3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0" fillId="38" borderId="54" applyAlignment="1" pivotButton="0" quotePrefix="0" xfId="0">
      <alignment horizontal="center" vertical="center"/>
    </xf>
    <xf numFmtId="0" fontId="0" fillId="38" borderId="30" applyAlignment="1" pivotButton="0" quotePrefix="0" xfId="0">
      <alignment horizontal="center" vertical="center"/>
    </xf>
    <xf numFmtId="0" fontId="0" fillId="38" borderId="49" applyAlignment="1" pivotButton="0" quotePrefix="0" xfId="0">
      <alignment horizontal="center" vertical="center"/>
    </xf>
    <xf numFmtId="0" fontId="0" fillId="43" borderId="0" applyAlignment="1" pivotButton="0" quotePrefix="0" xfId="0">
      <alignment horizontal="center" vertical="center"/>
    </xf>
    <xf numFmtId="0" fontId="0" fillId="43" borderId="56" applyAlignment="1" pivotButton="0" quotePrefix="0" xfId="0">
      <alignment horizontal="center" vertical="center"/>
    </xf>
    <xf numFmtId="0" fontId="0" fillId="38" borderId="55" applyAlignment="1" pivotButton="0" quotePrefix="0" xfId="0">
      <alignment horizontal="center" vertical="center"/>
    </xf>
    <xf numFmtId="0" fontId="0" fillId="38" borderId="50" applyAlignment="1" pivotButton="0" quotePrefix="0" xfId="0">
      <alignment horizontal="center" vertical="center"/>
    </xf>
    <xf numFmtId="0" fontId="0" fillId="38" borderId="32" applyAlignment="1" pivotButton="0" quotePrefix="0" xfId="0">
      <alignment horizontal="center" vertical="center"/>
    </xf>
    <xf numFmtId="0" fontId="0" fillId="38" borderId="48" applyAlignment="1" pivotButton="0" quotePrefix="0" xfId="0">
      <alignment horizontal="center" vertical="center"/>
    </xf>
    <xf numFmtId="0" fontId="0" fillId="43" borderId="58" applyAlignment="1" pivotButton="0" quotePrefix="0" xfId="0">
      <alignment horizontal="center" vertical="center"/>
    </xf>
    <xf numFmtId="0" fontId="0" fillId="38" borderId="58" applyAlignment="1" pivotButton="0" quotePrefix="0" xfId="0">
      <alignment horizontal="center" vertical="center"/>
    </xf>
    <xf numFmtId="0" fontId="0" fillId="38" borderId="59" pivotButton="0" quotePrefix="0" xfId="0"/>
    <xf numFmtId="0" fontId="0" fillId="43" borderId="60" pivotButton="0" quotePrefix="0" xfId="0"/>
    <xf numFmtId="0" fontId="0" fillId="38" borderId="61" pivotButton="0" quotePrefix="0" xfId="0"/>
    <xf numFmtId="0" fontId="0" fillId="38" borderId="60" pivotButton="0" quotePrefix="0" xfId="0"/>
    <xf numFmtId="0" fontId="27" fillId="41" borderId="0" applyAlignment="1" pivotButton="0" quotePrefix="0" xfId="0">
      <alignment horizontal="center" vertical="center"/>
    </xf>
    <xf numFmtId="0" fontId="19" fillId="42" borderId="14" applyAlignment="1" pivotButton="0" quotePrefix="0" xfId="0">
      <alignment horizontal="center"/>
    </xf>
    <xf numFmtId="0" fontId="19" fillId="42" borderId="0" applyAlignment="1" pivotButton="0" quotePrefix="0" xfId="0">
      <alignment horizontal="center"/>
    </xf>
    <xf numFmtId="0" fontId="19" fillId="42" borderId="0" applyAlignment="1" pivotButton="0" quotePrefix="0" xfId="0">
      <alignment horizontal="center"/>
    </xf>
    <xf numFmtId="0" fontId="19" fillId="42" borderId="15" applyAlignment="1" pivotButton="0" quotePrefix="0" xfId="0">
      <alignment horizontal="center"/>
    </xf>
    <xf numFmtId="0" fontId="27" fillId="41" borderId="0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48" pivotButton="0" quotePrefix="0" xfId="0"/>
    <xf numFmtId="0" fontId="19" fillId="42" borderId="48" applyAlignment="1" pivotButton="0" quotePrefix="0" xfId="0">
      <alignment horizontal="center"/>
    </xf>
    <xf numFmtId="0" fontId="27" fillId="41" borderId="48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37" borderId="48" applyAlignment="1" pivotButton="0" quotePrefix="0" xfId="0">
      <alignment horizontal="center" vertical="center"/>
    </xf>
    <xf numFmtId="0" fontId="0" fillId="0" borderId="56" pivotButton="0" quotePrefix="0" xfId="0"/>
    <xf numFmtId="0" fontId="27" fillId="41" borderId="32" applyAlignment="1" pivotButton="0" quotePrefix="0" xfId="0">
      <alignment horizontal="center" vertical="center"/>
    </xf>
    <xf numFmtId="0" fontId="27" fillId="41" borderId="58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37" borderId="32" applyAlignment="1" pivotButton="0" quotePrefix="0" xfId="0">
      <alignment horizontal="center" vertical="center"/>
    </xf>
    <xf numFmtId="0" fontId="0" fillId="37" borderId="58" applyAlignment="1" pivotButton="0" quotePrefix="0" xfId="0">
      <alignment horizontal="center" vertical="center"/>
    </xf>
    <xf numFmtId="0" fontId="0" fillId="0" borderId="64" pivotButton="0" quotePrefix="0" xfId="0"/>
    <xf numFmtId="0" fontId="27" fillId="41" borderId="49" applyAlignment="1" pivotButton="0" quotePrefix="0" xfId="0">
      <alignment horizontal="center" vertical="center"/>
    </xf>
    <xf numFmtId="0" fontId="27" fillId="41" borderId="30" applyAlignment="1" pivotButton="0" quotePrefix="0" xfId="0">
      <alignment horizontal="center" vertical="center"/>
    </xf>
    <xf numFmtId="0" fontId="27" fillId="41" borderId="53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37" borderId="30" applyAlignment="1" pivotButton="0" quotePrefix="0" xfId="0">
      <alignment horizontal="center" vertical="center"/>
    </xf>
    <xf numFmtId="0" fontId="0" fillId="37" borderId="53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48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40" fillId="45" borderId="10" applyAlignment="1" pivotButton="0" quotePrefix="0" xfId="0">
      <alignment horizontal="center" vertical="center"/>
    </xf>
    <xf numFmtId="0" fontId="40" fillId="45" borderId="11" applyAlignment="1" pivotButton="0" quotePrefix="0" xfId="0">
      <alignment horizontal="center" vertical="center"/>
    </xf>
    <xf numFmtId="0" fontId="40" fillId="45" borderId="12" applyAlignment="1" pivotButton="0" quotePrefix="0" xfId="0">
      <alignment horizontal="center" vertical="center"/>
    </xf>
    <xf numFmtId="0" fontId="31" fillId="36" borderId="10" applyAlignment="1" pivotButton="0" quotePrefix="0" xfId="0">
      <alignment horizontal="center"/>
    </xf>
    <xf numFmtId="0" fontId="31" fillId="36" borderId="11" applyAlignment="1" pivotButton="0" quotePrefix="0" xfId="0">
      <alignment horizontal="center"/>
    </xf>
    <xf numFmtId="0" fontId="31" fillId="36" borderId="12" applyAlignment="1" pivotButton="0" quotePrefix="0" xfId="0">
      <alignment horizontal="center"/>
    </xf>
    <xf numFmtId="0" fontId="29" fillId="34" borderId="10" applyAlignment="1" pivotButton="0" quotePrefix="0" xfId="0">
      <alignment horizontal="center" vertical="center"/>
    </xf>
    <xf numFmtId="0" fontId="29" fillId="34" borderId="11" applyAlignment="1" pivotButton="0" quotePrefix="0" xfId="0">
      <alignment horizontal="center" vertical="center"/>
    </xf>
    <xf numFmtId="0" fontId="29" fillId="34" borderId="12" applyAlignment="1" pivotButton="0" quotePrefix="0" xfId="0">
      <alignment horizontal="center" vertical="center"/>
    </xf>
    <xf numFmtId="0" fontId="0" fillId="43" borderId="67" applyAlignment="1" pivotButton="0" quotePrefix="0" xfId="0">
      <alignment horizontal="center" vertical="center"/>
    </xf>
    <xf numFmtId="0" fontId="0" fillId="43" borderId="34" applyAlignment="1" pivotButton="0" quotePrefix="0" xfId="0">
      <alignment horizontal="center" vertical="center"/>
    </xf>
    <xf numFmtId="0" fontId="0" fillId="43" borderId="68" applyAlignment="1" pivotButton="0" quotePrefix="0" xfId="0">
      <alignment horizontal="center" vertical="center"/>
    </xf>
    <xf numFmtId="0" fontId="32" fillId="0" borderId="0" pivotButton="0" quotePrefix="0" xfId="0"/>
    <xf numFmtId="0" fontId="38" fillId="35" borderId="10" applyAlignment="1" pivotButton="0" quotePrefix="0" xfId="0">
      <alignment horizontal="center" vertical="center"/>
    </xf>
    <xf numFmtId="0" fontId="38" fillId="35" borderId="11" applyAlignment="1" pivotButton="0" quotePrefix="0" xfId="0">
      <alignment horizontal="center" vertical="center"/>
    </xf>
    <xf numFmtId="0" fontId="38" fillId="35" borderId="12" applyAlignment="1" pivotButton="0" quotePrefix="0" xfId="0">
      <alignment horizontal="center" vertical="center"/>
    </xf>
    <xf numFmtId="0" fontId="38" fillId="46" borderId="44" applyAlignment="1" pivotButton="0" quotePrefix="0" xfId="0">
      <alignment horizontal="center" vertical="center"/>
    </xf>
    <xf numFmtId="0" fontId="38" fillId="46" borderId="46" applyAlignment="1" pivotButton="0" quotePrefix="0" xfId="0">
      <alignment horizontal="center" vertical="center"/>
    </xf>
    <xf numFmtId="0" fontId="48" fillId="45" borderId="44" applyAlignment="1" pivotButton="0" quotePrefix="0" xfId="0">
      <alignment horizontal="center" vertical="center"/>
    </xf>
    <xf numFmtId="0" fontId="48" fillId="45" borderId="46" applyAlignment="1" pivotButton="0" quotePrefix="0" xfId="0">
      <alignment horizontal="center" vertical="center"/>
    </xf>
    <xf numFmtId="0" fontId="46" fillId="36" borderId="69" applyAlignment="1" pivotButton="0" quotePrefix="0" xfId="0">
      <alignment horizontal="center" vertical="center"/>
    </xf>
    <xf numFmtId="0" fontId="47" fillId="39" borderId="62" applyAlignment="1" pivotButton="0" quotePrefix="0" xfId="0">
      <alignment horizontal="center" vertical="center"/>
    </xf>
    <xf numFmtId="0" fontId="25" fillId="36" borderId="43" applyAlignment="1" pivotButton="0" quotePrefix="0" xfId="0">
      <alignment horizontal="center" vertical="center"/>
    </xf>
    <xf numFmtId="0" fontId="28" fillId="39" borderId="22" applyAlignment="1" pivotButton="0" quotePrefix="0" xfId="0">
      <alignment horizontal="center" vertical="center"/>
    </xf>
    <xf numFmtId="0" fontId="41" fillId="45" borderId="12" applyAlignment="1" pivotButton="0" quotePrefix="0" xfId="0">
      <alignment horizontal="center" vertical="center"/>
    </xf>
    <xf numFmtId="0" fontId="41" fillId="45" borderId="44" applyAlignment="1" pivotButton="0" quotePrefix="0" xfId="0">
      <alignment horizontal="center" vertical="center"/>
    </xf>
    <xf numFmtId="0" fontId="41" fillId="45" borderId="46" applyAlignment="1" pivotButton="0" quotePrefix="0" xfId="0">
      <alignment horizontal="center" vertical="center"/>
    </xf>
    <xf numFmtId="0" fontId="16" fillId="38" borderId="43" applyAlignment="1" pivotButton="0" quotePrefix="0" xfId="0">
      <alignment horizontal="center"/>
    </xf>
    <xf numFmtId="0" fontId="16" fillId="38" borderId="15" applyAlignment="1" pivotButton="0" quotePrefix="0" xfId="0">
      <alignment horizontal="center"/>
    </xf>
    <xf numFmtId="0" fontId="16" fillId="43" borderId="17" applyAlignment="1" pivotButton="0" quotePrefix="0" xfId="0">
      <alignment horizontal="center"/>
    </xf>
    <xf numFmtId="0" fontId="16" fillId="38" borderId="63" applyAlignment="1" pivotButton="0" quotePrefix="0" xfId="0">
      <alignment horizontal="center"/>
    </xf>
    <xf numFmtId="0" fontId="16" fillId="43" borderId="48" applyAlignment="1" pivotButton="0" quotePrefix="0" xfId="0">
      <alignment horizontal="center"/>
    </xf>
    <xf numFmtId="0" fontId="16" fillId="38" borderId="48" applyAlignment="1" pivotButton="0" quotePrefix="0" xfId="0">
      <alignment horizontal="center"/>
    </xf>
    <xf numFmtId="0" fontId="0" fillId="38" borderId="63" pivotButton="0" quotePrefix="0" xfId="0"/>
    <xf numFmtId="0" fontId="0" fillId="38" borderId="48" pivotButton="0" quotePrefix="0" xfId="0"/>
    <xf numFmtId="0" fontId="0" fillId="38" borderId="70" applyAlignment="1" pivotButton="0" quotePrefix="0" xfId="0">
      <alignment horizontal="center"/>
    </xf>
    <xf numFmtId="0" fontId="0" fillId="43" borderId="64" applyAlignment="1" pivotButton="0" quotePrefix="0" xfId="0">
      <alignment horizontal="center"/>
    </xf>
    <xf numFmtId="0" fontId="0" fillId="38" borderId="64" applyAlignment="1" pivotButton="0" quotePrefix="0" xfId="0">
      <alignment horizontal="center"/>
    </xf>
    <xf numFmtId="0" fontId="0" fillId="43" borderId="71" applyAlignment="1" pivotButton="0" quotePrefix="0" xfId="0">
      <alignment horizontal="center"/>
    </xf>
    <xf numFmtId="0" fontId="0" fillId="38" borderId="56" pivotButton="0" quotePrefix="0" xfId="0"/>
    <xf numFmtId="0" fontId="0" fillId="43" borderId="64" pivotButton="0" quotePrefix="0" xfId="0"/>
    <xf numFmtId="0" fontId="0" fillId="38" borderId="64" pivotButton="0" quotePrefix="0" xfId="0"/>
    <xf numFmtId="0" fontId="0" fillId="38" borderId="72" pivotButton="0" quotePrefix="0" xfId="0"/>
    <xf numFmtId="0" fontId="0" fillId="43" borderId="54" pivotButton="0" quotePrefix="0" xfId="0"/>
    <xf numFmtId="0" fontId="16" fillId="43" borderId="53" applyAlignment="1" pivotButton="0" quotePrefix="0" xfId="0">
      <alignment horizontal="center"/>
    </xf>
    <xf numFmtId="0" fontId="0" fillId="43" borderId="56" pivotButton="0" quotePrefix="0" xfId="0"/>
    <xf numFmtId="0" fontId="16" fillId="43" borderId="58" applyAlignment="1" pivotButton="0" quotePrefix="0" xfId="0">
      <alignment horizontal="center"/>
    </xf>
    <xf numFmtId="0" fontId="16" fillId="38" borderId="54" applyAlignment="1" pivotButton="0" quotePrefix="0" xfId="0">
      <alignment horizontal="center"/>
    </xf>
    <xf numFmtId="0" fontId="16" fillId="43" borderId="56" applyAlignment="1" pivotButton="0" quotePrefix="0" xfId="0">
      <alignment horizontal="center"/>
    </xf>
    <xf numFmtId="0" fontId="16" fillId="38" borderId="56" applyAlignment="1" pivotButton="0" quotePrefix="0" xfId="0">
      <alignment horizontal="center"/>
    </xf>
    <xf numFmtId="0" fontId="0" fillId="38" borderId="54" pivotButton="0" quotePrefix="0" xfId="0"/>
    <xf numFmtId="0" fontId="16" fillId="43" borderId="57" applyAlignment="1" pivotButton="0" quotePrefix="0" xfId="0">
      <alignment horizontal="center"/>
    </xf>
    <xf numFmtId="0" fontId="16" fillId="38" borderId="57" applyAlignment="1" pivotButton="0" quotePrefix="0" xfId="0">
      <alignment horizontal="center"/>
    </xf>
    <xf numFmtId="0" fontId="0" fillId="38" borderId="56" applyAlignment="1" pivotButton="0" quotePrefix="0" xfId="0">
      <alignment horizontal="center"/>
    </xf>
    <xf numFmtId="0" fontId="0" fillId="43" borderId="73" pivotButton="0" quotePrefix="0" xfId="0"/>
    <xf numFmtId="0" fontId="19" fillId="34" borderId="13" pivotButton="0" quotePrefix="0" xfId="0"/>
    <xf numFmtId="0" fontId="0" fillId="38" borderId="14" applyAlignment="1" pivotButton="0" quotePrefix="0" xfId="0">
      <alignment horizontal="center" vertical="center"/>
    </xf>
    <xf numFmtId="0" fontId="0" fillId="37" borderId="18" applyAlignment="1" pivotButton="0" quotePrefix="0" xfId="0">
      <alignment horizontal="center" vertical="center"/>
    </xf>
    <xf numFmtId="0" fontId="0" fillId="38" borderId="18" applyAlignment="1" pivotButton="0" quotePrefix="0" xfId="0">
      <alignment horizontal="center" vertical="center"/>
    </xf>
    <xf numFmtId="0" fontId="0" fillId="38" borderId="52" applyAlignment="1" pivotButton="0" quotePrefix="0" xfId="0">
      <alignment horizontal="center" vertical="center"/>
    </xf>
    <xf numFmtId="0" fontId="19" fillId="34" borderId="36" pivotButton="0" quotePrefix="0" xfId="0"/>
    <xf numFmtId="0" fontId="19" fillId="34" borderId="63" pivotButton="0" quotePrefix="0" xfId="0"/>
    <xf numFmtId="0" fontId="16" fillId="36" borderId="40" applyAlignment="1" pivotButton="0" quotePrefix="0" xfId="0">
      <alignment horizontal="center" vertical="center"/>
    </xf>
    <xf numFmtId="0" fontId="16" fillId="36" borderId="67" applyAlignment="1" pivotButton="0" quotePrefix="0" xfId="0">
      <alignment horizontal="center" vertical="center"/>
    </xf>
    <xf numFmtId="0" fontId="16" fillId="36" borderId="74" pivotButton="0" quotePrefix="0" xfId="0"/>
    <xf numFmtId="0" fontId="16" fillId="36" borderId="41" applyAlignment="1" pivotButton="0" quotePrefix="0" xfId="0">
      <alignment horizontal="center" vertical="center"/>
    </xf>
    <xf numFmtId="0" fontId="16" fillId="36" borderId="67" applyAlignment="1" pivotButton="0" quotePrefix="0" xfId="0">
      <alignment horizontal="center" vertical="center"/>
    </xf>
    <xf numFmtId="0" fontId="19" fillId="34" borderId="1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19" fillId="34" borderId="12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38" fillId="34" borderId="0" pivotButton="0" quotePrefix="0" xfId="0"/>
    <xf numFmtId="0" fontId="45" fillId="37" borderId="0" applyAlignment="1" pivotButton="0" quotePrefix="0" xfId="0">
      <alignment horizontal="center" vertical="center"/>
    </xf>
    <xf numFmtId="0" fontId="16" fillId="38" borderId="0" applyAlignment="1" pivotButton="0" quotePrefix="0" xfId="0">
      <alignment horizontal="center" vertical="center"/>
    </xf>
    <xf numFmtId="0" fontId="38" fillId="34" borderId="0" applyAlignment="1" pivotButton="0" quotePrefix="0" xfId="0">
      <alignment horizontal="center"/>
    </xf>
    <xf numFmtId="0" fontId="44" fillId="36" borderId="44" applyAlignment="1" pivotButton="0" quotePrefix="0" xfId="0">
      <alignment horizontal="center" vertical="center"/>
    </xf>
    <xf numFmtId="0" fontId="53" fillId="48" borderId="47" applyAlignment="1" pivotButton="0" quotePrefix="0" xfId="0">
      <alignment horizontal="center" vertical="center"/>
    </xf>
    <xf numFmtId="0" fontId="54" fillId="37" borderId="46" applyAlignment="1" pivotButton="0" quotePrefix="0" xfId="0">
      <alignment horizontal="center" vertical="center"/>
    </xf>
    <xf numFmtId="0" fontId="52" fillId="43" borderId="0" applyAlignment="1" pivotButton="0" quotePrefix="0" xfId="0">
      <alignment horizontal="center" vertical="center"/>
    </xf>
    <xf numFmtId="0" fontId="52" fillId="38" borderId="0" applyAlignment="1" pivotButton="0" quotePrefix="0" xfId="0">
      <alignment horizontal="center" vertical="center"/>
    </xf>
    <xf numFmtId="0" fontId="16" fillId="47" borderId="13" applyAlignment="1" pivotButton="0" quotePrefix="0" xfId="0">
      <alignment horizontal="center"/>
    </xf>
    <xf numFmtId="0" fontId="16" fillId="47" borderId="43" applyAlignment="1" pivotButton="0" quotePrefix="0" xfId="0">
      <alignment horizontal="center"/>
    </xf>
    <xf numFmtId="0" fontId="0" fillId="43" borderId="15" applyAlignment="1" pivotButton="0" quotePrefix="0" xfId="0">
      <alignment horizontal="center"/>
    </xf>
    <xf numFmtId="0" fontId="0" fillId="47" borderId="16" applyAlignment="1" pivotButton="0" quotePrefix="0" xfId="0">
      <alignment horizontal="center"/>
    </xf>
    <xf numFmtId="0" fontId="0" fillId="47" borderId="17" applyAlignment="1" pivotButton="0" quotePrefix="0" xfId="0">
      <alignment horizontal="center"/>
    </xf>
    <xf numFmtId="0" fontId="25" fillId="47" borderId="13" applyAlignment="1" pivotButton="0" quotePrefix="0" xfId="0">
      <alignment horizontal="center"/>
    </xf>
    <xf numFmtId="0" fontId="25" fillId="47" borderId="36" applyAlignment="1" pivotButton="0" quotePrefix="0" xfId="0">
      <alignment horizontal="center"/>
    </xf>
    <xf numFmtId="0" fontId="25" fillId="47" borderId="43" applyAlignment="1" pivotButton="0" quotePrefix="0" xfId="0">
      <alignment horizontal="center"/>
    </xf>
    <xf numFmtId="0" fontId="51" fillId="43" borderId="18" applyAlignment="1" pivotButton="0" quotePrefix="0" xfId="0">
      <alignment horizontal="center"/>
    </xf>
    <xf numFmtId="0" fontId="51" fillId="43" borderId="32" applyAlignment="1" pivotButton="0" quotePrefix="0" xfId="0">
      <alignment horizontal="center"/>
    </xf>
    <xf numFmtId="0" fontId="51" fillId="43" borderId="31" applyAlignment="1" pivotButton="0" quotePrefix="0" xfId="0">
      <alignment horizontal="center"/>
    </xf>
    <xf numFmtId="0" fontId="51" fillId="47" borderId="23" applyAlignment="1" pivotButton="0" quotePrefix="0" xfId="0">
      <alignment horizontal="center"/>
    </xf>
    <xf numFmtId="0" fontId="51" fillId="47" borderId="33" applyAlignment="1" pivotButton="0" quotePrefix="0" xfId="0">
      <alignment horizontal="center"/>
    </xf>
    <xf numFmtId="0" fontId="51" fillId="47" borderId="22" applyAlignment="1" pivotButton="0" quotePrefix="0" xfId="0">
      <alignment horizontal="center"/>
    </xf>
    <xf numFmtId="0" fontId="0" fillId="43" borderId="19" applyAlignment="1" pivotButton="0" quotePrefix="0" xfId="0">
      <alignment horizontal="center"/>
    </xf>
    <xf numFmtId="0" fontId="0" fillId="43" borderId="21" applyAlignment="1" pivotButton="0" quotePrefix="0" xfId="0">
      <alignment horizontal="center"/>
    </xf>
    <xf numFmtId="0" fontId="19" fillId="42" borderId="10" applyAlignment="1" pivotButton="0" quotePrefix="0" xfId="0">
      <alignment horizontal="center"/>
    </xf>
    <xf numFmtId="0" fontId="19" fillId="42" borderId="11" applyAlignment="1" pivotButton="0" quotePrefix="0" xfId="0">
      <alignment horizontal="center"/>
    </xf>
    <xf numFmtId="0" fontId="19" fillId="42" borderId="12" applyAlignment="1" pivotButton="0" quotePrefix="0" xfId="0">
      <alignment horizontal="center"/>
    </xf>
    <xf numFmtId="0" fontId="42" fillId="41" borderId="0" pivotButton="0" quotePrefix="0" xfId="0"/>
    <xf numFmtId="0" fontId="42" fillId="41" borderId="36" applyAlignment="1" pivotButton="0" quotePrefix="0" xfId="0">
      <alignment horizontal="center" vertical="center"/>
    </xf>
    <xf numFmtId="0" fontId="0" fillId="43" borderId="36" applyAlignment="1" pivotButton="0" quotePrefix="0" xfId="0">
      <alignment horizontal="center" vertical="center"/>
    </xf>
    <xf numFmtId="0" fontId="42" fillId="41" borderId="0" applyAlignment="1" pivotButton="0" quotePrefix="0" xfId="0">
      <alignment horizontal="center" vertical="center"/>
    </xf>
    <xf numFmtId="0" fontId="0" fillId="43" borderId="44" applyAlignment="1" pivotButton="0" quotePrefix="0" xfId="0">
      <alignment horizontal="center" vertical="center"/>
    </xf>
    <xf numFmtId="0" fontId="0" fillId="38" borderId="45" applyAlignment="1" pivotButton="0" quotePrefix="0" xfId="0">
      <alignment horizontal="center" vertical="center"/>
    </xf>
    <xf numFmtId="0" fontId="0" fillId="43" borderId="45" applyAlignment="1" pivotButton="0" quotePrefix="0" xfId="0">
      <alignment horizontal="center" vertical="center"/>
    </xf>
    <xf numFmtId="0" fontId="16" fillId="43" borderId="44" applyAlignment="1" pivotButton="0" quotePrefix="0" xfId="0">
      <alignment horizontal="center" vertical="center"/>
    </xf>
    <xf numFmtId="0" fontId="16" fillId="38" borderId="45" applyAlignment="1" pivotButton="0" quotePrefix="0" xfId="0">
      <alignment horizontal="center" vertical="center"/>
    </xf>
    <xf numFmtId="0" fontId="16" fillId="43" borderId="45" applyAlignment="1" pivotButton="0" quotePrefix="0" xfId="0">
      <alignment horizontal="center" vertical="center"/>
    </xf>
    <xf numFmtId="0" fontId="0" fillId="38" borderId="46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0" fillId="38" borderId="24" applyAlignment="1" pivotButton="0" quotePrefix="0" xfId="0">
      <alignment horizontal="center" vertical="center"/>
    </xf>
    <xf numFmtId="0" fontId="0" fillId="38" borderId="15" applyAlignment="1" pivotButton="0" quotePrefix="0" xfId="0">
      <alignment horizontal="center" vertical="center"/>
    </xf>
    <xf numFmtId="0" fontId="0" fillId="38" borderId="17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16" fillId="38" borderId="45" applyAlignment="1" pivotButton="0" quotePrefix="0" xfId="0">
      <alignment horizontal="center" vertical="center"/>
    </xf>
    <xf numFmtId="0" fontId="16" fillId="38" borderId="46" applyAlignment="1" pivotButton="0" quotePrefix="0" xfId="0">
      <alignment horizontal="center" vertical="center"/>
    </xf>
    <xf numFmtId="0" fontId="42" fillId="41" borderId="14" applyAlignment="1" pivotButton="0" quotePrefix="0" xfId="0">
      <alignment horizontal="center" vertical="center"/>
    </xf>
    <xf numFmtId="0" fontId="42" fillId="41" borderId="16" applyAlignment="1" pivotButton="0" quotePrefix="0" xfId="0">
      <alignment horizontal="center" vertical="center"/>
    </xf>
    <xf numFmtId="0" fontId="0" fillId="38" borderId="45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/>
    </xf>
    <xf numFmtId="0" fontId="41" fillId="45" borderId="10" applyAlignment="1" pivotButton="0" quotePrefix="0" xfId="0">
      <alignment horizontal="center" vertical="center"/>
    </xf>
    <xf numFmtId="0" fontId="41" fillId="45" borderId="11" applyAlignment="1" pivotButton="0" quotePrefix="0" xfId="0">
      <alignment horizontal="center" vertical="center"/>
    </xf>
    <xf numFmtId="0" fontId="43" fillId="41" borderId="11" applyAlignment="1" pivotButton="0" quotePrefix="0" xfId="0">
      <alignment horizontal="center" vertical="center"/>
    </xf>
    <xf numFmtId="0" fontId="29" fillId="34" borderId="14" applyAlignment="1" pivotButton="0" quotePrefix="0" xfId="0">
      <alignment horizontal="center" vertical="center"/>
    </xf>
    <xf numFmtId="0" fontId="29" fillId="34" borderId="0" applyAlignment="1" pivotButton="0" quotePrefix="0" xfId="0">
      <alignment horizontal="center" vertical="center"/>
    </xf>
    <xf numFmtId="0" fontId="31" fillId="36" borderId="10" applyAlignment="1" pivotButton="0" quotePrefix="0" xfId="0">
      <alignment horizontal="center" vertical="center"/>
    </xf>
    <xf numFmtId="0" fontId="31" fillId="36" borderId="11" applyAlignment="1" pivotButton="0" quotePrefix="0" xfId="0">
      <alignment horizontal="center" vertical="center"/>
    </xf>
    <xf numFmtId="0" fontId="31" fillId="36" borderId="12" applyAlignment="1" pivotButton="0" quotePrefix="0" xfId="0">
      <alignment horizontal="center" vertical="center"/>
    </xf>
    <xf numFmtId="0" fontId="19" fillId="42" borderId="16" applyAlignment="1" pivotButton="0" quotePrefix="0" xfId="0">
      <alignment horizontal="center"/>
    </xf>
    <xf numFmtId="0" fontId="19" fillId="42" borderId="24" applyAlignment="1" pivotButton="0" quotePrefix="0" xfId="0">
      <alignment horizontal="center"/>
    </xf>
    <xf numFmtId="0" fontId="19" fillId="42" borderId="24" applyAlignment="1" pivotButton="0" quotePrefix="0" xfId="0">
      <alignment horizontal="center"/>
    </xf>
    <xf numFmtId="0" fontId="19" fillId="42" borderId="17" applyAlignment="1" pivotButton="0" quotePrefix="0" xfId="0">
      <alignment horizontal="center"/>
    </xf>
    <xf numFmtId="0" fontId="38" fillId="34" borderId="0" applyAlignment="1" pivotButton="0" quotePrefix="0" xfId="0">
      <alignment horizontal="center" vertical="center"/>
    </xf>
    <xf numFmtId="0" fontId="38" fillId="34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 wrapText="1"/>
    </xf>
    <xf numFmtId="0" fontId="0" fillId="38" borderId="59" applyAlignment="1" pivotButton="0" quotePrefix="0" xfId="0">
      <alignment horizontal="center" vertical="center"/>
    </xf>
    <xf numFmtId="0" fontId="0" fillId="43" borderId="48" applyAlignment="1" pivotButton="0" quotePrefix="0" xfId="0">
      <alignment horizontal="center" vertical="center"/>
    </xf>
    <xf numFmtId="0" fontId="0" fillId="43" borderId="60" applyAlignment="1" pivotButton="0" quotePrefix="0" xfId="0">
      <alignment horizontal="center" vertical="center"/>
    </xf>
    <xf numFmtId="0" fontId="0" fillId="38" borderId="60" applyAlignment="1" pivotButton="0" quotePrefix="0" xfId="0">
      <alignment horizontal="center" vertical="center"/>
    </xf>
    <xf numFmtId="0" fontId="0" fillId="43" borderId="59" applyAlignment="1" pivotButton="0" quotePrefix="0" xfId="0">
      <alignment horizontal="center" vertical="center"/>
    </xf>
    <xf numFmtId="0" fontId="0" fillId="38" borderId="48" applyAlignment="1" pivotButton="0" quotePrefix="0" xfId="0">
      <alignment horizontal="center" vertical="center"/>
    </xf>
    <xf numFmtId="0" fontId="0" fillId="43" borderId="61" applyAlignment="1" pivotButton="0" quotePrefix="0" xfId="0">
      <alignment horizontal="center" vertical="center"/>
    </xf>
    <xf numFmtId="0" fontId="0" fillId="38" borderId="61" applyAlignment="1" pivotButton="0" quotePrefix="0" xfId="0">
      <alignment horizontal="center" vertical="center"/>
    </xf>
    <xf numFmtId="0" fontId="0" fillId="43" borderId="65" applyAlignment="1" pivotButton="0" quotePrefix="0" xfId="0">
      <alignment horizontal="center" vertical="center"/>
    </xf>
    <xf numFmtId="0" fontId="0" fillId="43" borderId="66" applyAlignment="1" pivotButton="0" quotePrefix="0" xfId="0">
      <alignment horizontal="center" vertical="center"/>
    </xf>
    <xf numFmtId="0" fontId="23" fillId="35" borderId="10" applyAlignment="1" pivotButton="0" quotePrefix="0" xfId="0">
      <alignment horizontal="center" vertical="center"/>
    </xf>
    <xf numFmtId="0" fontId="23" fillId="35" borderId="11" applyAlignment="1" pivotButton="0" quotePrefix="0" xfId="0">
      <alignment horizontal="center" vertical="center"/>
    </xf>
    <xf numFmtId="0" fontId="23" fillId="35" borderId="12" applyAlignment="1" pivotButton="0" quotePrefix="0" xfId="0">
      <alignment horizontal="center" vertical="center"/>
    </xf>
    <xf numFmtId="0" fontId="19" fillId="34" borderId="0" pivotButton="0" quotePrefix="0" xfId="42"/>
    <xf numFmtId="0" fontId="19" fillId="0" borderId="0" pivotButton="0" quotePrefix="0" xfId="42"/>
    <xf numFmtId="0" fontId="30" fillId="37" borderId="75" applyAlignment="1" pivotButton="0" quotePrefix="0" xfId="0">
      <alignment horizontal="center"/>
    </xf>
    <xf numFmtId="0" fontId="0" fillId="37" borderId="75" pivotButton="0" quotePrefix="0" xfId="0"/>
    <xf numFmtId="0" fontId="0" fillId="37" borderId="75" applyAlignment="1" pivotButton="0" quotePrefix="0" xfId="0">
      <alignment horizont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35" borderId="12" applyAlignment="1" pivotButton="0" quotePrefix="0" xfId="0">
      <alignment horizontal="center" vertical="center"/>
    </xf>
    <xf numFmtId="0" fontId="55" fillId="37" borderId="75" pivotButton="0" quotePrefix="0" xfId="42"/>
    <xf numFmtId="0" fontId="55" fillId="38" borderId="38" pivotButton="0" quotePrefix="0" xfId="42"/>
    <xf numFmtId="0" fontId="55" fillId="37" borderId="38" pivotButton="0" quotePrefix="0" xfId="42"/>
    <xf numFmtId="0" fontId="55" fillId="37" borderId="39" pivotButton="0" quotePrefix="0" xfId="42"/>
    <xf numFmtId="0" fontId="13" fillId="33" borderId="0" applyAlignment="1" pivotButton="0" quotePrefix="0" xfId="42">
      <alignment horizontal="center" vertical="center"/>
    </xf>
    <xf numFmtId="0" fontId="13" fillId="33" borderId="0" applyAlignment="1" pivotButton="0" quotePrefix="0" xfId="42">
      <alignment horizontal="center"/>
    </xf>
    <xf numFmtId="0" fontId="29" fillId="34" borderId="13" applyAlignment="1" pivotButton="0" quotePrefix="0" xfId="0">
      <alignment horizontal="center" vertical="center"/>
    </xf>
    <xf numFmtId="0" fontId="29" fillId="34" borderId="36" applyAlignment="1" pivotButton="0" quotePrefix="0" xfId="0">
      <alignment horizontal="center" vertical="center"/>
    </xf>
    <xf numFmtId="0" fontId="29" fillId="34" borderId="43" applyAlignment="1" pivotButton="0" quotePrefix="0" xfId="0">
      <alignment horizontal="center" vertical="center"/>
    </xf>
    <xf numFmtId="0" fontId="52" fillId="37" borderId="0" applyAlignment="1" pivotButton="0" quotePrefix="0" xfId="0">
      <alignment horizontal="center" vertical="center"/>
    </xf>
    <xf numFmtId="0" fontId="39" fillId="45" borderId="0" applyAlignment="1" pivotButton="0" quotePrefix="0" xfId="0">
      <alignment horizontal="center" vertical="center"/>
    </xf>
    <xf numFmtId="0" fontId="0" fillId="38" borderId="0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0" fillId="38" borderId="14" applyAlignment="1" pivotButton="0" quotePrefix="0" xfId="0">
      <alignment horizontal="right"/>
    </xf>
    <xf numFmtId="0" fontId="0" fillId="38" borderId="15" applyAlignment="1" pivotButton="0" quotePrefix="0" xfId="0">
      <alignment horizontal="center"/>
    </xf>
    <xf numFmtId="0" fontId="0" fillId="43" borderId="14" applyAlignment="1" pivotButton="0" quotePrefix="0" xfId="0">
      <alignment horizontal="right"/>
    </xf>
    <xf numFmtId="0" fontId="0" fillId="0" borderId="45" pivotButton="0" quotePrefix="0" xfId="0"/>
    <xf numFmtId="0" fontId="29" fillId="34" borderId="0" applyAlignment="1" pivotButton="0" quotePrefix="0" xfId="0">
      <alignment horizontal="left"/>
    </xf>
    <xf numFmtId="0" fontId="29" fillId="34" borderId="0" applyAlignment="1" pivotButton="0" quotePrefix="0" xfId="0">
      <alignment horizontal="left"/>
    </xf>
    <xf numFmtId="0" fontId="16" fillId="36" borderId="0" pivotButton="0" quotePrefix="0" xfId="0"/>
    <xf numFmtId="0" fontId="38" fillId="35" borderId="37" applyAlignment="1" pivotButton="0" quotePrefix="0" xfId="0">
      <alignment horizontal="left" vertical="center"/>
    </xf>
    <xf numFmtId="0" fontId="38" fillId="35" borderId="77" applyAlignment="1" pivotButton="0" quotePrefix="0" xfId="0">
      <alignment horizontal="left"/>
    </xf>
    <xf numFmtId="0" fontId="16" fillId="36" borderId="79" applyAlignment="1" pivotButton="0" quotePrefix="0" xfId="0">
      <alignment horizontal="center"/>
    </xf>
    <xf numFmtId="0" fontId="16" fillId="36" borderId="34" pivotButton="0" quotePrefix="0" xfId="0"/>
    <xf numFmtId="0" fontId="38" fillId="35" borderId="80" applyAlignment="1" pivotButton="0" quotePrefix="0" xfId="0">
      <alignment horizontal="left" vertical="center"/>
    </xf>
    <xf numFmtId="0" fontId="0" fillId="43" borderId="81" applyAlignment="1" pivotButton="0" quotePrefix="0" xfId="0">
      <alignment horizontal="center"/>
    </xf>
    <xf numFmtId="0" fontId="0" fillId="38" borderId="81" applyAlignment="1" pivotButton="0" quotePrefix="0" xfId="0">
      <alignment horizontal="center"/>
    </xf>
    <xf numFmtId="0" fontId="16" fillId="36" borderId="82" applyAlignment="1" pivotButton="0" quotePrefix="0" xfId="0">
      <alignment horizontal="center"/>
    </xf>
    <xf numFmtId="0" fontId="16" fillId="36" borderId="83" applyAlignment="1" pivotButton="0" quotePrefix="0" xfId="0">
      <alignment horizontal="center"/>
    </xf>
    <xf numFmtId="0" fontId="0" fillId="38" borderId="0" applyAlignment="1" pivotButton="0" quotePrefix="0" xfId="0">
      <alignment horizontal="right"/>
    </xf>
    <xf numFmtId="0" fontId="0" fillId="43" borderId="0" applyAlignment="1" pivotButton="0" quotePrefix="0" xfId="0">
      <alignment horizontal="right"/>
    </xf>
    <xf numFmtId="0" fontId="16" fillId="36" borderId="84" pivotButton="0" quotePrefix="0" xfId="0"/>
    <xf numFmtId="0" fontId="16" fillId="36" borderId="85" applyAlignment="1" pivotButton="0" quotePrefix="0" xfId="0">
      <alignment horizontal="left" vertical="center"/>
    </xf>
    <xf numFmtId="0" fontId="16" fillId="36" borderId="86" pivotButton="0" quotePrefix="0" xfId="0"/>
    <xf numFmtId="0" fontId="16" fillId="36" borderId="78" pivotButton="0" quotePrefix="0" xfId="0"/>
    <xf numFmtId="0" fontId="0" fillId="0" borderId="81" pivotButton="0" quotePrefix="0" xfId="0"/>
    <xf numFmtId="0" fontId="16" fillId="36" borderId="82" pivotButton="0" quotePrefix="0" xfId="0"/>
    <xf numFmtId="0" fontId="0" fillId="38" borderId="76" applyAlignment="1" pivotButton="0" quotePrefix="0" xfId="0">
      <alignment horizontal="center"/>
    </xf>
    <xf numFmtId="0" fontId="0" fillId="43" borderId="76" applyAlignment="1" pivotButton="0" quotePrefix="0" xfId="0">
      <alignment horizontal="center"/>
    </xf>
    <xf numFmtId="0" fontId="16" fillId="36" borderId="87" pivotButton="0" quotePrefix="0" xfId="0"/>
    <xf numFmtId="0" fontId="38" fillId="35" borderId="88" applyAlignment="1" pivotButton="0" quotePrefix="0" xfId="0">
      <alignment horizontal="left" vertical="center"/>
    </xf>
    <xf numFmtId="0" fontId="0" fillId="0" borderId="82" pivotButton="0" quotePrefix="0" xfId="0"/>
    <xf numFmtId="0" fontId="38" fillId="35" borderId="77" applyAlignment="1" pivotButton="0" quotePrefix="0" xfId="0">
      <alignment horizontal="left" vertical="center"/>
    </xf>
    <xf numFmtId="0" fontId="0" fillId="38" borderId="81" pivotButton="0" quotePrefix="0" xfId="0"/>
    <xf numFmtId="0" fontId="0" fillId="38" borderId="76" pivotButton="0" quotePrefix="0" xfId="0"/>
    <xf numFmtId="0" fontId="19" fillId="42" borderId="89" applyAlignment="1" pivotButton="0" quotePrefix="0" xfId="0">
      <alignment horizontal="center"/>
    </xf>
    <xf numFmtId="0" fontId="19" fillId="42" borderId="90" applyAlignment="1" pivotButton="0" quotePrefix="0" xfId="0">
      <alignment horizontal="center"/>
    </xf>
    <xf numFmtId="0" fontId="19" fillId="42" borderId="90" applyAlignment="1" pivotButton="0" quotePrefix="0" xfId="0">
      <alignment horizontal="center"/>
    </xf>
    <xf numFmtId="0" fontId="19" fillId="42" borderId="91" applyAlignment="1" pivotButton="0" quotePrefix="0" xfId="0">
      <alignment horizontal="center"/>
    </xf>
    <xf numFmtId="0" fontId="19" fillId="42" borderId="92" applyAlignment="1" pivotButton="0" quotePrefix="0" xfId="0">
      <alignment horizontal="center"/>
    </xf>
    <xf numFmtId="0" fontId="19" fillId="42" borderId="93" applyAlignment="1" pivotButton="0" quotePrefix="0" xfId="0">
      <alignment horizontal="center"/>
    </xf>
    <xf numFmtId="0" fontId="19" fillId="42" borderId="92" applyAlignment="1" pivotButton="0" quotePrefix="0" xfId="0">
      <alignment horizontal="center"/>
    </xf>
    <xf numFmtId="0" fontId="19" fillId="42" borderId="93" applyAlignment="1" pivotButton="0" quotePrefix="0" xfId="0">
      <alignment horizontal="center"/>
    </xf>
    <xf numFmtId="0" fontId="19" fillId="42" borderId="94" applyAlignment="1" pivotButton="0" quotePrefix="0" xfId="0">
      <alignment horizontal="center"/>
    </xf>
    <xf numFmtId="0" fontId="19" fillId="42" borderId="93" applyAlignment="1" pivotButton="0" quotePrefix="0" xfId="0">
      <alignment horizontal="center" vertical="center"/>
    </xf>
    <xf numFmtId="0" fontId="57" fillId="38" borderId="0" applyAlignment="1" pivotButton="0" quotePrefix="0" xfId="0">
      <alignment horizontal="left"/>
    </xf>
    <xf numFmtId="0" fontId="57" fillId="43" borderId="0" applyAlignment="1" pivotButton="0" quotePrefix="0" xfId="0">
      <alignment horizontal="left"/>
    </xf>
    <xf numFmtId="0" fontId="16" fillId="36" borderId="34" applyAlignment="1" pivotButton="0" quotePrefix="0" xfId="0">
      <alignment horizontal="center"/>
    </xf>
    <xf numFmtId="0" fontId="16" fillId="36" borderId="34" applyAlignment="1" pivotButton="0" quotePrefix="0" xfId="0">
      <alignment horizontal="left"/>
    </xf>
    <xf numFmtId="0" fontId="0" fillId="38" borderId="0" applyAlignment="1" pivotButton="0" quotePrefix="0" xfId="0">
      <alignment horizontal="left"/>
    </xf>
    <xf numFmtId="0" fontId="0" fillId="43" borderId="0" applyAlignment="1" pivotButton="0" quotePrefix="0" xfId="0">
      <alignment horizontal="left"/>
    </xf>
    <xf numFmtId="0" fontId="27" fillId="41" borderId="0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16" fillId="36" borderId="35" applyAlignment="1" pivotButton="0" quotePrefix="0" xfId="0">
      <alignment horizontal="right" vertical="center"/>
    </xf>
    <xf numFmtId="0" fontId="27" fillId="41" borderId="0" applyAlignment="1" pivotButton="0" quotePrefix="0" xfId="0">
      <alignment horizontal="right"/>
    </xf>
    <xf numFmtId="0" fontId="16" fillId="36" borderId="34" applyAlignment="1" pivotButton="0" quotePrefix="0" xfId="0">
      <alignment horizontal="right"/>
    </xf>
    <xf numFmtId="0" fontId="56" fillId="37" borderId="0" applyAlignment="1" pivotButton="0" quotePrefix="0" xfId="0">
      <alignment horizontal="right"/>
    </xf>
    <xf numFmtId="0" fontId="56" fillId="37" borderId="0" applyAlignment="1" pivotButton="0" quotePrefix="0" xfId="0">
      <alignment horizontal="right"/>
    </xf>
    <xf numFmtId="0" fontId="16" fillId="36" borderId="34" applyAlignment="1" pivotButton="0" quotePrefix="0" xfId="0">
      <alignment horizontal="right"/>
    </xf>
    <xf numFmtId="0" fontId="19" fillId="42" borderId="92" applyAlignment="1" pivotButton="0" quotePrefix="0" xfId="0">
      <alignment horizontal="left" vertical="center"/>
    </xf>
    <xf numFmtId="0" fontId="0" fillId="38" borderId="0" applyAlignment="1" pivotButton="0" quotePrefix="0" xfId="0">
      <alignment horizontal="left"/>
    </xf>
    <xf numFmtId="0" fontId="0" fillId="43" borderId="0" applyAlignment="1" pivotButton="0" quotePrefix="0" xfId="0">
      <alignment horizontal="left"/>
    </xf>
    <xf numFmtId="0" fontId="16" fillId="36" borderId="0" applyAlignment="1" pivotButton="0" quotePrefix="0" xfId="0">
      <alignment horizontal="left"/>
    </xf>
    <xf numFmtId="0" fontId="52" fillId="37" borderId="0" applyAlignment="1" pivotButton="0" quotePrefix="0" xfId="0">
      <alignment horizontal="right"/>
    </xf>
    <xf numFmtId="0" fontId="0" fillId="37" borderId="0" applyAlignment="1" pivotButton="0" quotePrefix="0" xfId="0">
      <alignment horizontal="right"/>
    </xf>
    <xf numFmtId="0" fontId="16" fillId="37" borderId="0" applyAlignment="1" pivotButton="0" quotePrefix="0" xfId="0">
      <alignment horizontal="right"/>
    </xf>
    <xf numFmtId="0" fontId="16" fillId="36" borderId="0" applyAlignment="1" pivotButton="0" quotePrefix="0" xfId="0">
      <alignment horizontal="right"/>
    </xf>
    <xf numFmtId="0" fontId="26" fillId="38" borderId="0" applyAlignment="1" pivotButton="0" quotePrefix="0" xfId="0">
      <alignment horizontal="left"/>
    </xf>
    <xf numFmtId="0" fontId="26" fillId="38" borderId="76" applyAlignment="1" pivotButton="0" quotePrefix="0" xfId="0">
      <alignment horizontal="left"/>
    </xf>
    <xf numFmtId="0" fontId="26" fillId="43" borderId="0" applyAlignment="1" pivotButton="0" quotePrefix="0" xfId="0">
      <alignment horizontal="left"/>
    </xf>
    <xf numFmtId="0" fontId="26" fillId="43" borderId="76" applyAlignment="1" pivotButton="0" quotePrefix="0" xfId="0">
      <alignment horizontal="left"/>
    </xf>
    <xf numFmtId="0" fontId="58" fillId="36" borderId="34" applyAlignment="1" pivotButton="0" quotePrefix="0" xfId="0">
      <alignment horizontal="left"/>
    </xf>
    <xf numFmtId="0" fontId="58" fillId="36" borderId="83" applyAlignment="1" pivotButton="0" quotePrefix="0" xfId="0">
      <alignment horizontal="left"/>
    </xf>
    <xf numFmtId="0" fontId="26" fillId="38" borderId="0" applyAlignment="1" pivotButton="0" quotePrefix="0" xfId="0">
      <alignment horizontal="right"/>
    </xf>
    <xf numFmtId="0" fontId="26" fillId="38" borderId="76" applyAlignment="1" pivotButton="0" quotePrefix="0" xfId="0">
      <alignment horizontal="center"/>
    </xf>
    <xf numFmtId="0" fontId="26" fillId="43" borderId="0" applyAlignment="1" pivotButton="0" quotePrefix="0" xfId="0">
      <alignment horizontal="right"/>
    </xf>
    <xf numFmtId="0" fontId="26" fillId="43" borderId="76" applyAlignment="1" pivotButton="0" quotePrefix="0" xfId="0">
      <alignment horizontal="center"/>
    </xf>
    <xf numFmtId="0" fontId="58" fillId="42" borderId="93" applyAlignment="1" pivotButton="0" quotePrefix="0" xfId="0">
      <alignment horizontal="center" vertical="center"/>
    </xf>
    <xf numFmtId="0" fontId="58" fillId="42" borderId="94" applyAlignment="1" pivotButton="0" quotePrefix="0" xfId="0">
      <alignment horizontal="center" vertical="center"/>
    </xf>
    <xf numFmtId="0" fontId="26" fillId="38" borderId="0" pivotButton="0" quotePrefix="0" xfId="0"/>
    <xf numFmtId="0" fontId="26" fillId="38" borderId="76" pivotButton="0" quotePrefix="0" xfId="0"/>
    <xf numFmtId="0" fontId="26" fillId="43" borderId="0" pivotButton="0" quotePrefix="0" xfId="0"/>
    <xf numFmtId="0" fontId="26" fillId="43" borderId="76" pivotButton="0" quotePrefix="0" xfId="0"/>
    <xf numFmtId="0" fontId="58" fillId="36" borderId="0" pivotButton="0" quotePrefix="0" xfId="0"/>
    <xf numFmtId="0" fontId="58" fillId="36" borderId="76" pivotButton="0" quotePrefix="0" xfId="0"/>
    <xf numFmtId="0" fontId="58" fillId="36" borderId="34" applyAlignment="1" pivotButton="0" quotePrefix="0" xfId="0">
      <alignment horizontal="left"/>
    </xf>
    <xf numFmtId="0" fontId="58" fillId="36" borderId="83" applyAlignment="1" pivotButton="0" quotePrefix="0" xfId="0">
      <alignment horizontal="left"/>
    </xf>
    <xf numFmtId="0" fontId="59" fillId="36" borderId="34" applyAlignment="1" pivotButton="0" quotePrefix="0" xfId="0">
      <alignment horizontal="left"/>
    </xf>
    <xf numFmtId="0" fontId="19" fillId="34" borderId="0" applyAlignment="1" pivotButton="0" quotePrefix="0" xfId="42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3" fillId="35" borderId="9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24" fillId="36" borderId="98" applyAlignment="1" pivotButton="0" quotePrefix="0" xfId="0">
      <alignment horizontal="left"/>
    </xf>
    <xf numFmtId="0" fontId="0" fillId="0" borderId="26" pivotButton="0" quotePrefix="0" xfId="0"/>
    <xf numFmtId="0" fontId="0" fillId="0" borderId="20" pivotButton="0" quotePrefix="0" xfId="0"/>
    <xf numFmtId="0" fontId="24" fillId="36" borderId="97" applyAlignment="1" pivotButton="0" quotePrefix="0" xfId="0">
      <alignment horizontal="left"/>
    </xf>
    <xf numFmtId="0" fontId="0" fillId="0" borderId="28" pivotButton="0" quotePrefix="0" xfId="0"/>
    <xf numFmtId="0" fontId="0" fillId="0" borderId="29" pivotButton="0" quotePrefix="0" xfId="0"/>
    <xf numFmtId="0" fontId="24" fillId="36" borderId="46" applyAlignment="1" pivotButton="0" quotePrefix="0" xfId="0">
      <alignment horizontal="left"/>
    </xf>
    <xf numFmtId="0" fontId="0" fillId="0" borderId="24" pivotButton="0" quotePrefix="0" xfId="0"/>
    <xf numFmtId="0" fontId="0" fillId="0" borderId="17" pivotButton="0" quotePrefix="0" xfId="0"/>
    <xf numFmtId="0" fontId="29" fillId="34" borderId="95" applyAlignment="1" pivotButton="0" quotePrefix="0" xfId="0">
      <alignment horizontal="center" vertical="center"/>
    </xf>
    <xf numFmtId="0" fontId="25" fillId="40" borderId="98" pivotButton="0" quotePrefix="0" xfId="0"/>
    <xf numFmtId="0" fontId="25" fillId="40" borderId="47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37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38" borderId="106" applyAlignment="1" pivotButton="0" quotePrefix="0" xfId="0">
      <alignment horizontal="center"/>
    </xf>
    <xf numFmtId="0" fontId="0" fillId="0" borderId="15" pivotButton="0" quotePrefix="0" xfId="0"/>
    <xf numFmtId="0" fontId="0" fillId="0" borderId="76" pivotButton="0" quotePrefix="0" xfId="0"/>
    <xf numFmtId="0" fontId="0" fillId="43" borderId="106" applyAlignment="1" pivotButton="0" quotePrefix="0" xfId="0">
      <alignment horizontal="center"/>
    </xf>
    <xf numFmtId="0" fontId="16" fillId="36" borderId="105" applyAlignment="1" pivotButton="0" quotePrefix="0" xfId="0">
      <alignment horizontal="center"/>
    </xf>
    <xf numFmtId="0" fontId="0" fillId="0" borderId="79" pivotButton="0" quotePrefix="0" xfId="0"/>
    <xf numFmtId="0" fontId="0" fillId="0" borderId="83" pivotButton="0" quotePrefix="0" xfId="0"/>
    <xf numFmtId="0" fontId="19" fillId="42" borderId="104" applyAlignment="1" pivotButton="0" quotePrefix="0" xfId="0">
      <alignment horizontal="center"/>
    </xf>
    <xf numFmtId="0" fontId="0" fillId="0" borderId="93" pivotButton="0" quotePrefix="0" xfId="0"/>
    <xf numFmtId="0" fontId="0" fillId="0" borderId="94" pivotButton="0" quotePrefix="0" xfId="0"/>
    <xf numFmtId="0" fontId="26" fillId="38" borderId="76" applyAlignment="1" pivotButton="0" quotePrefix="0" xfId="0">
      <alignment horizontal="right"/>
    </xf>
    <xf numFmtId="0" fontId="26" fillId="43" borderId="76" applyAlignment="1" pivotButton="0" quotePrefix="0" xfId="0">
      <alignment horizontal="right"/>
    </xf>
    <xf numFmtId="0" fontId="38" fillId="35" borderId="100" applyAlignment="1" pivotButton="0" quotePrefix="0" xfId="0">
      <alignment horizontal="left" vertical="center"/>
    </xf>
    <xf numFmtId="0" fontId="0" fillId="0" borderId="101" pivotButton="0" quotePrefix="0" xfId="0"/>
    <xf numFmtId="0" fontId="0" fillId="0" borderId="102" pivotButton="0" quotePrefix="0" xfId="0"/>
    <xf numFmtId="0" fontId="56" fillId="37" borderId="76" applyAlignment="1" pivotButton="0" quotePrefix="0" xfId="0">
      <alignment horizontal="right"/>
    </xf>
    <xf numFmtId="0" fontId="16" fillId="36" borderId="83" applyAlignment="1" pivotButton="0" quotePrefix="0" xfId="0">
      <alignment horizontal="right"/>
    </xf>
    <xf numFmtId="0" fontId="38" fillId="35" borderId="99" applyAlignment="1" pivotButton="0" quotePrefix="0" xfId="0">
      <alignment horizontal="left" vertical="center"/>
    </xf>
    <xf numFmtId="0" fontId="0" fillId="0" borderId="77" pivotButton="0" quotePrefix="0" xfId="0"/>
    <xf numFmtId="0" fontId="31" fillId="36" borderId="95" applyAlignment="1" pivotButton="0" quotePrefix="0" xfId="0">
      <alignment horizontal="center"/>
    </xf>
    <xf numFmtId="0" fontId="19" fillId="34" borderId="72" pivotButton="0" quotePrefix="0" xfId="0"/>
    <xf numFmtId="0" fontId="0" fillId="0" borderId="96" pivotButton="0" quotePrefix="0" xfId="0"/>
    <xf numFmtId="0" fontId="0" fillId="0" borderId="63" pivotButton="0" quotePrefix="0" xfId="0"/>
    <xf numFmtId="0" fontId="0" fillId="37" borderId="61" applyAlignment="1" pivotButton="0" quotePrefix="0" xfId="0">
      <alignment horizontal="center" vertical="center"/>
    </xf>
    <xf numFmtId="0" fontId="0" fillId="0" borderId="58" pivotButton="0" quotePrefix="0" xfId="0"/>
    <xf numFmtId="0" fontId="0" fillId="38" borderId="56" applyAlignment="1" pivotButton="0" quotePrefix="0" xfId="0">
      <alignment horizontal="center" vertical="center"/>
    </xf>
    <xf numFmtId="0" fontId="16" fillId="36" borderId="65" applyAlignment="1" pivotButton="0" quotePrefix="0" xfId="0">
      <alignment horizontal="center" vertical="center"/>
    </xf>
    <xf numFmtId="0" fontId="0" fillId="0" borderId="67" pivotButton="0" quotePrefix="0" xfId="0"/>
    <xf numFmtId="0" fontId="19" fillId="34" borderId="95" applyAlignment="1" pivotButton="0" quotePrefix="0" xfId="0">
      <alignment horizontal="center" vertical="center"/>
    </xf>
    <xf numFmtId="0" fontId="40" fillId="45" borderId="95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16" pivotButton="0" quotePrefix="0" xfId="0"/>
    <xf numFmtId="0" fontId="38" fillId="35" borderId="95" applyAlignment="1" pivotButton="0" quotePrefix="0" xfId="0">
      <alignment horizontal="center" vertical="center"/>
    </xf>
    <xf numFmtId="0" fontId="16" fillId="47" borderId="44" applyAlignment="1" pivotButton="0" quotePrefix="0" xfId="0">
      <alignment horizontal="center"/>
    </xf>
    <xf numFmtId="0" fontId="0" fillId="0" borderId="43" pivotButton="0" quotePrefix="0" xfId="0"/>
    <xf numFmtId="0" fontId="25" fillId="47" borderId="44" applyAlignment="1" pivotButton="0" quotePrefix="0" xfId="0">
      <alignment horizontal="center"/>
    </xf>
    <xf numFmtId="0" fontId="0" fillId="43" borderId="47" applyAlignment="1" pivotButton="0" quotePrefix="0" xfId="0">
      <alignment horizontal="center"/>
    </xf>
    <xf numFmtId="0" fontId="51" fillId="43" borderId="108" applyAlignment="1" pivotButton="0" quotePrefix="0" xfId="0">
      <alignment horizontal="center"/>
    </xf>
    <xf numFmtId="0" fontId="0" fillId="0" borderId="32" pivotButton="0" quotePrefix="0" xfId="0"/>
    <xf numFmtId="0" fontId="0" fillId="0" borderId="31" pivotButton="0" quotePrefix="0" xfId="0"/>
    <xf numFmtId="0" fontId="0" fillId="47" borderId="46" applyAlignment="1" pivotButton="0" quotePrefix="0" xfId="0">
      <alignment horizontal="center"/>
    </xf>
    <xf numFmtId="0" fontId="51" fillId="47" borderId="107" applyAlignment="1" pivotButton="0" quotePrefix="0" xfId="0">
      <alignment horizontal="center"/>
    </xf>
    <xf numFmtId="0" fontId="0" fillId="0" borderId="33" pivotButton="0" quotePrefix="0" xfId="0"/>
    <xf numFmtId="0" fontId="0" fillId="0" borderId="22" pivotButton="0" quotePrefix="0" xfId="0"/>
    <xf numFmtId="0" fontId="31" fillId="36" borderId="95" applyAlignment="1" pivotButton="0" quotePrefix="0" xfId="0">
      <alignment horizontal="center" vertical="center"/>
    </xf>
    <xf numFmtId="0" fontId="0" fillId="36" borderId="44" applyAlignment="1" pivotButton="0" quotePrefix="0" xfId="0">
      <alignment horizontal="center" vertical="center"/>
    </xf>
    <xf numFmtId="0" fontId="0" fillId="36" borderId="108" applyAlignment="1" pivotButton="0" quotePrefix="0" xfId="0">
      <alignment horizontal="center" vertical="center"/>
    </xf>
    <xf numFmtId="0" fontId="0" fillId="37" borderId="107" applyAlignment="1" pivotButton="0" quotePrefix="0" xfId="0">
      <alignment horizontal="center" vertical="center"/>
    </xf>
    <xf numFmtId="0" fontId="29" fillId="34" borderId="44" applyAlignment="1" pivotButton="0" quotePrefix="0" xfId="0">
      <alignment horizontal="center" vertical="center"/>
    </xf>
    <xf numFmtId="0" fontId="38" fillId="46" borderId="95" applyAlignment="1" pivotButton="0" quotePrefix="0" xfId="0">
      <alignment horizontal="center" vertical="center"/>
    </xf>
    <xf numFmtId="0" fontId="48" fillId="45" borderId="95" applyAlignment="1" pivotButton="0" quotePrefix="0" xfId="0">
      <alignment horizontal="center" vertical="center"/>
    </xf>
    <xf numFmtId="0" fontId="41" fillId="45" borderId="95" applyAlignment="1" pivotButton="0" quotePrefix="0" xfId="0">
      <alignment horizontal="center" vertical="center"/>
    </xf>
  </cellXfs>
  <cellStyles count="43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Lien hypertexte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Ludo</author>
  </authors>
  <commentList>
    <comment ref="C19" authorId="0" shapeId="0">
      <text>
        <t>Ludo:
Utilise Scope 2 Location-Based (C16) conformément à ESRS E1 / GHG Protocol. Cohérent avec le fichier ESG Social.</t>
      </text>
    </comment>
  </commentList>
</comments>
</file>

<file path=xl/comments/comment2.xml><?xml version="1.0" encoding="utf-8"?>
<comments xmlns="http://schemas.openxmlformats.org/spreadsheetml/2006/main">
  <authors>
    <author>Ludo</author>
  </authors>
  <commentList>
    <comment ref="D7" authorId="0" shapeId="0">
      <text>
        <t>Ludo:
Source: EU ETS Q1 2026 avg ~€75.36/tCO2 (CBAM certificate price, Commission européenne, 07/04/2026). Platts: €77.64 Q1 2026. Dec-2026 futures: €72.12 (02/04/2026). Valeur arrondie à 75€.</t>
      </text>
    </comment>
  </commentList>
</comments>
</file>

<file path=xl/comments/comment3.xml><?xml version="1.0" encoding="utf-8"?>
<comments xmlns="http://schemas.openxmlformats.org/spreadsheetml/2006/main">
  <authors>
    <author>Ludo</author>
  </authors>
  <commentList>
    <comment ref="E30" authorId="0" shapeId="0">
      <text>
        <t>Ludo:
Saisie manuelle : % contenu recyclé. Source : fiche technique produit ou audit fournisseur.</t>
      </text>
    </comment>
    <comment ref="E31" authorId="0" shapeId="0">
      <text>
        <t>Ludo:
Saisie manuelle : durée de vie estimée en années selon conditions d'usage normales.</t>
      </text>
    </comment>
    <comment ref="E32" authorId="0" shapeId="0">
      <text>
        <t>Ludo:
Score réparabilité 1-10. Obligatoire pour catégories ESPR à partir de 2026. Voir lignes directrices Commission.</t>
      </text>
    </comment>
    <comment ref="E33" authorId="0" shapeId="0">
      <text>
        <t>Ludo:
O ou N. Si OUI, lister les substances SVHC dépassées 0,1% masse (règlement REACH).</t>
      </text>
    </comment>
    <comment ref="E34" authorId="0" shapeId="0">
      <text>
        <t>Ludo:
Instructions de recyclage pour l'utilisateur final. Format texte libre ou référence ISO 14021.</t>
      </text>
    </comment>
    <comment ref="E35" authorId="0" shapeId="0">
      <text>
        <t>Ludo:
Code pays ISO 3166-2 (ex: FR, DE, CN). Obligatoire ESPR Art.7(2).</t>
      </text>
    </comment>
  </commentList>
</comments>
</file>

<file path=xl/comments/comment4.xml><?xml version="1.0" encoding="utf-8"?>
<comments xmlns="http://schemas.openxmlformats.org/spreadsheetml/2006/main">
  <authors>
    <author>Ludo</author>
  </authors>
  <commentList>
    <comment ref="E10" authorId="0" shapeId="0">
      <text>
        <t>Ludo:
% CA lié aux combustibles fossiles. Saisie manuelle requise — vérifier registre EU Taxonomy combustibles fossiles (Annexe II Délégué 2022/1214).</t>
      </text>
    </comment>
    <comment ref="E12" authorId="0" shapeId="0">
      <text>
        <t>Ludo:
Donnée manquante : la consommation énergétique totale (MWh) n'est pas disponible dans Liaison_Donnees de ce fichier. Ajouter le champ ou lier au fichier ESG Social.</t>
      </text>
    </comment>
    <comment ref="E13" authorId="0" shapeId="0">
      <text>
        <t>Ludo:
Saisie : O ou N selon zone Natura 2000, RAMSAR ou liste rouge UICN dans les périmètres d'activité.</t>
      </text>
    </comment>
    <comment ref="E14" authorId="0" shapeId="0">
      <text>
        <t>Ludo:
Rejets dans l'eau (tonnes/an). Source : DREAL / INERIS si applicable. Saisie manuelle.</t>
      </text>
    </comment>
    <comment ref="E15" authorId="0" shapeId="0">
      <text>
        <t>Ludo:
Ratio déchets dangereux (%). Source : registre déchets BSDD / rapport annuel.</t>
      </text>
    </comment>
    <comment ref="E16" authorId="0" shapeId="0">
      <text>
        <t>Ludo:
Nombre de violations UNGC/Directives OCDE identifiées. 0 si aucune.</t>
      </text>
    </comment>
    <comment ref="E17" authorId="0" shapeId="0">
      <text>
        <t>Ludo:
O ou N selon existence d'un dispositif de conformité UNGC/OCDE (code éthique, comité éthique, etc.).</t>
      </text>
    </comment>
    <comment ref="E18" authorId="0" shapeId="0">
      <text>
        <t>Ludo:
Écart brut de rémunération H/F (%). Source : ESRS S1 ou index Egapro. Obligatoire SFDR RTS Tableau 1 #12.</t>
      </text>
    </comment>
    <comment ref="E19" authorId="0" shapeId="0">
      <text>
        <t>Ludo:
% femmes dans instances dirigeantes (CA, Comex). Source : rapport gouv. / ESRS G1.</t>
      </text>
    </comment>
    <comment ref="E20" authorId="0" shapeId="0">
      <text>
        <t>Ludo:
O ou N. Armes controversées : mines antipersonnel, bombes à sous-munitions, armes chimiques/biologiques (Traité d'Ottawa, Convention Oslo).</t>
      </text>
    </comment>
    <comment ref="E26" authorId="0" shapeId="0">
      <text>
        <t>Ludo:
OpEx aligné Taxonomie : champ non disponible dans Liaison_Donnees. À saisir manuellement (%). Règlement Taxonomie UE 2020/852, Art. 8.</t>
      </text>
    </comment>
    <comment ref="F26" authorId="0" shapeId="0">
      <text>
        <t>Ludo:
Seuil Durable : ≥70% pour classification Fonds Durable SFDR Art. 9.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F1" sqref="F1:F1048576"/>
    </sheetView>
  </sheetViews>
  <sheetFormatPr baseColWidth="10" defaultRowHeight="15"/>
  <cols>
    <col width="17.7109375" customWidth="1" min="2" max="2"/>
    <col width="49.7109375" customWidth="1" min="3" max="3"/>
    <col width="43.140625" customWidth="1" min="4" max="4"/>
    <col width="64.42578125" customWidth="1" min="5" max="5"/>
    <col width="44.140625" customWidth="1" min="6" max="6"/>
  </cols>
  <sheetData>
    <row r="1">
      <c r="A1" s="3" t="inlineStr">
        <is>
          <t>Turn #</t>
        </is>
      </c>
      <c r="B1" s="3" t="inlineStr">
        <is>
          <t>Date</t>
        </is>
      </c>
      <c r="C1" s="3" t="inlineStr">
        <is>
          <t>User Request</t>
        </is>
      </c>
      <c r="D1" s="3" t="inlineStr">
        <is>
          <t>Action Taken</t>
        </is>
      </c>
      <c r="E1" s="3" t="inlineStr">
        <is>
          <t>Details</t>
        </is>
      </c>
      <c r="F1" s="3" t="inlineStr">
        <is>
          <t>Outcome</t>
        </is>
      </c>
    </row>
    <row r="2" ht="135" customHeight="1">
      <c r="A2" t="n">
        <v>1</v>
      </c>
      <c r="B2" s="76" t="n">
        <v>46360</v>
      </c>
      <c r="C2" s="404" t="inlineStr">
        <is>
          <t>Audit complet du fichier CarbonCo_Finance_DPP_v1_3.xlsx (9 onglets) : formules, liens inter-feuilles, cohérence, formatage visuel. Référence croisée avec fichier ESG Social.</t>
        </is>
      </c>
      <c r="D2" s="404" t="inlineStr">
        <is>
          <t>Audit exhaustif → 11 issues détectées, 9 corrections appliquées, formatage visuel professionnel vert/blanc/bleu sur tous les onglets, prix EU ETS mis à jour à 75€.</t>
        </is>
      </c>
      <c r="E2" s="404" t="inlineStr">
        <is>
          <t>Corrections: (1) Finance_Climat D17:D26 ref D14→D15 prix carbone, (2) E17:E26 hardcode 0.042→ref Liaison, (3) F/G colonnes ROI/Payback réécrites, (4) Benchmark headers réalignés + INDEX vérifié avec offset _Ref_Secteurs, (5) QC G20 E32→E30 + G18 &lt;&gt;''→&gt;0 + synthèse F→G, (6) SFDR E12 note énergie manquante, (7) SFDR E30 score corrigé (exclut zéros), (8) Couverture date 12/04/2026, (9) Liaison C19 note S2 LB. EU ETS: 70→75€ (source CBAM Q1 2026). Formatage: thème CarbonCo vert (#1B5E20/#2E7D32/#4CAF50), inputs bleu, calcs gris.</t>
        </is>
      </c>
      <c r="F2" s="404" t="inlineStr">
        <is>
          <t>Audit terminé. Formules vérifiées post-correction. Prix projections 75→150€ sur 10 ans. QC: 2 OK / 4 ERREUR / 6 Alerte (attendu avec données à zéro). Prêt pour saisie des données Liaison_Donnees.</t>
        </is>
      </c>
    </row>
    <row r="3" ht="90" customHeight="1">
      <c r="A3" t="n">
        <v>2</v>
      </c>
      <c r="B3" s="76" t="n">
        <v>46360</v>
      </c>
      <c r="C3" s="404" t="inlineStr">
        <is>
          <t>L'utilisateur a signalé un décalage entre en-têtes et données dans _Ref_Secteurs. Demande de correction en décalant les données vers la gauche.</t>
        </is>
      </c>
      <c r="D3" s="404" t="inlineStr">
        <is>
          <t>Déplacé données C5:I20 → B5:H20 pour aligner avec en-têtes B4:H4. Mis à jour toutes les formules INDEX/MATCH dans Benchmark. Corrigé type mismatch MATCH (texte vs nombre) avec D5*1.</t>
        </is>
      </c>
      <c r="E3" s="404" t="inlineStr">
        <is>
          <t>Colonnes décalées : B=Code NAF, C=Secteur, D=Intensité médiane, E=Top 25%, F=Intensité/ETP, G=Part S3%, H=Part ENR%. Formules Benchmark E8:E11 et F8:F9 toutes recâblées vers les nouvelles colonnes. MATCH utilise _Ref!B5:B20 avec D5*1 pour conversion texte→nombre. Colonne I orpheline (sans en-tête) effacée.</t>
        </is>
      </c>
      <c r="F3" s="404" t="inlineStr">
        <is>
          <t>Alignement en-têtes/données correct. Benchmark vérifié : E8=12 (médiane), F8=6 (top25%), E9=2.1, E10=78, E11=35. Positions et écarts calculés correctement.</t>
        </is>
      </c>
    </row>
    <row r="4" ht="120" customHeight="1">
      <c r="A4" t="n">
        <v>3</v>
      </c>
      <c r="B4" s="76" t="n">
        <v>46360</v>
      </c>
      <c r="C4" s="404" t="inlineStr">
        <is>
          <t>Vérification et correction de DPP_Produits, Benchmark et SFDR_Report : erreurs, décalages, mise en forme.</t>
        </is>
      </c>
      <c r="D4" s="404" t="inlineStr">
        <is>
          <t>DPP: titre A16 restauré, '1' parasites A18:A24 supprimés, formatage sections B/C unifié, notes saisie ajoutées. Benchmark: D17 MATCH corrigé (C→B), secteur désormais affiché. SFDR: F24:F26 seuil 70 (vs doublon liaison), H24:H26 recalculées en comparant E vs F, notes ajoutées sur 8 champs PAI manuels.</t>
        </is>
      </c>
      <c r="E4" s="404" t="inlineStr">
        <is>
          <t>DPP: Béblon A16='B — CALCUL EMPREINTE CARBONE PAR PRODUIT (kgCO2e / unité)'. Benchmark D17=INDEX(C5:C20,MATCH(D5*1,B5:B20)) → 'Services informatiques / ESN'. SFDR F24=F25=F26=70 (seuil SFDR Art.9). Formules H24:H26 lisent E (valeur réelle) et comparent à F (seuil 70). OpEx SFDR E26 = saisie manuelle (champ absent Liaison).</t>
        </is>
      </c>
      <c r="F4" s="404" t="inlineStr">
        <is>
          <t>Toutes les formules vérifiées. Benchmark D17='Services informatiques / ESN'. Taxonomie SFDR : 3 lignes '❌ Non classifiable' (attendu, valeurs = 0). Scorecard PAI : 28.6/100, grade D (attendu sans données).</t>
        </is>
      </c>
    </row>
    <row r="5" ht="90" customHeight="1">
      <c r="A5" t="n">
        <v>4</v>
      </c>
      <c r="B5" s="76" t="n">
        <v>46360</v>
      </c>
      <c r="C5" s="404" t="inlineStr">
        <is>
          <t>Navigation non fonctionnelle : boutons '🏠 Sommaire' présents sur tous les onglets mais sans hyperlien. Liens du Sommaire vers les onglets également manquants.</t>
        </is>
      </c>
      <c r="D5" s="404" t="inlineStr">
        <is>
          <t>Ajouté hyperliens sur J1 de 8 onglets (→ Sommaire!A1). Ajouté hyperliens C4:C10 du Sommaire (→ chaque onglet). Ajouté lien Couverture J1 → Sommaire. Ajouté lien H1 Sommaire → Couverture.</t>
        </is>
      </c>
      <c r="E5" s="404" t="inlineStr">
        <is>
          <t>15 hyperliens configurés : Couverture!J1, Liaison_Donnees!J1, Finance_Climat!J1, DPP_Produits!J1, Benchmark!J1, SFDR_Report!J1, _Ref_Secteurs!J1, Controles_QC!J1 → Sommaire!A1. Sommaire C4:C10 → onglet correspondant. Texte bleu souligné sur Sommaire, blanc sans soulignement sur onglets.</t>
        </is>
      </c>
      <c r="F5" s="404" t="inlineStr">
        <is>
          <t>Tous hyperliens vérifiés actifs. Cliquer sur '🏠 Sommaire' sur n'importe quel onglet renvoie bien au Sommaire.</t>
        </is>
      </c>
    </row>
    <row r="6" ht="120" customHeight="1">
      <c r="A6" t="n">
        <v>5</v>
      </c>
      <c r="B6" s="76" t="n">
        <v>46360</v>
      </c>
      <c r="C6" s="404" t="inlineStr">
        <is>
          <t>Mise en forme qualitative de Finance_Climat sans modifier l'architecture. Vérification des formules.</t>
        </is>
      </c>
      <c r="D6" s="404" t="inlineStr">
        <is>
          <t>En-têtes sections étendus A:H uniformément. Lignes alternantes nettoyées (blanc/gris). Section C ROI : violet supprimé, saisies bleu/calculs gris italic. Formats numériques (#,##0€, 0.0%). Bordures box par section. Largeurs colonnes ajustées. Gel des volets ligne 5.</t>
        </is>
      </c>
      <c r="E6" s="404" t="inlineStr">
        <is>
          <t>Formules vérifiées : D10=IF(D8-D9&gt;0,(D8-D9)*D7,0) ok. D12=D10+D11 ok. D27=SUM(F17:F26) ok. D50=IF(D45&gt;0,D48/D45*100,0) ok. D52 statut Paris ok. C41/D41/E41 SUM ok. Aucune erreur détectée.</t>
        </is>
      </c>
      <c r="F6" s="404" t="inlineStr">
        <is>
          <t>Rendu visuel vérifié par capture. 4 sections vertes D1-D4 bien délimitées avec bordures box. Saisies bleues, calculs gris italic, totaux vert clair. Statut D52 = '❌ Non aligné' (attendu, pas de données).</t>
        </is>
      </c>
    </row>
    <row r="7" ht="60" customHeight="1">
      <c r="A7" t="n">
        <v>5</v>
      </c>
      <c r="B7" s="76" t="n">
        <v>46360</v>
      </c>
      <c r="C7" s="404" t="inlineStr">
        <is>
          <t>Mise en forme qualitative Finance_Climat sans modifier l'architecture. Corrections visuelles ciblées.</t>
        </is>
      </c>
      <c r="D7" s="404" t="inlineStr">
        <is>
          <t>Fix B31:B40 alternance restaurée. Row 52 unifiée. Rows 7/45 restaurées. Colonnes B/C élargies. Notes gris 10pt. Formats numériques. Gel ligne 6.</t>
        </is>
      </c>
      <c r="E7" s="404" t="inlineStr">
        <is>
          <t>Aucune erreur formule. D10, D27, D52 vérifiées OK. Capture visuelle validée.</t>
        </is>
      </c>
      <c r="F7" s="404" t="inlineStr">
        <is>
          <t>Rendu professionnel confirmé. 4 sections vert bien séparées, saisies bleues, calculs gris, totaux vert clair.</t>
        </is>
      </c>
    </row>
    <row r="8">
      <c r="A8" t="n">
        <v>6</v>
      </c>
      <c r="B8" t="inlineStr">
        <is>
          <t>2026-04-12</t>
        </is>
      </c>
      <c r="C8" t="inlineStr">
        <is>
          <t>Block A liaison hardening</t>
        </is>
      </c>
      <c r="D8" t="inlineStr">
        <is>
          <t>Corrected misleading source references in Liaison_Donnees and clarified that the aggregated total uses Scope 2 location-based values.</t>
        </is>
      </c>
      <c r="E8" t="inlineStr">
        <is>
          <t>Updated Scope, energy, taxonomie, CBAM and baseline-year source notes to match the real source workbook.</t>
        </is>
      </c>
      <c r="F8" t="inlineStr">
        <is>
          <t>Finance DPP liaison sheet is now structurally aligned with the Carbon source workbook.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B5E20"/>
    <outlinePr summaryBelow="1" summaryRight="1"/>
    <pageSetUpPr/>
  </sheetPr>
  <dimension ref="B1:J19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3.85546875" customWidth="1" min="1" max="1"/>
    <col width="53.28515625" customWidth="1" min="2" max="2"/>
    <col width="38.140625" customWidth="1" min="3" max="3"/>
    <col width="3.85546875" customWidth="1" min="4" max="4"/>
    <col width="3" customWidth="1" min="5" max="5"/>
  </cols>
  <sheetData>
    <row r="1">
      <c r="J1" s="297" t="inlineStr">
        <is>
          <t>🏠 Sommaire</t>
        </is>
      </c>
    </row>
    <row r="3" ht="50.1" customHeight="1" thickBot="1">
      <c r="B3" s="4" t="inlineStr">
        <is>
          <t>🌍  CarbonCo</t>
        </is>
      </c>
    </row>
    <row r="4" ht="30" customHeight="1" thickBot="1">
      <c r="B4" s="405" t="inlineStr">
        <is>
          <t>Fichier Finance Climat, DPP &amp; Investisseurs</t>
        </is>
      </c>
      <c r="C4" s="406" t="n"/>
      <c r="D4" s="407" t="n"/>
    </row>
    <row r="6" ht="19.5" customHeight="1">
      <c r="B6" s="5" t="inlineStr">
        <is>
          <t>FINANCE CLIMAT · DIGITAL PRODUCT PASSPORT · BENCHMARK · SFDR</t>
        </is>
      </c>
    </row>
    <row r="7" ht="15" customHeight="1">
      <c r="B7" s="6" t="inlineStr">
        <is>
          <t>Green CapEx  |  PCF ISO 14067  |  PAI SFDR  |  Benchmarking sectoriel ADEME</t>
        </is>
      </c>
    </row>
    <row r="8" ht="15.75" customHeight="1" thickBot="1"/>
    <row r="9" ht="15" customHeight="1">
      <c r="B9" s="7" t="inlineStr">
        <is>
          <t>Raison sociale</t>
        </is>
      </c>
      <c r="C9" s="11" t="inlineStr">
        <is>
          <t>À compléter</t>
        </is>
      </c>
    </row>
    <row r="10" ht="15" customHeight="1">
      <c r="B10" s="8" t="inlineStr">
        <is>
          <t>Exercice</t>
        </is>
      </c>
      <c r="C10" s="12" t="inlineStr">
        <is>
          <t>01/01/2025 — 31/12/2025</t>
        </is>
      </c>
    </row>
    <row r="11" ht="15" customHeight="1">
      <c r="B11" s="9" t="inlineStr">
        <is>
          <t>Version</t>
        </is>
      </c>
      <c r="C11" s="13" t="inlineStr">
        <is>
          <t>v1.0</t>
        </is>
      </c>
    </row>
    <row r="12" ht="15" customHeight="1" thickBot="1">
      <c r="B12" s="10" t="inlineStr">
        <is>
          <t>Date de génération</t>
        </is>
      </c>
      <c r="C12" s="14" t="n">
        <v>46360</v>
      </c>
    </row>
    <row r="14" ht="15.75" customHeight="1" thickBot="1"/>
    <row r="15" ht="15" customHeight="1">
      <c r="B15" s="408" t="inlineStr">
        <is>
          <t>✅  Finance climat conforme ESRS E1-9 / TCFD / Accord de Paris</t>
        </is>
      </c>
      <c r="C15" s="409" t="n"/>
      <c r="D15" s="410" t="n"/>
    </row>
    <row r="16" ht="15" customHeight="1">
      <c r="B16" s="411" t="inlineStr">
        <is>
          <t>✅  Digital Product Passport conforme ESPR (EU) 2024/1781 / ISO 14067</t>
        </is>
      </c>
      <c r="C16" s="412" t="n"/>
      <c r="D16" s="413" t="n"/>
    </row>
    <row r="17" ht="15" customHeight="1" thickBot="1">
      <c r="B17" s="414" t="inlineStr">
        <is>
          <t>✅  SFDR PAI — Règlement (UE) 2019/2088 révisé (accord déc. 2025)</t>
        </is>
      </c>
      <c r="C17" s="415" t="n"/>
      <c r="D17" s="416" t="n"/>
    </row>
    <row r="19" ht="15" customHeight="1">
      <c r="B19" s="24" t="inlineStr">
        <is>
          <t>🔒  Confidentiel — Usage interne uniquement</t>
        </is>
      </c>
    </row>
  </sheetData>
  <mergeCells count="8">
    <mergeCell ref="B3:D3"/>
    <mergeCell ref="B19:D19"/>
    <mergeCell ref="B4:D4"/>
    <mergeCell ref="B17:D17"/>
    <mergeCell ref="B15:D15"/>
    <mergeCell ref="B7:D7"/>
    <mergeCell ref="B6:D6"/>
    <mergeCell ref="B16:D16"/>
  </mergeCells>
  <hyperlinks>
    <hyperlink ref="J1" location="Sommaire!A1" tooltip="Aller au Sommaire" display="🏠 Sommaire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B5E20"/>
    <outlinePr summaryBelow="1" summaryRight="1"/>
    <pageSetUpPr/>
  </sheetPr>
  <dimension ref="A1:H10"/>
  <sheetViews>
    <sheetView showGridLines="0" zoomScaleNormal="100" workbookViewId="0">
      <selection activeCell="H1" sqref="H1"/>
    </sheetView>
  </sheetViews>
  <sheetFormatPr baseColWidth="10" defaultColWidth="8.7109375" defaultRowHeight="15"/>
  <cols>
    <col width="2.85546875" customWidth="1" min="1" max="1"/>
    <col width="5.7109375" customWidth="1" min="2" max="2"/>
    <col width="28.5703125" customWidth="1" min="3" max="3"/>
    <col width="61" customWidth="1" min="4" max="4"/>
    <col width="19" customWidth="1" min="5" max="6"/>
    <col width="3" customWidth="1" min="7" max="7"/>
    <col width="17.7109375" customWidth="1" min="8" max="8"/>
  </cols>
  <sheetData>
    <row r="1" ht="35.1" customHeight="1" thickBot="1">
      <c r="A1" s="417" t="inlineStr">
        <is>
          <t>SOMMAIRE — FINANCE CLIMAT, DPP &amp; INVESTISSEURS</t>
        </is>
      </c>
      <c r="B1" s="406" t="n"/>
      <c r="C1" s="406" t="n"/>
      <c r="D1" s="406" t="n"/>
      <c r="E1" s="406" t="n"/>
      <c r="F1" s="407" t="n"/>
      <c r="H1" s="309" t="inlineStr">
        <is>
          <t>📄 Couverture</t>
        </is>
      </c>
    </row>
    <row r="2" ht="15.75" customHeight="1" thickBot="1"/>
    <row r="3" ht="24.95" customHeight="1" thickBot="1">
      <c r="B3" s="301" t="inlineStr">
        <is>
          <t>Onglet</t>
        </is>
      </c>
      <c r="C3" s="406" t="n"/>
      <c r="D3" s="303" t="inlineStr">
        <is>
          <t>Description</t>
        </is>
      </c>
      <c r="E3" s="303" t="inlineStr">
        <is>
          <t>Catégorie</t>
        </is>
      </c>
      <c r="F3" s="304" t="inlineStr">
        <is>
          <t>Statut</t>
        </is>
      </c>
    </row>
    <row r="4" ht="21.95" customHeight="1">
      <c r="B4" s="298" t="inlineStr">
        <is>
          <t>📄</t>
        </is>
      </c>
      <c r="C4" s="305" t="inlineStr">
        <is>
          <t>Liaison_Donnees</t>
        </is>
      </c>
      <c r="D4" s="299" t="inlineStr">
        <is>
          <t>Import données clés depuis Calcul Carbone v2</t>
        </is>
      </c>
      <c r="E4" s="299" t="inlineStr">
        <is>
          <t>Configuration</t>
        </is>
      </c>
      <c r="F4" s="300" t="inlineStr">
        <is>
          <t>⬜ À remplir</t>
        </is>
      </c>
    </row>
    <row r="5" ht="21.95" customHeight="1">
      <c r="B5" s="31" t="inlineStr">
        <is>
          <t>💰</t>
        </is>
      </c>
      <c r="C5" s="306" t="inlineStr">
        <is>
          <t>Finance_Climat</t>
        </is>
      </c>
      <c r="D5" s="32" t="inlineStr">
        <is>
          <t>Exposition carbone, projection prix, ROI décarbonation, Green CapEx</t>
        </is>
      </c>
      <c r="E5" s="32" t="inlineStr">
        <is>
          <t>Finance</t>
        </is>
      </c>
      <c r="F5" s="33" t="inlineStr">
        <is>
          <t>⬜ À remplir</t>
        </is>
      </c>
    </row>
    <row r="6" ht="21.95" customHeight="1">
      <c r="B6" s="28" t="inlineStr">
        <is>
          <t>📦</t>
        </is>
      </c>
      <c r="C6" s="307" t="inlineStr">
        <is>
          <t>DPP_Produits</t>
        </is>
      </c>
      <c r="D6" s="29" t="inlineStr">
        <is>
          <t>Product Carbon Footprint par produit — ESPR / ISO 14067</t>
        </is>
      </c>
      <c r="E6" s="29" t="inlineStr">
        <is>
          <t>DPP</t>
        </is>
      </c>
      <c r="F6" s="30" t="inlineStr">
        <is>
          <t>⬜ À remplir</t>
        </is>
      </c>
    </row>
    <row r="7" ht="21.95" customHeight="1">
      <c r="B7" s="31" t="inlineStr">
        <is>
          <t>📊</t>
        </is>
      </c>
      <c r="C7" s="306" t="inlineStr">
        <is>
          <t>Benchmark</t>
        </is>
      </c>
      <c r="D7" s="32" t="inlineStr">
        <is>
          <t>Comparaison sectorielle — ADEME / moyennes marché</t>
        </is>
      </c>
      <c r="E7" s="32" t="inlineStr">
        <is>
          <t>Analyse</t>
        </is>
      </c>
      <c r="F7" s="33" t="inlineStr">
        <is>
          <t>⬜ À remplir</t>
        </is>
      </c>
    </row>
    <row r="8" ht="21.95" customHeight="1">
      <c r="B8" s="28" t="inlineStr">
        <is>
          <t>🏦</t>
        </is>
      </c>
      <c r="C8" s="307" t="inlineStr">
        <is>
          <t>SFDR_Report</t>
        </is>
      </c>
      <c r="D8" s="29" t="inlineStr">
        <is>
          <t>Indicateurs PAI pour investisseurs — SFDR révisé</t>
        </is>
      </c>
      <c r="E8" s="29" t="inlineStr">
        <is>
          <t>Investisseurs</t>
        </is>
      </c>
      <c r="F8" s="30" t="inlineStr">
        <is>
          <t>⬜ À remplir</t>
        </is>
      </c>
    </row>
    <row r="9" ht="21.95" customHeight="1">
      <c r="B9" s="31" t="inlineStr">
        <is>
          <t>📋</t>
        </is>
      </c>
      <c r="C9" s="306" t="inlineStr">
        <is>
          <t>_Ref_Secteurs</t>
        </is>
      </c>
      <c r="D9" s="32" t="inlineStr">
        <is>
          <t>Table de référence sectorielle (benchmarks ADEME)</t>
        </is>
      </c>
      <c r="E9" s="32" t="inlineStr">
        <is>
          <t>Référentiel</t>
        </is>
      </c>
      <c r="F9" s="33" t="inlineStr">
        <is>
          <t>Auto</t>
        </is>
      </c>
    </row>
    <row r="10" ht="21.95" customHeight="1" thickBot="1">
      <c r="B10" s="34" t="inlineStr">
        <is>
          <t>🔍</t>
        </is>
      </c>
      <c r="C10" s="308" t="inlineStr">
        <is>
          <t>Controles_QC</t>
        </is>
      </c>
      <c r="D10" s="35" t="inlineStr">
        <is>
          <t>Contrôles qualité automatiques — 12 vérifications</t>
        </is>
      </c>
      <c r="E10" s="35" t="inlineStr">
        <is>
          <t>Audit</t>
        </is>
      </c>
      <c r="F10" s="36" t="inlineStr">
        <is>
          <t>Auto</t>
        </is>
      </c>
    </row>
  </sheetData>
  <mergeCells count="2">
    <mergeCell ref="B3:C3"/>
    <mergeCell ref="A1:F1"/>
  </mergeCells>
  <hyperlinks>
    <hyperlink ref="H1" location="Couverture!A1" tooltip="Aller à la Couverture" display="📄 Couverture"/>
    <hyperlink ref="C4" location="Liaison_Donnees!A1" tooltip="Ouvrir l'onglet Liaison_Donnees" display="Liaison_Donnees"/>
    <hyperlink ref="C5" location="Finance_Climat!A1" tooltip="Ouvrir l'onglet Finance_Climat" display="Finance_Climat"/>
    <hyperlink ref="C6" location="DPP_Produits!A1" tooltip="Ouvrir l'onglet DPP_Produits" display="DPP_Produits"/>
    <hyperlink ref="C7" location="Benchmark!A1" tooltip="Ouvrir l'onglet Benchmark" display="Benchmark"/>
    <hyperlink ref="C8" location="SFDR_Report!A1" tooltip="Ouvrir l'onglet SFDR_Report" display="SFDR_Report"/>
    <hyperlink ref="C9" location="_Ref_Secteurs!A1" tooltip="Ouvrir l'onglet _Ref_Secteurs" display="_Ref_Secteurs"/>
    <hyperlink ref="C10" location="Controles_QC!A1" tooltip="Ouvrir l'onglet Controles_QC" display="Controles_QC"/>
  </hyperlink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00695C"/>
    <outlinePr summaryBelow="1" summaryRight="1"/>
    <pageSetUpPr/>
  </sheetPr>
  <dimension ref="A1:J30"/>
  <sheetViews>
    <sheetView showGridLines="0" zoomScaleNormal="100" workbookViewId="0">
      <selection activeCell="J1" sqref="J1"/>
    </sheetView>
  </sheetViews>
  <sheetFormatPr baseColWidth="10" defaultColWidth="8.7109375" defaultRowHeight="15"/>
  <cols>
    <col width="2.85546875" customWidth="1" min="1" max="1"/>
    <col width="47.5703125" customWidth="1" min="2" max="2"/>
    <col width="22.85546875" customWidth="1" min="3" max="3"/>
    <col width="15.28515625" customWidth="1" min="4" max="4"/>
    <col width="30.42578125" customWidth="1" min="5" max="5"/>
    <col width="3" customWidth="1" min="6" max="6"/>
    <col width="16.140625" customWidth="1" min="10" max="10"/>
  </cols>
  <sheetData>
    <row r="1" ht="15" customHeight="1">
      <c r="J1" s="310" t="inlineStr">
        <is>
          <t>🏠 Sommaire</t>
        </is>
      </c>
    </row>
    <row r="2" ht="35.1" customHeight="1">
      <c r="A2" s="272" t="inlineStr">
        <is>
          <t>LIAISON DONNÉES — Import depuis CarbonCo_Calcul_Carbone_v2.xlsx</t>
        </is>
      </c>
    </row>
    <row r="3" ht="15" customHeight="1">
      <c r="A3" s="38" t="inlineStr">
        <is>
          <t>Saisir ici les valeurs clés. Ces cellules alimentent automatiquement tous les onglets de ce fichier.</t>
        </is>
      </c>
    </row>
    <row r="4" ht="15.75" customHeight="1" thickBot="1"/>
    <row r="5" ht="24.95" customHeight="1" thickBot="1">
      <c r="B5" s="39" t="inlineStr">
        <is>
          <t>Donnée</t>
        </is>
      </c>
      <c r="C5" s="40" t="inlineStr">
        <is>
          <t>Valeur</t>
        </is>
      </c>
      <c r="D5" s="40" t="inlineStr">
        <is>
          <t>Unité</t>
        </is>
      </c>
      <c r="E5" s="41" t="inlineStr">
        <is>
          <t>Source</t>
        </is>
      </c>
    </row>
    <row r="6" ht="15" customHeight="1">
      <c r="B6" s="418" t="inlineStr">
        <is>
          <t>ENTREPRISE</t>
        </is>
      </c>
      <c r="C6" s="409" t="n"/>
      <c r="D6" s="409" t="n"/>
      <c r="E6" s="410" t="n"/>
    </row>
    <row r="7" ht="15" customHeight="1">
      <c r="B7" s="47" t="inlineStr">
        <is>
          <t>Raison sociale</t>
        </is>
      </c>
      <c r="C7" s="50" t="n"/>
      <c r="D7" s="56" t="inlineStr">
        <is>
          <t>Texte</t>
        </is>
      </c>
      <c r="E7" s="60" t="inlineStr">
        <is>
          <t>Paramètres!B4</t>
        </is>
      </c>
    </row>
    <row r="8" ht="15" customHeight="1">
      <c r="B8" s="48" t="inlineStr">
        <is>
          <t>Année de reporting</t>
        </is>
      </c>
      <c r="C8" s="366" t="n">
        <v>2025</v>
      </c>
      <c r="D8" s="57" t="inlineStr">
        <is>
          <t>Année</t>
        </is>
      </c>
      <c r="E8" s="64" t="inlineStr">
        <is>
          <t>Paramètres!B7</t>
        </is>
      </c>
    </row>
    <row r="9" ht="15" customHeight="1">
      <c r="B9" s="49" t="inlineStr">
        <is>
          <t>Chiffre d'affaires net (€)</t>
        </is>
      </c>
      <c r="C9" s="52" t="n">
        <v>0</v>
      </c>
      <c r="D9" s="58" t="inlineStr">
        <is>
          <t>€</t>
        </is>
      </c>
      <c r="E9" s="62" t="inlineStr">
        <is>
          <t>Paramètres!B9</t>
        </is>
      </c>
    </row>
    <row r="10" ht="15" customHeight="1">
      <c r="B10" s="48" t="inlineStr">
        <is>
          <t>Effectifs (ETP)</t>
        </is>
      </c>
      <c r="C10" s="52" t="n">
        <v>0</v>
      </c>
      <c r="D10" s="56" t="inlineStr">
        <is>
          <t>ETP</t>
        </is>
      </c>
      <c r="E10" s="60" t="inlineStr">
        <is>
          <t>Paramètres!B11</t>
        </is>
      </c>
    </row>
    <row r="11" ht="15" customHeight="1">
      <c r="B11" s="47" t="inlineStr">
        <is>
          <t>Code NAF</t>
        </is>
      </c>
      <c r="C11" s="52" t="n"/>
      <c r="D11" s="56" t="inlineStr">
        <is>
          <t>Code</t>
        </is>
      </c>
      <c r="E11" s="61" t="inlineStr">
        <is>
          <t>Paramètres!C6</t>
        </is>
      </c>
    </row>
    <row r="12" ht="15" customHeight="1">
      <c r="B12" s="49" t="inlineStr">
        <is>
          <t>CapEx total (€)</t>
        </is>
      </c>
      <c r="C12" s="50" t="n">
        <v>0</v>
      </c>
      <c r="D12" s="56" t="inlineStr">
        <is>
          <t>€</t>
        </is>
      </c>
      <c r="E12" s="61" t="inlineStr">
        <is>
          <t>Paramètres!B14</t>
        </is>
      </c>
    </row>
    <row r="13" ht="15" customHeight="1">
      <c r="B13" s="49" t="inlineStr">
        <is>
          <t>OpEx éligible Taxonomie (€)</t>
        </is>
      </c>
      <c r="C13" s="366" t="n">
        <v>0</v>
      </c>
      <c r="D13" s="57" t="inlineStr">
        <is>
          <t>€</t>
        </is>
      </c>
      <c r="E13" s="61" t="inlineStr">
        <is>
          <t>Paramètres!B15</t>
        </is>
      </c>
    </row>
    <row r="14" ht="15" customHeight="1">
      <c r="B14" s="419" t="inlineStr">
        <is>
          <t>DONNÉES CARBONE</t>
        </is>
      </c>
      <c r="C14" s="420" t="n"/>
      <c r="D14" s="420" t="n"/>
      <c r="E14" s="421" t="n"/>
    </row>
    <row r="15" ht="15" customHeight="1">
      <c r="B15" s="47" t="inlineStr">
        <is>
          <t>Scope 1 total (tCO2e)</t>
        </is>
      </c>
      <c r="C15" s="50" t="n">
        <v>0</v>
      </c>
      <c r="D15" s="56" t="inlineStr">
        <is>
          <t>tCO2e</t>
        </is>
      </c>
      <c r="E15" s="60" t="inlineStr">
        <is>
          <t>Synthese_GES!C10</t>
        </is>
      </c>
    </row>
    <row r="16" ht="15" customHeight="1">
      <c r="B16" s="48" t="inlineStr">
        <is>
          <t>Scope 2 LB (tCO2e)</t>
        </is>
      </c>
      <c r="C16" s="366" t="n">
        <v>0</v>
      </c>
      <c r="D16" s="57" t="inlineStr">
        <is>
          <t>tCO2e</t>
        </is>
      </c>
      <c r="E16" s="64" t="inlineStr">
        <is>
          <t>Synthese_GES!C15</t>
        </is>
      </c>
    </row>
    <row r="17" ht="15" customHeight="1">
      <c r="B17" s="47" t="inlineStr">
        <is>
          <t>Scope 2 MB (tCO2e)</t>
        </is>
      </c>
      <c r="C17" s="52" t="n">
        <v>0</v>
      </c>
      <c r="D17" s="56" t="inlineStr">
        <is>
          <t>tCO2e</t>
        </is>
      </c>
      <c r="E17" s="64" t="inlineStr">
        <is>
          <t>Synthese_GES!C17</t>
        </is>
      </c>
    </row>
    <row r="18" ht="15" customHeight="1">
      <c r="B18" s="49" t="inlineStr">
        <is>
          <t>Scope 3 total (tCO2e)</t>
        </is>
      </c>
      <c r="C18" s="50" t="n">
        <v>0</v>
      </c>
      <c r="D18" s="57" t="inlineStr">
        <is>
          <t>tCO2e</t>
        </is>
      </c>
      <c r="E18" s="64" t="inlineStr">
        <is>
          <t>Synthese_GES!C35</t>
        </is>
      </c>
    </row>
    <row r="19" ht="15" customHeight="1">
      <c r="B19" s="48" t="inlineStr">
        <is>
          <t>Total S1+S2(LB)+S3 (tCO2e)</t>
        </is>
      </c>
      <c r="C19" s="54">
        <f>C15+C16+C18</f>
        <v/>
      </c>
      <c r="D19" s="58" t="inlineStr">
        <is>
          <t>tCO2e</t>
        </is>
      </c>
      <c r="E19" s="64" t="inlineStr">
        <is>
          <t>Calcul auto (LB)</t>
        </is>
      </c>
    </row>
    <row r="20" ht="15" customHeight="1">
      <c r="B20" s="47" t="inlineStr">
        <is>
          <t>Intensité / CA (tCO2e/M€)</t>
        </is>
      </c>
      <c r="C20" s="55">
        <f>IF(C9&gt;0,C19/(C9/1000000),0)</f>
        <v/>
      </c>
      <c r="D20" s="58" t="inlineStr">
        <is>
          <t>tCO2e/M€</t>
        </is>
      </c>
      <c r="E20" s="60" t="inlineStr">
        <is>
          <t>Calcul auto</t>
        </is>
      </c>
    </row>
    <row r="21" ht="15" customHeight="1">
      <c r="B21" s="49" t="inlineStr">
        <is>
          <t>Part Scope 3 / total (%)</t>
        </is>
      </c>
      <c r="C21" s="54">
        <f>IF(C19&gt;0,C18/C19*100,0)</f>
        <v/>
      </c>
      <c r="D21" s="58" t="inlineStr">
        <is>
          <t>%</t>
        </is>
      </c>
      <c r="E21" s="61" t="inlineStr">
        <is>
          <t>Calcul auto</t>
        </is>
      </c>
    </row>
    <row r="22" ht="15" customHeight="1">
      <c r="B22" s="419" t="inlineStr">
        <is>
          <t>ÉNERGIE &amp; TAXONOMIE</t>
        </is>
      </c>
      <c r="C22" s="420" t="n"/>
      <c r="D22" s="420" t="n"/>
      <c r="E22" s="421" t="n"/>
    </row>
    <row r="23" ht="15" customHeight="1">
      <c r="B23" s="47" t="inlineStr">
        <is>
          <t>Part ENR (%)</t>
        </is>
      </c>
      <c r="C23" s="50" t="n">
        <v>0</v>
      </c>
      <c r="D23" s="56" t="inlineStr">
        <is>
          <t>%</t>
        </is>
      </c>
      <c r="E23" s="60" t="inlineStr">
        <is>
          <t>Energie!E20</t>
        </is>
      </c>
    </row>
    <row r="24" ht="15" customHeight="1">
      <c r="B24" s="49" t="inlineStr">
        <is>
          <t>% CA aligné Taxonomie</t>
        </is>
      </c>
      <c r="C24" s="366" t="n">
        <v>0</v>
      </c>
      <c r="D24" s="56" t="inlineStr">
        <is>
          <t>%</t>
        </is>
      </c>
      <c r="E24" s="61" t="inlineStr">
        <is>
          <t>Taxonomie!E27</t>
        </is>
      </c>
    </row>
    <row r="25" ht="15" customHeight="1">
      <c r="B25" s="49" t="inlineStr">
        <is>
          <t>% CapEx aligné Taxonomie</t>
        </is>
      </c>
      <c r="C25" s="52" t="n">
        <v>0</v>
      </c>
      <c r="D25" s="56" t="inlineStr">
        <is>
          <t>%</t>
        </is>
      </c>
      <c r="E25" s="61" t="inlineStr">
        <is>
          <t>Taxonomie!E28</t>
        </is>
      </c>
    </row>
    <row r="26" ht="15" customHeight="1">
      <c r="B26" s="49" t="inlineStr">
        <is>
          <t>Coût CBAM estimé (€)</t>
        </is>
      </c>
      <c r="C26" s="52" t="n">
        <v>0</v>
      </c>
      <c r="D26" s="58" t="inlineStr">
        <is>
          <t>€</t>
        </is>
      </c>
      <c r="E26" s="61" t="inlineStr">
        <is>
          <t>CBAM!M24</t>
        </is>
      </c>
    </row>
    <row r="27" ht="15" customHeight="1">
      <c r="B27" s="419" t="inlineStr">
        <is>
          <t>TRAJECTOIRE</t>
        </is>
      </c>
      <c r="C27" s="420" t="n"/>
      <c r="D27" s="420" t="n"/>
      <c r="E27" s="421" t="n"/>
    </row>
    <row r="28" ht="15" customHeight="1">
      <c r="B28" s="48" t="inlineStr">
        <is>
          <t>Objectif réduction S1+2 (%/an)</t>
        </is>
      </c>
      <c r="C28" s="50" t="n">
        <v>4.2</v>
      </c>
      <c r="D28" s="56" t="inlineStr">
        <is>
          <t>%</t>
        </is>
      </c>
      <c r="E28" s="60" t="inlineStr">
        <is>
          <t>Trajectoire_SBTi!B8</t>
        </is>
      </c>
    </row>
    <row r="29" ht="15" customHeight="1">
      <c r="B29" s="47" t="inlineStr">
        <is>
          <t>Émissions S1+2 baseline (tCO2e)</t>
        </is>
      </c>
      <c r="C29" s="366" t="n">
        <v>0</v>
      </c>
      <c r="D29" s="57" t="inlineStr">
        <is>
          <t>tCO2e</t>
        </is>
      </c>
      <c r="E29" s="61" t="inlineStr">
        <is>
          <t>Trajectoire_SBTi!B5</t>
        </is>
      </c>
    </row>
    <row r="30" ht="15" customHeight="1" thickBot="1">
      <c r="B30" s="65" t="inlineStr">
        <is>
          <t>Année baseline</t>
        </is>
      </c>
      <c r="C30" s="66" t="n">
        <v>2025</v>
      </c>
      <c r="D30" s="67" t="inlineStr">
        <is>
          <t>Année</t>
        </is>
      </c>
      <c r="E30" s="68" t="inlineStr">
        <is>
          <t>Trajectoire_SBTi!B4</t>
        </is>
      </c>
    </row>
  </sheetData>
  <mergeCells count="6">
    <mergeCell ref="B27:E27"/>
    <mergeCell ref="A2:E2"/>
    <mergeCell ref="B6:E6"/>
    <mergeCell ref="B22:E22"/>
    <mergeCell ref="B14:E14"/>
    <mergeCell ref="A3:E3"/>
  </mergeCell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57F17"/>
    <outlinePr summaryBelow="1" summaryRight="1"/>
    <pageSetUpPr/>
  </sheetPr>
  <dimension ref="A1:J52"/>
  <sheetViews>
    <sheetView showGridLines="0" zoomScaleNormal="100" workbookViewId="0">
      <pane ySplit="6" topLeftCell="A7" activePane="bottomLeft" state="frozen"/>
      <selection pane="bottomLeft" activeCell="F20" sqref="F20"/>
    </sheetView>
  </sheetViews>
  <sheetFormatPr baseColWidth="10" defaultColWidth="8.7109375" defaultRowHeight="15"/>
  <cols>
    <col width="1.5703125" customWidth="1" min="1" max="1"/>
    <col width="45.7109375" customWidth="1" min="2" max="2"/>
    <col width="33.42578125" customWidth="1" min="3" max="3"/>
    <col width="21" customWidth="1" min="4" max="4"/>
    <col width="23.85546875" customWidth="1" min="5" max="6"/>
    <col width="20" customWidth="1" min="7" max="7"/>
    <col width="29.5703125" customWidth="1" min="8" max="8"/>
    <col width="18.140625" customWidth="1" min="10" max="10"/>
  </cols>
  <sheetData>
    <row r="1" ht="21.95" customHeight="1">
      <c r="J1" s="403" t="inlineStr">
        <is>
          <t>🏠 Sommaire</t>
        </is>
      </c>
    </row>
    <row r="2" ht="26.1" customHeight="1">
      <c r="A2" s="323" t="inlineStr">
        <is>
          <t>FINANCE CLIMAT — Exposition carbone, projection prix, ROI décarbonation, Green CapEx</t>
        </is>
      </c>
      <c r="H2" s="323" t="n"/>
      <c r="I2" s="323" t="n"/>
      <c r="J2" s="323" t="n"/>
    </row>
    <row r="3" ht="15.95" customHeight="1">
      <c r="A3" s="38" t="inlineStr">
        <is>
          <t>Conforme ESRS E1-9 (effets financiers anticipés) / TCFD / Alignement Accord de Paris. Date : 12/04/2026.</t>
        </is>
      </c>
    </row>
    <row r="4" ht="6" customHeight="1" thickBot="1"/>
    <row r="5" ht="21.95" customHeight="1">
      <c r="A5" s="329" t="inlineStr">
        <is>
          <t>A — EXPOSITION AU PRIX CARBONE (EU ETS / CBAM)</t>
        </is>
      </c>
      <c r="B5" s="422" t="n"/>
      <c r="C5" s="422" t="n"/>
      <c r="D5" s="422" t="n"/>
      <c r="E5" s="422" t="n"/>
      <c r="F5" s="422" t="n"/>
      <c r="G5" s="422" t="n"/>
      <c r="H5" s="326" t="n"/>
    </row>
    <row r="6" ht="20.1" customHeight="1">
      <c r="A6" s="350" t="inlineStr">
        <is>
          <t>Paramètre</t>
        </is>
      </c>
      <c r="B6" s="423" t="n"/>
      <c r="C6" s="352" t="inlineStr">
        <is>
          <t>Valeur</t>
        </is>
      </c>
      <c r="D6" s="352" t="inlineStr">
        <is>
          <t>Unité</t>
        </is>
      </c>
      <c r="E6" s="352" t="inlineStr">
        <is>
          <t>Formule / Source</t>
        </is>
      </c>
      <c r="F6" s="353" t="inlineStr">
        <is>
          <t>Note</t>
        </is>
      </c>
      <c r="G6" s="423" t="n"/>
      <c r="H6" s="424" t="n"/>
    </row>
    <row r="7" ht="18" customHeight="1">
      <c r="A7" s="425" t="n"/>
      <c r="B7" s="426" t="n"/>
      <c r="C7" s="375" t="inlineStr">
        <is>
          <t>Prix EU ETS actuel</t>
        </is>
      </c>
      <c r="D7" s="366" t="n">
        <v>75</v>
      </c>
      <c r="E7" s="89" t="inlineStr">
        <is>
          <t>€/tCO2</t>
        </is>
      </c>
      <c r="F7" s="375" t="inlineStr">
        <is>
          <t>Saisie — source EMBER/ICAP</t>
        </is>
      </c>
      <c r="G7" s="383" t="inlineStr">
        <is>
          <t>Prix spot avril 2026</t>
        </is>
      </c>
      <c r="H7" s="427" t="n"/>
    </row>
    <row r="8" ht="18" customHeight="1">
      <c r="A8" s="428" t="n"/>
      <c r="B8" s="426" t="n"/>
      <c r="C8" s="376" t="inlineStr">
        <is>
          <t>Émissions sous EU ETS (tCO2e)</t>
        </is>
      </c>
      <c r="D8" s="367">
        <f>Liaison_Donnees!C15</f>
        <v/>
      </c>
      <c r="E8" s="367" t="inlineStr">
        <is>
          <t>tCO2e</t>
        </is>
      </c>
      <c r="F8" s="376" t="inlineStr">
        <is>
          <t>Scope 1 depuis Liaison</t>
        </is>
      </c>
      <c r="G8" s="385" t="inlineStr">
        <is>
          <t>Part soumise au marché ETS</t>
        </is>
      </c>
      <c r="H8" s="427" t="n"/>
    </row>
    <row r="9" ht="18" customHeight="1">
      <c r="A9" s="425" t="n"/>
      <c r="B9" s="426" t="n"/>
      <c r="C9" s="375" t="inlineStr">
        <is>
          <t>Quotas gratuits EU ETS (tCO2e)</t>
        </is>
      </c>
      <c r="D9" s="366" t="n">
        <v>0</v>
      </c>
      <c r="E9" s="89" t="inlineStr">
        <is>
          <t>tCO2e</t>
        </is>
      </c>
      <c r="F9" s="375" t="inlineStr">
        <is>
          <t>Saisie</t>
        </is>
      </c>
      <c r="G9" s="383" t="inlineStr">
        <is>
          <t>En diminution progressive</t>
        </is>
      </c>
      <c r="H9" s="427" t="n"/>
    </row>
    <row r="10" ht="18" customHeight="1">
      <c r="A10" s="428" t="n"/>
      <c r="B10" s="426" t="n"/>
      <c r="C10" s="376" t="inlineStr">
        <is>
          <t>Exposition nette EU ETS (€)</t>
        </is>
      </c>
      <c r="D10" s="367">
        <f>IF(D8-D9&gt;0,(D8-D9)*D7,0)</f>
        <v/>
      </c>
      <c r="E10" s="367" t="inlineStr">
        <is>
          <t>€</t>
        </is>
      </c>
      <c r="F10" s="376" t="inlineStr">
        <is>
          <t>(S1 - quotas) × prix</t>
        </is>
      </c>
      <c r="G10" s="385" t="inlineStr">
        <is>
          <t>Coût annuel estimé</t>
        </is>
      </c>
      <c r="H10" s="427" t="n"/>
    </row>
    <row r="11" ht="18" customHeight="1">
      <c r="A11" s="425" t="n"/>
      <c r="B11" s="426" t="n"/>
      <c r="C11" s="375" t="inlineStr">
        <is>
          <t>Coût CBAM estimé (€)</t>
        </is>
      </c>
      <c r="D11" s="89">
        <f>Liaison_Donnees!C26</f>
        <v/>
      </c>
      <c r="E11" s="89" t="inlineStr">
        <is>
          <t>€</t>
        </is>
      </c>
      <c r="F11" s="375" t="inlineStr">
        <is>
          <t>Depuis Liaison_Donnees</t>
        </is>
      </c>
      <c r="G11" s="383" t="inlineStr">
        <is>
          <t>Taxe carbone importations</t>
        </is>
      </c>
      <c r="H11" s="427" t="n"/>
    </row>
    <row r="12" ht="18" customHeight="1" thickBot="1">
      <c r="A12" s="429" t="n"/>
      <c r="B12" s="430" t="n"/>
      <c r="C12" s="363" t="inlineStr">
        <is>
          <t>EXPOSITION TOTALE CARBONE (€)</t>
        </is>
      </c>
      <c r="D12" s="362">
        <f>D10+D11</f>
        <v/>
      </c>
      <c r="E12" s="362" t="inlineStr">
        <is>
          <t>€</t>
        </is>
      </c>
      <c r="F12" s="363" t="inlineStr">
        <is>
          <t>EU ETS + CBAM</t>
        </is>
      </c>
      <c r="G12" s="401" t="inlineStr">
        <is>
          <t>Coût carbone direct annuel</t>
        </is>
      </c>
      <c r="H12" s="431" t="n"/>
    </row>
    <row r="13" ht="6" customHeight="1" thickBot="1">
      <c r="A13" s="90" t="n"/>
      <c r="B13" s="90" t="n"/>
      <c r="C13" s="90" t="n"/>
      <c r="D13" s="90" t="n"/>
      <c r="E13" s="90" t="n"/>
      <c r="F13" s="90" t="n"/>
      <c r="G13" s="90" t="n"/>
      <c r="H13" s="90" t="n"/>
    </row>
    <row r="14" ht="21.95" customHeight="1">
      <c r="A14" s="329" t="inlineStr">
        <is>
          <t>B — PROJECTION PRIX CARBONE 2026-2035</t>
        </is>
      </c>
      <c r="B14" s="422" t="n"/>
      <c r="C14" s="422" t="n"/>
      <c r="D14" s="422" t="n"/>
      <c r="E14" s="422" t="n"/>
      <c r="F14" s="422" t="n"/>
      <c r="G14" s="422" t="n"/>
      <c r="H14" s="326" t="n"/>
    </row>
    <row r="15" ht="18" customHeight="1" thickBot="1">
      <c r="A15" s="348" t="n"/>
      <c r="B15" s="90" t="n"/>
      <c r="C15" s="90" t="inlineStr">
        <is>
          <t>CAGR prix carbone estimé (%/an)</t>
        </is>
      </c>
      <c r="D15" s="246" t="n">
        <v>0.08</v>
      </c>
      <c r="E15" s="90" t="inlineStr">
        <is>
          <t>%</t>
        </is>
      </c>
      <c r="F15" s="90" t="n"/>
      <c r="G15" s="90" t="n"/>
      <c r="H15" s="349" t="n"/>
    </row>
    <row r="16" ht="20.1" customHeight="1">
      <c r="A16" s="340" t="n"/>
      <c r="B16" s="356" t="inlineStr">
        <is>
          <t>Année</t>
        </is>
      </c>
      <c r="C16" s="357" t="inlineStr">
        <is>
          <t>Prix projeté (€/tCO2)</t>
        </is>
      </c>
      <c r="D16" s="357" t="inlineStr">
        <is>
          <t>Émissions S1 projetées (tCO2e)</t>
        </is>
      </c>
      <c r="E16" s="357" t="inlineStr">
        <is>
          <t>Exposition projetée (€)</t>
        </is>
      </c>
      <c r="F16" s="432" t="inlineStr">
        <is>
          <t>Réduction cumulée SBTi (%)</t>
        </is>
      </c>
      <c r="G16" s="433" t="n"/>
      <c r="H16" s="434" t="n"/>
    </row>
    <row r="17" ht="18" customHeight="1">
      <c r="A17" s="340" t="n"/>
      <c r="B17" s="321" t="n"/>
      <c r="C17" s="89" t="n">
        <v>2026</v>
      </c>
      <c r="D17" s="334">
        <f>D7*(1+$D$15)^0</f>
        <v/>
      </c>
      <c r="E17" s="334">
        <f>IF(Liaison_Donnees!C29&gt;0,Liaison_Donnees!C29*(1-Liaison_Donnees!$C$28/100*0),Liaison_Donnees!C15*(1-Liaison_Donnees!$C$28/100*0))</f>
        <v/>
      </c>
      <c r="F17" s="318">
        <f>D17*E17</f>
        <v/>
      </c>
      <c r="G17" s="435">
        <f>Liaison_Donnees!C28*0</f>
        <v/>
      </c>
      <c r="H17" s="427" t="n"/>
    </row>
    <row r="18" ht="18" customHeight="1">
      <c r="A18" s="340" t="n"/>
      <c r="B18" s="321" t="n"/>
      <c r="C18" s="367" t="n">
        <v>2027</v>
      </c>
      <c r="D18" s="335">
        <f>D7*(1+$D$15)^1</f>
        <v/>
      </c>
      <c r="E18" s="335">
        <f>IF(Liaison_Donnees!C29&gt;0,Liaison_Donnees!C29*(1-Liaison_Donnees!$C$28/100*1),Liaison_Donnees!C15*(1-Liaison_Donnees!$C$28/100*1))</f>
        <v/>
      </c>
      <c r="F18" s="320">
        <f>D18*E18</f>
        <v/>
      </c>
      <c r="G18" s="436">
        <f>Liaison_Donnees!C28*1</f>
        <v/>
      </c>
      <c r="H18" s="427" t="n"/>
    </row>
    <row r="19" ht="18" customHeight="1">
      <c r="A19" s="340" t="n"/>
      <c r="B19" s="321" t="n"/>
      <c r="C19" s="89" t="n">
        <v>2028</v>
      </c>
      <c r="D19" s="334">
        <f>D7*(1+$D$15)^2</f>
        <v/>
      </c>
      <c r="E19" s="334">
        <f>IF(Liaison_Donnees!C29&gt;0,Liaison_Donnees!C29*(1-Liaison_Donnees!$C$28/100*2),Liaison_Donnees!C15*(1-Liaison_Donnees!$C$28/100*2))</f>
        <v/>
      </c>
      <c r="F19" s="318">
        <f>D19*E19</f>
        <v/>
      </c>
      <c r="G19" s="435">
        <f>Liaison_Donnees!C28*2</f>
        <v/>
      </c>
      <c r="H19" s="427" t="n"/>
    </row>
    <row r="20" ht="18" customHeight="1">
      <c r="A20" s="340" t="n"/>
      <c r="B20" s="321" t="n"/>
      <c r="C20" s="367" t="n">
        <v>2029</v>
      </c>
      <c r="D20" s="335">
        <f>D7*(1+$D$15)^3</f>
        <v/>
      </c>
      <c r="E20" s="335">
        <f>IF(Liaison_Donnees!C29&gt;0,Liaison_Donnees!C29*(1-Liaison_Donnees!$C$28/100*3),Liaison_Donnees!C15*(1-Liaison_Donnees!$C$28/100*3))</f>
        <v/>
      </c>
      <c r="F20" s="320">
        <f>D20*E20</f>
        <v/>
      </c>
      <c r="G20" s="436">
        <f>Liaison_Donnees!C28*3</f>
        <v/>
      </c>
      <c r="H20" s="427" t="n"/>
    </row>
    <row r="21" ht="18" customHeight="1">
      <c r="A21" s="340" t="n"/>
      <c r="B21" s="321" t="n"/>
      <c r="C21" s="89" t="n">
        <v>2030</v>
      </c>
      <c r="D21" s="334">
        <f>D7*(1+$D$15)^4</f>
        <v/>
      </c>
      <c r="E21" s="334">
        <f>IF(Liaison_Donnees!C29&gt;0,Liaison_Donnees!C29*(1-Liaison_Donnees!$C$28/100*4),Liaison_Donnees!C15*(1-Liaison_Donnees!$C$28/100*4))</f>
        <v/>
      </c>
      <c r="F21" s="318">
        <f>D21*E21</f>
        <v/>
      </c>
      <c r="G21" s="435">
        <f>Liaison_Donnees!C28*4</f>
        <v/>
      </c>
      <c r="H21" s="427" t="n"/>
    </row>
    <row r="22" ht="18" customHeight="1">
      <c r="A22" s="340" t="n"/>
      <c r="B22" s="321" t="n"/>
      <c r="C22" s="367" t="n">
        <v>2031</v>
      </c>
      <c r="D22" s="335">
        <f>D7*(1+$D$15)^5</f>
        <v/>
      </c>
      <c r="E22" s="335">
        <f>IF(Liaison_Donnees!C29&gt;0,Liaison_Donnees!C29*(1-Liaison_Donnees!$C$28/100*5),Liaison_Donnees!C15*(1-Liaison_Donnees!$C$28/100*5))</f>
        <v/>
      </c>
      <c r="F22" s="320">
        <f>D22*E22</f>
        <v/>
      </c>
      <c r="G22" s="436">
        <f>Liaison_Donnees!C28*5</f>
        <v/>
      </c>
      <c r="H22" s="427" t="n"/>
    </row>
    <row r="23" ht="18" customHeight="1">
      <c r="A23" s="340" t="n"/>
      <c r="B23" s="321" t="n"/>
      <c r="C23" s="89" t="n">
        <v>2032</v>
      </c>
      <c r="D23" s="334">
        <f>D7*(1+$D$15)^6</f>
        <v/>
      </c>
      <c r="E23" s="334">
        <f>IF(Liaison_Donnees!C29&gt;0,Liaison_Donnees!C29*(1-Liaison_Donnees!$C$28/100*6),Liaison_Donnees!C15*(1-Liaison_Donnees!$C$28/100*6))</f>
        <v/>
      </c>
      <c r="F23" s="318">
        <f>D23*E23</f>
        <v/>
      </c>
      <c r="G23" s="435">
        <f>Liaison_Donnees!C28*6</f>
        <v/>
      </c>
      <c r="H23" s="427" t="n"/>
    </row>
    <row r="24" ht="18" customHeight="1">
      <c r="A24" s="340" t="n"/>
      <c r="B24" s="321" t="n"/>
      <c r="C24" s="367" t="n">
        <v>2033</v>
      </c>
      <c r="D24" s="335">
        <f>D7*(1+$D$15)^7</f>
        <v/>
      </c>
      <c r="E24" s="335">
        <f>IF(Liaison_Donnees!C29&gt;0,Liaison_Donnees!C29*(1-Liaison_Donnees!$C$28/100*7),Liaison_Donnees!C15*(1-Liaison_Donnees!$C$28/100*7))</f>
        <v/>
      </c>
      <c r="F24" s="320">
        <f>D24*E24</f>
        <v/>
      </c>
      <c r="G24" s="436">
        <f>Liaison_Donnees!C28*7</f>
        <v/>
      </c>
      <c r="H24" s="427" t="n"/>
    </row>
    <row r="25" ht="18" customHeight="1">
      <c r="A25" s="340" t="n"/>
      <c r="B25" s="321" t="n"/>
      <c r="C25" s="89" t="n">
        <v>2034</v>
      </c>
      <c r="D25" s="334">
        <f>D7*(1+$D$15)^8</f>
        <v/>
      </c>
      <c r="E25" s="334">
        <f>IF(Liaison_Donnees!C29&gt;0,Liaison_Donnees!C29*(1-Liaison_Donnees!$C$28/100*8),Liaison_Donnees!C15*(1-Liaison_Donnees!$C$28/100*8))</f>
        <v/>
      </c>
      <c r="F25" s="318">
        <f>D25*E25</f>
        <v/>
      </c>
      <c r="G25" s="435">
        <f>Liaison_Donnees!C28*8</f>
        <v/>
      </c>
      <c r="H25" s="427" t="n"/>
    </row>
    <row r="26" ht="18" customHeight="1" thickBot="1">
      <c r="A26" s="340" t="n"/>
      <c r="B26" s="321" t="n"/>
      <c r="C26" s="367" t="n">
        <v>2035</v>
      </c>
      <c r="D26" s="335">
        <f>D7*(1+$D$15)^9</f>
        <v/>
      </c>
      <c r="E26" s="335">
        <f>IF(Liaison_Donnees!C29&gt;0,Liaison_Donnees!C29*(1-Liaison_Donnees!$C$28/100*9),Liaison_Donnees!C15*(1-Liaison_Donnees!$C$28/100*9))</f>
        <v/>
      </c>
      <c r="F26" s="320">
        <f>D26*E26</f>
        <v/>
      </c>
      <c r="G26" s="436">
        <f>Liaison_Donnees!C28*9</f>
        <v/>
      </c>
      <c r="H26" s="427" t="n"/>
    </row>
    <row r="27" ht="18" customHeight="1" thickBot="1">
      <c r="A27" s="341" t="n"/>
      <c r="B27" s="336" t="n"/>
      <c r="C27" s="337" t="inlineStr">
        <is>
          <t>Coût carbone cumulé 2026-2035 (€)</t>
        </is>
      </c>
      <c r="D27" s="368">
        <f>SUM(F17:F26)</f>
        <v/>
      </c>
      <c r="E27" s="338" t="n"/>
      <c r="F27" s="339" t="n"/>
      <c r="G27" s="328" t="n"/>
      <c r="H27" s="344" t="n"/>
    </row>
    <row r="28" ht="6" customHeight="1" thickBot="1">
      <c r="A28" s="90" t="n"/>
      <c r="B28" s="90" t="n"/>
      <c r="C28" s="90" t="n"/>
      <c r="D28" s="90" t="n"/>
      <c r="E28" s="90" t="n"/>
      <c r="F28" s="90" t="n"/>
      <c r="G28" s="90" t="n"/>
      <c r="H28" s="90" t="n"/>
    </row>
    <row r="29" ht="21.95" customHeight="1" thickBot="1">
      <c r="A29" s="437" t="inlineStr">
        <is>
          <t>C — ROI DES ACTIONS DE DÉCARBONATION</t>
        </is>
      </c>
      <c r="B29" s="438" t="n"/>
      <c r="C29" s="438" t="n"/>
      <c r="D29" s="438" t="n"/>
      <c r="E29" s="438" t="n"/>
      <c r="F29" s="438" t="n"/>
      <c r="G29" s="438" t="n"/>
      <c r="H29" s="439" t="n"/>
    </row>
    <row r="30" ht="20.1" customHeight="1">
      <c r="A30" s="340" t="n"/>
      <c r="B30" s="356" t="inlineStr">
        <is>
          <t>Action / Levier</t>
        </is>
      </c>
      <c r="C30" s="357" t="inlineStr">
        <is>
          <t>Investissement (€)</t>
        </is>
      </c>
      <c r="D30" s="357" t="inlineStr">
        <is>
          <t>tCO2e évitées/an</t>
        </is>
      </c>
      <c r="E30" s="357" t="inlineStr">
        <is>
          <t>Économie énergie (€/an)</t>
        </is>
      </c>
      <c r="F30" s="357" t="inlineStr">
        <is>
          <t>ROI climat (€/tCO2e)</t>
        </is>
      </c>
      <c r="G30" s="358" t="inlineStr">
        <is>
          <t>Payback (ans)</t>
        </is>
      </c>
      <c r="H30" s="434" t="n"/>
    </row>
    <row r="31" ht="18" customHeight="1">
      <c r="A31" s="340" t="n"/>
      <c r="B31" s="360" t="n"/>
      <c r="C31" s="369" t="inlineStr">
        <is>
          <t>Rénovation énergétique bâtiments</t>
        </is>
      </c>
      <c r="D31" s="369" t="n">
        <v>0</v>
      </c>
      <c r="E31" s="369" t="n">
        <v>0</v>
      </c>
      <c r="F31" s="372">
        <f>IF(AND(C31&gt;0,D31&gt;0),(E31+D31*$D$7)/C31,0)</f>
        <v/>
      </c>
      <c r="G31" s="440">
        <f>IF((E31+D31*$D$7)&gt;0,C31/(E31+D31*$D$7),0)</f>
        <v/>
      </c>
      <c r="H31" s="427" t="n"/>
    </row>
    <row r="32" ht="18" customHeight="1">
      <c r="A32" s="340" t="n"/>
      <c r="B32" s="361" t="n"/>
      <c r="C32" s="369" t="inlineStr">
        <is>
          <t>Verdissement flotte véhicules (VE)</t>
        </is>
      </c>
      <c r="D32" s="369" t="n">
        <v>0</v>
      </c>
      <c r="E32" s="369" t="n">
        <v>0</v>
      </c>
      <c r="F32" s="372">
        <f>IF(AND(C32&gt;0,D32&gt;0),(E32+D32*$D$7)/C32,0)</f>
        <v/>
      </c>
      <c r="G32" s="440">
        <f>IF((E32+D32*$D$7)&gt;0,C32/(E32+D32*$D$7),0)</f>
        <v/>
      </c>
      <c r="H32" s="427" t="n"/>
    </row>
    <row r="33" ht="18" customHeight="1">
      <c r="A33" s="340" t="n"/>
      <c r="B33" s="360" t="n"/>
      <c r="C33" s="369" t="inlineStr">
        <is>
          <t>PPA énergie renouvelable</t>
        </is>
      </c>
      <c r="D33" s="369" t="n">
        <v>0</v>
      </c>
      <c r="E33" s="369" t="n">
        <v>0</v>
      </c>
      <c r="F33" s="372">
        <f>IF(AND(C33&gt;0,D33&gt;0),(E33+D33*$D$7)/C33,0)</f>
        <v/>
      </c>
      <c r="G33" s="440">
        <f>IF((E33+D33*$D$7)&gt;0,C33/(E33+D33*$D$7),0)</f>
        <v/>
      </c>
      <c r="H33" s="427" t="n"/>
    </row>
    <row r="34" ht="18" customHeight="1">
      <c r="A34" s="340" t="n"/>
      <c r="B34" s="361" t="n"/>
      <c r="C34" s="369" t="inlineStr">
        <is>
          <t>Panneaux solaires autoconsommation</t>
        </is>
      </c>
      <c r="D34" s="369" t="n">
        <v>0</v>
      </c>
      <c r="E34" s="369" t="n">
        <v>0</v>
      </c>
      <c r="F34" s="372">
        <f>IF(AND(C34&gt;0,D34&gt;0),(E34+D34*$D$7)/C34,0)</f>
        <v/>
      </c>
      <c r="G34" s="440">
        <f>IF((E34+D34*$D$7)&gt;0,C34/(E34+D34*$D$7),0)</f>
        <v/>
      </c>
      <c r="H34" s="427" t="n"/>
    </row>
    <row r="35" ht="18" customHeight="1">
      <c r="A35" s="340" t="n"/>
      <c r="B35" s="360" t="n"/>
      <c r="C35" s="369" t="inlineStr">
        <is>
          <t>Réduction déplacements pro (visio)</t>
        </is>
      </c>
      <c r="D35" s="369" t="n">
        <v>0</v>
      </c>
      <c r="E35" s="369" t="n">
        <v>0</v>
      </c>
      <c r="F35" s="372">
        <f>IF(AND(C35&gt;0,D35&gt;0),(E35+D35*$D$7)/C35,0)</f>
        <v/>
      </c>
      <c r="G35" s="440">
        <f>IF((E35+D35*$D$7)&gt;0,C35/(E35+D35*$D$7),0)</f>
        <v/>
      </c>
      <c r="H35" s="427" t="n"/>
    </row>
    <row r="36" ht="18" customHeight="1">
      <c r="A36" s="340" t="n"/>
      <c r="B36" s="361" t="n"/>
      <c r="C36" s="369" t="inlineStr">
        <is>
          <t>Télétravail renforcé</t>
        </is>
      </c>
      <c r="D36" s="369" t="n">
        <v>0</v>
      </c>
      <c r="E36" s="369" t="n">
        <v>0</v>
      </c>
      <c r="F36" s="372">
        <f>IF(AND(C36&gt;0,D36&gt;0),(E36+D36*$D$7)/C36,0)</f>
        <v/>
      </c>
      <c r="G36" s="440">
        <f>IF((E36+D36*$D$7)&gt;0,C36/(E36+D36*$D$7),0)</f>
        <v/>
      </c>
      <c r="H36" s="427" t="n"/>
    </row>
    <row r="37" ht="18" customHeight="1">
      <c r="A37" s="340" t="n"/>
      <c r="B37" s="360" t="n"/>
      <c r="C37" s="369" t="inlineStr">
        <is>
          <t>Engagement fournisseurs SBTi</t>
        </is>
      </c>
      <c r="D37" s="369" t="n">
        <v>0</v>
      </c>
      <c r="E37" s="369" t="n">
        <v>0</v>
      </c>
      <c r="F37" s="372">
        <f>IF(AND(C37&gt;0,D37&gt;0),(E37+D37*$D$7)/C37,0)</f>
        <v/>
      </c>
      <c r="G37" s="440">
        <f>IF((E37+D37*$D$7)&gt;0,C37/(E37+D37*$D$7),0)</f>
        <v/>
      </c>
      <c r="H37" s="427" t="n"/>
    </row>
    <row r="38" ht="18" customHeight="1">
      <c r="A38" s="340" t="n"/>
      <c r="B38" s="361" t="n"/>
      <c r="C38" s="369" t="inlineStr">
        <is>
          <t>Éco-conception produits</t>
        </is>
      </c>
      <c r="D38" s="369" t="n">
        <v>0</v>
      </c>
      <c r="E38" s="369" t="n">
        <v>0</v>
      </c>
      <c r="F38" s="372">
        <f>IF(AND(C38&gt;0,D38&gt;0),(E38+D38*$D$7)/C38,0)</f>
        <v/>
      </c>
      <c r="G38" s="440">
        <f>IF((E38+D38*$D$7)&gt;0,C38/(E38+D38*$D$7),0)</f>
        <v/>
      </c>
      <c r="H38" s="427" t="n"/>
    </row>
    <row r="39" ht="18" customHeight="1">
      <c r="A39" s="340" t="n"/>
      <c r="B39" s="360" t="n"/>
      <c r="C39" s="369" t="inlineStr">
        <is>
          <t>Optimisation logistique</t>
        </is>
      </c>
      <c r="D39" s="369" t="n">
        <v>0</v>
      </c>
      <c r="E39" s="369" t="n">
        <v>0</v>
      </c>
      <c r="F39" s="372">
        <f>IF(AND(C39&gt;0,D39&gt;0),(E39+D39*$D$7)/C39,0)</f>
        <v/>
      </c>
      <c r="G39" s="440">
        <f>IF((E39+D39*$D$7)&gt;0,C39/(E39+D39*$D$7),0)</f>
        <v/>
      </c>
      <c r="H39" s="427" t="n"/>
    </row>
    <row r="40" ht="18" customHeight="1">
      <c r="A40" s="340" t="n"/>
      <c r="B40" s="361" t="n"/>
      <c r="C40" s="369" t="inlineStr">
        <is>
          <t>Économie circulaire</t>
        </is>
      </c>
      <c r="D40" s="369" t="n">
        <v>0</v>
      </c>
      <c r="E40" s="369" t="n">
        <v>0</v>
      </c>
      <c r="F40" s="372">
        <f>IF(AND(C40&gt;0,D40&gt;0),(E40+D40*$D$7)/C40,0)</f>
        <v/>
      </c>
      <c r="G40" s="440">
        <f>IF((E40+D40*$D$7)&gt;0,C40/(E40+D40*$D$7),0)</f>
        <v/>
      </c>
      <c r="H40" s="427" t="n"/>
    </row>
    <row r="41" ht="18" customHeight="1" thickBot="1">
      <c r="A41" s="346" t="n"/>
      <c r="B41" s="363" t="n"/>
      <c r="C41" s="373">
        <f>SUM(C31:C40)</f>
        <v/>
      </c>
      <c r="D41" s="373">
        <f>SUM(D31:D40)</f>
        <v/>
      </c>
      <c r="E41" s="373">
        <f>SUM(E31:E40)</f>
        <v/>
      </c>
      <c r="F41" s="373">
        <f>IF(AND(C41&gt;0,D41&gt;0),(E41+D41*$D$7)/C41,0)</f>
        <v/>
      </c>
      <c r="G41" s="441">
        <f>IF((E41+D41*$D$7)&gt;0,C41/(E41+D41*$D$7),0)</f>
        <v/>
      </c>
      <c r="H41" s="431" t="n"/>
    </row>
    <row r="42" ht="6" customHeight="1" thickBot="1">
      <c r="A42" s="90" t="n"/>
      <c r="B42" s="90" t="n"/>
      <c r="C42" s="90" t="n"/>
      <c r="D42" s="90" t="n"/>
      <c r="E42" s="90" t="n"/>
      <c r="F42" s="90" t="n"/>
      <c r="G42" s="90" t="n"/>
      <c r="H42" s="90" t="n"/>
    </row>
    <row r="43" ht="21.95" customHeight="1" thickBot="1">
      <c r="A43" s="442" t="inlineStr">
        <is>
          <t>D — GREEN CAPEX &amp; ALIGNEMENT ACCORD DE PARIS</t>
        </is>
      </c>
      <c r="B43" s="422" t="n"/>
      <c r="C43" s="422" t="n"/>
      <c r="D43" s="422" t="n"/>
      <c r="E43" s="422" t="n"/>
      <c r="F43" s="422" t="n"/>
      <c r="G43" s="422" t="n"/>
      <c r="H43" s="443" t="n"/>
    </row>
    <row r="44" ht="20.1" customHeight="1">
      <c r="A44" s="340" t="n"/>
      <c r="B44" s="374" t="inlineStr">
        <is>
          <t>Indicateur</t>
        </is>
      </c>
      <c r="C44" s="359" t="inlineStr">
        <is>
          <t>Valeur</t>
        </is>
      </c>
      <c r="D44" s="359" t="inlineStr">
        <is>
          <t>Unité</t>
        </is>
      </c>
      <c r="E44" s="359" t="inlineStr">
        <is>
          <t>Formule</t>
        </is>
      </c>
      <c r="F44" s="359" t="inlineStr">
        <is>
          <t>Seuil</t>
        </is>
      </c>
      <c r="G44" s="392" t="inlineStr">
        <is>
          <t>Note</t>
        </is>
      </c>
      <c r="H44" s="393" t="n"/>
    </row>
    <row r="45" ht="18" customHeight="1">
      <c r="A45" s="340" t="n"/>
      <c r="B45" s="375" t="n"/>
      <c r="C45" s="378" t="inlineStr">
        <is>
          <t>CapEx total annuel (€)</t>
        </is>
      </c>
      <c r="D45" s="334">
        <f>Liaison_Donnees!C12</f>
        <v/>
      </c>
      <c r="E45" s="90" t="inlineStr">
        <is>
          <t>€</t>
        </is>
      </c>
      <c r="F45" s="90" t="inlineStr">
        <is>
          <t>Depuis Liaison</t>
        </is>
      </c>
      <c r="G45" s="394" t="inlineStr">
        <is>
          <t>—</t>
        </is>
      </c>
      <c r="H45" s="395" t="inlineStr">
        <is>
          <t>Dénominateur</t>
        </is>
      </c>
    </row>
    <row r="46" ht="18" customHeight="1">
      <c r="A46" s="340" t="n"/>
      <c r="B46" s="376" t="n"/>
      <c r="C46" s="369" t="inlineStr">
        <is>
          <t>CapEx décarbonation S1+2 (€)</t>
        </is>
      </c>
      <c r="D46" s="369" t="n">
        <v>0</v>
      </c>
      <c r="E46" s="92" t="inlineStr">
        <is>
          <t>€</t>
        </is>
      </c>
      <c r="F46" s="92" t="inlineStr">
        <is>
          <t>Saisie</t>
        </is>
      </c>
      <c r="G46" s="396" t="inlineStr">
        <is>
          <t>—</t>
        </is>
      </c>
      <c r="H46" s="397" t="inlineStr">
        <is>
          <t>Investissements climat directs</t>
        </is>
      </c>
    </row>
    <row r="47" ht="18" customHeight="1">
      <c r="A47" s="340" t="n"/>
      <c r="B47" s="375" t="n"/>
      <c r="C47" s="369" t="inlineStr">
        <is>
          <t>CapEx décarbonation S3 (€)</t>
        </is>
      </c>
      <c r="D47" s="369" t="n">
        <v>0</v>
      </c>
      <c r="E47" s="90" t="inlineStr">
        <is>
          <t>€</t>
        </is>
      </c>
      <c r="F47" s="90" t="inlineStr">
        <is>
          <t>Saisie</t>
        </is>
      </c>
      <c r="G47" s="394" t="inlineStr">
        <is>
          <t>—</t>
        </is>
      </c>
      <c r="H47" s="395" t="inlineStr">
        <is>
          <t>Supply chain, éco-conception</t>
        </is>
      </c>
    </row>
    <row r="48" ht="18" customHeight="1">
      <c r="A48" s="340" t="n"/>
      <c r="B48" s="376" t="n"/>
      <c r="C48" s="379" t="inlineStr">
        <is>
          <t>CapEx décarbonation total (€)</t>
        </is>
      </c>
      <c r="D48" s="335">
        <f>D46+D47</f>
        <v/>
      </c>
      <c r="E48" s="92" t="inlineStr">
        <is>
          <t>€</t>
        </is>
      </c>
      <c r="F48" s="92" t="inlineStr">
        <is>
          <t>Calcul</t>
        </is>
      </c>
      <c r="G48" s="396" t="inlineStr">
        <is>
          <t>—</t>
        </is>
      </c>
      <c r="H48" s="397" t="inlineStr">
        <is>
          <t>Numérateur</t>
        </is>
      </c>
    </row>
    <row r="49" ht="18" customHeight="1">
      <c r="A49" s="340" t="n"/>
      <c r="B49" s="375" t="n"/>
      <c r="C49" s="379" t="inlineStr">
        <is>
          <t>CapEx business-as-usual (€)</t>
        </is>
      </c>
      <c r="D49" s="334">
        <f>D45-D48</f>
        <v/>
      </c>
      <c r="E49" s="90" t="inlineStr">
        <is>
          <t>€</t>
        </is>
      </c>
      <c r="F49" s="90" t="inlineStr">
        <is>
          <t>Calcul</t>
        </is>
      </c>
      <c r="G49" s="394" t="inlineStr">
        <is>
          <t>—</t>
        </is>
      </c>
      <c r="H49" s="395" t="inlineStr">
        <is>
          <t>Non aligné</t>
        </is>
      </c>
    </row>
    <row r="50" ht="18" customHeight="1">
      <c r="A50" s="340" t="n"/>
      <c r="B50" s="377" t="n"/>
      <c r="C50" s="380" t="inlineStr">
        <is>
          <t>% Green CapEx (aligné Paris)</t>
        </is>
      </c>
      <c r="D50" s="381">
        <f>IF(D45&gt;0,D48/D45*100,0)</f>
        <v/>
      </c>
      <c r="E50" s="324" t="inlineStr">
        <is>
          <t>%</t>
        </is>
      </c>
      <c r="F50" s="324" t="inlineStr">
        <is>
          <t>Calcul</t>
        </is>
      </c>
      <c r="G50" s="398" t="inlineStr">
        <is>
          <t>&gt; 30% = aligné</t>
        </is>
      </c>
      <c r="H50" s="399" t="inlineStr">
        <is>
          <t>KPI investisseur clé</t>
        </is>
      </c>
    </row>
    <row r="51" ht="6" customHeight="1">
      <c r="A51" s="348" t="n"/>
      <c r="B51" s="375" t="n"/>
      <c r="C51" s="90" t="n"/>
      <c r="D51" s="90" t="n"/>
      <c r="E51" s="90" t="n"/>
      <c r="F51" s="90" t="n"/>
      <c r="G51" s="394" t="n"/>
      <c r="H51" s="395" t="n"/>
    </row>
    <row r="52" ht="18" customHeight="1" thickBot="1">
      <c r="A52" s="346" t="n"/>
      <c r="B52" s="363" t="n"/>
      <c r="C52" s="328" t="inlineStr">
        <is>
          <t>Statut alignement Paris</t>
        </is>
      </c>
      <c r="D52" s="402">
        <f>IF(D50&gt;=50,"✅ Leader climat",IF(D50&gt;=30,"✅ Aligné Paris",IF(D50&gt;=10,"⚠️ En transition","❌ Non aligné")))</f>
        <v/>
      </c>
      <c r="E52" s="363" t="n"/>
      <c r="F52" s="363" t="n"/>
      <c r="G52" s="400" t="n"/>
      <c r="H52" s="401" t="n"/>
    </row>
  </sheetData>
  <mergeCells count="43">
    <mergeCell ref="G21:H21"/>
    <mergeCell ref="A14:G14"/>
    <mergeCell ref="G12:H12"/>
    <mergeCell ref="A11:B11"/>
    <mergeCell ref="G11:H11"/>
    <mergeCell ref="G36:H36"/>
    <mergeCell ref="G23:H23"/>
    <mergeCell ref="G8:H8"/>
    <mergeCell ref="G40:H40"/>
    <mergeCell ref="A6:B6"/>
    <mergeCell ref="G17:H17"/>
    <mergeCell ref="G39:H39"/>
    <mergeCell ref="A7:B7"/>
    <mergeCell ref="G38:H38"/>
    <mergeCell ref="G7:H7"/>
    <mergeCell ref="G10:H10"/>
    <mergeCell ref="G19:H19"/>
    <mergeCell ref="G37:H37"/>
    <mergeCell ref="G18:H18"/>
    <mergeCell ref="A12:B12"/>
    <mergeCell ref="G34:H34"/>
    <mergeCell ref="A3:H3"/>
    <mergeCell ref="G30:H30"/>
    <mergeCell ref="G24:H24"/>
    <mergeCell ref="G33:H33"/>
    <mergeCell ref="A8:B8"/>
    <mergeCell ref="G26:H26"/>
    <mergeCell ref="G35:H35"/>
    <mergeCell ref="F16:H16"/>
    <mergeCell ref="G20:H20"/>
    <mergeCell ref="F6:H6"/>
    <mergeCell ref="A29:H29"/>
    <mergeCell ref="A43:H43"/>
    <mergeCell ref="G32:H32"/>
    <mergeCell ref="G25:H25"/>
    <mergeCell ref="A10:B10"/>
    <mergeCell ref="G41:H41"/>
    <mergeCell ref="A2:G2"/>
    <mergeCell ref="G31:H31"/>
    <mergeCell ref="G22:H22"/>
    <mergeCell ref="A9:B9"/>
    <mergeCell ref="G9:H9"/>
    <mergeCell ref="A5:G5"/>
  </mergeCell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1A237E"/>
    <outlinePr summaryBelow="1" summaryRight="1"/>
    <pageSetUpPr/>
  </sheetPr>
  <dimension ref="A1:J39"/>
  <sheetViews>
    <sheetView showGridLines="0" tabSelected="1" topLeftCell="A7" zoomScaleNormal="100" workbookViewId="0">
      <selection activeCell="H24" sqref="H24"/>
    </sheetView>
  </sheetViews>
  <sheetFormatPr baseColWidth="10" defaultColWidth="8.7109375" defaultRowHeight="15"/>
  <cols>
    <col width="2.85546875" customWidth="1" min="1" max="1"/>
    <col width="5.7109375" customWidth="1" min="2" max="2"/>
    <col width="43.85546875" customWidth="1" min="3" max="3"/>
    <col width="30.140625" customWidth="1" min="4" max="4"/>
    <col width="19" customWidth="1" min="5" max="5"/>
    <col width="21" customWidth="1" min="6" max="6"/>
    <col width="19" customWidth="1" min="7" max="8"/>
    <col width="15.28515625" customWidth="1" min="9" max="9"/>
    <col width="19.140625" customWidth="1" min="10" max="10"/>
    <col width="3" customWidth="1" min="11" max="11"/>
  </cols>
  <sheetData>
    <row r="1" ht="15" customHeight="1" thickBot="1">
      <c r="J1" s="309" t="inlineStr">
        <is>
          <t>🏠 Sommaire</t>
        </is>
      </c>
    </row>
    <row r="2" ht="35.1" customHeight="1" thickBot="1">
      <c r="A2" s="417" t="inlineStr">
        <is>
          <t>DIGITAL PRODUCT PASSPORT — Product Carbon Footprint (PCF) par produit</t>
        </is>
      </c>
      <c r="B2" s="406" t="n"/>
      <c r="C2" s="406" t="n"/>
      <c r="D2" s="406" t="n"/>
      <c r="E2" s="406" t="n"/>
      <c r="F2" s="406" t="n"/>
      <c r="G2" s="406" t="n"/>
      <c r="H2" s="406" t="n"/>
      <c r="I2" s="406" t="n"/>
      <c r="J2" s="407" t="n"/>
    </row>
    <row r="3" ht="15" customHeight="1" thickBot="1">
      <c r="A3" s="444" t="inlineStr">
        <is>
          <t>Conforme ESPR (EU) 2024/1781 · ISO 14067:2018 · Registre DPP UE opérationnel juillet 2026. Batteries obligatoires fév. 2027.</t>
        </is>
      </c>
      <c r="B3" s="406" t="n"/>
      <c r="C3" s="406" t="n"/>
      <c r="D3" s="406" t="n"/>
      <c r="E3" s="406" t="n"/>
      <c r="F3" s="406" t="n"/>
      <c r="G3" s="406" t="n"/>
      <c r="H3" s="406" t="n"/>
      <c r="I3" s="406" t="n"/>
      <c r="J3" s="407" t="n"/>
    </row>
    <row r="5" ht="27.95" customHeight="1">
      <c r="A5" s="70" t="inlineStr">
        <is>
          <t>A — IDENTIFICATION PRODUIT</t>
        </is>
      </c>
    </row>
    <row r="6" ht="21.95" customHeight="1">
      <c r="B6" s="121" t="inlineStr">
        <is>
          <t>#</t>
        </is>
      </c>
      <c r="C6" s="121" t="inlineStr">
        <is>
          <t>Produit / Référence</t>
        </is>
      </c>
      <c r="D6" s="121" t="inlineStr">
        <is>
          <t>GTIN / Code</t>
        </is>
      </c>
      <c r="E6" s="121" t="inlineStr">
        <is>
          <t>Catégorie DPP</t>
        </is>
      </c>
      <c r="F6" s="121" t="inlineStr">
        <is>
          <t>Masse unitaire (kg)</t>
        </is>
      </c>
      <c r="G6" s="121" t="inlineStr">
        <is>
          <t>Pays fabrication</t>
        </is>
      </c>
      <c r="H6" s="121" t="inlineStr">
        <is>
          <t>Durée vie (ans)</t>
        </is>
      </c>
      <c r="I6" s="121" t="inlineStr">
        <is>
          <t>Unité fonctionnelle</t>
        </is>
      </c>
      <c r="J6" s="121" t="inlineStr">
        <is>
          <t>Nb unités/an</t>
        </is>
      </c>
    </row>
    <row r="7" ht="15" customHeight="1">
      <c r="B7" s="73" t="n">
        <v>1</v>
      </c>
      <c r="C7" s="73" t="n"/>
      <c r="D7" s="73" t="n"/>
      <c r="E7" s="73" t="n"/>
      <c r="F7" s="73" t="n"/>
      <c r="G7" s="73" t="n"/>
      <c r="H7" s="73" t="n"/>
      <c r="I7" s="73" t="n"/>
      <c r="J7" s="73" t="n"/>
    </row>
    <row r="8" ht="15" customHeight="1">
      <c r="B8" s="46" t="n">
        <v>2</v>
      </c>
      <c r="C8" s="46" t="n"/>
      <c r="D8" s="46" t="n"/>
      <c r="E8" s="46" t="n"/>
      <c r="F8" s="46" t="n"/>
      <c r="G8" s="46" t="n"/>
      <c r="H8" s="46" t="n"/>
      <c r="I8" s="46" t="n"/>
      <c r="J8" s="46" t="n"/>
    </row>
    <row r="9" ht="15" customHeight="1">
      <c r="B9" s="73" t="n">
        <v>3</v>
      </c>
      <c r="C9" s="73" t="n"/>
      <c r="D9" s="73" t="n"/>
      <c r="E9" s="73" t="n"/>
      <c r="F9" s="73" t="n"/>
      <c r="G9" s="73" t="n"/>
      <c r="H9" s="73" t="n"/>
      <c r="I9" s="73" t="n"/>
      <c r="J9" s="73" t="n"/>
    </row>
    <row r="10" ht="15" customHeight="1">
      <c r="B10" s="46" t="n">
        <v>4</v>
      </c>
      <c r="C10" s="46" t="n"/>
      <c r="D10" s="46" t="n"/>
      <c r="E10" s="46" t="n"/>
      <c r="F10" s="46" t="n"/>
      <c r="G10" s="46" t="n"/>
      <c r="H10" s="46" t="n"/>
      <c r="I10" s="46" t="n"/>
      <c r="J10" s="46" t="n"/>
    </row>
    <row r="11" ht="15" customHeight="1">
      <c r="B11" s="73" t="n">
        <v>5</v>
      </c>
      <c r="C11" s="73" t="n"/>
      <c r="D11" s="73" t="n"/>
      <c r="E11" s="73" t="n"/>
      <c r="F11" s="73" t="n"/>
      <c r="G11" s="73" t="n"/>
      <c r="H11" s="73" t="n"/>
      <c r="I11" s="73" t="n"/>
      <c r="J11" s="73" t="n"/>
    </row>
    <row r="12" ht="15" customHeight="1">
      <c r="B12" s="46" t="n">
        <v>6</v>
      </c>
      <c r="C12" s="46" t="n"/>
      <c r="D12" s="46" t="n"/>
      <c r="E12" s="46" t="n"/>
      <c r="F12" s="46" t="n"/>
      <c r="G12" s="46" t="n"/>
      <c r="H12" s="46" t="n"/>
      <c r="I12" s="46" t="n"/>
      <c r="J12" s="46" t="n"/>
    </row>
    <row r="13" ht="15" customHeight="1">
      <c r="B13" s="73" t="n">
        <v>7</v>
      </c>
      <c r="C13" s="73" t="n"/>
      <c r="D13" s="73" t="n"/>
      <c r="E13" s="73" t="n"/>
      <c r="F13" s="73" t="n"/>
      <c r="G13" s="73" t="n"/>
      <c r="H13" s="73" t="n"/>
      <c r="I13" s="73" t="n"/>
      <c r="J13" s="73" t="n"/>
    </row>
    <row r="14" ht="15" customHeight="1">
      <c r="B14" s="46" t="n">
        <v>8</v>
      </c>
      <c r="C14" s="46" t="n"/>
      <c r="D14" s="46" t="n"/>
      <c r="E14" s="46" t="n"/>
      <c r="F14" s="46" t="n"/>
      <c r="G14" s="46" t="n"/>
      <c r="H14" s="46" t="n"/>
      <c r="I14" s="46" t="n"/>
      <c r="J14" s="46" t="n"/>
    </row>
    <row r="15" ht="15.75" customHeight="1" thickBot="1"/>
    <row r="16" ht="27.95" customHeight="1">
      <c r="A16" s="445" t="inlineStr">
        <is>
          <t>B — CALCUL EMPREINTE CARBONE PAR PRODUIT (kgCO2e / unité)</t>
        </is>
      </c>
      <c r="B16" s="446" t="n"/>
      <c r="C16" s="446" t="n"/>
      <c r="D16" s="446" t="n"/>
      <c r="E16" s="446" t="n"/>
      <c r="F16" s="446" t="n"/>
      <c r="G16" s="446" t="n"/>
      <c r="H16" s="446" t="n"/>
      <c r="I16" s="446" t="n"/>
      <c r="J16" s="447" t="n"/>
    </row>
    <row r="17" ht="23.25" customHeight="1">
      <c r="A17" s="119" t="n"/>
      <c r="C17" s="121" t="inlineStr">
        <is>
          <t>Phase cycle de vie</t>
        </is>
      </c>
      <c r="D17" s="121" t="inlineStr">
        <is>
          <t>Donnée d'activité</t>
        </is>
      </c>
      <c r="E17" s="121" t="inlineStr">
        <is>
          <t>Unité</t>
        </is>
      </c>
      <c r="F17" s="127" t="inlineStr">
        <is>
          <t>Facteur émission</t>
        </is>
      </c>
      <c r="G17" s="127" t="inlineStr">
        <is>
          <t>Unité FE</t>
        </is>
      </c>
      <c r="H17" s="121" t="inlineStr">
        <is>
          <t>Émissions (kgCO2e)</t>
        </is>
      </c>
      <c r="I17" s="121" t="inlineStr">
        <is>
          <t>% du total</t>
        </is>
      </c>
      <c r="J17" s="122" t="inlineStr">
        <is>
          <t>Source FE</t>
        </is>
      </c>
    </row>
    <row r="18" ht="23.25" customHeight="1">
      <c r="A18" s="283" t="n"/>
      <c r="B18" s="126" t="n"/>
      <c r="C18" s="126" t="inlineStr">
        <is>
          <t>Matières premières (extraction)</t>
        </is>
      </c>
      <c r="D18" s="123" t="n">
        <v>0</v>
      </c>
      <c r="E18" s="123" t="inlineStr">
        <is>
          <t>kg</t>
        </is>
      </c>
      <c r="F18" s="128" t="n">
        <v>0</v>
      </c>
      <c r="G18" s="145" t="inlineStr">
        <is>
          <t>kgCO2e/kg</t>
        </is>
      </c>
      <c r="H18" s="124">
        <f>D18*F18</f>
        <v/>
      </c>
      <c r="I18" s="130">
        <f>IF(H24&gt;0,H18/H24*100,0)</f>
        <v/>
      </c>
      <c r="J18" s="125" t="n"/>
    </row>
    <row r="19" ht="23.25" customHeight="1">
      <c r="A19" s="448" t="n"/>
      <c r="B19" s="449" t="n"/>
      <c r="C19" s="131" t="inlineStr">
        <is>
          <t>Fabrication (process + énergie)</t>
        </is>
      </c>
      <c r="D19" s="138" t="n">
        <v>0</v>
      </c>
      <c r="E19" s="139" t="inlineStr">
        <is>
          <t>kWh</t>
        </is>
      </c>
      <c r="F19" s="140" t="n">
        <v>0</v>
      </c>
      <c r="G19" s="141" t="inlineStr">
        <is>
          <t>kgCO2e/kWh</t>
        </is>
      </c>
      <c r="H19" s="142">
        <f>D19*F19</f>
        <v/>
      </c>
      <c r="I19" s="143">
        <f>IF(H24&gt;0,H19/H24*100,0)</f>
        <v/>
      </c>
      <c r="J19" s="141" t="n"/>
    </row>
    <row r="20" ht="23.25" customHeight="1">
      <c r="A20" s="290" t="n"/>
      <c r="B20" s="449" t="n"/>
      <c r="C20" s="131" t="inlineStr">
        <is>
          <t>Transport amont (matières → usine)</t>
        </is>
      </c>
      <c r="D20" s="123" t="n">
        <v>0</v>
      </c>
      <c r="E20" s="123" t="inlineStr">
        <is>
          <t>t.km</t>
        </is>
      </c>
      <c r="F20" s="128" t="n">
        <v>0</v>
      </c>
      <c r="G20" s="145" t="inlineStr">
        <is>
          <t>kgCO2e/t.km</t>
        </is>
      </c>
      <c r="H20" s="124">
        <f>D20*F20</f>
        <v/>
      </c>
      <c r="I20" s="130">
        <f>IF(H24&gt;0,H20/H24*100,0)</f>
        <v/>
      </c>
      <c r="J20" s="145" t="n"/>
    </row>
    <row r="21" ht="15" customHeight="1">
      <c r="A21" s="448" t="n"/>
      <c r="B21" s="449" t="n"/>
      <c r="C21" s="137" t="inlineStr">
        <is>
          <t>Distribution (usine → client)</t>
        </is>
      </c>
      <c r="D21" s="123" t="n">
        <v>0</v>
      </c>
      <c r="E21" s="123" t="inlineStr">
        <is>
          <t>t.km</t>
        </is>
      </c>
      <c r="F21" s="128" t="n">
        <v>0</v>
      </c>
      <c r="G21" s="145" t="inlineStr">
        <is>
          <t>kgCO2e/t.km</t>
        </is>
      </c>
      <c r="H21" s="124">
        <f>D21*F21</f>
        <v/>
      </c>
      <c r="I21" s="130">
        <f>IF(H24&gt;0,H21/H24*100,0)</f>
        <v/>
      </c>
      <c r="J21" s="145" t="n"/>
    </row>
    <row r="22" ht="23.25" customHeight="1">
      <c r="A22" s="450" t="n"/>
      <c r="B22" s="449" t="n"/>
      <c r="C22" s="144" t="inlineStr">
        <is>
          <t>Phase d'usage (énergie consommée)</t>
        </is>
      </c>
      <c r="D22" s="139" t="n">
        <v>0</v>
      </c>
      <c r="E22" s="139" t="inlineStr">
        <is>
          <t>kWh</t>
        </is>
      </c>
      <c r="F22" s="140" t="n">
        <v>0</v>
      </c>
      <c r="G22" s="141" t="inlineStr">
        <is>
          <t>kgCO2e/kWh</t>
        </is>
      </c>
      <c r="H22" s="142">
        <f>D22*F22</f>
        <v/>
      </c>
      <c r="I22" s="143">
        <f>IF(H24&gt;0,H22/H24*100,0)</f>
        <v/>
      </c>
      <c r="J22" s="141" t="n"/>
    </row>
    <row r="23" ht="23.25" customHeight="1">
      <c r="A23" s="448" t="n"/>
      <c r="B23" s="449" t="n"/>
      <c r="C23" s="131" t="inlineStr">
        <is>
          <t>Fin de vie (traitement déchets)</t>
        </is>
      </c>
      <c r="D23" s="132" t="n">
        <v>0</v>
      </c>
      <c r="E23" s="132" t="inlineStr">
        <is>
          <t>kg</t>
        </is>
      </c>
      <c r="F23" s="133" t="n">
        <v>0</v>
      </c>
      <c r="G23" s="146" t="inlineStr">
        <is>
          <t>kgCO2e/kg</t>
        </is>
      </c>
      <c r="H23" s="135">
        <f>D23*F23</f>
        <v/>
      </c>
      <c r="I23" s="136">
        <f>IF(H24&gt;0,H23/H24*100,0)</f>
        <v/>
      </c>
      <c r="J23" s="146" t="n"/>
    </row>
    <row r="24" ht="15" customHeight="1" thickBot="1">
      <c r="A24" s="451" t="n"/>
      <c r="B24" s="452" t="n"/>
      <c r="C24" s="211" t="inlineStr">
        <is>
          <t>TOTAL PCF PRODUIT 1</t>
        </is>
      </c>
      <c r="D24" s="212" t="n"/>
      <c r="E24" s="212" t="n"/>
      <c r="F24" s="213" t="n"/>
      <c r="G24" s="213" t="n"/>
      <c r="H24" s="212">
        <f>SUM(H18:H23)</f>
        <v/>
      </c>
      <c r="I24" s="213" t="n"/>
      <c r="J24" s="213" t="n"/>
    </row>
    <row r="25" ht="15.75" customHeight="1" thickBot="1"/>
    <row r="26" ht="27.95" customHeight="1" thickBot="1">
      <c r="A26" s="453" t="inlineStr">
        <is>
          <t>C — DONNÉES DPP À DÉCLARER (ESPR Art. 7-10)</t>
        </is>
      </c>
      <c r="B26" s="406" t="n"/>
      <c r="C26" s="406" t="n"/>
      <c r="D26" s="406" t="n"/>
      <c r="E26" s="406" t="n"/>
      <c r="F26" s="406" t="n"/>
      <c r="G26" s="406" t="n"/>
      <c r="H26" s="406" t="n"/>
      <c r="I26" s="406" t="n"/>
      <c r="J26" s="407" t="n"/>
    </row>
    <row r="27" ht="15" customHeight="1">
      <c r="A27" s="121" t="n"/>
      <c r="B27" s="121" t="n"/>
      <c r="C27" s="121" t="inlineStr">
        <is>
          <t>Donnée DPP</t>
        </is>
      </c>
      <c r="D27" s="121" t="inlineStr">
        <is>
          <t>Valeur</t>
        </is>
      </c>
      <c r="E27" s="121" t="inlineStr">
        <is>
          <t>Unité</t>
        </is>
      </c>
      <c r="F27" s="121" t="inlineStr">
        <is>
          <t>Obligatoire</t>
        </is>
      </c>
      <c r="G27" s="121" t="inlineStr">
        <is>
          <t>Réf. ESPR</t>
        </is>
      </c>
      <c r="H27" s="121" t="inlineStr">
        <is>
          <t>Source</t>
        </is>
      </c>
      <c r="I27" s="121" t="inlineStr">
        <is>
          <t>Statut</t>
        </is>
      </c>
      <c r="J27" s="121" t="n"/>
    </row>
    <row r="28" ht="23.25" customHeight="1">
      <c r="A28" s="92" t="n"/>
      <c r="B28" s="92" t="n"/>
      <c r="C28" s="106" t="n"/>
      <c r="D28" s="106" t="inlineStr">
        <is>
          <t>PCF total (kgCO2e/unité)</t>
        </is>
      </c>
      <c r="E28" s="123">
        <f>H24</f>
        <v/>
      </c>
      <c r="F28" s="106" t="inlineStr">
        <is>
          <t>kgCO2e</t>
        </is>
      </c>
      <c r="G28" s="106" t="inlineStr">
        <is>
          <t>Oui</t>
        </is>
      </c>
      <c r="H28" s="106" t="inlineStr">
        <is>
          <t>Art. 7(2)(c)</t>
        </is>
      </c>
      <c r="I28" s="106" t="inlineStr">
        <is>
          <t>Calcul auto</t>
        </is>
      </c>
      <c r="J28" s="106">
        <f>IF(E28&lt;&gt;"","✓","⬜")</f>
        <v/>
      </c>
    </row>
    <row r="29" ht="23.25" customHeight="1">
      <c r="A29" s="90" t="n"/>
      <c r="B29" s="90" t="n"/>
      <c r="C29" s="257" t="n"/>
      <c r="D29" s="257" t="inlineStr">
        <is>
          <t>Classe d'empreinte carbone</t>
        </is>
      </c>
      <c r="E29" s="123">
        <f>IF(H24&lt;5,"A",IF(H24&lt;20,"B",IF(H24&lt;50,"C",IF(H24&lt;100,"D","E"))))</f>
        <v/>
      </c>
      <c r="F29" s="257" t="inlineStr">
        <is>
          <t>A-E</t>
        </is>
      </c>
      <c r="G29" s="257" t="inlineStr">
        <is>
          <t>Oui</t>
        </is>
      </c>
      <c r="H29" s="257" t="inlineStr">
        <is>
          <t>Art. 7(2)(c)</t>
        </is>
      </c>
      <c r="I29" s="257" t="inlineStr">
        <is>
          <t>Calcul auto</t>
        </is>
      </c>
      <c r="J29" s="257">
        <f>IF(E29&lt;&gt;"","✓","⬜")</f>
        <v/>
      </c>
    </row>
    <row r="30" ht="15" customHeight="1">
      <c r="A30" s="92" t="n"/>
      <c r="B30" s="92" t="n"/>
      <c r="C30" s="106" t="n"/>
      <c r="D30" s="106" t="inlineStr">
        <is>
          <t>% contenu recyclé</t>
        </is>
      </c>
      <c r="E30" s="123" t="n"/>
      <c r="F30" s="106" t="inlineStr">
        <is>
          <t>%</t>
        </is>
      </c>
      <c r="G30" s="106" t="inlineStr">
        <is>
          <t>Oui</t>
        </is>
      </c>
      <c r="H30" s="106" t="inlineStr">
        <is>
          <t>Art. 7(2)(b)</t>
        </is>
      </c>
      <c r="I30" s="106" t="inlineStr">
        <is>
          <t>Saisie</t>
        </is>
      </c>
      <c r="J30" s="106">
        <f>IF(E30&lt;&gt;"","✓","⬜")</f>
        <v/>
      </c>
    </row>
    <row r="31" ht="23.25" customHeight="1">
      <c r="A31" s="90" t="n"/>
      <c r="B31" s="90" t="n"/>
      <c r="C31" s="257" t="n"/>
      <c r="D31" s="257" t="inlineStr">
        <is>
          <t>Durabilité / durée de vie estimée</t>
        </is>
      </c>
      <c r="E31" s="123" t="n"/>
      <c r="F31" s="257" t="inlineStr">
        <is>
          <t>ans</t>
        </is>
      </c>
      <c r="G31" s="257" t="inlineStr">
        <is>
          <t>Oui</t>
        </is>
      </c>
      <c r="H31" s="257" t="inlineStr">
        <is>
          <t>Art. 7(2)(d)</t>
        </is>
      </c>
      <c r="I31" s="257" t="inlineStr">
        <is>
          <t>Saisie</t>
        </is>
      </c>
      <c r="J31" s="257">
        <f>IF(E31&lt;&gt;"","✓","⬜")</f>
        <v/>
      </c>
    </row>
    <row r="32" ht="23.25" customHeight="1">
      <c r="A32" s="92" t="n"/>
      <c r="B32" s="92" t="n"/>
      <c r="C32" s="106" t="n"/>
      <c r="D32" s="106" t="inlineStr">
        <is>
          <t>Score de réparabilité (1-10)</t>
        </is>
      </c>
      <c r="E32" s="123" t="n"/>
      <c r="F32" s="106" t="inlineStr">
        <is>
          <t>Score</t>
        </is>
      </c>
      <c r="G32" s="106" t="inlineStr">
        <is>
          <t>Si applicable</t>
        </is>
      </c>
      <c r="H32" s="106" t="inlineStr">
        <is>
          <t>Art. 7(2)(e)</t>
        </is>
      </c>
      <c r="I32" s="106" t="inlineStr">
        <is>
          <t>Saisie</t>
        </is>
      </c>
      <c r="J32" s="106">
        <f>IF(E32&lt;&gt;"","✓","⬜")</f>
        <v/>
      </c>
    </row>
    <row r="33" ht="34.5" customHeight="1">
      <c r="A33" s="90" t="n"/>
      <c r="B33" s="90" t="n"/>
      <c r="C33" s="257" t="n"/>
      <c r="D33" s="257" t="inlineStr">
        <is>
          <t>Substances préoccupantes (SVHC)</t>
        </is>
      </c>
      <c r="E33" s="123" t="n"/>
      <c r="F33" s="257" t="inlineStr">
        <is>
          <t>O/N</t>
        </is>
      </c>
      <c r="G33" s="257" t="inlineStr">
        <is>
          <t>Oui</t>
        </is>
      </c>
      <c r="H33" s="257" t="inlineStr">
        <is>
          <t>Art. 7(2)(a)</t>
        </is>
      </c>
      <c r="I33" s="257" t="inlineStr">
        <is>
          <t>Saisie</t>
        </is>
      </c>
      <c r="J33" s="257">
        <f>IF(E33&lt;&gt;"","✓","⬜")</f>
        <v/>
      </c>
    </row>
    <row r="34" ht="23.25" customHeight="1">
      <c r="A34" s="92" t="n"/>
      <c r="B34" s="92" t="n"/>
      <c r="C34" s="106" t="n"/>
      <c r="D34" s="106" t="inlineStr">
        <is>
          <t>Instructions de recyclage</t>
        </is>
      </c>
      <c r="E34" s="123" t="n"/>
      <c r="F34" s="106" t="inlineStr">
        <is>
          <t>Texte</t>
        </is>
      </c>
      <c r="G34" s="106" t="inlineStr">
        <is>
          <t>Oui</t>
        </is>
      </c>
      <c r="H34" s="106" t="inlineStr">
        <is>
          <t>Art. 7(2)(f)</t>
        </is>
      </c>
      <c r="I34" s="106" t="inlineStr">
        <is>
          <t>Saisie</t>
        </is>
      </c>
      <c r="J34" s="106">
        <f>IF(E34&lt;&gt;"","✓","⬜")</f>
        <v/>
      </c>
    </row>
    <row r="35" ht="15" customHeight="1">
      <c r="A35" s="90" t="n"/>
      <c r="B35" s="90" t="n"/>
      <c r="C35" s="257" t="n"/>
      <c r="D35" s="257" t="inlineStr">
        <is>
          <t>Pays de fabrication</t>
        </is>
      </c>
      <c r="E35" s="123" t="n"/>
      <c r="F35" s="257" t="inlineStr">
        <is>
          <t>Pays</t>
        </is>
      </c>
      <c r="G35" s="257" t="inlineStr">
        <is>
          <t>Oui</t>
        </is>
      </c>
      <c r="H35" s="257" t="inlineStr">
        <is>
          <t>Art. 7(2)</t>
        </is>
      </c>
      <c r="I35" s="257" t="inlineStr">
        <is>
          <t>Saisie</t>
        </is>
      </c>
      <c r="J35" s="257">
        <f>IF(E35&lt;&gt;"","✓","⬜")</f>
        <v/>
      </c>
    </row>
    <row r="36" ht="23.25" customHeight="1">
      <c r="A36" s="92" t="n"/>
      <c r="B36" s="92" t="n"/>
      <c r="C36" s="106" t="n"/>
      <c r="D36" s="106" t="inlineStr">
        <is>
          <t>Identifiant unique DPP (UUID)</t>
        </is>
      </c>
      <c r="E36" s="123" t="n"/>
      <c r="F36" s="106" t="inlineStr">
        <is>
          <t>UUID</t>
        </is>
      </c>
      <c r="G36" s="106" t="inlineStr">
        <is>
          <t>Oui</t>
        </is>
      </c>
      <c r="H36" s="106" t="inlineStr">
        <is>
          <t>Art. 9</t>
        </is>
      </c>
      <c r="I36" s="106" t="inlineStr">
        <is>
          <t>Généré auto</t>
        </is>
      </c>
      <c r="J36" s="106">
        <f>IF(E36&lt;&gt;"","✓","⬜")</f>
        <v/>
      </c>
    </row>
    <row r="37" ht="23.25" customHeight="1">
      <c r="A37" s="90" t="n"/>
      <c r="B37" s="90" t="n"/>
      <c r="C37" s="257" t="n"/>
      <c r="D37" s="257" t="inlineStr">
        <is>
          <t>URL data carrier (QR code)</t>
        </is>
      </c>
      <c r="E37" s="123" t="n"/>
      <c r="F37" s="257" t="inlineStr">
        <is>
          <t>URL</t>
        </is>
      </c>
      <c r="G37" s="257" t="inlineStr">
        <is>
          <t>Oui</t>
        </is>
      </c>
      <c r="H37" s="257" t="inlineStr">
        <is>
          <t>Art. 10</t>
        </is>
      </c>
      <c r="I37" s="257" t="inlineStr">
        <is>
          <t>Généré auto</t>
        </is>
      </c>
      <c r="J37" s="257">
        <f>IF(E37&lt;&gt;"","✓","⬜")</f>
        <v/>
      </c>
    </row>
    <row r="38" ht="15.75" customHeight="1" thickBot="1"/>
    <row r="39" ht="15" customHeight="1" thickBot="1">
      <c r="B39" s="454" t="inlineStr">
        <is>
          <t>ℹ️ Reproduire les sections B et C pour chaque produit. Le registre DPP européen ouvre en juillet 2026. Batteries : obligations DPP dès février 2027.</t>
        </is>
      </c>
      <c r="C39" s="406" t="n"/>
      <c r="D39" s="406" t="n"/>
      <c r="E39" s="406" t="n"/>
      <c r="F39" s="406" t="n"/>
      <c r="G39" s="406" t="n"/>
      <c r="H39" s="406" t="n"/>
      <c r="I39" s="406" t="n"/>
      <c r="J39" s="407" t="n"/>
    </row>
  </sheetData>
  <mergeCells count="14">
    <mergeCell ref="A5:J5"/>
    <mergeCell ref="A21:B21"/>
    <mergeCell ref="A24:B24"/>
    <mergeCell ref="A20:B20"/>
    <mergeCell ref="A16:J16"/>
    <mergeCell ref="A19:B19"/>
    <mergeCell ref="A3:J3"/>
    <mergeCell ref="A23:B23"/>
    <mergeCell ref="A26:J26"/>
    <mergeCell ref="A17:B17"/>
    <mergeCell ref="A2:J2"/>
    <mergeCell ref="A18:B18"/>
    <mergeCell ref="B39:J39"/>
    <mergeCell ref="A22:B22"/>
  </mergeCells>
  <dataValidations count="1">
    <dataValidation sqref="E7:E14" showDropDown="0" showInputMessage="0" showErrorMessage="0" allowBlank="0" type="list">
      <formula1>"Batteries,Textiles,Électronique,Métaux,Meubles,Pneus,Construction,Autre"</formula1>
      <formula2>0</formula2>
    </dataValidation>
  </dataValidation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A148C"/>
    <outlinePr summaryBelow="1" summaryRight="1"/>
    <pageSetUpPr/>
  </sheetPr>
  <dimension ref="A1:J19"/>
  <sheetViews>
    <sheetView showGridLines="0" zoomScaleNormal="100" workbookViewId="0">
      <selection activeCell="B18" sqref="B18:C18"/>
    </sheetView>
  </sheetViews>
  <sheetFormatPr baseColWidth="10" defaultColWidth="8.7109375" defaultRowHeight="15"/>
  <cols>
    <col width="2.85546875" customWidth="1" min="1" max="1"/>
    <col width="19" customWidth="1" min="2" max="2"/>
    <col width="43.85546875" customWidth="1" min="3" max="3"/>
    <col width="28.28515625" customWidth="1" min="4" max="4"/>
    <col width="21" customWidth="1" min="5" max="5"/>
    <col width="19" customWidth="1" min="6" max="6"/>
    <col width="22.85546875" customWidth="1" min="7" max="7"/>
    <col width="24.7109375" customWidth="1" min="8" max="8"/>
    <col width="17.140625" customWidth="1" min="10" max="10"/>
  </cols>
  <sheetData>
    <row r="1" ht="15" customHeight="1">
      <c r="J1" s="310" t="inlineStr">
        <is>
          <t>🏠 Sommaire</t>
        </is>
      </c>
    </row>
    <row r="2" ht="35.1" customHeight="1" thickBot="1">
      <c r="A2" s="271" t="inlineStr">
        <is>
          <t>BENCHMARK SECTORIEL — Positionnement vs médianes ADEME / marché</t>
        </is>
      </c>
    </row>
    <row r="3" ht="15" customHeight="1" thickBot="1">
      <c r="A3" s="444" t="inlineStr">
        <is>
          <t>Comparez vos KPIs carbone et ESG aux médianes et top 25% de votre secteur. Source : ADEME Base Carbone, INSEE, EFRAG 2024.</t>
        </is>
      </c>
      <c r="B3" s="406" t="n"/>
      <c r="C3" s="406" t="n"/>
      <c r="D3" s="406" t="n"/>
      <c r="E3" s="406" t="n"/>
      <c r="F3" s="406" t="n"/>
      <c r="G3" s="406" t="n"/>
      <c r="H3" s="407" t="n"/>
    </row>
    <row r="4" ht="15.75" customHeight="1" thickBot="1"/>
    <row r="5" ht="32.25" customHeight="1" thickBot="1">
      <c r="B5" s="268" t="inlineStr">
        <is>
          <t>⚙️ Votre secteur (Code NAF 2 chiffres) :</t>
        </is>
      </c>
      <c r="C5" s="406" t="n"/>
      <c r="D5" s="270" t="inlineStr">
        <is>
          <t>62</t>
        </is>
      </c>
      <c r="E5" s="171" t="inlineStr">
        <is>
          <t>Saisir le code NAF 2 chiffres (ex: 62 = Services IT)</t>
        </is>
      </c>
      <c r="F5" s="406" t="n"/>
      <c r="G5" s="406" t="n"/>
      <c r="H5" s="407" t="n"/>
    </row>
    <row r="6" ht="15.75" customHeight="1" thickBot="1"/>
    <row r="7" ht="24.95" customHeight="1" thickBot="1">
      <c r="B7" s="243" t="inlineStr">
        <is>
          <t>Indicateur</t>
        </is>
      </c>
      <c r="C7" s="244" t="inlineStr">
        <is>
          <t>Votre valeur</t>
        </is>
      </c>
      <c r="D7" s="244" t="inlineStr">
        <is>
          <t>Votre valeur</t>
        </is>
      </c>
      <c r="E7" s="244" t="inlineStr">
        <is>
          <t>Médiane secteur</t>
        </is>
      </c>
      <c r="F7" s="244" t="inlineStr">
        <is>
          <t>Top 25%</t>
        </is>
      </c>
      <c r="G7" s="244" t="inlineStr">
        <is>
          <t>Écart vs médiane (%)</t>
        </is>
      </c>
      <c r="H7" s="245" t="inlineStr">
        <is>
          <t>Position</t>
        </is>
      </c>
    </row>
    <row r="8" ht="45.75" customHeight="1">
      <c r="B8" s="1" t="n"/>
      <c r="C8" s="250" t="inlineStr">
        <is>
          <t>Intensité carbone / CA (tCO2e/M€)</t>
        </is>
      </c>
      <c r="D8" s="247">
        <f>Liaison_Donnees!C20</f>
        <v/>
      </c>
      <c r="E8" s="248">
        <f>IFERROR(INDEX(_Ref_Secteurs!D5:D20,MATCH(D5*1,_Ref_Secteurs!B5:B20,0)),"-")</f>
        <v/>
      </c>
      <c r="F8" s="248">
        <f>IFERROR(INDEX(_Ref_Secteurs!E5:E20,MATCH(D5*1,_Ref_Secteurs!B5:B20,0)),"-")</f>
        <v/>
      </c>
      <c r="G8" s="248">
        <f>IF(AND(ISNUMBER(D8),ISNUMBER(E8),E8&gt;0),(D8-E8)/E8*100,"-")</f>
        <v/>
      </c>
      <c r="H8" s="253">
        <f>IF(AND(ISNUMBER(D8),ISNUMBER(F8)),IF(D8&lt;=F8,"⭐ Leader",IF(D8&lt;=E8,"✅ Bon","⚠️ À améliorer")),IF(ISNUMBER(D8),IF(D8&lt;=E8,"✅ Bon","⚠️"),"-"))</f>
        <v/>
      </c>
    </row>
    <row r="9" ht="34.5" customHeight="1">
      <c r="B9" s="47" t="n"/>
      <c r="C9" s="266" t="inlineStr">
        <is>
          <t>Intensité carbone / ETP (tCO2e/ETP)</t>
        </is>
      </c>
      <c r="D9" s="249">
        <f>IF(Liaison_Donnees!C10&gt;0,Liaison_Donnees!C19/Liaison_Donnees!C10,0)</f>
        <v/>
      </c>
      <c r="E9" s="257">
        <f>IFERROR(INDEX(_Ref_Secteurs!F5:F20,MATCH(D5*1,_Ref_Secteurs!B5:B20,0)),"-")</f>
        <v/>
      </c>
      <c r="F9" s="257">
        <f>IFERROR(INDEX(_Ref_Secteurs!E5:E20,MATCH(D5*1,_Ref_Secteurs!B5:B20,0)),"-")</f>
        <v/>
      </c>
      <c r="G9" s="257">
        <f>IF(AND(ISNUMBER(D9),ISNUMBER(E9),E9&gt;0),(D9-E9)/E9*100,"-")</f>
        <v/>
      </c>
      <c r="H9" s="262">
        <f>IF(AND(ISNUMBER(D9),ISNUMBER(F9)),IF(D9&lt;=F9,"⭐ Leader",IF(D9&lt;=E9,"✅ Bon","⚠️ À améliorer")),IF(ISNUMBER(D9),IF(D9&lt;=E9,"✅ Bon","⚠️"),"-"))</f>
        <v/>
      </c>
    </row>
    <row r="10" ht="34.5" customHeight="1">
      <c r="B10" s="47" t="n"/>
      <c r="C10" s="252" t="inlineStr">
        <is>
          <t>Part Scope 3 / total (%)</t>
        </is>
      </c>
      <c r="D10" s="249">
        <f>Liaison_Donnees!C21</f>
        <v/>
      </c>
      <c r="E10" s="106">
        <f>IFERROR(INDEX(_Ref_Secteurs!G5:G20,MATCH(D5*1,_Ref_Secteurs!B5:B20,0)),"-")</f>
        <v/>
      </c>
      <c r="F10" s="106" t="inlineStr">
        <is>
          <t>—</t>
        </is>
      </c>
      <c r="G10" s="106">
        <f>IF(AND(ISNUMBER(D10),ISNUMBER(E10),E10&gt;0),(D10-E10)/E10*100,"-")</f>
        <v/>
      </c>
      <c r="H10" s="255">
        <f>IF(AND(ISNUMBER(D10),ISNUMBER(F10)),IF(D10&lt;=F10,"⭐ Leader",IF(D10&lt;=E10,"✅ Bon","⚠️ À améliorer")),IF(ISNUMBER(D10),IF(D10&lt;=E10,"✅ Bon","⚠️"),"-"))</f>
        <v/>
      </c>
    </row>
    <row r="11" ht="79.5" customHeight="1">
      <c r="B11" s="47" t="n"/>
      <c r="C11" s="266" t="inlineStr">
        <is>
          <t>Part énergie renouvelable (%)</t>
        </is>
      </c>
      <c r="D11" s="249">
        <f>Liaison_Donnees!C23</f>
        <v/>
      </c>
      <c r="E11" s="257">
        <f>IFERROR(INDEX(_Ref_Secteurs!H5:H20,MATCH(D5*1,_Ref_Secteurs!B5:B20,0)),"-")</f>
        <v/>
      </c>
      <c r="F11" s="257" t="inlineStr">
        <is>
          <t>—</t>
        </is>
      </c>
      <c r="G11" s="257">
        <f>IF(AND(ISNUMBER(D11),ISNUMBER(E11),E11&gt;0),(D11-E11)/E11*100,"-")</f>
        <v/>
      </c>
      <c r="H11" s="262">
        <f>IF(ISNUMBER(D11),IF(D11&gt;=50,"⭐ Leader",IF(D11&gt;=E11,"✅ Bon","⚠️ À améliorer")),"-")</f>
        <v/>
      </c>
    </row>
    <row r="12" ht="79.5" customHeight="1">
      <c r="B12" s="47" t="n"/>
      <c r="C12" s="252" t="inlineStr">
        <is>
          <t>% CA aligné Taxonomie</t>
        </is>
      </c>
      <c r="D12" s="249">
        <f>Liaison_Donnees!C24</f>
        <v/>
      </c>
      <c r="E12" s="106" t="inlineStr">
        <is>
          <t>—</t>
        </is>
      </c>
      <c r="F12" s="106" t="inlineStr">
        <is>
          <t>—</t>
        </is>
      </c>
      <c r="G12" s="106" t="inlineStr">
        <is>
          <t>—</t>
        </is>
      </c>
      <c r="H12" s="255">
        <f>IF(ISNUMBER(D12),IF(D12&gt;=30,"✅ Bon","⚠️ À améliorer"),"-")</f>
        <v/>
      </c>
    </row>
    <row r="13" ht="79.5" customHeight="1">
      <c r="B13" s="261" t="n"/>
      <c r="C13" s="256" t="inlineStr">
        <is>
          <t>Green CapEx ratio (%)</t>
        </is>
      </c>
      <c r="D13" s="265">
        <f>Finance_Climat!D50</f>
        <v/>
      </c>
      <c r="E13" s="258" t="inlineStr">
        <is>
          <t>—</t>
        </is>
      </c>
      <c r="F13" s="258" t="inlineStr">
        <is>
          <t>—</t>
        </is>
      </c>
      <c r="G13" s="260" t="inlineStr">
        <is>
          <t>—</t>
        </is>
      </c>
      <c r="H13" s="263">
        <f>IF(ISNUMBER(D13),IF(D13&gt;=30,"✅ Bon","⚠️ À améliorer"),"-")</f>
        <v/>
      </c>
    </row>
    <row r="14" ht="15.75" customHeight="1" thickBot="1">
      <c r="B14" s="455" t="n"/>
      <c r="C14" s="455" t="n"/>
      <c r="D14" s="456" t="n"/>
      <c r="E14" s="415" t="n"/>
      <c r="F14" s="415" t="n"/>
      <c r="G14" s="416" t="n"/>
      <c r="H14" s="455" t="n"/>
    </row>
    <row r="15" ht="15.75" customHeight="1" thickBot="1"/>
    <row r="16" ht="27.95" customHeight="1" thickBot="1">
      <c r="B16" s="457" t="inlineStr">
        <is>
          <t>SYNTHÈSE POSITIONNEMENT</t>
        </is>
      </c>
      <c r="C16" s="406" t="n"/>
      <c r="D16" s="406" t="n"/>
      <c r="E16" s="406" t="n"/>
      <c r="F16" s="406" t="n"/>
      <c r="G16" s="406" t="n"/>
      <c r="H16" s="407" t="n"/>
    </row>
    <row r="17" ht="15" customHeight="1">
      <c r="B17" s="458" t="inlineStr">
        <is>
          <t>Secteur identifié</t>
        </is>
      </c>
      <c r="C17" s="459" t="n"/>
      <c r="D17" s="460">
        <f>IFERROR(INDEX(_Ref_Secteurs!C5:C20,MATCH(D5*1,_Ref_Secteurs!B5:B20,0)),"Secteur non trouvé")</f>
        <v/>
      </c>
      <c r="E17" s="446" t="n"/>
      <c r="F17" s="446" t="n"/>
      <c r="G17" s="446" t="n"/>
      <c r="H17" s="459" t="n"/>
    </row>
    <row r="18" ht="15" customHeight="1">
      <c r="B18" s="461" t="inlineStr">
        <is>
          <t>Nb indicateurs en position Leader/Bon</t>
        </is>
      </c>
      <c r="C18" s="421" t="n"/>
      <c r="D18" s="462">
        <f>COUNTIF(H8:H13,"⭐*")+COUNTIF(H8:H13,"✅*")</f>
        <v/>
      </c>
      <c r="E18" s="463" t="n"/>
      <c r="F18" s="463" t="n"/>
      <c r="G18" s="463" t="n"/>
      <c r="H18" s="464" t="n"/>
    </row>
    <row r="19" ht="15" customHeight="1" thickBot="1">
      <c r="B19" s="465" t="inlineStr">
        <is>
          <t>Nb indicateurs à améliorer</t>
        </is>
      </c>
      <c r="C19" s="416" t="n"/>
      <c r="D19" s="466">
        <f>COUNTIF(H8:H13,"⚠️*")</f>
        <v/>
      </c>
      <c r="E19" s="467" t="n"/>
      <c r="F19" s="467" t="n"/>
      <c r="G19" s="467" t="n"/>
      <c r="H19" s="468" t="n"/>
    </row>
  </sheetData>
  <mergeCells count="18">
    <mergeCell ref="F13:F14"/>
    <mergeCell ref="A3:H3"/>
    <mergeCell ref="H13:H14"/>
    <mergeCell ref="B13:B14"/>
    <mergeCell ref="B5:C5"/>
    <mergeCell ref="A2:H2"/>
    <mergeCell ref="B19:C19"/>
    <mergeCell ref="D19:H19"/>
    <mergeCell ref="D13:D14"/>
    <mergeCell ref="E13:E14"/>
    <mergeCell ref="G13:G14"/>
    <mergeCell ref="B16:H16"/>
    <mergeCell ref="B17:C17"/>
    <mergeCell ref="B18:C18"/>
    <mergeCell ref="D18:H18"/>
    <mergeCell ref="E5:H5"/>
    <mergeCell ref="D17:H17"/>
    <mergeCell ref="C13:C14"/>
  </mergeCell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1A237E"/>
    <outlinePr summaryBelow="1" summaryRight="1"/>
    <pageSetUpPr/>
  </sheetPr>
  <dimension ref="A1:J32"/>
  <sheetViews>
    <sheetView showGridLines="0" topLeftCell="D24" zoomScaleNormal="100" workbookViewId="0">
      <selection activeCell="A2" sqref="A2:H2"/>
    </sheetView>
  </sheetViews>
  <sheetFormatPr baseColWidth="10" defaultColWidth="8.7109375" defaultRowHeight="15"/>
  <cols>
    <col width="2.85546875" customWidth="1" min="1" max="1"/>
    <col width="10.140625" customWidth="1" min="2" max="2"/>
    <col width="23.85546875" customWidth="1" min="3" max="3"/>
    <col width="61" customWidth="1" min="4" max="4"/>
    <col width="59" customWidth="1" min="5" max="5"/>
    <col width="18.85546875" customWidth="1" min="6" max="6"/>
    <col width="19" customWidth="1" min="7" max="7"/>
    <col width="34.28515625" customWidth="1" min="8" max="8"/>
    <col width="16.42578125" customWidth="1" min="10" max="10"/>
  </cols>
  <sheetData>
    <row r="1" ht="15" customHeight="1" thickBot="1">
      <c r="J1" s="310" t="inlineStr">
        <is>
          <t>🏠 Sommaire</t>
        </is>
      </c>
    </row>
    <row r="2" ht="35.1" customHeight="1" thickBot="1">
      <c r="A2" s="417" t="inlineStr">
        <is>
          <t>SFDR — PRINCIPAL ADVERSE IMPACTS (PAI) POUR INVESTISSEURS</t>
        </is>
      </c>
      <c r="B2" s="406" t="n"/>
      <c r="C2" s="406" t="n"/>
      <c r="D2" s="406" t="n"/>
      <c r="E2" s="406" t="n"/>
      <c r="F2" s="406" t="n"/>
      <c r="G2" s="406" t="n"/>
      <c r="H2" s="407" t="n"/>
    </row>
    <row r="3" ht="15" customHeight="1" thickBot="1">
      <c r="A3" s="469" t="inlineStr">
        <is>
          <t>Règlement (UE) 2019/2088 révisé (accord déc. 2025). 3 catégories de fonds : Transition, ESG de base, Durable. Seuil 70% actifs conformes.</t>
        </is>
      </c>
      <c r="B3" s="406" t="n"/>
      <c r="C3" s="406" t="n"/>
      <c r="D3" s="406" t="n"/>
      <c r="E3" s="406" t="n"/>
      <c r="F3" s="406" t="n"/>
      <c r="G3" s="406" t="n"/>
      <c r="H3" s="407" t="n"/>
    </row>
    <row r="4" ht="15.75" customHeight="1" thickBot="1"/>
    <row r="5" ht="27.95" customHeight="1" thickBot="1">
      <c r="A5" s="457" t="inlineStr">
        <is>
          <t>INDICATEURS PAI OBLIGATOIRES — Tableau 1 Annexe I RTS SFDR</t>
        </is>
      </c>
      <c r="B5" s="406" t="n"/>
      <c r="C5" s="406" t="n"/>
      <c r="D5" s="406" t="n"/>
      <c r="E5" s="406" t="n"/>
      <c r="F5" s="406" t="n"/>
      <c r="G5" s="406" t="n"/>
      <c r="H5" s="407" t="n"/>
    </row>
    <row r="6" ht="21.95" customHeight="1" thickBot="1">
      <c r="B6" s="276" t="inlineStr">
        <is>
          <t>PAI #</t>
        </is>
      </c>
      <c r="C6" s="278" t="inlineStr">
        <is>
          <t>Indicateur</t>
        </is>
      </c>
      <c r="D6" s="278" t="inlineStr">
        <is>
          <t>Valeur</t>
        </is>
      </c>
      <c r="E6" s="278" t="inlineStr">
        <is>
          <t>Unité</t>
        </is>
      </c>
      <c r="F6" s="278" t="inlineStr">
        <is>
          <t>Cat. fonds</t>
        </is>
      </c>
      <c r="G6" s="279" t="inlineStr">
        <is>
          <t>Source / Formule</t>
        </is>
      </c>
      <c r="H6" s="416" t="n"/>
    </row>
    <row r="7" ht="63.75" customHeight="1">
      <c r="B7" s="90" t="n"/>
      <c r="C7" s="89" t="inlineStr">
        <is>
          <t>1</t>
        </is>
      </c>
      <c r="D7" s="257" t="inlineStr">
        <is>
          <t>Émissions GES totales (S1+S2+S3)</t>
        </is>
      </c>
      <c r="E7" s="314">
        <f>Liaison_Donnees!C19</f>
        <v/>
      </c>
      <c r="F7" s="257" t="inlineStr">
        <is>
          <t>tCO2e</t>
        </is>
      </c>
      <c r="G7" s="257" t="inlineStr">
        <is>
          <t>Tous</t>
        </is>
      </c>
      <c r="H7" s="316" t="inlineStr">
        <is>
          <t>Synthese_GES</t>
        </is>
      </c>
    </row>
    <row r="8" ht="53.25" customHeight="1">
      <c r="B8" s="92" t="n"/>
      <c r="C8" s="367" t="inlineStr">
        <is>
          <t>2</t>
        </is>
      </c>
      <c r="D8" s="106" t="inlineStr">
        <is>
          <t>Empreinte carbone (tCO2e/M€ CA)</t>
        </is>
      </c>
      <c r="E8" s="314">
        <f>Liaison_Donnees!C20</f>
        <v/>
      </c>
      <c r="F8" s="106" t="inlineStr">
        <is>
          <t>tCO2e/M€</t>
        </is>
      </c>
      <c r="G8" s="106" t="inlineStr">
        <is>
          <t>Tous</t>
        </is>
      </c>
      <c r="H8" s="317" t="inlineStr">
        <is>
          <t>Calcul auto</t>
        </is>
      </c>
    </row>
    <row r="9" ht="53.25" customHeight="1">
      <c r="B9" s="90" t="n"/>
      <c r="C9" s="89" t="inlineStr">
        <is>
          <t>3</t>
        </is>
      </c>
      <c r="D9" s="257" t="inlineStr">
        <is>
          <t>Intensité GES des entreprises bénéficiaires</t>
        </is>
      </c>
      <c r="E9" s="314">
        <f>IF(Liaison_Donnees!C9&gt;0,Liaison_Donnees!C19/Liaison_Donnees!C9*1000000,0)</f>
        <v/>
      </c>
      <c r="F9" s="257" t="inlineStr">
        <is>
          <t>tCO2e/M€</t>
        </is>
      </c>
      <c r="G9" s="257" t="inlineStr">
        <is>
          <t>Tous</t>
        </is>
      </c>
      <c r="H9" s="316" t="inlineStr">
        <is>
          <t>GES / CA × 1M</t>
        </is>
      </c>
    </row>
    <row r="10" ht="95.25" customHeight="1">
      <c r="B10" s="92" t="n"/>
      <c r="C10" s="367" t="inlineStr">
        <is>
          <t>4</t>
        </is>
      </c>
      <c r="D10" s="106" t="inlineStr">
        <is>
          <t>Exposition aux entreprises actives dans les combustibles fossiles</t>
        </is>
      </c>
      <c r="E10" s="123" t="n">
        <v>0</v>
      </c>
      <c r="F10" s="106" t="inlineStr">
        <is>
          <t>%</t>
        </is>
      </c>
      <c r="G10" s="106" t="inlineStr">
        <is>
          <t>Durable</t>
        </is>
      </c>
      <c r="H10" s="317" t="inlineStr">
        <is>
          <t>Saisie — % CA lié fossiles</t>
        </is>
      </c>
    </row>
    <row r="11" ht="74.25" customHeight="1">
      <c r="B11" s="90" t="n"/>
      <c r="C11" s="89" t="inlineStr">
        <is>
          <t>5</t>
        </is>
      </c>
      <c r="D11" s="257" t="inlineStr">
        <is>
          <t>Part énergie non renouvelable (production + conso)</t>
        </is>
      </c>
      <c r="E11" s="314">
        <f>IF(Liaison_Donnees!C23&lt;&gt;"",100-Liaison_Donnees!C23,100)</f>
        <v/>
      </c>
      <c r="F11" s="257" t="inlineStr">
        <is>
          <t>%</t>
        </is>
      </c>
      <c r="G11" s="257" t="inlineStr">
        <is>
          <t>Transition</t>
        </is>
      </c>
      <c r="H11" s="316" t="inlineStr">
        <is>
          <t>100% - Part ENR</t>
        </is>
      </c>
    </row>
    <row r="12" ht="45.75" customHeight="1">
      <c r="B12" s="92" t="n"/>
      <c r="C12" s="367" t="inlineStr">
        <is>
          <t>6</t>
        </is>
      </c>
      <c r="D12" s="106" t="inlineStr">
        <is>
          <t>Intensité de consommation énergétique par secteur à fort impact</t>
        </is>
      </c>
      <c r="E12" s="315">
        <f>0</f>
        <v/>
      </c>
      <c r="F12" s="106" t="inlineStr">
        <is>
          <t>MWh/M€</t>
        </is>
      </c>
      <c r="G12" s="106" t="inlineStr">
        <is>
          <t>Transition</t>
        </is>
      </c>
      <c r="H12" s="317" t="inlineStr">
        <is>
          <t>Énergie / CA</t>
        </is>
      </c>
    </row>
    <row r="13" ht="34.5" customHeight="1">
      <c r="B13" s="90" t="n"/>
      <c r="C13" s="89" t="inlineStr">
        <is>
          <t>7</t>
        </is>
      </c>
      <c r="D13" s="257" t="inlineStr">
        <is>
          <t>Activités avec impact négatif sur zones sensibles biodiversité</t>
        </is>
      </c>
      <c r="E13" s="123" t="n"/>
      <c r="F13" s="257" t="inlineStr">
        <is>
          <t>O/N</t>
        </is>
      </c>
      <c r="G13" s="257" t="inlineStr">
        <is>
          <t>Durable</t>
        </is>
      </c>
      <c r="H13" s="316" t="inlineStr">
        <is>
          <t>Saisie</t>
        </is>
      </c>
    </row>
    <row r="14" ht="21.75" customHeight="1">
      <c r="B14" s="92" t="n"/>
      <c r="C14" s="367" t="inlineStr">
        <is>
          <t>8</t>
        </is>
      </c>
      <c r="D14" s="106" t="inlineStr">
        <is>
          <t>Rejets dans l'eau</t>
        </is>
      </c>
      <c r="E14" s="123" t="n">
        <v>0</v>
      </c>
      <c r="F14" s="106" t="inlineStr">
        <is>
          <t>tonnes</t>
        </is>
      </c>
      <c r="G14" s="106" t="inlineStr">
        <is>
          <t>Durable</t>
        </is>
      </c>
      <c r="H14" s="317" t="inlineStr">
        <is>
          <t>Saisie</t>
        </is>
      </c>
    </row>
    <row r="15" ht="34.5" customHeight="1">
      <c r="B15" s="90" t="n"/>
      <c r="C15" s="89" t="inlineStr">
        <is>
          <t>9</t>
        </is>
      </c>
      <c r="D15" s="257" t="inlineStr">
        <is>
          <t>Ratio déchets dangereux / total déchets</t>
        </is>
      </c>
      <c r="E15" s="123" t="n">
        <v>0</v>
      </c>
      <c r="F15" s="257" t="inlineStr">
        <is>
          <t>%</t>
        </is>
      </c>
      <c r="G15" s="257" t="inlineStr">
        <is>
          <t>Durable</t>
        </is>
      </c>
      <c r="H15" s="316" t="inlineStr">
        <is>
          <t>Saisie</t>
        </is>
      </c>
    </row>
    <row r="16" ht="84.75" customHeight="1">
      <c r="B16" s="92" t="n"/>
      <c r="C16" s="367" t="inlineStr">
        <is>
          <t>10</t>
        </is>
      </c>
      <c r="D16" s="106" t="inlineStr">
        <is>
          <t>Violations principes UNGC et OCDE</t>
        </is>
      </c>
      <c r="E16" s="123" t="n">
        <v>0</v>
      </c>
      <c r="F16" s="106" t="inlineStr">
        <is>
          <t>Nb</t>
        </is>
      </c>
      <c r="G16" s="106" t="inlineStr">
        <is>
          <t>Tous</t>
        </is>
      </c>
      <c r="H16" s="317" t="inlineStr">
        <is>
          <t>Saisie — 0 si aucune</t>
        </is>
      </c>
    </row>
    <row r="17" ht="57" customHeight="1">
      <c r="B17" s="90" t="n"/>
      <c r="C17" s="89" t="inlineStr">
        <is>
          <t>11</t>
        </is>
      </c>
      <c r="D17" s="257" t="inlineStr">
        <is>
          <t>Absence de processus et mécanismes de conformité UNGC/OCDE</t>
        </is>
      </c>
      <c r="E17" s="123" t="n"/>
      <c r="F17" s="257" t="inlineStr">
        <is>
          <t>O/N</t>
        </is>
      </c>
      <c r="G17" s="257" t="inlineStr">
        <is>
          <t>Tous</t>
        </is>
      </c>
      <c r="H17" s="316" t="inlineStr">
        <is>
          <t>Saisie</t>
        </is>
      </c>
    </row>
    <row r="18" ht="105.75" customHeight="1">
      <c r="B18" s="92" t="n"/>
      <c r="C18" s="367" t="inlineStr">
        <is>
          <t>12</t>
        </is>
      </c>
      <c r="D18" s="106" t="inlineStr">
        <is>
          <t>Écart de rémunération H/F non ajusté</t>
        </is>
      </c>
      <c r="E18" s="123" t="n">
        <v>0</v>
      </c>
      <c r="F18" s="106" t="inlineStr">
        <is>
          <t>%</t>
        </is>
      </c>
      <c r="G18" s="106" t="inlineStr">
        <is>
          <t>ESG de base</t>
        </is>
      </c>
      <c r="H18" s="317" t="inlineStr">
        <is>
          <t>Depuis ESRS_S1 si dispo</t>
        </is>
      </c>
    </row>
    <row r="19" ht="105.75" customHeight="1">
      <c r="B19" s="90" t="n"/>
      <c r="C19" s="89" t="inlineStr">
        <is>
          <t>13</t>
        </is>
      </c>
      <c r="D19" s="257" t="inlineStr">
        <is>
          <t>Diversité de genre au sein des organes de gouvernance</t>
        </is>
      </c>
      <c r="E19" s="123" t="n">
        <v>0</v>
      </c>
      <c r="F19" s="257" t="inlineStr">
        <is>
          <t>%</t>
        </is>
      </c>
      <c r="G19" s="257" t="inlineStr">
        <is>
          <t>ESG de base</t>
        </is>
      </c>
      <c r="H19" s="316" t="inlineStr">
        <is>
          <t>Depuis ESRS_G1 si dispo</t>
        </is>
      </c>
    </row>
    <row r="20" ht="105.75" customHeight="1">
      <c r="B20" s="92" t="n"/>
      <c r="C20" s="367" t="inlineStr">
        <is>
          <t>14</t>
        </is>
      </c>
      <c r="D20" s="106" t="inlineStr">
        <is>
          <t>Exposition à des armes controversées</t>
        </is>
      </c>
      <c r="E20" s="123" t="n"/>
      <c r="F20" s="106" t="inlineStr">
        <is>
          <t>O/N</t>
        </is>
      </c>
      <c r="G20" s="106" t="inlineStr">
        <is>
          <t>Tous</t>
        </is>
      </c>
      <c r="H20" s="317" t="inlineStr">
        <is>
          <t>Saisie — NON si aucune</t>
        </is>
      </c>
    </row>
    <row r="22" ht="27.95" customHeight="1">
      <c r="A22" s="281" t="inlineStr">
        <is>
          <t>ALIGNEMENT TAXONOMIE POUR CLASSIFICATION SFDR</t>
        </is>
      </c>
      <c r="H22" s="281" t="n"/>
    </row>
    <row r="23" ht="15" customHeight="1">
      <c r="A23" s="121" t="inlineStr">
        <is>
          <t>KPI Taxonomie</t>
        </is>
      </c>
      <c r="D23" s="121" t="inlineStr">
        <is>
          <t>Éligible (%)</t>
        </is>
      </c>
      <c r="E23" s="121" t="inlineStr">
        <is>
          <t>Aligné (%)</t>
        </is>
      </c>
      <c r="F23" s="121" t="inlineStr">
        <is>
          <t>Seuil fonds Durable</t>
        </is>
      </c>
      <c r="G23" s="121" t="inlineStr">
        <is>
          <t>Statut</t>
        </is>
      </c>
      <c r="H23" s="121" t="n"/>
    </row>
    <row r="24" ht="79.5" customHeight="1">
      <c r="B24" s="92" t="n"/>
      <c r="C24" s="92" t="n"/>
      <c r="D24" s="106" t="inlineStr">
        <is>
          <t>Chiffre d'affaires</t>
        </is>
      </c>
      <c r="E24" s="219">
        <f>Liaison_Donnees!C24</f>
        <v/>
      </c>
      <c r="F24" s="225" t="n">
        <v>70</v>
      </c>
      <c r="G24" s="106" t="inlineStr">
        <is>
          <t>≥ 70%</t>
        </is>
      </c>
      <c r="H24" s="79">
        <f>IF(ISNUMBER(E24),IF(E24&gt;=F24,"✅ Éligible Durable",IF(E24&gt;=30,"⚠️ Transition","❌ Non classifiable")),"-")</f>
        <v/>
      </c>
    </row>
    <row r="25" ht="79.5" customHeight="1">
      <c r="B25" s="90" t="n"/>
      <c r="C25" s="90" t="n"/>
      <c r="D25" s="257" t="inlineStr">
        <is>
          <t>CapEx</t>
        </is>
      </c>
      <c r="E25" s="219">
        <f>Liaison_Donnees!C25</f>
        <v/>
      </c>
      <c r="F25" s="226" t="n">
        <v>70</v>
      </c>
      <c r="G25" s="257" t="inlineStr">
        <is>
          <t>≥ 70%</t>
        </is>
      </c>
      <c r="H25" s="220">
        <f>IF(ISNUMBER(E25),IF(E25&gt;=F25,"✅ Éligible Durable",IF(E25&gt;=30,"⚠️ Transition","❌ Non classifiable")),"-")</f>
        <v/>
      </c>
    </row>
    <row r="26" ht="79.5" customHeight="1">
      <c r="B26" s="92" t="n"/>
      <c r="C26" s="92" t="n"/>
      <c r="D26" s="106" t="inlineStr">
        <is>
          <t>OpEx</t>
        </is>
      </c>
      <c r="E26" s="219" t="n">
        <v>0</v>
      </c>
      <c r="F26" s="225" t="n">
        <v>70</v>
      </c>
      <c r="G26" s="106" t="inlineStr">
        <is>
          <t>≥ 70%</t>
        </is>
      </c>
      <c r="H26" s="79">
        <f>IF(ISNUMBER(E26),IF(E26&gt;=F26,"✅ Éligible Durable",IF(E26&gt;=30,"⚠️ Transition","❌ Non classifiable")),"-")</f>
        <v/>
      </c>
    </row>
    <row r="29" ht="27.95" customHeight="1" thickBot="1">
      <c r="A29" s="221" t="inlineStr">
        <is>
          <t>SCORECARD ESG INVESTISSEURS</t>
        </is>
      </c>
      <c r="H29" s="218" t="n"/>
    </row>
    <row r="30" ht="19.5" customHeight="1">
      <c r="C30" s="470" t="inlineStr">
        <is>
          <t>Score ESG consolidé</t>
        </is>
      </c>
      <c r="D30" s="459" t="n"/>
      <c r="E30" s="222">
        <f>(COUNTIF(E7:E20,"&gt;0")+COUNTIF(E7:E20,"&lt;0")+COUNTIFS(E7:E20,"&lt;&gt;",E7:E20,"&lt;&gt;0",E7:E20,"&gt;=A"))/14*50+IF(Liaison_Donnees!C24&gt;30,25,Liaison_Donnees!C24/30*25)+IF(Liaison_Donnees!C28&gt;=4.2,25,Liaison_Donnees!C28/4.2*25)</f>
        <v/>
      </c>
      <c r="F30" s="80" t="inlineStr">
        <is>
          <t>/ 100</t>
        </is>
      </c>
    </row>
    <row r="31" ht="21.75" customHeight="1">
      <c r="C31" s="471" t="inlineStr">
        <is>
          <t>Note</t>
        </is>
      </c>
      <c r="D31" s="464" t="n"/>
      <c r="E31" s="223">
        <f>IF(E30&gt;=80,"A+",IF(E30&gt;=70,"A",IF(E30&gt;=60,"B+",IF(E30&gt;=50,"B",IF(E30&gt;=40,"C","D")))))</f>
        <v/>
      </c>
      <c r="F31" s="80" t="n"/>
    </row>
    <row r="32" ht="15" customHeight="1" thickBot="1">
      <c r="C32" s="472" t="inlineStr">
        <is>
          <t>Composantes du score</t>
        </is>
      </c>
      <c r="D32" s="468" t="n"/>
      <c r="E32" s="224" t="inlineStr">
        <is>
          <t>50% complétude PAI + 25% alignement Taxonomie + 25% trajectoire SBTi</t>
        </is>
      </c>
      <c r="F32" s="80" t="n"/>
    </row>
  </sheetData>
  <mergeCells count="10">
    <mergeCell ref="A3:H3"/>
    <mergeCell ref="C32:D32"/>
    <mergeCell ref="C30:D30"/>
    <mergeCell ref="A23:C23"/>
    <mergeCell ref="A2:H2"/>
    <mergeCell ref="A22:G22"/>
    <mergeCell ref="A29:G29"/>
    <mergeCell ref="G6:H6"/>
    <mergeCell ref="A5:H5"/>
    <mergeCell ref="C31:D31"/>
  </mergeCell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9E9E9E"/>
    <outlinePr summaryBelow="1" summaryRight="1"/>
    <pageSetUpPr/>
  </sheetPr>
  <dimension ref="A1:J20"/>
  <sheetViews>
    <sheetView showGridLines="0" zoomScaleNormal="100" workbookViewId="0">
      <selection activeCell="A2" sqref="A2:I2"/>
    </sheetView>
  </sheetViews>
  <sheetFormatPr baseColWidth="10" defaultColWidth="8.7109375" defaultRowHeight="15"/>
  <cols>
    <col width="2.85546875" customWidth="1" min="1" max="1"/>
    <col width="13.28515625" customWidth="1" min="2" max="2"/>
    <col width="41.85546875" customWidth="1" min="3" max="3"/>
    <col width="24.7109375" customWidth="1" min="4" max="4"/>
    <col width="21" customWidth="1" min="5" max="5"/>
    <col width="22.85546875" customWidth="1" min="6" max="6"/>
    <col width="21" customWidth="1" min="7" max="9"/>
  </cols>
  <sheetData>
    <row r="1" ht="35.1" customHeight="1" thickBot="1">
      <c r="A1" s="473" t="inlineStr">
        <is>
          <t>TABLE DE RÉFÉRENCE SECTORIELLE — Benchmarks ADEME / INSEE / Moyennes marché</t>
        </is>
      </c>
      <c r="B1" s="446" t="n"/>
      <c r="C1" s="446" t="n"/>
      <c r="D1" s="446" t="n"/>
      <c r="E1" s="446" t="n"/>
      <c r="F1" s="446" t="n"/>
      <c r="G1" s="446" t="n"/>
      <c r="H1" s="459" t="n"/>
      <c r="I1" s="69" t="n"/>
      <c r="J1" s="297" t="inlineStr">
        <is>
          <t>🏠 Sommaire</t>
        </is>
      </c>
    </row>
    <row r="2" ht="15" customHeight="1" thickBot="1">
      <c r="A2" s="444" t="inlineStr">
        <is>
          <t>Sources : ADEME Base Carbone 2024, INSEE Stats sectorielles 2024, EFRAG sector benchmarks. Mise à jour : avril 2026.</t>
        </is>
      </c>
      <c r="B2" s="406" t="n"/>
      <c r="C2" s="406" t="n"/>
      <c r="D2" s="406" t="n"/>
      <c r="E2" s="406" t="n"/>
      <c r="F2" s="406" t="n"/>
      <c r="G2" s="406" t="n"/>
      <c r="H2" s="406" t="n"/>
      <c r="I2" s="407" t="n"/>
    </row>
    <row r="3" ht="15.75" customHeight="1" thickBot="1"/>
    <row r="4" ht="24.95" customHeight="1">
      <c r="B4" s="87" t="inlineStr">
        <is>
          <t>Code NAF</t>
        </is>
      </c>
      <c r="C4" s="88" t="inlineStr">
        <is>
          <t>Secteur</t>
        </is>
      </c>
      <c r="D4" s="88" t="inlineStr">
        <is>
          <t>Intensité médiane (tCO2e/M€)</t>
        </is>
      </c>
      <c r="E4" s="88" t="inlineStr">
        <is>
          <t>Top 25% (tCO2e/M€)</t>
        </is>
      </c>
      <c r="F4" s="88" t="inlineStr">
        <is>
          <t>Intensité / ETP médiane</t>
        </is>
      </c>
      <c r="G4" s="88" t="inlineStr">
        <is>
          <t>Part S3 médiane (%)</t>
        </is>
      </c>
      <c r="H4" s="88" t="inlineStr">
        <is>
          <t>Part ENR médiane (%)</t>
        </is>
      </c>
      <c r="I4" s="282" t="n"/>
    </row>
    <row r="5" ht="23.25" customHeight="1">
      <c r="B5" s="283" t="n">
        <v>62</v>
      </c>
      <c r="C5" s="284" t="inlineStr">
        <is>
          <t>Services informatiques / ESN</t>
        </is>
      </c>
      <c r="D5" s="108" t="n">
        <v>12</v>
      </c>
      <c r="E5" s="97" t="n">
        <v>6</v>
      </c>
      <c r="F5" s="96" t="n">
        <v>2.1</v>
      </c>
      <c r="G5" s="96" t="n">
        <v>78</v>
      </c>
      <c r="H5" s="96" t="n">
        <v>35</v>
      </c>
      <c r="I5" s="159" t="n"/>
    </row>
    <row r="6" ht="23.25" customHeight="1">
      <c r="B6" s="285" t="n">
        <v>64</v>
      </c>
      <c r="C6" s="284" t="inlineStr">
        <is>
          <t>Services financiers / Banque</t>
        </is>
      </c>
      <c r="D6" s="100" t="n">
        <v>8</v>
      </c>
      <c r="E6" s="99" t="n">
        <v>4</v>
      </c>
      <c r="F6" s="100" t="n">
        <v>1.5</v>
      </c>
      <c r="G6" s="101" t="n">
        <v>85</v>
      </c>
      <c r="H6" s="98" t="n">
        <v>40</v>
      </c>
      <c r="I6" s="159" t="n"/>
    </row>
    <row r="7" ht="15" customHeight="1">
      <c r="B7" s="286" t="n">
        <v>46</v>
      </c>
      <c r="C7" s="284" t="inlineStr">
        <is>
          <t>Commerce de gros</t>
        </is>
      </c>
      <c r="D7" s="288" t="n">
        <v>35</v>
      </c>
      <c r="E7" s="257" t="n">
        <v>18</v>
      </c>
      <c r="F7" s="103" t="n">
        <v>4.5</v>
      </c>
      <c r="G7" s="104" t="n">
        <v>72</v>
      </c>
      <c r="H7" s="103" t="n">
        <v>20</v>
      </c>
      <c r="I7" s="159" t="n"/>
    </row>
    <row r="8" ht="15" customHeight="1">
      <c r="B8" s="287" t="n">
        <v>47</v>
      </c>
      <c r="C8" s="288" t="inlineStr">
        <is>
          <t>Commerce de détail</t>
        </is>
      </c>
      <c r="D8" s="99" t="n">
        <v>28</v>
      </c>
      <c r="E8" s="101" t="n">
        <v>15</v>
      </c>
      <c r="F8" s="98" t="n">
        <v>3.2</v>
      </c>
      <c r="G8" s="98" t="n">
        <v>68</v>
      </c>
      <c r="H8" s="98" t="n">
        <v>22</v>
      </c>
      <c r="I8" s="159" t="n"/>
    </row>
    <row r="9" ht="15" customHeight="1">
      <c r="B9" s="286" t="n">
        <v>10</v>
      </c>
      <c r="C9" s="288" t="inlineStr">
        <is>
          <t>Industrie alimentaire</t>
        </is>
      </c>
      <c r="D9" s="288" t="n">
        <v>120</v>
      </c>
      <c r="E9" s="104" t="n">
        <v>65</v>
      </c>
      <c r="F9" s="105" t="n">
        <v>8.5</v>
      </c>
      <c r="G9" s="103" t="n">
        <v>82</v>
      </c>
      <c r="H9" s="103" t="n">
        <v>15</v>
      </c>
      <c r="I9" s="159" t="n"/>
    </row>
    <row r="10" ht="15" customHeight="1">
      <c r="B10" s="285" t="n">
        <v>20</v>
      </c>
      <c r="C10" s="284" t="inlineStr">
        <is>
          <t>Industrie chimique</t>
        </is>
      </c>
      <c r="D10" s="112" t="n">
        <v>180</v>
      </c>
      <c r="E10" s="98" t="n">
        <v>95</v>
      </c>
      <c r="F10" s="100" t="n">
        <v>15</v>
      </c>
      <c r="G10" s="101" t="n">
        <v>75</v>
      </c>
      <c r="H10" s="100" t="n">
        <v>12</v>
      </c>
      <c r="I10" s="159" t="n"/>
    </row>
    <row r="11" ht="15" customHeight="1">
      <c r="B11" s="283" t="n">
        <v>24</v>
      </c>
      <c r="C11" s="284" t="inlineStr">
        <is>
          <t>Métallurgie</t>
        </is>
      </c>
      <c r="D11" s="103" t="n">
        <v>250</v>
      </c>
      <c r="E11" s="257" t="n">
        <v>130</v>
      </c>
      <c r="F11" s="96" t="n">
        <v>22</v>
      </c>
      <c r="G11" s="96" t="n">
        <v>60</v>
      </c>
      <c r="H11" s="108" t="n">
        <v>10</v>
      </c>
      <c r="I11" s="159" t="n"/>
    </row>
    <row r="12" ht="15" customHeight="1">
      <c r="B12" s="289" t="n">
        <v>29</v>
      </c>
      <c r="C12" s="284" t="inlineStr">
        <is>
          <t>Industrie automobile</t>
        </is>
      </c>
      <c r="D12" s="107" t="n">
        <v>85</v>
      </c>
      <c r="E12" s="98" t="n">
        <v>45</v>
      </c>
      <c r="F12" s="98" t="n">
        <v>9</v>
      </c>
      <c r="G12" s="100" t="n">
        <v>80</v>
      </c>
      <c r="H12" s="98" t="n">
        <v>18</v>
      </c>
      <c r="I12" s="159" t="n"/>
    </row>
    <row r="13" ht="15" customHeight="1">
      <c r="B13" s="290" t="n">
        <v>35</v>
      </c>
      <c r="C13" s="288" t="inlineStr">
        <is>
          <t>Production énergie</t>
        </is>
      </c>
      <c r="D13" s="108" t="n">
        <v>320</v>
      </c>
      <c r="E13" s="109" t="n">
        <v>150</v>
      </c>
      <c r="F13" s="108" t="n">
        <v>35</v>
      </c>
      <c r="G13" s="97" t="n">
        <v>45</v>
      </c>
      <c r="H13" s="105" t="n">
        <v>55</v>
      </c>
      <c r="I13" s="159" t="n"/>
    </row>
    <row r="14" ht="15" customHeight="1">
      <c r="B14" s="289" t="n">
        <v>41</v>
      </c>
      <c r="C14" s="288" t="inlineStr">
        <is>
          <t>Construction</t>
        </is>
      </c>
      <c r="D14" s="112" t="n">
        <v>65</v>
      </c>
      <c r="E14" s="106" t="n">
        <v>35</v>
      </c>
      <c r="F14" s="98" t="n">
        <v>7</v>
      </c>
      <c r="G14" s="100" t="n">
        <v>70</v>
      </c>
      <c r="H14" s="100" t="n">
        <v>8</v>
      </c>
      <c r="I14" s="159" t="n"/>
    </row>
    <row r="15" ht="15" customHeight="1">
      <c r="B15" s="290" t="n">
        <v>49</v>
      </c>
      <c r="C15" s="288" t="inlineStr">
        <is>
          <t>Transport terrestre</t>
        </is>
      </c>
      <c r="D15" s="103" t="n">
        <v>95</v>
      </c>
      <c r="E15" s="110" t="n">
        <v>50</v>
      </c>
      <c r="F15" s="105" t="n">
        <v>12</v>
      </c>
      <c r="G15" s="103" t="n">
        <v>65</v>
      </c>
      <c r="H15" s="104" t="n">
        <v>5</v>
      </c>
      <c r="I15" s="159" t="n"/>
    </row>
    <row r="16" ht="15" customHeight="1">
      <c r="B16" s="289" t="n">
        <v>51</v>
      </c>
      <c r="C16" s="284" t="inlineStr">
        <is>
          <t>Transport aérien</t>
        </is>
      </c>
      <c r="D16" s="112" t="n">
        <v>450</v>
      </c>
      <c r="E16" s="101" t="n">
        <v>250</v>
      </c>
      <c r="F16" s="98" t="n">
        <v>55</v>
      </c>
      <c r="G16" s="100" t="n">
        <v>40</v>
      </c>
      <c r="H16" s="100" t="n">
        <v>2</v>
      </c>
      <c r="I16" s="159" t="n"/>
    </row>
    <row r="17" ht="23.25" customHeight="1">
      <c r="B17" s="290" t="n">
        <v>55</v>
      </c>
      <c r="C17" s="284" t="inlineStr">
        <is>
          <t>Hébergement / Hôtellerie</t>
        </is>
      </c>
      <c r="D17" s="113" t="n">
        <v>22</v>
      </c>
      <c r="E17" s="257" t="n">
        <v>12</v>
      </c>
      <c r="F17" s="105" t="n">
        <v>3.8</v>
      </c>
      <c r="G17" s="103" t="n">
        <v>60</v>
      </c>
      <c r="H17" s="104" t="n">
        <v>25</v>
      </c>
      <c r="I17" s="159" t="n"/>
    </row>
    <row r="18" ht="15" customHeight="1">
      <c r="B18" s="285" t="n">
        <v>58</v>
      </c>
      <c r="C18" s="284" t="inlineStr">
        <is>
          <t>Édition / Média</t>
        </is>
      </c>
      <c r="D18" s="112" t="n">
        <v>15</v>
      </c>
      <c r="E18" s="101" t="n">
        <v>8</v>
      </c>
      <c r="F18" s="98" t="n">
        <v>2.5</v>
      </c>
      <c r="G18" s="98" t="n">
        <v>72</v>
      </c>
      <c r="H18" s="98" t="n">
        <v>30</v>
      </c>
      <c r="I18" s="159" t="n"/>
    </row>
    <row r="19" ht="23.25" customHeight="1">
      <c r="B19" s="283" t="n">
        <v>71</v>
      </c>
      <c r="C19" s="288" t="inlineStr">
        <is>
          <t>Architecture / Ingénierie</t>
        </is>
      </c>
      <c r="D19" s="113" t="n">
        <v>18</v>
      </c>
      <c r="E19" s="288" t="n">
        <v>9</v>
      </c>
      <c r="F19" s="105" t="n">
        <v>2.8</v>
      </c>
      <c r="G19" s="105" t="n">
        <v>75</v>
      </c>
      <c r="H19" s="105" t="n">
        <v>28</v>
      </c>
      <c r="I19" s="159" t="n"/>
    </row>
    <row r="20" ht="15" customHeight="1" thickBot="1">
      <c r="B20" s="291" t="n">
        <v>86</v>
      </c>
      <c r="C20" s="292" t="inlineStr">
        <is>
          <t>Activités de santé</t>
        </is>
      </c>
      <c r="D20" s="156" t="n">
        <v>25</v>
      </c>
      <c r="E20" s="156" t="n">
        <v>13</v>
      </c>
      <c r="F20" s="157" t="n">
        <v>3.5</v>
      </c>
      <c r="G20" s="158" t="n">
        <v>65</v>
      </c>
      <c r="H20" s="158" t="n">
        <v>20</v>
      </c>
      <c r="I20" s="159" t="n"/>
    </row>
  </sheetData>
  <mergeCells count="2">
    <mergeCell ref="A2:I2"/>
    <mergeCell ref="A1:H1"/>
  </mergeCell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B71C1C"/>
    <outlinePr summaryBelow="1" summaryRight="1"/>
    <pageSetUpPr/>
  </sheetPr>
  <dimension ref="A1:J20"/>
  <sheetViews>
    <sheetView showGridLines="0" zoomScaleNormal="100" workbookViewId="0">
      <selection activeCell="C23" sqref="C23"/>
    </sheetView>
  </sheetViews>
  <sheetFormatPr baseColWidth="10" defaultColWidth="8.7109375" defaultRowHeight="15"/>
  <cols>
    <col width="2.85546875" customWidth="1" min="1" max="1"/>
    <col width="17.140625" customWidth="1" min="2" max="2"/>
    <col width="18.7109375" customWidth="1" min="3" max="3"/>
    <col width="38.140625" customWidth="1" min="4" max="5"/>
    <col width="15.28515625" customWidth="1" min="6" max="6"/>
    <col width="19" customWidth="1" min="7" max="7"/>
    <col width="3" customWidth="1" min="8" max="8"/>
    <col width="17.85546875" customWidth="1" min="10" max="10"/>
  </cols>
  <sheetData>
    <row r="1" ht="15" customHeight="1" thickBot="1">
      <c r="J1" s="296" t="inlineStr">
        <is>
          <t>🏠 Sommaire</t>
        </is>
      </c>
    </row>
    <row r="2" ht="35.1" customHeight="1" thickBot="1">
      <c r="A2" s="417" t="inlineStr">
        <is>
          <t>CONTRÔLES QUALITÉ AUTOMATIQUES — FINANCE, DPP &amp; INVESTISSEURS</t>
        </is>
      </c>
      <c r="B2" s="406" t="n"/>
      <c r="C2" s="406" t="n"/>
      <c r="D2" s="406" t="n"/>
      <c r="E2" s="406" t="n"/>
      <c r="F2" s="406" t="n"/>
      <c r="G2" s="407" t="n"/>
    </row>
    <row r="3" ht="15" customHeight="1" thickBot="1">
      <c r="A3" s="444" t="inlineStr">
        <is>
          <t>12 contrôles automatiques. ✓ = OK | ✗ = Erreur | ⚠ = Avertissement</t>
        </is>
      </c>
      <c r="B3" s="406" t="n"/>
      <c r="C3" s="406" t="n"/>
      <c r="D3" s="406" t="n"/>
      <c r="E3" s="406" t="n"/>
      <c r="F3" s="406" t="n"/>
      <c r="G3" s="407" t="n"/>
    </row>
    <row r="4" ht="15.75" customHeight="1" thickBot="1"/>
    <row r="5" ht="22.5" customHeight="1">
      <c r="B5" s="474" t="inlineStr">
        <is>
          <t>SYNTHÈSE</t>
        </is>
      </c>
      <c r="C5" s="167">
        <f>COUNTIF(G9:G20,"✓ OK")</f>
        <v/>
      </c>
      <c r="D5" s="169" t="inlineStr">
        <is>
          <t>✓ OK</t>
        </is>
      </c>
      <c r="E5" s="475">
        <f>COUNTIF(G9:G20,"⚠ Alerte")</f>
        <v/>
      </c>
      <c r="F5" s="476" t="inlineStr">
        <is>
          <t>Alertes ⚠</t>
        </is>
      </c>
    </row>
    <row r="6" ht="21.75" customHeight="1" thickBot="1">
      <c r="B6" s="455" t="n"/>
      <c r="C6" s="168">
        <f>COUNTIF(G9:G20,"✗ ERREUR")</f>
        <v/>
      </c>
      <c r="D6" s="170" t="inlineStr">
        <is>
          <t>✗ ERREUR</t>
        </is>
      </c>
      <c r="E6" s="455" t="n"/>
      <c r="F6" s="455" t="n"/>
    </row>
    <row r="7" ht="15.75" customHeight="1" thickBot="1"/>
    <row r="8" ht="24.95" customHeight="1" thickBot="1">
      <c r="B8" s="39" t="inlineStr">
        <is>
          <t>ID</t>
        </is>
      </c>
      <c r="C8" s="40" t="inlineStr">
        <is>
          <t>Contrôle</t>
        </is>
      </c>
      <c r="D8" s="27" t="inlineStr">
        <is>
          <t>Règle</t>
        </is>
      </c>
      <c r="E8" s="40" t="inlineStr">
        <is>
          <t>Criticité</t>
        </is>
      </c>
      <c r="F8" s="40" t="inlineStr">
        <is>
          <t>Statut</t>
        </is>
      </c>
      <c r="G8" s="41" t="inlineStr">
        <is>
          <t>Action</t>
        </is>
      </c>
    </row>
    <row r="9" ht="21.75" customHeight="1">
      <c r="B9" s="189" t="n"/>
      <c r="C9" s="177" t="inlineStr">
        <is>
          <t>F-01</t>
        </is>
      </c>
      <c r="D9" s="186" t="inlineStr">
        <is>
          <t>Liaison CA renseigné</t>
        </is>
      </c>
      <c r="E9" s="180" t="inlineStr">
        <is>
          <t>CA &gt; 0 dans Liaison_Donnees</t>
        </is>
      </c>
      <c r="F9" s="182" t="inlineStr">
        <is>
          <t>Bloquant</t>
        </is>
      </c>
      <c r="G9" s="174">
        <f>IF(Liaison_Donnees!C9&gt;0,"✓ OK","✗ ERREUR")</f>
        <v/>
      </c>
    </row>
    <row r="10" ht="21.75" customHeight="1">
      <c r="B10" s="115" t="n"/>
      <c r="C10" s="195" t="inlineStr">
        <is>
          <t>F-02</t>
        </is>
      </c>
      <c r="D10" s="190" t="inlineStr">
        <is>
          <t>Liaison GES renseigné</t>
        </is>
      </c>
      <c r="E10" s="190" t="inlineStr">
        <is>
          <t>Total S1+S2+S3 &gt; 0</t>
        </is>
      </c>
      <c r="F10" s="93" t="inlineStr">
        <is>
          <t>Bloquant</t>
        </is>
      </c>
      <c r="G10" s="198">
        <f>IF(Liaison_Donnees!C19&gt;0,"✓ OK","✗ ERREUR")</f>
        <v/>
      </c>
    </row>
    <row r="11" ht="32.25" customHeight="1">
      <c r="B11" s="116" t="n"/>
      <c r="C11" s="196" t="inlineStr">
        <is>
          <t>F-03</t>
        </is>
      </c>
      <c r="D11" s="197" t="inlineStr">
        <is>
          <t>Prix EU ETS défini</t>
        </is>
      </c>
      <c r="E11" s="197" t="inlineStr">
        <is>
          <t>Prix carbone &gt; 0 dans Finance_Climat</t>
        </is>
      </c>
      <c r="F11" s="94" t="inlineStr">
        <is>
          <t>Avert.</t>
        </is>
      </c>
      <c r="G11" s="199">
        <f>IF(Finance_Climat!D7&gt;0,"✓ OK","⚠ Alerte")</f>
        <v/>
      </c>
    </row>
    <row r="12" ht="32.25" customHeight="1">
      <c r="B12" s="115" t="n"/>
      <c r="C12" s="195" t="inlineStr">
        <is>
          <t>F-04</t>
        </is>
      </c>
      <c r="D12" s="190" t="inlineStr">
        <is>
          <t>Au moins 1 action climat</t>
        </is>
      </c>
      <c r="E12" s="190" t="inlineStr">
        <is>
          <t>Total investissement &gt; 0</t>
        </is>
      </c>
      <c r="F12" s="93" t="inlineStr">
        <is>
          <t>Avert.</t>
        </is>
      </c>
      <c r="G12" s="198">
        <f>IF(Finance_Climat!D41&gt;0,"✓ OK","⚠ Alerte")</f>
        <v/>
      </c>
    </row>
    <row r="13" ht="21.75" customHeight="1">
      <c r="B13" s="114" t="n"/>
      <c r="C13" s="194" t="inlineStr">
        <is>
          <t>F-05</t>
        </is>
      </c>
      <c r="D13" s="197" t="inlineStr">
        <is>
          <t>Green CapEx ratio &gt; 10%</t>
        </is>
      </c>
      <c r="E13" s="181" t="inlineStr">
        <is>
          <t>Minimum pour trajectoire</t>
        </is>
      </c>
      <c r="F13" s="184" t="inlineStr">
        <is>
          <t>Avert.</t>
        </is>
      </c>
      <c r="G13" s="199">
        <f>IF(Finance_Climat!D50&gt;=10,"✓ OK","⚠ Alerte")</f>
        <v/>
      </c>
    </row>
    <row r="14" ht="21.75" customHeight="1">
      <c r="B14" s="115" t="n"/>
      <c r="C14" s="178" t="inlineStr">
        <is>
          <t>F-06</t>
        </is>
      </c>
      <c r="D14" s="187" t="inlineStr">
        <is>
          <t>CapEx total renseigné</t>
        </is>
      </c>
      <c r="E14" s="190" t="inlineStr">
        <is>
          <t>Dénominateur Green CapEx</t>
        </is>
      </c>
      <c r="F14" s="95" t="inlineStr">
        <is>
          <t>Bloquant</t>
        </is>
      </c>
      <c r="G14" s="198">
        <f>IF(Liaison_Donnees!C12&gt;0,"✓ OK","✗ ERREUR")</f>
        <v/>
      </c>
    </row>
    <row r="15" ht="21.75" customHeight="1">
      <c r="B15" s="117" t="n"/>
      <c r="C15" s="194" t="inlineStr">
        <is>
          <t>F-07</t>
        </is>
      </c>
      <c r="D15" s="197" t="inlineStr">
        <is>
          <t>Au moins 1 produit DPP</t>
        </is>
      </c>
      <c r="E15" s="186" t="inlineStr">
        <is>
          <t>Section A DPP renseignée</t>
        </is>
      </c>
      <c r="F15" s="94" t="inlineStr">
        <is>
          <t>Avert.</t>
        </is>
      </c>
      <c r="G15" s="175">
        <f>IF(DPP_Produits!C7&lt;&gt;"","✓ OK","⚠ Alerte")</f>
        <v/>
      </c>
    </row>
    <row r="16" ht="21.75" customHeight="1">
      <c r="B16" s="192" t="n"/>
      <c r="C16" s="193" t="inlineStr">
        <is>
          <t>F-08</t>
        </is>
      </c>
      <c r="D16" s="187" t="inlineStr">
        <is>
          <t>PCF calculé &gt; 0</t>
        </is>
      </c>
      <c r="E16" s="190" t="inlineStr">
        <is>
          <t>Empreinte produit 1 calculée</t>
        </is>
      </c>
      <c r="F16" s="183" t="inlineStr">
        <is>
          <t>Avert.</t>
        </is>
      </c>
      <c r="G16" s="198">
        <f>IF(DPP_Produits!H24&gt;0,"✓ OK","⚠ Alerte")</f>
        <v/>
      </c>
    </row>
    <row r="17" ht="21.75" customHeight="1">
      <c r="B17" s="197" t="n"/>
      <c r="C17" s="194" t="inlineStr">
        <is>
          <t>F-09</t>
        </is>
      </c>
      <c r="D17" s="188" t="inlineStr">
        <is>
          <t>Secteur benchmark défini</t>
        </is>
      </c>
      <c r="E17" s="181" t="inlineStr">
        <is>
          <t>Code NAF saisi dans Benchmark</t>
        </is>
      </c>
      <c r="F17" s="200" t="inlineStr">
        <is>
          <t>Avert.</t>
        </is>
      </c>
      <c r="G17" s="199">
        <f>IF(Benchmark!D5&lt;&gt;"","✓ OK","⚠ Alerte")</f>
        <v/>
      </c>
    </row>
    <row r="18" ht="21.75" customHeight="1">
      <c r="B18" s="190" t="n"/>
      <c r="C18" s="191" t="inlineStr">
        <is>
          <t>F-10</t>
        </is>
      </c>
      <c r="D18" s="190" t="inlineStr">
        <is>
          <t>PAI 1-3 SFDR renseignés</t>
        </is>
      </c>
      <c r="E18" s="190" t="inlineStr">
        <is>
          <t>GES totales pour investisseurs</t>
        </is>
      </c>
      <c r="F18" s="95" t="inlineStr">
        <is>
          <t>Bloquant</t>
        </is>
      </c>
      <c r="G18" s="198">
        <f>IF(AND(SFDR_Report!E7&gt;0,SFDR_Report!E8&gt;0,SFDR_Report!E9&gt;0),"✓ OK","✗ ERREUR")</f>
        <v/>
      </c>
    </row>
    <row r="19" ht="32.25" customHeight="1">
      <c r="B19" s="114" t="n"/>
      <c r="C19" s="179" t="inlineStr">
        <is>
          <t>F-11</t>
        </is>
      </c>
      <c r="D19" s="188" t="inlineStr">
        <is>
          <t>PAI 10 UNGC renseigné</t>
        </is>
      </c>
      <c r="E19" s="181" t="inlineStr">
        <is>
          <t>Violations principes obligatoire</t>
        </is>
      </c>
      <c r="F19" s="94" t="inlineStr">
        <is>
          <t>Avert.</t>
        </is>
      </c>
      <c r="G19" s="199">
        <f>IF(SFDR_Report!E16&lt;&gt;"","✓ OK","⚠ Alerte")</f>
        <v/>
      </c>
    </row>
    <row r="20" ht="32.25" customHeight="1" thickBot="1">
      <c r="B20" s="190" t="n"/>
      <c r="C20" s="191" t="inlineStr">
        <is>
          <t>F-12</t>
        </is>
      </c>
      <c r="D20" s="190" t="inlineStr">
        <is>
          <t>Score ESG &gt; 40/100</t>
        </is>
      </c>
      <c r="E20" s="201" t="inlineStr">
        <is>
          <t>Minimum crédibilité investisseur</t>
        </is>
      </c>
      <c r="F20" s="185" t="inlineStr">
        <is>
          <t>Avert.</t>
        </is>
      </c>
      <c r="G20" s="176">
        <f>IF(SFDR_Report!E30&gt;40,"✓ OK","⚠ Alerte")</f>
        <v/>
      </c>
    </row>
  </sheetData>
  <mergeCells count="5">
    <mergeCell ref="E5:E6"/>
    <mergeCell ref="A3:G3"/>
    <mergeCell ref="A2:G2"/>
    <mergeCell ref="F5:F6"/>
    <mergeCell ref="B5:B6"/>
  </mergeCells>
  <hyperlinks>
    <hyperlink ref="J1" location="Sommaire!A1" tooltip="Retour au Sommaire" display="🏠 Sommaire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2026-04-12T02:45:57Z</dcterms:created>
  <dcterms:modified xsi:type="dcterms:W3CDTF">2026-04-12T14:24:45Z</dcterms:modified>
  <cp:lastModifiedBy>Ludovic Labeaut</cp:lastModifiedBy>
  <cp:revision>0</cp:revision>
</cp:coreProperties>
</file>