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do\Desktop\IA projet entreprises\"/>
    </mc:Choice>
  </mc:AlternateContent>
  <xr:revisionPtr revIDLastSave="0" documentId="13_ncr:1_{BDC36313-E262-499C-A8A1-6406A72869E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Dashboard" sheetId="2" r:id="rId1"/>
    <sheet name="Inventaire" sheetId="1" r:id="rId2"/>
    <sheet name="Analyse_Risques" sheetId="3" r:id="rId3"/>
    <sheet name="Valorisation" sheetId="4" r:id="rId4"/>
    <sheet name="Test_NRV_IAS2" sheetId="5" r:id="rId5"/>
    <sheet name="Marges_PF" sheetId="6" r:id="rId6"/>
  </sheets>
  <externalReferences>
    <externalReference r:id="rId7"/>
  </externalReferences>
  <definedNames>
    <definedName name="_xlnm._FilterDatabase" localSheetId="1" hidden="1">Inventaire!$A$4:$Z$4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G26" i="4"/>
  <c r="F24" i="4"/>
  <c r="F23" i="4"/>
  <c r="F22" i="4"/>
  <c r="G38" i="6" l="1"/>
  <c r="E38" i="6"/>
  <c r="I38" i="6" s="1"/>
  <c r="E39" i="6"/>
  <c r="I39" i="6" s="1"/>
  <c r="E37" i="6"/>
  <c r="G37" i="6" s="1"/>
  <c r="D38" i="6"/>
  <c r="D39" i="6"/>
  <c r="D37" i="6"/>
  <c r="C38" i="6"/>
  <c r="C39" i="6"/>
  <c r="C37" i="6"/>
  <c r="J5" i="6"/>
  <c r="K8" i="6"/>
  <c r="K7" i="6"/>
  <c r="K6" i="6"/>
  <c r="K5" i="6"/>
  <c r="A38" i="6"/>
  <c r="A39" i="6"/>
  <c r="A37" i="6"/>
  <c r="J30" i="6"/>
  <c r="J31" i="6"/>
  <c r="J29" i="6"/>
  <c r="I30" i="6"/>
  <c r="I31" i="6"/>
  <c r="I29" i="6"/>
  <c r="H30" i="6"/>
  <c r="H31" i="6"/>
  <c r="H29" i="6"/>
  <c r="G30" i="6"/>
  <c r="G31" i="6"/>
  <c r="G29" i="6"/>
  <c r="E30" i="6"/>
  <c r="E31" i="6"/>
  <c r="E29" i="6"/>
  <c r="D30" i="6"/>
  <c r="D31" i="6"/>
  <c r="D29" i="6"/>
  <c r="C31" i="6"/>
  <c r="C30" i="6"/>
  <c r="C29" i="6"/>
  <c r="B31" i="6"/>
  <c r="B30" i="6"/>
  <c r="B29" i="6"/>
  <c r="C40" i="5"/>
  <c r="C37" i="5"/>
  <c r="C38" i="5" s="1"/>
  <c r="C36" i="5"/>
  <c r="D22" i="6"/>
  <c r="D21" i="6"/>
  <c r="D20" i="6"/>
  <c r="A22" i="6"/>
  <c r="A21" i="6"/>
  <c r="A20" i="6"/>
  <c r="G24" i="4"/>
  <c r="G23" i="4"/>
  <c r="G22" i="4"/>
  <c r="D24" i="4"/>
  <c r="E24" i="4" s="1"/>
  <c r="D23" i="4"/>
  <c r="E23" i="4" s="1"/>
  <c r="D22" i="4"/>
  <c r="E22" i="4" s="1"/>
  <c r="F26" i="4" l="1"/>
  <c r="G39" i="6"/>
  <c r="I37" i="6"/>
  <c r="H7" i="6" l="1"/>
  <c r="E7" i="6"/>
  <c r="I7" i="6" s="1"/>
  <c r="D7" i="6"/>
  <c r="C7" i="6"/>
  <c r="B7" i="6"/>
  <c r="A7" i="6"/>
  <c r="H6" i="6"/>
  <c r="E6" i="6"/>
  <c r="I6" i="6" s="1"/>
  <c r="D6" i="6"/>
  <c r="F6" i="6" s="1"/>
  <c r="C6" i="6"/>
  <c r="B6" i="6"/>
  <c r="A6" i="6"/>
  <c r="H5" i="6"/>
  <c r="H8" i="6" s="1"/>
  <c r="E5" i="6"/>
  <c r="I5" i="6" s="1"/>
  <c r="D5" i="6"/>
  <c r="D8" i="6" s="1"/>
  <c r="C5" i="6"/>
  <c r="B5" i="6"/>
  <c r="A5" i="6"/>
  <c r="G11" i="5"/>
  <c r="F11" i="5"/>
  <c r="E11" i="5"/>
  <c r="H11" i="5" s="1"/>
  <c r="D11" i="5"/>
  <c r="C11" i="5"/>
  <c r="B11" i="5"/>
  <c r="A11" i="5"/>
  <c r="H10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H7" i="5" s="1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D15" i="4"/>
  <c r="D14" i="4"/>
  <c r="D13" i="4"/>
  <c r="D12" i="4"/>
  <c r="D7" i="4"/>
  <c r="D6" i="4"/>
  <c r="D5" i="4"/>
  <c r="B18" i="3"/>
  <c r="C17" i="3"/>
  <c r="D10" i="3"/>
  <c r="B10" i="3"/>
  <c r="D26" i="2"/>
  <c r="D25" i="2"/>
  <c r="D24" i="2"/>
  <c r="D23" i="2"/>
  <c r="D27" i="2" s="1"/>
  <c r="D18" i="2"/>
  <c r="E18" i="2" s="1"/>
  <c r="D17" i="2"/>
  <c r="E17" i="2" s="1"/>
  <c r="D16" i="2"/>
  <c r="E16" i="2" s="1"/>
  <c r="E19" i="2" s="1"/>
  <c r="W11" i="1"/>
  <c r="X11" i="1" s="1"/>
  <c r="U11" i="1"/>
  <c r="Y11" i="1" s="1"/>
  <c r="M11" i="1"/>
  <c r="N11" i="1" s="1"/>
  <c r="H11" i="1"/>
  <c r="B12" i="2" s="1"/>
  <c r="W10" i="1"/>
  <c r="X10" i="1" s="1"/>
  <c r="U10" i="1"/>
  <c r="M10" i="1"/>
  <c r="N10" i="1" s="1"/>
  <c r="H10" i="1"/>
  <c r="B15" i="4" s="1"/>
  <c r="Y9" i="1"/>
  <c r="W9" i="1"/>
  <c r="X9" i="1" s="1"/>
  <c r="U9" i="1"/>
  <c r="M9" i="1"/>
  <c r="Z9" i="1" s="1"/>
  <c r="H9" i="1"/>
  <c r="W8" i="1"/>
  <c r="X8" i="1" s="1"/>
  <c r="U8" i="1"/>
  <c r="M8" i="1"/>
  <c r="Z8" i="1" s="1"/>
  <c r="H8" i="1"/>
  <c r="B25" i="2" s="1"/>
  <c r="Y7" i="1"/>
  <c r="W7" i="1"/>
  <c r="X7" i="1" s="1"/>
  <c r="U7" i="1"/>
  <c r="M7" i="1"/>
  <c r="Z7" i="1" s="1"/>
  <c r="H7" i="1"/>
  <c r="B7" i="4" s="1"/>
  <c r="W6" i="1"/>
  <c r="X6" i="1" s="1"/>
  <c r="U6" i="1"/>
  <c r="M6" i="1"/>
  <c r="H6" i="1"/>
  <c r="B17" i="3" s="1"/>
  <c r="W5" i="1"/>
  <c r="X5" i="1" s="1"/>
  <c r="U5" i="1"/>
  <c r="C24" i="1" s="1"/>
  <c r="M5" i="1"/>
  <c r="H5" i="1"/>
  <c r="B12" i="4" s="1"/>
  <c r="C22" i="1" l="1"/>
  <c r="D12" i="5"/>
  <c r="C18" i="5"/>
  <c r="I11" i="5"/>
  <c r="F12" i="5"/>
  <c r="H6" i="5"/>
  <c r="I6" i="5" s="1"/>
  <c r="I7" i="5"/>
  <c r="I10" i="5"/>
  <c r="K10" i="5" s="1"/>
  <c r="G12" i="5"/>
  <c r="E12" i="5"/>
  <c r="H8" i="5"/>
  <c r="I8" i="5" s="1"/>
  <c r="H9" i="5"/>
  <c r="I9" i="5" s="1"/>
  <c r="D7" i="3"/>
  <c r="Z10" i="1"/>
  <c r="N9" i="1"/>
  <c r="Z11" i="1"/>
  <c r="J7" i="5"/>
  <c r="K7" i="5"/>
  <c r="K8" i="5"/>
  <c r="J8" i="5"/>
  <c r="Z6" i="1"/>
  <c r="I8" i="6"/>
  <c r="C12" i="6" s="1"/>
  <c r="E25" i="2"/>
  <c r="C25" i="2"/>
  <c r="J11" i="5"/>
  <c r="K11" i="5"/>
  <c r="G6" i="6"/>
  <c r="J6" i="6"/>
  <c r="H12" i="1"/>
  <c r="B10" i="2"/>
  <c r="D19" i="2"/>
  <c r="B7" i="3"/>
  <c r="C14" i="3"/>
  <c r="D14" i="3" s="1"/>
  <c r="C16" i="3"/>
  <c r="D16" i="3" s="1"/>
  <c r="C23" i="3"/>
  <c r="C26" i="3"/>
  <c r="B13" i="4"/>
  <c r="C13" i="4" s="1"/>
  <c r="N5" i="1"/>
  <c r="Z5" i="1"/>
  <c r="C16" i="1"/>
  <c r="C20" i="1"/>
  <c r="B8" i="2"/>
  <c r="B11" i="2"/>
  <c r="B16" i="2"/>
  <c r="B17" i="2"/>
  <c r="C17" i="2" s="1"/>
  <c r="B18" i="2"/>
  <c r="C18" i="2" s="1"/>
  <c r="B23" i="2"/>
  <c r="B24" i="2"/>
  <c r="B26" i="2"/>
  <c r="B6" i="4"/>
  <c r="C6" i="4" s="1"/>
  <c r="F5" i="6"/>
  <c r="F7" i="6"/>
  <c r="B22" i="3"/>
  <c r="B23" i="3"/>
  <c r="B24" i="3"/>
  <c r="B25" i="3"/>
  <c r="B26" i="3"/>
  <c r="B5" i="4"/>
  <c r="B14" i="4"/>
  <c r="D6" i="3"/>
  <c r="B14" i="3"/>
  <c r="B15" i="3"/>
  <c r="B16" i="3"/>
  <c r="N7" i="1"/>
  <c r="N8" i="1"/>
  <c r="C18" i="1"/>
  <c r="B7" i="2"/>
  <c r="B9" i="3"/>
  <c r="C15" i="3"/>
  <c r="C18" i="3"/>
  <c r="C24" i="3"/>
  <c r="E8" i="6"/>
  <c r="C22" i="3"/>
  <c r="C25" i="3"/>
  <c r="N6" i="1"/>
  <c r="C19" i="1"/>
  <c r="H5" i="5"/>
  <c r="H12" i="5" s="1"/>
  <c r="J10" i="5" l="1"/>
  <c r="B27" i="3"/>
  <c r="D24" i="3"/>
  <c r="E24" i="3"/>
  <c r="G7" i="6"/>
  <c r="J7" i="6"/>
  <c r="E26" i="2"/>
  <c r="C26" i="2"/>
  <c r="E14" i="3"/>
  <c r="B16" i="4"/>
  <c r="C15" i="1"/>
  <c r="B8" i="4"/>
  <c r="B6" i="2"/>
  <c r="C12" i="2" s="1"/>
  <c r="C21" i="1"/>
  <c r="B6" i="3"/>
  <c r="D17" i="3"/>
  <c r="K6" i="5"/>
  <c r="J6" i="5"/>
  <c r="D25" i="3"/>
  <c r="E25" i="3"/>
  <c r="D18" i="3"/>
  <c r="C14" i="4"/>
  <c r="F8" i="6"/>
  <c r="G8" i="6" s="1"/>
  <c r="C11" i="6" s="1"/>
  <c r="G5" i="6"/>
  <c r="E24" i="2"/>
  <c r="C24" i="2"/>
  <c r="C16" i="2"/>
  <c r="C19" i="2" s="1"/>
  <c r="B19" i="2"/>
  <c r="D26" i="3"/>
  <c r="E26" i="3"/>
  <c r="K9" i="5"/>
  <c r="J9" i="5"/>
  <c r="C7" i="4"/>
  <c r="D22" i="3"/>
  <c r="C27" i="3"/>
  <c r="E22" i="3"/>
  <c r="D15" i="3"/>
  <c r="E16" i="3" s="1"/>
  <c r="C5" i="4"/>
  <c r="I5" i="5"/>
  <c r="E23" i="2"/>
  <c r="C23" i="2"/>
  <c r="C27" i="2" s="1"/>
  <c r="B27" i="2"/>
  <c r="E27" i="2" s="1"/>
  <c r="C23" i="1"/>
  <c r="B9" i="2"/>
  <c r="D23" i="3"/>
  <c r="E23" i="3"/>
  <c r="C15" i="4"/>
  <c r="C12" i="4"/>
  <c r="E27" i="3" l="1"/>
  <c r="E17" i="3"/>
  <c r="J8" i="6"/>
  <c r="C13" i="6" s="1"/>
  <c r="E18" i="3"/>
  <c r="C10" i="2"/>
  <c r="C11" i="2"/>
  <c r="I12" i="5"/>
  <c r="K5" i="5"/>
  <c r="C17" i="5" s="1"/>
  <c r="J5" i="5"/>
  <c r="B8" i="3"/>
  <c r="C14" i="6"/>
  <c r="E15" i="3"/>
  <c r="C7" i="2"/>
  <c r="D27" i="3"/>
  <c r="J12" i="5" l="1"/>
  <c r="C15" i="5" s="1"/>
  <c r="C19" i="5"/>
  <c r="C20" i="5"/>
  <c r="C22" i="5" s="1"/>
  <c r="C21" i="5"/>
  <c r="D8" i="3"/>
  <c r="C16" i="5"/>
  <c r="I30" i="5" l="1"/>
  <c r="G29" i="5"/>
  <c r="G31" i="5" l="1"/>
</calcChain>
</file>

<file path=xl/sharedStrings.xml><?xml version="1.0" encoding="utf-8"?>
<sst xmlns="http://schemas.openxmlformats.org/spreadsheetml/2006/main" count="304" uniqueCount="236">
  <si>
    <t>🏛️  NEURAL — Gestion Inventaire Luxe v3.0</t>
  </si>
  <si>
    <t>Inventaire physique au 25 Mars 2026 — Enrichi avec Rotation &amp; Prévisions</t>
  </si>
  <si>
    <t>Réf.</t>
  </si>
  <si>
    <t>Article</t>
  </si>
  <si>
    <t>Maison</t>
  </si>
  <si>
    <t>Catégorie</t>
  </si>
  <si>
    <t>Unité</t>
  </si>
  <si>
    <t>Qté</t>
  </si>
  <si>
    <t>Coût Unit.</t>
  </si>
  <si>
    <t>Coût Total</t>
  </si>
  <si>
    <t>Méthode</t>
  </si>
  <si>
    <t>Date Entrée</t>
  </si>
  <si>
    <t>Localisation</t>
  </si>
  <si>
    <t>Statut</t>
  </si>
  <si>
    <t>Ancienneté (j)</t>
  </si>
  <si>
    <t>Alerte</t>
  </si>
  <si>
    <t>Prix Vente Est.</t>
  </si>
  <si>
    <t>Coûts Achèv.</t>
  </si>
  <si>
    <t>Coûts Vente</t>
  </si>
  <si>
    <t>Prix Public</t>
  </si>
  <si>
    <t>Nb Vendus 12M</t>
  </si>
  <si>
    <t>Qté Réservée</t>
  </si>
  <si>
    <t>Qté Disponible</t>
  </si>
  <si>
    <t>Dernière Sortie</t>
  </si>
  <si>
    <t>Jours sans Mvt</t>
  </si>
  <si>
    <t>Tx Rotation</t>
  </si>
  <si>
    <t>Alerte Rupture</t>
  </si>
  <si>
    <t>Risque Surstock</t>
  </si>
  <si>
    <t>LUX-001</t>
  </si>
  <si>
    <t>Cuir Crocodile Himalaya</t>
  </si>
  <si>
    <t>Hermès</t>
  </si>
  <si>
    <t>MP</t>
  </si>
  <si>
    <t>m²</t>
  </si>
  <si>
    <t>Coût Réel</t>
  </si>
  <si>
    <t>Paris — Faubourg St-Honoré</t>
  </si>
  <si>
    <t>Actif</t>
  </si>
  <si>
    <t>✅ OK</t>
  </si>
  <si>
    <t>LUX-002</t>
  </si>
  <si>
    <t>Mouvement Tourbillon Cal.3135</t>
  </si>
  <si>
    <t>Patek Philippe</t>
  </si>
  <si>
    <t>EC</t>
  </si>
  <si>
    <t>Pièce</t>
  </si>
  <si>
    <t>Genève — Plan-les-Ouates</t>
  </si>
  <si>
    <t>LUX-003</t>
  </si>
  <si>
    <t>Sac Birkin 30 Togo</t>
  </si>
  <si>
    <t>PF</t>
  </si>
  <si>
    <t>Coût Complet</t>
  </si>
  <si>
    <t>LUX-004</t>
  </si>
  <si>
    <t>Diamants VVS1 D-Color (1ct)</t>
  </si>
  <si>
    <t>Cartier</t>
  </si>
  <si>
    <t>Carat</t>
  </si>
  <si>
    <t>CUMP</t>
  </si>
  <si>
    <t>Paris — Place Vendôme</t>
  </si>
  <si>
    <t>LUX-005</t>
  </si>
  <si>
    <t>Montre Nautilus 5711/1A</t>
  </si>
  <si>
    <t>Genève — Rue du Rhône</t>
  </si>
  <si>
    <t>LUX-006</t>
  </si>
  <si>
    <t>Tissu Tweed Haute Couture</t>
  </si>
  <si>
    <t>Chanel</t>
  </si>
  <si>
    <t>Mètre</t>
  </si>
  <si>
    <t>Paris — Rue Cambon</t>
  </si>
  <si>
    <t>LUX-007</t>
  </si>
  <si>
    <t>Collier Haute Joaillerie Panthère</t>
  </si>
  <si>
    <t>TOTAL</t>
  </si>
  <si>
    <t>7 Articles Patrimoniaux</t>
  </si>
  <si>
    <t>📊 INDICATEURS CLÉS DE PERFORMANCE (KPIs)</t>
  </si>
  <si>
    <t>KPI 1 — Valeur Totale du Stock</t>
  </si>
  <si>
    <t>KPI 2 — Valeur Matières Premières</t>
  </si>
  <si>
    <t>KPI 3 — Valeur En-Cours Production</t>
  </si>
  <si>
    <t>KPI 4 — Valeur Produits Finis</t>
  </si>
  <si>
    <t>KPI 5 — Stock Immobilisé (&gt;6 mois)</t>
  </si>
  <si>
    <t>KPI 6 — Ancienneté Moyenne (jours)</t>
  </si>
  <si>
    <t>KPI 7 — Valeur Moyenne par Article</t>
  </si>
  <si>
    <t>KPI 8 — Rotation Stock Moyenne</t>
  </si>
  <si>
    <t>KPI 9 — Articles en Surstock/Rotation Lente</t>
  </si>
  <si>
    <t>KPI 10 — Quantité Totale Disponible</t>
  </si>
  <si>
    <t>🏛️  NEURAL — DASHBOARD EXÉCUTIF INVENTAIRE LUXE</t>
  </si>
  <si>
    <t>Mise à jour automatique - Date: 25/03/2026</t>
  </si>
  <si>
    <t>💰 INDICATEURS FINANCIERS CLÉS</t>
  </si>
  <si>
    <t>KPI</t>
  </si>
  <si>
    <t>Valeur</t>
  </si>
  <si>
    <t>Évolution</t>
  </si>
  <si>
    <t>💰 Stock Brut (valeur comptable)</t>
  </si>
  <si>
    <t>Référence</t>
  </si>
  <si>
    <t>📊 Stock Immobilisé (&gt;6 mois)</t>
  </si>
  <si>
    <t>🔄 Rotation Moyenne (jours)</t>
  </si>
  <si>
    <t>Tendance ↗</t>
  </si>
  <si>
    <t>⚠️ Articles en Surstock</t>
  </si>
  <si>
    <t>💎 Valeur MP</t>
  </si>
  <si>
    <t>⚙️ Valeur EC</t>
  </si>
  <si>
    <t>✨ Valeur PF</t>
  </si>
  <si>
    <t>📊 RÉPARTITION PATRIMOINE</t>
  </si>
  <si>
    <t>% Total</t>
  </si>
  <si>
    <t>% Qté</t>
  </si>
  <si>
    <t>💎 Matières 1ères</t>
  </si>
  <si>
    <t>⚙️ En-Cours Prod.</t>
  </si>
  <si>
    <t>✨ Produits Finis</t>
  </si>
  <si>
    <t>🏛️ PERFORMANCE PAR MAISON</t>
  </si>
  <si>
    <t>% Mix</t>
  </si>
  <si>
    <t>Nb Réf.</t>
  </si>
  <si>
    <t>Val. Moy.</t>
  </si>
  <si>
    <t>🏛️ Hermès</t>
  </si>
  <si>
    <t>🏛️ Patek Philippe</t>
  </si>
  <si>
    <t>🏛️ Cartier</t>
  </si>
  <si>
    <t>🏛️ Chanel</t>
  </si>
  <si>
    <t>⚠️  NEURAL — CARTOGRAPHIE DES RISQUES INVENTAIRE</t>
  </si>
  <si>
    <t>Analyse multidimensionnelle - Mise à jour: 25/03/2026</t>
  </si>
  <si>
    <t>🚨 TABLEAU DE BORD RISQUES</t>
  </si>
  <si>
    <t>Type Risque</t>
  </si>
  <si>
    <t>Niveau</t>
  </si>
  <si>
    <t>Impact</t>
  </si>
  <si>
    <t>Action</t>
  </si>
  <si>
    <t>🔴 CONCENTRATION
(Top 3 &gt; 50%)</t>
  </si>
  <si>
    <t>★★★★☆ Critique</t>
  </si>
  <si>
    <t>Urgent</t>
  </si>
  <si>
    <t>🟠 OBSOLESCENCE
(Stock &gt;365j)</t>
  </si>
  <si>
    <t>★★★☆☆ Élevé</t>
  </si>
  <si>
    <t>Court T.</t>
  </si>
  <si>
    <t>🟡 DÉPRÉCIATION
(NRV &lt; Coût)</t>
  </si>
  <si>
    <t>★★☆☆☆ Modéré</t>
  </si>
  <si>
    <t>Surveill.</t>
  </si>
  <si>
    <t>🟢 LIQUIDITÉ
(Rotation stock)</t>
  </si>
  <si>
    <t>★☆☆☆☆ Faible</t>
  </si>
  <si>
    <t>N/A</t>
  </si>
  <si>
    <t>OK</t>
  </si>
  <si>
    <t>🔵 RUPTURE
(Stock = 0)</t>
  </si>
  <si>
    <t>★☆☆☆☆ Nul</t>
  </si>
  <si>
    <t>📊 ANALYSE DE CONCENTRATION - Principe de Pareto 80/20</t>
  </si>
  <si>
    <t>Rang</t>
  </si>
  <si>
    <t>% Cumul</t>
  </si>
  <si>
    <t>📦 ANALYSE OBSOLESCENCE - Ancienneté du stock</t>
  </si>
  <si>
    <t>Tranche</t>
  </si>
  <si>
    <t>Nb Art.</t>
  </si>
  <si>
    <t>Provis.</t>
  </si>
  <si>
    <t>0-90 j</t>
  </si>
  <si>
    <t>Aucune</t>
  </si>
  <si>
    <t>91-180 j</t>
  </si>
  <si>
    <t>181-270 j</t>
  </si>
  <si>
    <t>271-365 j</t>
  </si>
  <si>
    <t>Liquider</t>
  </si>
  <si>
    <t>&gt;365 j</t>
  </si>
  <si>
    <t>URGENT</t>
  </si>
  <si>
    <t>💰 Valorisation Stock par Catégorie</t>
  </si>
  <si>
    <t>Répartition détaillée du patrimoine inventaire</t>
  </si>
  <si>
    <t>Valeur (€)</t>
  </si>
  <si>
    <t>% du Total</t>
  </si>
  <si>
    <t>Nb Articles</t>
  </si>
  <si>
    <t>Matières Premières (MP)</t>
  </si>
  <si>
    <t>En-Cours de Production (EC)</t>
  </si>
  <si>
    <t>Produits Finis (PF)</t>
  </si>
  <si>
    <t>TOTAL GÉNÉRAL</t>
  </si>
  <si>
    <t>🏛️ Répartition par Maison de Luxe</t>
  </si>
  <si>
    <t>⚖️  Test Net Realizable Value (NRV) — IAS 2</t>
  </si>
  <si>
    <t>Dépréciation selon IFRS et comparaison Coût vs Valeur Nette de Réalisation</t>
  </si>
  <si>
    <t>Coût Comptable</t>
  </si>
  <si>
    <t>Coûts Achèvement</t>
  </si>
  <si>
    <t>NRV</t>
  </si>
  <si>
    <t>Écart</t>
  </si>
  <si>
    <t>Provision</t>
  </si>
  <si>
    <t>Synthèse Patrimoine</t>
  </si>
  <si>
    <t>📉 Indicateurs IAS 2 — Provisions Requises</t>
  </si>
  <si>
    <t>Provision Totale IAS 2 Requise</t>
  </si>
  <si>
    <t>% Provision / Stock Total</t>
  </si>
  <si>
    <t>Nombre Articles Dépréciés</t>
  </si>
  <si>
    <t>💎 Analyse des Marges — Produits Finis</t>
  </si>
  <si>
    <t>Calcul des marges brutes et contribution par PF</t>
  </si>
  <si>
    <t>Produit Fini</t>
  </si>
  <si>
    <t>Coût Production</t>
  </si>
  <si>
    <t>Marge Brute</t>
  </si>
  <si>
    <t>Taux Marge</t>
  </si>
  <si>
    <t>Qté Stock</t>
  </si>
  <si>
    <t>CA Potentiel</t>
  </si>
  <si>
    <t>Contribution</t>
  </si>
  <si>
    <t>TOTAL PF</t>
  </si>
  <si>
    <t>3 Produits Finis en Stock</t>
  </si>
  <si>
    <t>📊 KPIs Rentabilité Produits Finis</t>
  </si>
  <si>
    <t>Taux de Marge Moyen PF</t>
  </si>
  <si>
    <t>CA Potentiel Total PF</t>
  </si>
  <si>
    <t>Contribution Totale PF</t>
  </si>
  <si>
    <t>Meilleur Produit (Marge)</t>
  </si>
  <si>
    <t>Classification ABC (Pareto)</t>
  </si>
  <si>
    <t>Classe</t>
  </si>
  <si>
    <t>Critère</t>
  </si>
  <si>
    <t>% Réf.</t>
  </si>
  <si>
    <t>% Valeur Cum</t>
  </si>
  <si>
    <t>A - Critique</t>
  </si>
  <si>
    <t>B - Important</t>
  </si>
  <si>
    <t>C - Courant</t>
  </si>
  <si>
    <t>&gt; 100 000 € / article</t>
  </si>
  <si>
    <t>30 000 — 100 000 €</t>
  </si>
  <si>
    <t>&lt; 30 000 €</t>
  </si>
  <si>
    <t>Contrôle</t>
  </si>
  <si>
    <t>Somme A+B+C = Total ?</t>
  </si>
  <si>
    <t>Articles Testés</t>
  </si>
  <si>
    <t xml:space="preserve">Articles sans dépréciation </t>
  </si>
  <si>
    <t>Articles avec dépréciation</t>
  </si>
  <si>
    <t xml:space="preserve">Impact sur la valeur stock </t>
  </si>
  <si>
    <t>% Articles dépréciés</t>
  </si>
  <si>
    <t>N°</t>
  </si>
  <si>
    <t>Compte</t>
  </si>
  <si>
    <t>Libellé</t>
  </si>
  <si>
    <t>Débit (€)</t>
  </si>
  <si>
    <t>Crédit (€)</t>
  </si>
  <si>
    <t>39xx</t>
  </si>
  <si>
    <t>Dotation aux dépréciations des stocks</t>
  </si>
  <si>
    <t>Dépréciation des stocks et en-cours</t>
  </si>
  <si>
    <t>Contrôle d'équilibre :</t>
  </si>
  <si>
    <t>C</t>
  </si>
  <si>
    <t>📊  Contribution au Chiffre d'Affaires &amp; Classement</t>
  </si>
  <si>
    <t>Produit</t>
  </si>
  <si>
    <t>% du CA</t>
  </si>
  <si>
    <t>Marge Tot. (€)</t>
  </si>
  <si>
    <t>% Marge Glob.</t>
  </si>
  <si>
    <t>Rang CA</t>
  </si>
  <si>
    <t>Rang Taux</t>
  </si>
  <si>
    <t>📝  Écriture Comptable Recommandée</t>
  </si>
  <si>
    <t>💰  Valeur du Stock Ajustée</t>
  </si>
  <si>
    <t>Stock brut (avant test)</t>
  </si>
  <si>
    <t>(−) Provision IAS 2</t>
  </si>
  <si>
    <t>★ STOCK NET (après IAS 2)</t>
  </si>
  <si>
    <t>Vérification</t>
  </si>
  <si>
    <t>Prix de vente</t>
  </si>
  <si>
    <t>📈  Analyse de Sensibilité (±10% Prix de Vente)</t>
  </si>
  <si>
    <t>Coût (€)</t>
  </si>
  <si>
    <t>Prix −10%</t>
  </si>
  <si>
    <t>Marge −10%</t>
  </si>
  <si>
    <t>Prix Base</t>
  </si>
  <si>
    <t>Marge Base</t>
  </si>
  <si>
    <t>Prix +10%</t>
  </si>
  <si>
    <t>Marge +10%</t>
  </si>
  <si>
    <t>🎯  Seuil de Rentabilité (Break-Even) — Hyp. : 15% CA en frais fixes</t>
  </si>
  <si>
    <t>Nb Vendus</t>
  </si>
  <si>
    <t>Marge Unit. (€)</t>
  </si>
  <si>
    <t>Seuil (unités)</t>
  </si>
  <si>
    <t>CA au seuil</t>
  </si>
  <si>
    <t>Marge de 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</si>
</sst>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&quot; €&quot;"/>
    <numFmt numFmtId="165" formatCode="#,##0&quot; j&quot;"/>
    <numFmt numFmtId="166" formatCode="0.0&quot;×&quot;"/>
    <numFmt numFmtId="167" formatCode="#,##0&quot; €&quot;"/>
    <numFmt numFmtId="168" formatCode="0.0%"/>
    <numFmt numFmtId="169" formatCode="0.0"/>
    <numFmt numFmtId="170" formatCode="#,##0.00\ &quot;€&quot;"/>
  </numFmts>
  <fonts count="27" x14ac:knownFonts="1">
    <font>
      <sz val="11"/>
      <color theme="1"/>
      <name val="Calibri"/>
      <family val="2"/>
      <scheme val="minor"/>
    </font>
    <font>
      <b/>
      <sz val="16"/>
      <color rgb="FFD4AF37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3"/>
      <color rgb="FFD4AF37"/>
      <name val="Calibri"/>
      <family val="2"/>
    </font>
    <font>
      <b/>
      <sz val="10"/>
      <color rgb="FFD4AF37"/>
      <name val="Calibri"/>
      <family val="2"/>
    </font>
    <font>
      <b/>
      <sz val="12"/>
      <color rgb="FFD4AF37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D4AF37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E74C3C"/>
      <name val="Calibri"/>
      <family val="2"/>
    </font>
    <font>
      <b/>
      <sz val="9"/>
      <color rgb="FF000000"/>
      <name val="Calibri"/>
      <family val="2"/>
    </font>
    <font>
      <b/>
      <sz val="11"/>
      <color rgb="FFE74C3C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1A1A2E"/>
      <name val="Calibri"/>
      <family val="2"/>
    </font>
    <font>
      <b/>
      <sz val="10"/>
      <color rgb="FFC00000"/>
      <name val="Calibri"/>
      <family val="2"/>
    </font>
    <font>
      <b/>
      <sz val="10"/>
      <color rgb="FFFFC000"/>
      <name val="Calibri"/>
      <family val="2"/>
    </font>
    <font>
      <b/>
      <sz val="10"/>
      <color rgb="FF00B050"/>
      <name val="Calibri"/>
      <family val="2"/>
    </font>
    <font>
      <b/>
      <sz val="10"/>
      <color rgb="FF27AE60"/>
      <name val="Calibri"/>
      <family val="2"/>
    </font>
    <font>
      <b/>
      <sz val="14"/>
      <color rgb="FF1A1A2E"/>
      <name val="Calibri"/>
      <family val="2"/>
    </font>
    <font>
      <sz val="11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1A1A2E"/>
      </patternFill>
    </fill>
    <fill>
      <patternFill patternType="solid">
        <fgColor rgb="FFFFFDF5"/>
      </patternFill>
    </fill>
    <fill>
      <patternFill patternType="solid">
        <fgColor rgb="FFFFF8E7"/>
      </patternFill>
    </fill>
    <fill>
      <patternFill patternType="solid">
        <fgColor rgb="FFFDECEA"/>
      </patternFill>
    </fill>
    <fill>
      <patternFill patternType="solid">
        <fgColor rgb="FFFFF3CD"/>
      </patternFill>
    </fill>
    <fill>
      <patternFill patternType="solid">
        <fgColor rgb="FFEAFAF1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rgb="FFD4AF37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double">
        <color rgb="FFD4AF37"/>
      </top>
      <bottom style="double">
        <color rgb="FFD4AF3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D4AF3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rgb="FFE0E0E0"/>
      </left>
      <right style="dotted">
        <color indexed="64"/>
      </right>
      <top style="thin">
        <color rgb="FFE0E0E0"/>
      </top>
      <bottom style="thin">
        <color rgb="FFE0E0E0"/>
      </bottom>
      <diagonal/>
    </border>
    <border>
      <left/>
      <right style="dotted">
        <color indexed="64"/>
      </right>
      <top style="double">
        <color rgb="FFD4AF37"/>
      </top>
      <bottom style="double">
        <color rgb="FFD4AF37"/>
      </bottom>
      <diagonal/>
    </border>
    <border>
      <left style="thin">
        <color rgb="FFE0E0E0"/>
      </left>
      <right/>
      <top style="medium">
        <color rgb="FFD4AF37"/>
      </top>
      <bottom style="thin">
        <color rgb="FFE0E0E0"/>
      </bottom>
      <diagonal/>
    </border>
    <border>
      <left/>
      <right style="thin">
        <color rgb="FFE0E0E0"/>
      </right>
      <top style="medium">
        <color rgb="FFD4AF37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medium">
        <color rgb="FFD4AF37"/>
      </bottom>
      <diagonal/>
    </border>
    <border>
      <left/>
      <right style="thin">
        <color rgb="FFE0E0E0"/>
      </right>
      <top style="thin">
        <color rgb="FFE0E0E0"/>
      </top>
      <bottom style="medium">
        <color rgb="FFD4AF37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7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168" fontId="11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7" fontId="10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168" fontId="11" fillId="7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167" fontId="10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168" fontId="11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67" fontId="10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 wrapText="1"/>
    </xf>
    <xf numFmtId="168" fontId="11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67" fontId="10" fillId="8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7" fontId="11" fillId="4" borderId="2" xfId="0" applyNumberFormat="1" applyFont="1" applyFill="1" applyBorder="1" applyAlignment="1">
      <alignment horizontal="center" vertical="center"/>
    </xf>
    <xf numFmtId="168" fontId="0" fillId="4" borderId="2" xfId="0" applyNumberFormat="1" applyFill="1" applyBorder="1" applyAlignment="1">
      <alignment horizontal="center" vertical="center"/>
    </xf>
    <xf numFmtId="168" fontId="6" fillId="4" borderId="2" xfId="0" applyNumberFormat="1" applyFont="1" applyFill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168" fontId="0" fillId="8" borderId="2" xfId="0" applyNumberFormat="1" applyFill="1" applyBorder="1" applyAlignment="1">
      <alignment horizontal="center" vertical="center"/>
    </xf>
    <xf numFmtId="167" fontId="13" fillId="8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167" fontId="13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167" fontId="11" fillId="7" borderId="2" xfId="0" applyNumberFormat="1" applyFont="1" applyFill="1" applyBorder="1" applyAlignment="1">
      <alignment horizontal="center" vertical="center"/>
    </xf>
    <xf numFmtId="168" fontId="0" fillId="7" borderId="2" xfId="0" applyNumberFormat="1" applyFill="1" applyBorder="1" applyAlignment="1">
      <alignment horizontal="center" vertical="center"/>
    </xf>
    <xf numFmtId="167" fontId="13" fillId="7" borderId="2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167" fontId="11" fillId="6" borderId="2" xfId="0" applyNumberFormat="1" applyFont="1" applyFill="1" applyBorder="1" applyAlignment="1">
      <alignment horizontal="center" vertical="center"/>
    </xf>
    <xf numFmtId="168" fontId="0" fillId="6" borderId="2" xfId="0" applyNumberFormat="1" applyFill="1" applyBorder="1" applyAlignment="1">
      <alignment horizontal="center" vertical="center"/>
    </xf>
    <xf numFmtId="167" fontId="13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19" fillId="4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8" fontId="19" fillId="4" borderId="2" xfId="0" applyNumberFormat="1" applyFont="1" applyFill="1" applyBorder="1" applyAlignment="1">
      <alignment horizontal="center" vertical="center"/>
    </xf>
    <xf numFmtId="168" fontId="19" fillId="0" borderId="2" xfId="0" applyNumberFormat="1" applyFont="1" applyBorder="1" applyAlignment="1">
      <alignment horizontal="center" vertical="center"/>
    </xf>
    <xf numFmtId="164" fontId="19" fillId="4" borderId="2" xfId="0" applyNumberFormat="1" applyFont="1" applyFill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0" fontId="23" fillId="0" borderId="0" xfId="0" applyFont="1"/>
    <xf numFmtId="0" fontId="17" fillId="0" borderId="4" xfId="0" applyFont="1" applyBorder="1"/>
    <xf numFmtId="2" fontId="0" fillId="0" borderId="0" xfId="0" applyNumberFormat="1"/>
    <xf numFmtId="167" fontId="8" fillId="11" borderId="25" xfId="0" applyNumberFormat="1" applyFont="1" applyFill="1" applyBorder="1"/>
    <xf numFmtId="168" fontId="8" fillId="11" borderId="12" xfId="0" applyNumberFormat="1" applyFont="1" applyFill="1" applyBorder="1"/>
    <xf numFmtId="3" fontId="8" fillId="11" borderId="24" xfId="0" applyNumberFormat="1" applyFont="1" applyFill="1" applyBorder="1"/>
    <xf numFmtId="0" fontId="0" fillId="11" borderId="24" xfId="0" applyFill="1" applyBorder="1"/>
    <xf numFmtId="168" fontId="24" fillId="11" borderId="24" xfId="0" applyNumberFormat="1" applyFont="1" applyFill="1" applyBorder="1"/>
    <xf numFmtId="169" fontId="0" fillId="11" borderId="24" xfId="0" applyNumberFormat="1" applyFill="1" applyBorder="1"/>
    <xf numFmtId="0" fontId="18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/>
    <xf numFmtId="0" fontId="19" fillId="0" borderId="2" xfId="0" applyFont="1" applyBorder="1" applyAlignment="1">
      <alignment horizontal="left" vertical="center"/>
    </xf>
    <xf numFmtId="0" fontId="0" fillId="0" borderId="8" xfId="0" applyBorder="1"/>
    <xf numFmtId="0" fontId="0" fillId="0" borderId="11" xfId="0" applyBorder="1"/>
    <xf numFmtId="0" fontId="0" fillId="0" borderId="9" xfId="0" applyBorder="1"/>
    <xf numFmtId="2" fontId="11" fillId="4" borderId="4" xfId="0" applyNumberFormat="1" applyFont="1" applyFill="1" applyBorder="1" applyAlignment="1">
      <alignment horizontal="center" vertical="center"/>
    </xf>
    <xf numFmtId="170" fontId="11" fillId="12" borderId="4" xfId="0" applyNumberFormat="1" applyFont="1" applyFill="1" applyBorder="1" applyAlignment="1">
      <alignment horizontal="center" vertical="center"/>
    </xf>
    <xf numFmtId="170" fontId="11" fillId="4" borderId="11" xfId="0" applyNumberFormat="1" applyFont="1" applyFill="1" applyBorder="1" applyAlignment="1">
      <alignment horizontal="center" vertical="center"/>
    </xf>
    <xf numFmtId="49" fontId="11" fillId="12" borderId="4" xfId="0" applyNumberFormat="1" applyFont="1" applyFill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164" fontId="8" fillId="0" borderId="33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8" fillId="0" borderId="35" xfId="0" applyNumberFormat="1" applyFont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166" fontId="8" fillId="0" borderId="31" xfId="0" applyNumberFormat="1" applyFont="1" applyBorder="1" applyAlignment="1">
      <alignment horizontal="center" vertical="center"/>
    </xf>
    <xf numFmtId="3" fontId="8" fillId="0" borderId="36" xfId="0" applyNumberFormat="1" applyFont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0" borderId="30" xfId="0" applyBorder="1"/>
    <xf numFmtId="167" fontId="0" fillId="0" borderId="31" xfId="0" applyNumberFormat="1" applyBorder="1"/>
    <xf numFmtId="167" fontId="0" fillId="0" borderId="32" xfId="0" applyNumberFormat="1" applyBorder="1"/>
    <xf numFmtId="0" fontId="25" fillId="0" borderId="4" xfId="0" applyFont="1" applyBorder="1"/>
    <xf numFmtId="168" fontId="0" fillId="0" borderId="0" xfId="0" applyNumberFormat="1"/>
    <xf numFmtId="0" fontId="3" fillId="3" borderId="17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7" fontId="10" fillId="0" borderId="38" xfId="0" applyNumberFormat="1" applyFont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4" borderId="39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8" fillId="9" borderId="5" xfId="0" applyFont="1" applyFill="1" applyBorder="1" applyAlignment="1">
      <alignment horizontal="center"/>
    </xf>
    <xf numFmtId="0" fontId="22" fillId="4" borderId="6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left"/>
    </xf>
    <xf numFmtId="0" fontId="5" fillId="5" borderId="0" xfId="0" applyFont="1" applyFill="1" applyAlignment="1">
      <alignment horizontal="left" vertic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11" borderId="15" xfId="0" applyFont="1" applyFill="1" applyBorder="1" applyAlignment="1">
      <alignment horizontal="left"/>
    </xf>
    <xf numFmtId="0" fontId="7" fillId="11" borderId="16" xfId="0" applyFont="1" applyFill="1" applyBorder="1" applyAlignment="1">
      <alignment horizontal="left"/>
    </xf>
    <xf numFmtId="0" fontId="7" fillId="11" borderId="11" xfId="0" applyFont="1" applyFill="1" applyBorder="1" applyAlignment="1">
      <alignment horizontal="left"/>
    </xf>
    <xf numFmtId="0" fontId="7" fillId="11" borderId="0" xfId="0" applyFont="1" applyFill="1" applyAlignment="1">
      <alignment horizontal="left"/>
    </xf>
    <xf numFmtId="0" fontId="7" fillId="11" borderId="18" xfId="0" applyFont="1" applyFill="1" applyBorder="1" applyAlignment="1">
      <alignment horizontal="left"/>
    </xf>
    <xf numFmtId="0" fontId="7" fillId="11" borderId="20" xfId="0" applyFont="1" applyFill="1" applyBorder="1" applyAlignment="1">
      <alignment horizontal="left"/>
    </xf>
    <xf numFmtId="0" fontId="7" fillId="11" borderId="19" xfId="0" applyFont="1" applyFill="1" applyBorder="1" applyAlignment="1">
      <alignment horizontal="left"/>
    </xf>
    <xf numFmtId="0" fontId="7" fillId="11" borderId="8" xfId="0" applyFont="1" applyFill="1" applyBorder="1" applyAlignment="1">
      <alignment horizontal="left"/>
    </xf>
    <xf numFmtId="0" fontId="7" fillId="11" borderId="9" xfId="0" applyFont="1" applyFill="1" applyBorder="1" applyAlignment="1">
      <alignment horizontal="left"/>
    </xf>
    <xf numFmtId="0" fontId="18" fillId="10" borderId="0" xfId="0" applyFont="1" applyFill="1" applyAlignment="1">
      <alignment horizontal="left"/>
    </xf>
    <xf numFmtId="0" fontId="0" fillId="11" borderId="21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5" borderId="26" xfId="0" applyFont="1" applyFill="1" applyBorder="1" applyAlignment="1">
      <alignment horizontal="left" vertical="center"/>
    </xf>
    <xf numFmtId="0" fontId="0" fillId="0" borderId="27" xfId="0" applyBorder="1"/>
    <xf numFmtId="0" fontId="0" fillId="0" borderId="28" xfId="0" applyBorder="1"/>
    <xf numFmtId="0" fontId="7" fillId="0" borderId="26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DECEA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FDEC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NEURAL_Inventaire_Luxe_Complet_v2.xlsx" TargetMode="External"/><Relationship Id="rId2" Type="http://schemas.openxmlformats.org/officeDocument/2006/relationships/externalLinkPath" Target="file:///C:\Users\Ludo\Downloads\NEURAL_Inventaire_Luxe_Complet_v2.xlsx" TargetMode="External"/><Relationship Id="rId1" Type="http://schemas.openxmlformats.org/officeDocument/2006/relationships/externalLinkPath" Target="/Users/Ludo/Downloads/NEURAL_Inventaire_Luxe_Complet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ire"/>
      <sheetName val="Valorisation"/>
      <sheetName val="Test_NRV_IAS2"/>
      <sheetName val="Marges_PF"/>
    </sheetNames>
    <sheetDataSet>
      <sheetData sheetId="0">
        <row r="5">
          <cell r="H5">
            <v>382500</v>
          </cell>
        </row>
        <row r="6">
          <cell r="H6">
            <v>504000</v>
          </cell>
        </row>
        <row r="7">
          <cell r="H7">
            <v>33600</v>
          </cell>
        </row>
        <row r="8">
          <cell r="H8">
            <v>1824000</v>
          </cell>
        </row>
        <row r="9">
          <cell r="H9">
            <v>92500</v>
          </cell>
        </row>
        <row r="10">
          <cell r="H10">
            <v>370000</v>
          </cell>
        </row>
        <row r="11">
          <cell r="H11">
            <v>375000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27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32" customWidth="1"/>
    <col min="2" max="2" width="18" customWidth="1"/>
    <col min="3" max="4" width="12" customWidth="1"/>
    <col min="5" max="6" width="15" customWidth="1"/>
  </cols>
  <sheetData>
    <row r="1" spans="1:6" ht="42" customHeight="1" x14ac:dyDescent="0.25">
      <c r="A1" s="132" t="s">
        <v>76</v>
      </c>
      <c r="B1" s="133"/>
      <c r="C1" s="133"/>
      <c r="D1" s="133"/>
      <c r="E1" s="133"/>
      <c r="F1" s="133"/>
    </row>
    <row r="2" spans="1:6" ht="24" customHeight="1" x14ac:dyDescent="0.25">
      <c r="A2" s="135" t="s">
        <v>77</v>
      </c>
      <c r="B2" s="133"/>
      <c r="C2" s="133"/>
      <c r="D2" s="133"/>
      <c r="E2" s="133"/>
      <c r="F2" s="133"/>
    </row>
    <row r="3" spans="1:6" ht="9.9499999999999993" customHeight="1" x14ac:dyDescent="0.25"/>
    <row r="4" spans="1:6" ht="27.95" customHeight="1" x14ac:dyDescent="0.25">
      <c r="A4" s="134" t="s">
        <v>78</v>
      </c>
      <c r="B4" s="133"/>
      <c r="C4" s="133"/>
      <c r="D4" s="133"/>
      <c r="E4" s="133"/>
      <c r="F4" s="133"/>
    </row>
    <row r="5" spans="1:6" x14ac:dyDescent="0.25">
      <c r="A5" s="20" t="s">
        <v>79</v>
      </c>
      <c r="B5" s="20" t="s">
        <v>80</v>
      </c>
      <c r="C5" s="20" t="s">
        <v>81</v>
      </c>
    </row>
    <row r="6" spans="1:6" ht="24" customHeight="1" x14ac:dyDescent="0.25">
      <c r="A6" s="21" t="s">
        <v>82</v>
      </c>
      <c r="B6" s="22">
        <f>Inventaire!H12</f>
        <v>3581600</v>
      </c>
      <c r="C6" s="10" t="s">
        <v>83</v>
      </c>
    </row>
    <row r="7" spans="1:6" ht="24" customHeight="1" x14ac:dyDescent="0.25">
      <c r="A7" s="21" t="s">
        <v>84</v>
      </c>
      <c r="B7" s="23">
        <f ca="1">SUMIFS(Inventaire!H5:H11,Inventaire!M5:M11,"&gt;180")</f>
        <v>3581600</v>
      </c>
      <c r="C7" s="24">
        <f ca="1">B7/B6</f>
        <v>1</v>
      </c>
    </row>
    <row r="8" spans="1:6" ht="24" customHeight="1" x14ac:dyDescent="0.25">
      <c r="A8" s="21" t="s">
        <v>85</v>
      </c>
      <c r="B8" s="25">
        <f ca="1">AVERAGE(Inventaire!M5:M11)</f>
        <v>763.71428571428567</v>
      </c>
      <c r="C8" s="10" t="s">
        <v>86</v>
      </c>
    </row>
    <row r="9" spans="1:6" ht="24" customHeight="1" x14ac:dyDescent="0.25">
      <c r="A9" s="21" t="s">
        <v>87</v>
      </c>
      <c r="B9" s="26">
        <f ca="1">COUNTIF(Inventaire!Z5:Z11,"⚠️*")</f>
        <v>5</v>
      </c>
      <c r="C9" s="10" t="s">
        <v>15</v>
      </c>
    </row>
    <row r="10" spans="1:6" ht="24" customHeight="1" x14ac:dyDescent="0.25">
      <c r="A10" s="21" t="s">
        <v>88</v>
      </c>
      <c r="B10" s="22">
        <f>SUMIF(Inventaire!D5:D11,"MP",Inventaire!H5:H11)</f>
        <v>2206500</v>
      </c>
      <c r="C10" s="24">
        <f>B10/B6</f>
        <v>0.61606544561090015</v>
      </c>
    </row>
    <row r="11" spans="1:6" ht="24" customHeight="1" x14ac:dyDescent="0.25">
      <c r="A11" s="21" t="s">
        <v>89</v>
      </c>
      <c r="B11" s="22">
        <f>SUMIF(Inventaire!D5:D11,"EC",Inventaire!H5:H11)</f>
        <v>874000</v>
      </c>
      <c r="C11" s="24">
        <f>B11/B6</f>
        <v>0.24402501675228949</v>
      </c>
    </row>
    <row r="12" spans="1:6" ht="24" customHeight="1" x14ac:dyDescent="0.25">
      <c r="A12" s="21" t="s">
        <v>90</v>
      </c>
      <c r="B12" s="22">
        <f>SUMIF(Inventaire!D5:D11,"PF",Inventaire!H5:H11)</f>
        <v>501100</v>
      </c>
      <c r="C12" s="24">
        <f>B12/B6</f>
        <v>0.13990953763681035</v>
      </c>
    </row>
    <row r="13" spans="1:6" ht="12" customHeight="1" x14ac:dyDescent="0.25"/>
    <row r="14" spans="1:6" ht="27.95" customHeight="1" x14ac:dyDescent="0.25">
      <c r="A14" s="134" t="s">
        <v>91</v>
      </c>
      <c r="B14" s="133"/>
      <c r="C14" s="133"/>
      <c r="D14" s="133"/>
      <c r="E14" s="133"/>
      <c r="F14" s="133"/>
    </row>
    <row r="15" spans="1:6" x14ac:dyDescent="0.25">
      <c r="A15" s="20" t="s">
        <v>5</v>
      </c>
      <c r="B15" s="20" t="s">
        <v>80</v>
      </c>
      <c r="C15" s="20" t="s">
        <v>92</v>
      </c>
      <c r="D15" s="20" t="s">
        <v>7</v>
      </c>
      <c r="E15" s="20" t="s">
        <v>93</v>
      </c>
    </row>
    <row r="16" spans="1:6" ht="24" customHeight="1" x14ac:dyDescent="0.25">
      <c r="A16" s="3" t="s">
        <v>94</v>
      </c>
      <c r="B16" s="27">
        <f>SUMIF(Inventaire!D5:D11,"MP",Inventaire!H5:H11)</f>
        <v>2206500</v>
      </c>
      <c r="C16" s="28">
        <f>B16/Inventaire!$H$12</f>
        <v>0.61606544561090015</v>
      </c>
      <c r="D16" s="6">
        <f>SUMIF(Inventaire!D5:D11,"MP",Inventaire!F5:F11)</f>
        <v>165</v>
      </c>
      <c r="E16" s="28">
        <f>D16/SUM(D$16:D$18)</f>
        <v>0.41984732824427479</v>
      </c>
    </row>
    <row r="17" spans="1:6" ht="24" customHeight="1" x14ac:dyDescent="0.25">
      <c r="A17" s="10" t="s">
        <v>95</v>
      </c>
      <c r="B17" s="29">
        <f>SUMIF(Inventaire!D5:D11,"EC",Inventaire!H5:H11)</f>
        <v>874000</v>
      </c>
      <c r="C17" s="24">
        <f>B17/Inventaire!$H$12</f>
        <v>0.24402501675228949</v>
      </c>
      <c r="D17" s="13">
        <f>SUMIF(Inventaire!D5:D11,"EC",Inventaire!F5:F11)</f>
        <v>212</v>
      </c>
      <c r="E17" s="24">
        <f>D17/SUM(D$16:D$18)</f>
        <v>0.53944020356234101</v>
      </c>
    </row>
    <row r="18" spans="1:6" ht="24" customHeight="1" x14ac:dyDescent="0.25">
      <c r="A18" s="3" t="s">
        <v>96</v>
      </c>
      <c r="B18" s="27">
        <f>SUMIF(Inventaire!D5:D11,"PF",Inventaire!H5:H11)</f>
        <v>501100</v>
      </c>
      <c r="C18" s="28">
        <f>B18/Inventaire!$H$12</f>
        <v>0.13990953763681035</v>
      </c>
      <c r="D18" s="6">
        <f>SUMIF(Inventaire!D5:D11,"PF",Inventaire!F5:F11)</f>
        <v>16</v>
      </c>
      <c r="E18" s="28">
        <f>D18/SUM(D$16:D$18)</f>
        <v>4.0712468193384227E-2</v>
      </c>
    </row>
    <row r="19" spans="1:6" ht="26.1" customHeight="1" x14ac:dyDescent="0.25">
      <c r="A19" s="30" t="s">
        <v>63</v>
      </c>
      <c r="B19" s="31">
        <f>SUM(B16:B18)</f>
        <v>3581600</v>
      </c>
      <c r="C19" s="32">
        <f>SUM(C16:C18)</f>
        <v>1</v>
      </c>
      <c r="D19" s="33">
        <f>SUM(D16:D18)</f>
        <v>393</v>
      </c>
      <c r="E19" s="32">
        <f>SUM(E16:E18)</f>
        <v>1</v>
      </c>
    </row>
    <row r="20" spans="1:6" ht="12" customHeight="1" x14ac:dyDescent="0.25"/>
    <row r="21" spans="1:6" ht="27.95" customHeight="1" x14ac:dyDescent="0.25">
      <c r="A21" s="134" t="s">
        <v>97</v>
      </c>
      <c r="B21" s="133"/>
      <c r="C21" s="133"/>
      <c r="D21" s="133"/>
      <c r="E21" s="133"/>
      <c r="F21" s="133"/>
    </row>
    <row r="22" spans="1:6" x14ac:dyDescent="0.25">
      <c r="A22" s="20" t="s">
        <v>4</v>
      </c>
      <c r="B22" s="20" t="s">
        <v>80</v>
      </c>
      <c r="C22" s="20" t="s">
        <v>98</v>
      </c>
      <c r="D22" s="20" t="s">
        <v>99</v>
      </c>
      <c r="E22" s="20" t="s">
        <v>100</v>
      </c>
    </row>
    <row r="23" spans="1:6" ht="24" customHeight="1" x14ac:dyDescent="0.25">
      <c r="A23" s="3" t="s">
        <v>101</v>
      </c>
      <c r="B23" s="27">
        <f>SUMIF(Inventaire!C5:C11,"Hermès",Inventaire!H5:H11)</f>
        <v>416100</v>
      </c>
      <c r="C23" s="28">
        <f>B23/Inventaire!$H$12</f>
        <v>0.11617712754076391</v>
      </c>
      <c r="D23" s="6">
        <f>COUNTIF(Inventaire!C5:C11,"Hermès")</f>
        <v>2</v>
      </c>
      <c r="E23" s="27">
        <f>B23/D23</f>
        <v>208050</v>
      </c>
    </row>
    <row r="24" spans="1:6" ht="24" customHeight="1" x14ac:dyDescent="0.25">
      <c r="A24" s="10" t="s">
        <v>102</v>
      </c>
      <c r="B24" s="29">
        <f>SUMIF(Inventaire!C5:C11,"Patek Philippe",Inventaire!H5:H11)</f>
        <v>596500</v>
      </c>
      <c r="C24" s="24">
        <f>B24/Inventaire!$H$12</f>
        <v>0.16654567790931427</v>
      </c>
      <c r="D24" s="13">
        <f>COUNTIF(Inventaire!C5:C11,"Patek Philippe")</f>
        <v>2</v>
      </c>
      <c r="E24" s="29">
        <f>B24/D24</f>
        <v>298250</v>
      </c>
    </row>
    <row r="25" spans="1:6" ht="24" customHeight="1" x14ac:dyDescent="0.25">
      <c r="A25" s="3" t="s">
        <v>103</v>
      </c>
      <c r="B25" s="27">
        <f>SUMIF(Inventaire!C5:C11,"Cartier",Inventaire!H5:H11)</f>
        <v>2199000</v>
      </c>
      <c r="C25" s="28">
        <f>B25/Inventaire!$H$12</f>
        <v>0.61397140942595485</v>
      </c>
      <c r="D25" s="6">
        <f>COUNTIF(Inventaire!C5:C11,"Cartier")</f>
        <v>2</v>
      </c>
      <c r="E25" s="27">
        <f>B25/D25</f>
        <v>1099500</v>
      </c>
    </row>
    <row r="26" spans="1:6" ht="24" customHeight="1" x14ac:dyDescent="0.25">
      <c r="A26" s="10" t="s">
        <v>104</v>
      </c>
      <c r="B26" s="29">
        <f>SUMIF(Inventaire!C5:C11,"Chanel",Inventaire!H5:H11)</f>
        <v>370000</v>
      </c>
      <c r="C26" s="24">
        <f>B26/Inventaire!$H$12</f>
        <v>0.10330578512396695</v>
      </c>
      <c r="D26" s="13">
        <f>COUNTIF(Inventaire!C5:C11,"Chanel")</f>
        <v>1</v>
      </c>
      <c r="E26" s="29">
        <f>B26/D26</f>
        <v>370000</v>
      </c>
    </row>
    <row r="27" spans="1:6" ht="26.1" customHeight="1" x14ac:dyDescent="0.25">
      <c r="A27" s="30" t="s">
        <v>63</v>
      </c>
      <c r="B27" s="31">
        <f>SUM(B23:B26)</f>
        <v>3581600</v>
      </c>
      <c r="C27" s="32">
        <f>SUM(C23:C26)</f>
        <v>1</v>
      </c>
      <c r="D27" s="33">
        <f>SUM(D23:D26)</f>
        <v>7</v>
      </c>
      <c r="E27" s="31">
        <f>B27/D27</f>
        <v>511657.14285714284</v>
      </c>
    </row>
  </sheetData>
  <mergeCells count="5">
    <mergeCell ref="A2:F2"/>
    <mergeCell ref="A14:F14"/>
    <mergeCell ref="A1:F1"/>
    <mergeCell ref="A4:F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Z24"/>
  <sheetViews>
    <sheetView showGridLines="0" topLeftCell="A6" workbookViewId="0">
      <selection activeCell="E15" sqref="E15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8" customWidth="1"/>
    <col min="4" max="4" width="12" customWidth="1"/>
    <col min="5" max="5" width="10" customWidth="1"/>
    <col min="6" max="6" width="8" customWidth="1"/>
    <col min="7" max="7" width="13" customWidth="1"/>
    <col min="8" max="8" width="16.5703125" bestFit="1" customWidth="1"/>
    <col min="9" max="9" width="14" customWidth="1"/>
    <col min="10" max="10" width="13" customWidth="1"/>
    <col min="11" max="11" width="28" customWidth="1"/>
    <col min="12" max="12" width="10" customWidth="1"/>
    <col min="13" max="13" width="14" customWidth="1"/>
    <col min="14" max="14" width="9" customWidth="1"/>
    <col min="15" max="19" width="13" customWidth="1"/>
    <col min="20" max="20" width="15" customWidth="1"/>
    <col min="21" max="21" width="13" customWidth="1"/>
    <col min="22" max="22" width="14" customWidth="1"/>
    <col min="23" max="23" width="15" customWidth="1"/>
    <col min="24" max="24" width="12" customWidth="1"/>
    <col min="25" max="25" width="14" customWidth="1"/>
    <col min="26" max="26" width="18" customWidth="1"/>
  </cols>
  <sheetData>
    <row r="1" spans="1:26" ht="42" customHeight="1" x14ac:dyDescent="0.2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spans="1:26" ht="24" customHeight="1" x14ac:dyDescent="0.25">
      <c r="A2" s="135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6" ht="5.0999999999999996" customHeight="1" x14ac:dyDescent="0.25"/>
    <row r="4" spans="1:26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21.95" customHeight="1" x14ac:dyDescent="0.25">
      <c r="A5" s="2" t="s">
        <v>28</v>
      </c>
      <c r="B5" s="2" t="s">
        <v>29</v>
      </c>
      <c r="C5" s="3" t="s">
        <v>30</v>
      </c>
      <c r="D5" s="3" t="s">
        <v>31</v>
      </c>
      <c r="E5" s="3" t="s">
        <v>32</v>
      </c>
      <c r="F5" s="3">
        <v>45</v>
      </c>
      <c r="G5" s="4">
        <v>8500</v>
      </c>
      <c r="H5" s="4">
        <f t="shared" ref="H5:H11" si="0">F5*G5</f>
        <v>382500</v>
      </c>
      <c r="I5" s="3" t="s">
        <v>33</v>
      </c>
      <c r="J5" s="5">
        <v>45306</v>
      </c>
      <c r="K5" s="3" t="s">
        <v>34</v>
      </c>
      <c r="L5" s="3" t="s">
        <v>35</v>
      </c>
      <c r="M5" s="6">
        <f t="shared" ref="M5:M11" ca="1" si="1">TODAY()-J5</f>
        <v>804</v>
      </c>
      <c r="N5" s="3" t="str">
        <f t="shared" ref="N5:N11" ca="1" si="2">IF(M5&gt;270,"🟠",IF(M5&gt;180,"🟡","✅"))</f>
        <v>🟠</v>
      </c>
      <c r="O5" s="4">
        <v>12800</v>
      </c>
      <c r="P5" s="4">
        <v>0</v>
      </c>
      <c r="Q5" s="4">
        <v>640</v>
      </c>
      <c r="R5" s="3"/>
      <c r="S5" s="3"/>
      <c r="T5" s="6">
        <v>5</v>
      </c>
      <c r="U5" s="6">
        <f t="shared" ref="U5:U11" si="3">F5-T5</f>
        <v>40</v>
      </c>
      <c r="V5" s="5">
        <v>46011</v>
      </c>
      <c r="W5" s="7">
        <f t="shared" ref="W5:W11" ca="1" si="4">IF(ISBLANK(V5),"N/A",TODAY()-V5)</f>
        <v>99</v>
      </c>
      <c r="X5" s="8">
        <f t="shared" ref="X5:X11" ca="1" si="5">IF(W5="N/A",0,365/W5)</f>
        <v>3.6868686868686869</v>
      </c>
      <c r="Y5" s="3" t="s">
        <v>36</v>
      </c>
      <c r="Z5" s="3" t="str">
        <f t="shared" ref="Z5:Z11" ca="1" si="6">IF(AND(M5&gt;270,L5="Actif",D5&lt;&gt;"EC"),"⚠️ SURSTOCK",IF(AND(M5&gt;180,X5&lt;2),"⚠️ ROTATION LENTE",""))</f>
        <v>⚠️ SURSTOCK</v>
      </c>
    </row>
    <row r="6" spans="1:26" ht="21.95" customHeight="1" x14ac:dyDescent="0.25">
      <c r="A6" s="9" t="s">
        <v>37</v>
      </c>
      <c r="B6" s="9" t="s">
        <v>38</v>
      </c>
      <c r="C6" s="10" t="s">
        <v>39</v>
      </c>
      <c r="D6" s="10" t="s">
        <v>40</v>
      </c>
      <c r="E6" s="10" t="s">
        <v>41</v>
      </c>
      <c r="F6" s="10">
        <v>12</v>
      </c>
      <c r="G6" s="11">
        <v>42000</v>
      </c>
      <c r="H6" s="11">
        <f t="shared" si="0"/>
        <v>504000</v>
      </c>
      <c r="I6" s="10" t="s">
        <v>33</v>
      </c>
      <c r="J6" s="12">
        <v>45342</v>
      </c>
      <c r="K6" s="10" t="s">
        <v>42</v>
      </c>
      <c r="L6" s="10" t="s">
        <v>35</v>
      </c>
      <c r="M6" s="13">
        <f t="shared" ca="1" si="1"/>
        <v>768</v>
      </c>
      <c r="N6" s="10" t="str">
        <f t="shared" ca="1" si="2"/>
        <v>🟠</v>
      </c>
      <c r="O6" s="11">
        <v>85000</v>
      </c>
      <c r="P6" s="11">
        <v>15000</v>
      </c>
      <c r="Q6" s="11">
        <v>4250</v>
      </c>
      <c r="R6" s="10"/>
      <c r="S6" s="10"/>
      <c r="T6" s="13">
        <v>2</v>
      </c>
      <c r="U6" s="13">
        <f t="shared" si="3"/>
        <v>10</v>
      </c>
      <c r="V6" s="12">
        <v>46032</v>
      </c>
      <c r="W6" s="14">
        <f t="shared" ca="1" si="4"/>
        <v>78</v>
      </c>
      <c r="X6" s="15">
        <f t="shared" ca="1" si="5"/>
        <v>4.6794871794871797</v>
      </c>
      <c r="Y6" s="10" t="s">
        <v>36</v>
      </c>
      <c r="Z6" s="10" t="str">
        <f t="shared" ca="1" si="6"/>
        <v/>
      </c>
    </row>
    <row r="7" spans="1:26" ht="21.95" customHeight="1" x14ac:dyDescent="0.25">
      <c r="A7" s="2" t="s">
        <v>43</v>
      </c>
      <c r="B7" s="2" t="s">
        <v>44</v>
      </c>
      <c r="C7" s="3" t="s">
        <v>30</v>
      </c>
      <c r="D7" s="3" t="s">
        <v>45</v>
      </c>
      <c r="E7" s="3" t="s">
        <v>6</v>
      </c>
      <c r="F7" s="3">
        <v>8</v>
      </c>
      <c r="G7" s="4">
        <v>4200</v>
      </c>
      <c r="H7" s="4">
        <f t="shared" si="0"/>
        <v>33600</v>
      </c>
      <c r="I7" s="3" t="s">
        <v>46</v>
      </c>
      <c r="J7" s="5">
        <v>45361</v>
      </c>
      <c r="K7" s="3" t="s">
        <v>34</v>
      </c>
      <c r="L7" s="3" t="s">
        <v>35</v>
      </c>
      <c r="M7" s="6">
        <f t="shared" ca="1" si="1"/>
        <v>749</v>
      </c>
      <c r="N7" s="3" t="str">
        <f t="shared" ca="1" si="2"/>
        <v>🟠</v>
      </c>
      <c r="O7" s="4">
        <v>9800</v>
      </c>
      <c r="P7" s="4">
        <v>0</v>
      </c>
      <c r="Q7" s="4">
        <v>490</v>
      </c>
      <c r="R7" s="4">
        <v>9800</v>
      </c>
      <c r="S7" s="6">
        <v>110</v>
      </c>
      <c r="T7" s="6">
        <v>1</v>
      </c>
      <c r="U7" s="6">
        <f t="shared" si="3"/>
        <v>7</v>
      </c>
      <c r="V7" s="5">
        <v>46096</v>
      </c>
      <c r="W7" s="7">
        <f t="shared" ca="1" si="4"/>
        <v>14</v>
      </c>
      <c r="X7" s="8">
        <f t="shared" ca="1" si="5"/>
        <v>26.071428571428573</v>
      </c>
      <c r="Y7" s="3" t="str">
        <f>IF(U7=0,"🔴 RUPTURE",IF(U7&lt;(S7/365*30),"🟠 &lt;1 MOIS",IF(U7&lt;(S7/365*60),"🟡 &lt;2 MOIS","✅ OK")))</f>
        <v>🟠 &lt;1 MOIS</v>
      </c>
      <c r="Z7" s="3" t="str">
        <f t="shared" ca="1" si="6"/>
        <v>⚠️ SURSTOCK</v>
      </c>
    </row>
    <row r="8" spans="1:26" ht="21.95" customHeight="1" x14ac:dyDescent="0.25">
      <c r="A8" s="9" t="s">
        <v>47</v>
      </c>
      <c r="B8" s="9" t="s">
        <v>48</v>
      </c>
      <c r="C8" s="10" t="s">
        <v>49</v>
      </c>
      <c r="D8" s="10" t="s">
        <v>31</v>
      </c>
      <c r="E8" s="10" t="s">
        <v>50</v>
      </c>
      <c r="F8" s="10">
        <v>120</v>
      </c>
      <c r="G8" s="11">
        <v>15200</v>
      </c>
      <c r="H8" s="11">
        <f t="shared" si="0"/>
        <v>1824000</v>
      </c>
      <c r="I8" s="10" t="s">
        <v>51</v>
      </c>
      <c r="J8" s="12">
        <v>45319</v>
      </c>
      <c r="K8" s="10" t="s">
        <v>52</v>
      </c>
      <c r="L8" s="10" t="s">
        <v>35</v>
      </c>
      <c r="M8" s="13">
        <f t="shared" ca="1" si="1"/>
        <v>791</v>
      </c>
      <c r="N8" s="10" t="str">
        <f t="shared" ca="1" si="2"/>
        <v>🟠</v>
      </c>
      <c r="O8" s="11">
        <v>28500</v>
      </c>
      <c r="P8" s="11">
        <v>2500</v>
      </c>
      <c r="Q8" s="11">
        <v>1425</v>
      </c>
      <c r="R8" s="10"/>
      <c r="S8" s="10"/>
      <c r="T8" s="13">
        <v>10</v>
      </c>
      <c r="U8" s="13">
        <f t="shared" si="3"/>
        <v>110</v>
      </c>
      <c r="V8" s="12">
        <v>46058</v>
      </c>
      <c r="W8" s="14">
        <f t="shared" ca="1" si="4"/>
        <v>52</v>
      </c>
      <c r="X8" s="15">
        <f t="shared" ca="1" si="5"/>
        <v>7.0192307692307692</v>
      </c>
      <c r="Y8" s="10" t="s">
        <v>36</v>
      </c>
      <c r="Z8" s="10" t="str">
        <f t="shared" ca="1" si="6"/>
        <v>⚠️ SURSTOCK</v>
      </c>
    </row>
    <row r="9" spans="1:26" ht="21.95" customHeight="1" x14ac:dyDescent="0.25">
      <c r="A9" s="2" t="s">
        <v>53</v>
      </c>
      <c r="B9" s="2" t="s">
        <v>54</v>
      </c>
      <c r="C9" s="3" t="s">
        <v>39</v>
      </c>
      <c r="D9" s="3" t="s">
        <v>45</v>
      </c>
      <c r="E9" s="3" t="s">
        <v>6</v>
      </c>
      <c r="F9" s="3">
        <v>5</v>
      </c>
      <c r="G9" s="4">
        <v>18500</v>
      </c>
      <c r="H9" s="4">
        <f t="shared" si="0"/>
        <v>92500</v>
      </c>
      <c r="I9" s="3" t="s">
        <v>46</v>
      </c>
      <c r="J9" s="5">
        <v>45387</v>
      </c>
      <c r="K9" s="3" t="s">
        <v>55</v>
      </c>
      <c r="L9" s="3" t="s">
        <v>35</v>
      </c>
      <c r="M9" s="6">
        <f t="shared" ca="1" si="1"/>
        <v>723</v>
      </c>
      <c r="N9" s="3" t="str">
        <f t="shared" ca="1" si="2"/>
        <v>🟠</v>
      </c>
      <c r="O9" s="4">
        <v>35000</v>
      </c>
      <c r="P9" s="4">
        <v>0</v>
      </c>
      <c r="Q9" s="4">
        <v>1750</v>
      </c>
      <c r="R9" s="4">
        <v>35000</v>
      </c>
      <c r="S9" s="6">
        <v>30</v>
      </c>
      <c r="T9" s="6">
        <v>0</v>
      </c>
      <c r="U9" s="6">
        <f t="shared" si="3"/>
        <v>5</v>
      </c>
      <c r="V9" s="5">
        <v>46082</v>
      </c>
      <c r="W9" s="7">
        <f t="shared" ca="1" si="4"/>
        <v>28</v>
      </c>
      <c r="X9" s="8">
        <f t="shared" ca="1" si="5"/>
        <v>13.035714285714286</v>
      </c>
      <c r="Y9" s="3" t="str">
        <f>IF(U9=0,"🔴 RUPTURE",IF(U9&lt;(S9/365*30),"🟠 &lt;1 MOIS",IF(U9&lt;(S9/365*60),"🟡 &lt;2 MOIS","✅ OK")))</f>
        <v>✅ OK</v>
      </c>
      <c r="Z9" s="3" t="str">
        <f t="shared" ca="1" si="6"/>
        <v>⚠️ SURSTOCK</v>
      </c>
    </row>
    <row r="10" spans="1:26" ht="21.95" customHeight="1" x14ac:dyDescent="0.25">
      <c r="A10" s="9" t="s">
        <v>56</v>
      </c>
      <c r="B10" s="9" t="s">
        <v>57</v>
      </c>
      <c r="C10" s="10" t="s">
        <v>58</v>
      </c>
      <c r="D10" s="10" t="s">
        <v>40</v>
      </c>
      <c r="E10" s="10" t="s">
        <v>59</v>
      </c>
      <c r="F10" s="10">
        <v>200</v>
      </c>
      <c r="G10" s="11">
        <v>1850</v>
      </c>
      <c r="H10" s="11">
        <f t="shared" si="0"/>
        <v>370000</v>
      </c>
      <c r="I10" s="10" t="s">
        <v>33</v>
      </c>
      <c r="J10" s="12">
        <v>45373</v>
      </c>
      <c r="K10" s="10" t="s">
        <v>60</v>
      </c>
      <c r="L10" s="10" t="s">
        <v>35</v>
      </c>
      <c r="M10" s="13">
        <f t="shared" ca="1" si="1"/>
        <v>737</v>
      </c>
      <c r="N10" s="10" t="str">
        <f t="shared" ca="1" si="2"/>
        <v>🟠</v>
      </c>
      <c r="O10" s="11">
        <v>1600</v>
      </c>
      <c r="P10" s="11">
        <v>200</v>
      </c>
      <c r="Q10" s="11">
        <v>80</v>
      </c>
      <c r="R10" s="10"/>
      <c r="S10" s="10"/>
      <c r="T10" s="13">
        <v>50</v>
      </c>
      <c r="U10" s="13">
        <f t="shared" si="3"/>
        <v>150</v>
      </c>
      <c r="V10" s="12">
        <v>46091</v>
      </c>
      <c r="W10" s="14">
        <f t="shared" ca="1" si="4"/>
        <v>19</v>
      </c>
      <c r="X10" s="15">
        <f t="shared" ca="1" si="5"/>
        <v>19.210526315789473</v>
      </c>
      <c r="Y10" s="10" t="s">
        <v>36</v>
      </c>
      <c r="Z10" s="10" t="str">
        <f t="shared" ca="1" si="6"/>
        <v/>
      </c>
    </row>
    <row r="11" spans="1:26" ht="21.95" customHeight="1" x14ac:dyDescent="0.25">
      <c r="A11" s="2" t="s">
        <v>61</v>
      </c>
      <c r="B11" s="2" t="s">
        <v>62</v>
      </c>
      <c r="C11" s="3" t="s">
        <v>49</v>
      </c>
      <c r="D11" s="3" t="s">
        <v>45</v>
      </c>
      <c r="E11" s="3" t="s">
        <v>6</v>
      </c>
      <c r="F11" s="3">
        <v>3</v>
      </c>
      <c r="G11" s="4">
        <v>125000</v>
      </c>
      <c r="H11" s="4">
        <f t="shared" si="0"/>
        <v>375000</v>
      </c>
      <c r="I11" s="3" t="s">
        <v>46</v>
      </c>
      <c r="J11" s="5">
        <v>45336</v>
      </c>
      <c r="K11" s="3" t="s">
        <v>52</v>
      </c>
      <c r="L11" s="3" t="s">
        <v>35</v>
      </c>
      <c r="M11" s="6">
        <f t="shared" ca="1" si="1"/>
        <v>774</v>
      </c>
      <c r="N11" s="3" t="str">
        <f t="shared" ca="1" si="2"/>
        <v>🟠</v>
      </c>
      <c r="O11" s="4">
        <v>280000</v>
      </c>
      <c r="P11" s="4">
        <v>0</v>
      </c>
      <c r="Q11" s="4">
        <v>14000</v>
      </c>
      <c r="R11" s="4">
        <v>280000</v>
      </c>
      <c r="S11" s="6">
        <v>6</v>
      </c>
      <c r="T11" s="6">
        <v>1</v>
      </c>
      <c r="U11" s="6">
        <f t="shared" si="3"/>
        <v>2</v>
      </c>
      <c r="V11" s="5">
        <v>45976</v>
      </c>
      <c r="W11" s="7">
        <f t="shared" ca="1" si="4"/>
        <v>134</v>
      </c>
      <c r="X11" s="8">
        <f t="shared" ca="1" si="5"/>
        <v>2.7238805970149254</v>
      </c>
      <c r="Y11" s="3" t="str">
        <f>IF(U11=0,"🔴 RUPTURE",IF(U11&lt;(S11/365*30),"🟠 &lt;1 MOIS",IF(U11&lt;(S11/365*60),"🟡 &lt;2 MOIS","✅ OK")))</f>
        <v>✅ OK</v>
      </c>
      <c r="Z11" s="3" t="str">
        <f t="shared" ca="1" si="6"/>
        <v>⚠️ SURSTOCK</v>
      </c>
    </row>
    <row r="12" spans="1:26" ht="27.95" customHeight="1" x14ac:dyDescent="0.25">
      <c r="A12" s="16" t="s">
        <v>63</v>
      </c>
      <c r="B12" s="17" t="s">
        <v>64</v>
      </c>
      <c r="C12" s="18"/>
      <c r="D12" s="18"/>
      <c r="E12" s="18"/>
      <c r="F12" s="18"/>
      <c r="G12" s="18"/>
      <c r="H12" s="19">
        <f>SUM(H5:H11)</f>
        <v>3581600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" customHeight="1" thickTop="1" x14ac:dyDescent="0.25"/>
    <row r="14" spans="1:26" ht="30" customHeight="1" thickBot="1" x14ac:dyDescent="0.3">
      <c r="A14" s="144" t="s">
        <v>65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spans="1:26" ht="26.1" customHeight="1" x14ac:dyDescent="0.25">
      <c r="A15" s="149" t="s">
        <v>66</v>
      </c>
      <c r="B15" s="150"/>
      <c r="C15" s="109">
        <f>H12</f>
        <v>3581600</v>
      </c>
    </row>
    <row r="16" spans="1:26" ht="26.1" customHeight="1" x14ac:dyDescent="0.25">
      <c r="A16" s="147" t="s">
        <v>67</v>
      </c>
      <c r="B16" s="148"/>
      <c r="C16" s="110">
        <f>SUMIF(D5:D11,"MP",H5:H11)</f>
        <v>2206500</v>
      </c>
    </row>
    <row r="17" spans="1:3" ht="26.1" customHeight="1" x14ac:dyDescent="0.25">
      <c r="A17" s="147" t="s">
        <v>68</v>
      </c>
      <c r="B17" s="148"/>
      <c r="C17" s="111">
        <f>SUMIF(D5:D11,"EC",H5:H11)</f>
        <v>874000</v>
      </c>
    </row>
    <row r="18" spans="1:3" ht="26.1" customHeight="1" x14ac:dyDescent="0.25">
      <c r="A18" s="147" t="s">
        <v>69</v>
      </c>
      <c r="B18" s="148"/>
      <c r="C18" s="112">
        <f>SUMIF(D5:D11,"PF",H5:H11)</f>
        <v>501100</v>
      </c>
    </row>
    <row r="19" spans="1:3" ht="26.1" customHeight="1" x14ac:dyDescent="0.25">
      <c r="A19" s="147" t="s">
        <v>70</v>
      </c>
      <c r="B19" s="148"/>
      <c r="C19" s="111">
        <f ca="1">SUMIFS(H5:H11,M5:M11,"&gt;180")</f>
        <v>3581600</v>
      </c>
    </row>
    <row r="20" spans="1:3" ht="26.1" customHeight="1" x14ac:dyDescent="0.25">
      <c r="A20" s="147" t="s">
        <v>71</v>
      </c>
      <c r="B20" s="148"/>
      <c r="C20" s="113">
        <f ca="1">AVERAGE(M5:M11)</f>
        <v>763.71428571428567</v>
      </c>
    </row>
    <row r="21" spans="1:3" ht="26.1" customHeight="1" x14ac:dyDescent="0.25">
      <c r="A21" s="147" t="s">
        <v>72</v>
      </c>
      <c r="B21" s="148"/>
      <c r="C21" s="113">
        <f>H12/7</f>
        <v>511657.14285714284</v>
      </c>
    </row>
    <row r="22" spans="1:3" ht="26.1" customHeight="1" x14ac:dyDescent="0.25">
      <c r="A22" s="147" t="s">
        <v>73</v>
      </c>
      <c r="B22" s="148"/>
      <c r="C22" s="114">
        <f ca="1">AVERAGE(X5:X11)</f>
        <v>10.918162343647699</v>
      </c>
    </row>
    <row r="23" spans="1:3" ht="26.1" customHeight="1" x14ac:dyDescent="0.25">
      <c r="A23" s="147" t="s">
        <v>74</v>
      </c>
      <c r="B23" s="148"/>
      <c r="C23" s="113">
        <f ca="1">COUNTIF(Z5:Z11,"⚠️*")</f>
        <v>5</v>
      </c>
    </row>
    <row r="24" spans="1:3" ht="26.1" customHeight="1" thickBot="1" x14ac:dyDescent="0.3">
      <c r="A24" s="145" t="s">
        <v>75</v>
      </c>
      <c r="B24" s="146"/>
      <c r="C24" s="115">
        <f>SUM(U5:U11)</f>
        <v>324</v>
      </c>
    </row>
  </sheetData>
  <autoFilter ref="A4:Z4" xr:uid="{00000000-0001-0000-0000-000000000000}"/>
  <mergeCells count="13">
    <mergeCell ref="A1:Z1"/>
    <mergeCell ref="A14:Z14"/>
    <mergeCell ref="A2:Z2"/>
    <mergeCell ref="A24:B24"/>
    <mergeCell ref="A23:B23"/>
    <mergeCell ref="A22:B22"/>
    <mergeCell ref="A21:B21"/>
    <mergeCell ref="A20:B20"/>
    <mergeCell ref="A19:B19"/>
    <mergeCell ref="A18:B18"/>
    <mergeCell ref="A17:B17"/>
    <mergeCell ref="A16:B16"/>
    <mergeCell ref="A15:B15"/>
  </mergeCells>
  <conditionalFormatting sqref="U5:U11">
    <cfRule type="cellIs" dxfId="2" priority="1" operator="lessThan">
      <formula>10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F27"/>
  <sheetViews>
    <sheetView showGridLines="0" topLeftCell="A9" workbookViewId="0">
      <selection activeCell="D6" sqref="D6"/>
    </sheetView>
  </sheetViews>
  <sheetFormatPr baseColWidth="10" defaultColWidth="9.140625" defaultRowHeight="15" x14ac:dyDescent="0.25"/>
  <cols>
    <col min="1" max="1" width="18" customWidth="1"/>
    <col min="2" max="2" width="38" customWidth="1"/>
    <col min="3" max="3" width="16" customWidth="1"/>
    <col min="4" max="4" width="12" customWidth="1"/>
    <col min="5" max="6" width="14" customWidth="1"/>
  </cols>
  <sheetData>
    <row r="1" spans="1:6" ht="42" customHeight="1" x14ac:dyDescent="0.25">
      <c r="A1" s="132" t="s">
        <v>105</v>
      </c>
      <c r="B1" s="133"/>
      <c r="C1" s="133"/>
      <c r="D1" s="133"/>
      <c r="E1" s="133"/>
      <c r="F1" s="133"/>
    </row>
    <row r="2" spans="1:6" ht="24" customHeight="1" x14ac:dyDescent="0.25">
      <c r="A2" s="135" t="s">
        <v>106</v>
      </c>
      <c r="B2" s="133"/>
      <c r="C2" s="133"/>
      <c r="D2" s="133"/>
      <c r="E2" s="133"/>
      <c r="F2" s="133"/>
    </row>
    <row r="3" spans="1:6" ht="9.9499999999999993" customHeight="1" x14ac:dyDescent="0.25"/>
    <row r="4" spans="1:6" ht="27.95" customHeight="1" x14ac:dyDescent="0.25">
      <c r="A4" s="134" t="s">
        <v>107</v>
      </c>
      <c r="B4" s="133"/>
      <c r="C4" s="133"/>
      <c r="D4" s="133"/>
      <c r="E4" s="133"/>
      <c r="F4" s="133"/>
    </row>
    <row r="5" spans="1:6" ht="24" customHeight="1" x14ac:dyDescent="0.25">
      <c r="A5" s="20" t="s">
        <v>108</v>
      </c>
      <c r="B5" s="20" t="s">
        <v>109</v>
      </c>
      <c r="C5" s="20" t="s">
        <v>110</v>
      </c>
      <c r="D5" s="20" t="s">
        <v>80</v>
      </c>
      <c r="E5" s="20" t="s">
        <v>111</v>
      </c>
    </row>
    <row r="6" spans="1:6" ht="32.1" customHeight="1" x14ac:dyDescent="0.25">
      <c r="A6" s="34" t="s">
        <v>112</v>
      </c>
      <c r="B6" s="35">
        <f>SUMPRODUCT(LARGE(Inventaire!H5:H11,{1;2;3}))/Inventaire!H12</f>
        <v>0.75678467723922271</v>
      </c>
      <c r="C6" s="36" t="s">
        <v>113</v>
      </c>
      <c r="D6" s="37">
        <f>SUMPRODUCT(LARGE(Inventaire!H5:H11,{1;2;3}))</f>
        <v>2710500</v>
      </c>
      <c r="E6" s="38" t="s">
        <v>114</v>
      </c>
    </row>
    <row r="7" spans="1:6" ht="32.1" customHeight="1" x14ac:dyDescent="0.25">
      <c r="A7" s="39" t="s">
        <v>115</v>
      </c>
      <c r="B7" s="40">
        <f ca="1">COUNTIFS(Inventaire!M5:M11,"&gt;365")/COUNTA(Inventaire!A5:A11)</f>
        <v>1</v>
      </c>
      <c r="C7" s="41" t="s">
        <v>116</v>
      </c>
      <c r="D7" s="42">
        <f ca="1">SUMIFS(Inventaire!H5:H11,Inventaire!M5:M11,"&gt;365")</f>
        <v>3581600</v>
      </c>
      <c r="E7" s="43" t="s">
        <v>117</v>
      </c>
    </row>
    <row r="8" spans="1:6" ht="32.1" customHeight="1" x14ac:dyDescent="0.25">
      <c r="A8" s="44" t="s">
        <v>118</v>
      </c>
      <c r="B8" s="45">
        <f>COUNTIF(Test_NRV_IAS2!I5:I11,"&gt;0")/7</f>
        <v>0.14285714285714285</v>
      </c>
      <c r="C8" s="46" t="s">
        <v>119</v>
      </c>
      <c r="D8" s="47">
        <f>Test_NRV_IAS2!J12</f>
        <v>106000</v>
      </c>
      <c r="E8" s="48" t="s">
        <v>120</v>
      </c>
    </row>
    <row r="9" spans="1:6" ht="32.1" customHeight="1" x14ac:dyDescent="0.25">
      <c r="A9" s="49" t="s">
        <v>121</v>
      </c>
      <c r="B9" s="50">
        <f ca="1">AVERAGE(Inventaire!M5:M11)/365</f>
        <v>2.0923679060665359</v>
      </c>
      <c r="C9" s="51" t="s">
        <v>122</v>
      </c>
      <c r="D9" s="52" t="s">
        <v>123</v>
      </c>
      <c r="E9" s="53" t="s">
        <v>124</v>
      </c>
    </row>
    <row r="10" spans="1:6" ht="32.1" customHeight="1" x14ac:dyDescent="0.25">
      <c r="A10" s="49" t="s">
        <v>125</v>
      </c>
      <c r="B10" s="50">
        <f>COUNTIF(Inventaire!F5:F11,0)/7</f>
        <v>0</v>
      </c>
      <c r="C10" s="51" t="s">
        <v>126</v>
      </c>
      <c r="D10" s="54">
        <f>SUMIF(Inventaire!F5:F11,0,Inventaire!H5:H11)</f>
        <v>0</v>
      </c>
      <c r="E10" s="53" t="s">
        <v>124</v>
      </c>
    </row>
    <row r="11" spans="1:6" ht="12" customHeight="1" x14ac:dyDescent="0.25"/>
    <row r="12" spans="1:6" ht="27.95" customHeight="1" x14ac:dyDescent="0.25">
      <c r="A12" s="134" t="s">
        <v>127</v>
      </c>
      <c r="B12" s="133"/>
      <c r="C12" s="133"/>
      <c r="D12" s="133"/>
      <c r="E12" s="133"/>
      <c r="F12" s="133"/>
    </row>
    <row r="13" spans="1:6" ht="24" customHeight="1" x14ac:dyDescent="0.25">
      <c r="A13" s="20" t="s">
        <v>128</v>
      </c>
      <c r="B13" s="20" t="s">
        <v>3</v>
      </c>
      <c r="C13" s="20" t="s">
        <v>80</v>
      </c>
      <c r="D13" s="20" t="s">
        <v>92</v>
      </c>
      <c r="E13" s="20" t="s">
        <v>129</v>
      </c>
    </row>
    <row r="14" spans="1:6" ht="24" customHeight="1" x14ac:dyDescent="0.25">
      <c r="A14" s="55">
        <v>1</v>
      </c>
      <c r="B14" s="2" t="str">
        <f>INDEX(Inventaire!B5:B11,MATCH(LARGE(Inventaire!H5:H11,1),Inventaire!H5:H11,0))</f>
        <v>Diamants VVS1 D-Color (1ct)</v>
      </c>
      <c r="C14" s="56">
        <f>LARGE(Inventaire!H5:H11,1)</f>
        <v>1824000</v>
      </c>
      <c r="D14" s="57">
        <f>C14/Inventaire!$H$12</f>
        <v>0.50926960017869105</v>
      </c>
      <c r="E14" s="58">
        <f>SUM($D$14:D14)</f>
        <v>0.50926960017869105</v>
      </c>
    </row>
    <row r="15" spans="1:6" ht="24" customHeight="1" x14ac:dyDescent="0.25">
      <c r="A15" s="23">
        <v>2</v>
      </c>
      <c r="B15" s="9" t="str">
        <f>INDEX(Inventaire!B5:B11,MATCH(LARGE(Inventaire!H5:H11,2),Inventaire!H5:H11,0))</f>
        <v>Mouvement Tourbillon Cal.3135</v>
      </c>
      <c r="C15" s="59">
        <f>LARGE(Inventaire!H5:H11,2)</f>
        <v>504000</v>
      </c>
      <c r="D15" s="60">
        <f>C15/Inventaire!$H$12</f>
        <v>0.14071923162832253</v>
      </c>
      <c r="E15" s="61">
        <f>SUM($D$14:D15)</f>
        <v>0.64998883180701361</v>
      </c>
    </row>
    <row r="16" spans="1:6" ht="24" customHeight="1" x14ac:dyDescent="0.25">
      <c r="A16" s="55">
        <v>3</v>
      </c>
      <c r="B16" s="2" t="str">
        <f>INDEX(Inventaire!B5:B11,MATCH(LARGE(Inventaire!H5:H11,3),Inventaire!H5:H11,0))</f>
        <v>Cuir Crocodile Himalaya</v>
      </c>
      <c r="C16" s="56">
        <f>LARGE(Inventaire!H5:H11,3)</f>
        <v>382500</v>
      </c>
      <c r="D16" s="57">
        <f>C16/Inventaire!$H$12</f>
        <v>0.10679584543220907</v>
      </c>
      <c r="E16" s="58">
        <f>SUM($D$14:D16)</f>
        <v>0.75678467723922271</v>
      </c>
    </row>
    <row r="17" spans="1:6" ht="24" customHeight="1" x14ac:dyDescent="0.25">
      <c r="A17" s="23">
        <v>4</v>
      </c>
      <c r="B17" s="9" t="str">
        <f>INDEX(Inventaire!B5:B11,MATCH(LARGE(Inventaire!H5:H11,4),Inventaire!H5:H11,0))</f>
        <v>Collier Haute Joaillerie Panthère</v>
      </c>
      <c r="C17" s="59">
        <f>LARGE(Inventaire!H5:H11,4)</f>
        <v>375000</v>
      </c>
      <c r="D17" s="60">
        <f>C17/Inventaire!$H$12</f>
        <v>0.1047018092472638</v>
      </c>
      <c r="E17" s="61">
        <f>SUM($D$14:D17)</f>
        <v>0.86148648648648651</v>
      </c>
    </row>
    <row r="18" spans="1:6" ht="24" customHeight="1" x14ac:dyDescent="0.25">
      <c r="A18" s="55">
        <v>5</v>
      </c>
      <c r="B18" s="2" t="str">
        <f>INDEX(Inventaire!B5:B11,MATCH(LARGE(Inventaire!H5:H11,5),Inventaire!H5:H11,0))</f>
        <v>Tissu Tweed Haute Couture</v>
      </c>
      <c r="C18" s="56">
        <f>LARGE(Inventaire!H5:H11,5)</f>
        <v>370000</v>
      </c>
      <c r="D18" s="57">
        <f>C18/Inventaire!$H$12</f>
        <v>0.10330578512396695</v>
      </c>
      <c r="E18" s="58">
        <f>SUM($D$14:D18)</f>
        <v>0.96479227161045344</v>
      </c>
    </row>
    <row r="19" spans="1:6" ht="12" customHeight="1" x14ac:dyDescent="0.25"/>
    <row r="20" spans="1:6" ht="27.95" customHeight="1" x14ac:dyDescent="0.25">
      <c r="A20" s="134" t="s">
        <v>130</v>
      </c>
      <c r="B20" s="133"/>
      <c r="C20" s="133"/>
      <c r="D20" s="133"/>
      <c r="E20" s="133"/>
      <c r="F20" s="133"/>
    </row>
    <row r="21" spans="1:6" ht="24" customHeight="1" x14ac:dyDescent="0.25">
      <c r="A21" s="20" t="s">
        <v>131</v>
      </c>
      <c r="B21" s="20" t="s">
        <v>132</v>
      </c>
      <c r="C21" s="20" t="s">
        <v>80</v>
      </c>
      <c r="D21" s="20" t="s">
        <v>92</v>
      </c>
      <c r="E21" s="20" t="s">
        <v>133</v>
      </c>
      <c r="F21" s="20" t="s">
        <v>111</v>
      </c>
    </row>
    <row r="22" spans="1:6" ht="24" customHeight="1" x14ac:dyDescent="0.25">
      <c r="A22" s="53" t="s">
        <v>134</v>
      </c>
      <c r="B22" s="62">
        <f ca="1">COUNTIFS(Inventaire!M5:M11,"&lt;=90")</f>
        <v>0</v>
      </c>
      <c r="C22" s="63">
        <f ca="1">SUMIFS(Inventaire!H5:H11,Inventaire!M5:M11,"&lt;=90")</f>
        <v>0</v>
      </c>
      <c r="D22" s="64">
        <f ca="1">C22/Inventaire!$H$12</f>
        <v>0</v>
      </c>
      <c r="E22" s="65">
        <f ca="1">C22*0</f>
        <v>0</v>
      </c>
      <c r="F22" s="66" t="s">
        <v>135</v>
      </c>
    </row>
    <row r="23" spans="1:6" ht="24" customHeight="1" x14ac:dyDescent="0.25">
      <c r="A23" s="53" t="s">
        <v>136</v>
      </c>
      <c r="B23" s="62">
        <f ca="1">COUNTIFS(Inventaire!M5:M11,"&gt;90",Inventaire!M5:M11,"&lt;=180")</f>
        <v>0</v>
      </c>
      <c r="C23" s="63">
        <f ca="1">SUMIFS(Inventaire!H5:H11,Inventaire!M5:M11,"&gt;90",Inventaire!M5:M11,"&lt;=180")</f>
        <v>0</v>
      </c>
      <c r="D23" s="64">
        <f ca="1">C23/Inventaire!$H$12</f>
        <v>0</v>
      </c>
      <c r="E23" s="65">
        <f ca="1">C23*0</f>
        <v>0</v>
      </c>
      <c r="F23" s="66" t="s">
        <v>135</v>
      </c>
    </row>
    <row r="24" spans="1:6" ht="24" customHeight="1" x14ac:dyDescent="0.25">
      <c r="A24" s="48" t="s">
        <v>137</v>
      </c>
      <c r="B24" s="67">
        <f ca="1">COUNTIFS(Inventaire!M5:M11,"&gt;180",Inventaire!M5:M11,"&lt;=270")</f>
        <v>0</v>
      </c>
      <c r="C24" s="56">
        <f ca="1">SUMIFS(Inventaire!H5:H11,Inventaire!M5:M11,"&gt;180",Inventaire!M5:M11,"&lt;=270")</f>
        <v>0</v>
      </c>
      <c r="D24" s="57">
        <f ca="1">C24/Inventaire!$H$12</f>
        <v>0</v>
      </c>
      <c r="E24" s="68">
        <f ca="1">C24*0.2</f>
        <v>0</v>
      </c>
      <c r="F24" s="69" t="s">
        <v>120</v>
      </c>
    </row>
    <row r="25" spans="1:6" ht="24" customHeight="1" x14ac:dyDescent="0.25">
      <c r="A25" s="43" t="s">
        <v>138</v>
      </c>
      <c r="B25" s="70">
        <f ca="1">COUNTIFS(Inventaire!M5:M11,"&gt;270",Inventaire!M5:M11,"&lt;=365")</f>
        <v>0</v>
      </c>
      <c r="C25" s="71">
        <f ca="1">SUMIFS(Inventaire!H5:H11,Inventaire!M5:M11,"&gt;270",Inventaire!M5:M11,"&lt;=365")</f>
        <v>0</v>
      </c>
      <c r="D25" s="72">
        <f ca="1">C25/Inventaire!$H$12</f>
        <v>0</v>
      </c>
      <c r="E25" s="73">
        <f ca="1">C25*0.4</f>
        <v>0</v>
      </c>
      <c r="F25" s="74" t="s">
        <v>139</v>
      </c>
    </row>
    <row r="26" spans="1:6" ht="24" customHeight="1" x14ac:dyDescent="0.25">
      <c r="A26" s="38" t="s">
        <v>140</v>
      </c>
      <c r="B26" s="75">
        <f ca="1">COUNTIFS(Inventaire!M5:M11,"&gt;365",Inventaire!M5:M11,"&gt;365")</f>
        <v>7</v>
      </c>
      <c r="C26" s="76">
        <f ca="1">SUMIFS(Inventaire!H5:H11,Inventaire!M5:M11,"&gt;365",Inventaire!M5:M11,"&gt;365")</f>
        <v>3581600</v>
      </c>
      <c r="D26" s="77">
        <f ca="1">C26/Inventaire!$H$12</f>
        <v>1</v>
      </c>
      <c r="E26" s="78">
        <f ca="1">C26*0.6</f>
        <v>2148960</v>
      </c>
      <c r="F26" s="79" t="s">
        <v>141</v>
      </c>
    </row>
    <row r="27" spans="1:6" ht="26.1" customHeight="1" x14ac:dyDescent="0.25">
      <c r="A27" s="30" t="s">
        <v>63</v>
      </c>
      <c r="B27" s="33">
        <f ca="1">SUM(B22:B26)</f>
        <v>7</v>
      </c>
      <c r="C27" s="31">
        <f ca="1">SUM(C22:C26)</f>
        <v>3581600</v>
      </c>
      <c r="D27" s="32">
        <f ca="1">SUM(D22:D26)</f>
        <v>1</v>
      </c>
      <c r="E27" s="80">
        <f ca="1">SUM(E22:E26)</f>
        <v>2148960</v>
      </c>
      <c r="F27" s="18"/>
    </row>
  </sheetData>
  <mergeCells count="5">
    <mergeCell ref="A2:F2"/>
    <mergeCell ref="A1:F1"/>
    <mergeCell ref="A12:F12"/>
    <mergeCell ref="A4:F4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26"/>
  <sheetViews>
    <sheetView showGridLines="0" workbookViewId="0">
      <selection activeCell="E22" sqref="E22"/>
    </sheetView>
  </sheetViews>
  <sheetFormatPr baseColWidth="10" defaultColWidth="9.140625" defaultRowHeight="15" x14ac:dyDescent="0.25"/>
  <cols>
    <col min="1" max="1" width="32" customWidth="1"/>
    <col min="2" max="4" width="20" customWidth="1"/>
    <col min="5" max="5" width="8.140625" bestFit="1" customWidth="1"/>
    <col min="6" max="6" width="12.7109375" bestFit="1" customWidth="1"/>
    <col min="7" max="7" width="18" customWidth="1"/>
  </cols>
  <sheetData>
    <row r="1" spans="1:4" ht="42" customHeight="1" x14ac:dyDescent="0.25">
      <c r="A1" s="132" t="s">
        <v>142</v>
      </c>
      <c r="B1" s="133"/>
      <c r="C1" s="133"/>
      <c r="D1" s="133"/>
    </row>
    <row r="2" spans="1:4" ht="24" customHeight="1" x14ac:dyDescent="0.25">
      <c r="A2" s="135" t="s">
        <v>143</v>
      </c>
      <c r="B2" s="133"/>
      <c r="C2" s="133"/>
      <c r="D2" s="133"/>
    </row>
    <row r="3" spans="1:4" ht="9.9499999999999993" customHeight="1" x14ac:dyDescent="0.25"/>
    <row r="4" spans="1:4" x14ac:dyDescent="0.25">
      <c r="A4" s="20" t="s">
        <v>5</v>
      </c>
      <c r="B4" s="20" t="s">
        <v>144</v>
      </c>
      <c r="C4" s="20" t="s">
        <v>145</v>
      </c>
      <c r="D4" s="20" t="s">
        <v>146</v>
      </c>
    </row>
    <row r="5" spans="1:4" ht="24" customHeight="1" x14ac:dyDescent="0.25">
      <c r="A5" s="3" t="s">
        <v>147</v>
      </c>
      <c r="B5" s="27">
        <f>SUMIF(Inventaire!D5:D11,"MP",Inventaire!H5:H11)</f>
        <v>2206500</v>
      </c>
      <c r="C5" s="28">
        <f>B5/Inventaire!$H$12</f>
        <v>0.61606544561090015</v>
      </c>
      <c r="D5" s="6">
        <f>COUNTIF(Inventaire!D5:D11,"MP")</f>
        <v>2</v>
      </c>
    </row>
    <row r="6" spans="1:4" ht="24" customHeight="1" x14ac:dyDescent="0.25">
      <c r="A6" s="10" t="s">
        <v>148</v>
      </c>
      <c r="B6" s="29">
        <f>SUMIF(Inventaire!D5:D11,"EC",Inventaire!H5:H11)</f>
        <v>874000</v>
      </c>
      <c r="C6" s="24">
        <f>B6/Inventaire!$H$12</f>
        <v>0.24402501675228949</v>
      </c>
      <c r="D6" s="13">
        <f>COUNTIF(Inventaire!D5:D11,"EC")</f>
        <v>2</v>
      </c>
    </row>
    <row r="7" spans="1:4" ht="24" customHeight="1" x14ac:dyDescent="0.25">
      <c r="A7" s="3" t="s">
        <v>149</v>
      </c>
      <c r="B7" s="27">
        <f>SUMIF(Inventaire!D5:D11,"PF",Inventaire!H5:H11)</f>
        <v>501100</v>
      </c>
      <c r="C7" s="28">
        <f>B7/Inventaire!$H$12</f>
        <v>0.13990953763681035</v>
      </c>
      <c r="D7" s="6">
        <f>COUNTIF(Inventaire!D5:D11,"PF")</f>
        <v>3</v>
      </c>
    </row>
    <row r="8" spans="1:4" ht="26.1" customHeight="1" x14ac:dyDescent="0.25">
      <c r="A8" s="30" t="s">
        <v>150</v>
      </c>
      <c r="B8" s="31">
        <f>Inventaire!H12</f>
        <v>3581600</v>
      </c>
      <c r="C8" s="32">
        <v>1</v>
      </c>
      <c r="D8" s="33">
        <v>7</v>
      </c>
    </row>
    <row r="9" spans="1:4" ht="12" customHeight="1" x14ac:dyDescent="0.25"/>
    <row r="10" spans="1:4" ht="27.95" customHeight="1" x14ac:dyDescent="0.25">
      <c r="A10" s="134" t="s">
        <v>151</v>
      </c>
      <c r="B10" s="133"/>
      <c r="C10" s="133"/>
      <c r="D10" s="133"/>
    </row>
    <row r="11" spans="1:4" x14ac:dyDescent="0.25">
      <c r="A11" s="20" t="s">
        <v>4</v>
      </c>
      <c r="B11" s="20" t="s">
        <v>144</v>
      </c>
      <c r="C11" s="20" t="s">
        <v>145</v>
      </c>
      <c r="D11" s="20" t="s">
        <v>146</v>
      </c>
    </row>
    <row r="12" spans="1:4" ht="24" customHeight="1" x14ac:dyDescent="0.25">
      <c r="A12" s="3" t="s">
        <v>30</v>
      </c>
      <c r="B12" s="27">
        <f>SUMIF(Inventaire!C5:C11,"Hermès",Inventaire!H5:H11)</f>
        <v>416100</v>
      </c>
      <c r="C12" s="28">
        <f>B12/Inventaire!$H$12</f>
        <v>0.11617712754076391</v>
      </c>
      <c r="D12" s="6">
        <f>COUNTIF(Inventaire!C5:C11,"Hermès")</f>
        <v>2</v>
      </c>
    </row>
    <row r="13" spans="1:4" ht="24" customHeight="1" x14ac:dyDescent="0.25">
      <c r="A13" s="10" t="s">
        <v>39</v>
      </c>
      <c r="B13" s="29">
        <f>SUMIF(Inventaire!C5:C11,"Patek Philippe",Inventaire!H5:H11)</f>
        <v>596500</v>
      </c>
      <c r="C13" s="24">
        <f>B13/Inventaire!$H$12</f>
        <v>0.16654567790931427</v>
      </c>
      <c r="D13" s="13">
        <f>COUNTIF(Inventaire!C5:C11,"Patek Philippe")</f>
        <v>2</v>
      </c>
    </row>
    <row r="14" spans="1:4" ht="24" customHeight="1" x14ac:dyDescent="0.25">
      <c r="A14" s="3" t="s">
        <v>49</v>
      </c>
      <c r="B14" s="27">
        <f>SUMIF(Inventaire!C5:C11,"Cartier",Inventaire!H5:H11)</f>
        <v>2199000</v>
      </c>
      <c r="C14" s="28">
        <f>B14/Inventaire!$H$12</f>
        <v>0.61397140942595485</v>
      </c>
      <c r="D14" s="6">
        <f>COUNTIF(Inventaire!C5:C11,"Cartier")</f>
        <v>2</v>
      </c>
    </row>
    <row r="15" spans="1:4" ht="24" customHeight="1" x14ac:dyDescent="0.25">
      <c r="A15" s="10" t="s">
        <v>58</v>
      </c>
      <c r="B15" s="29">
        <f>SUMIF(Inventaire!C5:C11,"Chanel",Inventaire!H5:H11)</f>
        <v>370000</v>
      </c>
      <c r="C15" s="24">
        <f>B15/Inventaire!$H$12</f>
        <v>0.10330578512396695</v>
      </c>
      <c r="D15" s="13">
        <f>COUNTIF(Inventaire!C5:C11,"Chanel")</f>
        <v>1</v>
      </c>
    </row>
    <row r="16" spans="1:4" ht="26.1" customHeight="1" x14ac:dyDescent="0.25">
      <c r="A16" s="30" t="s">
        <v>150</v>
      </c>
      <c r="B16" s="31">
        <f>Inventaire!H12</f>
        <v>3581600</v>
      </c>
      <c r="C16" s="32">
        <v>1</v>
      </c>
      <c r="D16" s="33">
        <v>7</v>
      </c>
    </row>
    <row r="19" spans="1:7" x14ac:dyDescent="0.25">
      <c r="A19" s="143" t="s">
        <v>180</v>
      </c>
      <c r="B19" s="143"/>
      <c r="C19" s="143"/>
      <c r="D19" s="143"/>
      <c r="E19" s="143"/>
      <c r="F19" s="143"/>
      <c r="G19" s="143"/>
    </row>
    <row r="21" spans="1:7" ht="15.75" x14ac:dyDescent="0.25">
      <c r="A21" s="136" t="s">
        <v>181</v>
      </c>
      <c r="B21" s="136"/>
      <c r="C21" s="81" t="s">
        <v>182</v>
      </c>
      <c r="D21" s="81" t="s">
        <v>99</v>
      </c>
      <c r="E21" s="81" t="s">
        <v>183</v>
      </c>
      <c r="F21" s="81" t="s">
        <v>144</v>
      </c>
      <c r="G21" s="81" t="s">
        <v>184</v>
      </c>
    </row>
    <row r="22" spans="1:7" x14ac:dyDescent="0.25">
      <c r="A22" s="141" t="s">
        <v>185</v>
      </c>
      <c r="B22" s="142"/>
      <c r="C22" s="82" t="s">
        <v>188</v>
      </c>
      <c r="D22" s="82" t="e">
        <f>COUNTIF([1]Inventaire!$H$5:$H$11,"&gt;100000")</f>
        <v>#VALUE!</v>
      </c>
      <c r="E22" s="84" t="e">
        <f>D22/7</f>
        <v>#VALUE!</v>
      </c>
      <c r="F22" s="86">
        <f>SUMIF(Inventaire!$H$5:$H$11,"&gt;100000")</f>
        <v>3455500</v>
      </c>
      <c r="G22" s="84">
        <f>IF(E$8&lt;&gt;0,F22/E$8,0)</f>
        <v>0</v>
      </c>
    </row>
    <row r="23" spans="1:7" x14ac:dyDescent="0.25">
      <c r="A23" s="139" t="s">
        <v>186</v>
      </c>
      <c r="B23" s="140"/>
      <c r="C23" s="83" t="s">
        <v>189</v>
      </c>
      <c r="D23" s="83" t="e">
        <f>COUNTIFS([1]Inventaire!$H$5:$H$11,"&gt;=30000",[1]Inventaire!$H$5:$H$11,"&lt;=100000")</f>
        <v>#VALUE!</v>
      </c>
      <c r="E23" s="85" t="e">
        <f>D23/7</f>
        <v>#VALUE!</v>
      </c>
      <c r="F23" s="87">
        <f>SUMIFS(Inventaire!$H$5:$H$11,Inventaire!H5:H11,"&gt;=30000",Inventaire!$H$5:$H$11,"&lt;=100000")</f>
        <v>126100</v>
      </c>
      <c r="G23" s="85">
        <f>IF(E$8&lt;&gt;0,(F22+F23)/E$8,0)</f>
        <v>0</v>
      </c>
    </row>
    <row r="24" spans="1:7" x14ac:dyDescent="0.25">
      <c r="A24" s="137" t="s">
        <v>187</v>
      </c>
      <c r="B24" s="138"/>
      <c r="C24" s="82" t="s">
        <v>190</v>
      </c>
      <c r="D24" s="82" t="e">
        <f>COUNTIF([1]Inventaire!$H$5:$H$11,"&lt;30000")</f>
        <v>#VALUE!</v>
      </c>
      <c r="E24" s="84" t="e">
        <f>D24/7</f>
        <v>#VALUE!</v>
      </c>
      <c r="F24" s="86">
        <f>SUMIF(Inventaire!$H$5:$H$11,"&lt;30000")</f>
        <v>0</v>
      </c>
      <c r="G24" s="84">
        <f>IF(E$8&lt;&gt;0,(F22+F23+F24)/E$8,0)</f>
        <v>0</v>
      </c>
    </row>
    <row r="25" spans="1:7" ht="15.75" thickBot="1" x14ac:dyDescent="0.3"/>
    <row r="26" spans="1:7" ht="15.75" thickBot="1" x14ac:dyDescent="0.3">
      <c r="A26" s="90" t="s">
        <v>191</v>
      </c>
      <c r="C26" t="s">
        <v>192</v>
      </c>
      <c r="F26" s="88">
        <f>SUM(F22:F24)</f>
        <v>3581600</v>
      </c>
      <c r="G26" s="89" t="str">
        <f>IF(ABS(SUM(F22:F24)-E8)&lt;1,"✅ OK","❌ Écart")</f>
        <v>❌ Écart</v>
      </c>
    </row>
  </sheetData>
  <mergeCells count="8">
    <mergeCell ref="A1:D1"/>
    <mergeCell ref="A10:D10"/>
    <mergeCell ref="A2:D2"/>
    <mergeCell ref="A21:B21"/>
    <mergeCell ref="A24:B24"/>
    <mergeCell ref="A23:B23"/>
    <mergeCell ref="A22:B22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40"/>
  <sheetViews>
    <sheetView showGridLines="0" workbookViewId="0">
      <selection sqref="A1:K1"/>
    </sheetView>
  </sheetViews>
  <sheetFormatPr baseColWidth="10" defaultColWidth="9.140625" defaultRowHeight="15" x14ac:dyDescent="0.25"/>
  <cols>
    <col min="1" max="1" width="15.140625" bestFit="1" customWidth="1"/>
    <col min="2" max="2" width="35" customWidth="1"/>
    <col min="3" max="3" width="15.140625" customWidth="1"/>
    <col min="4" max="4" width="30.42578125" customWidth="1"/>
    <col min="5" max="11" width="15" customWidth="1"/>
  </cols>
  <sheetData>
    <row r="1" spans="1:11" ht="42" customHeight="1" x14ac:dyDescent="0.25">
      <c r="A1" s="132" t="s">
        <v>152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1" ht="24" customHeight="1" x14ac:dyDescent="0.25">
      <c r="A2" s="135" t="s">
        <v>153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r="3" spans="1:11" ht="9.9499999999999993" customHeight="1" x14ac:dyDescent="0.25"/>
    <row r="4" spans="1:11" ht="32.1" customHeight="1" x14ac:dyDescent="0.25">
      <c r="A4" s="1" t="s">
        <v>2</v>
      </c>
      <c r="B4" s="1" t="s">
        <v>3</v>
      </c>
      <c r="C4" s="1" t="s">
        <v>5</v>
      </c>
      <c r="D4" s="1" t="s">
        <v>154</v>
      </c>
      <c r="E4" s="1" t="s">
        <v>16</v>
      </c>
      <c r="F4" s="1" t="s">
        <v>155</v>
      </c>
      <c r="G4" s="1" t="s">
        <v>18</v>
      </c>
      <c r="H4" s="1" t="s">
        <v>156</v>
      </c>
      <c r="I4" s="1" t="s">
        <v>157</v>
      </c>
      <c r="J4" s="1" t="s">
        <v>158</v>
      </c>
      <c r="K4" s="1" t="s">
        <v>13</v>
      </c>
    </row>
    <row r="5" spans="1:11" ht="24" customHeight="1" x14ac:dyDescent="0.25">
      <c r="A5" s="3" t="str">
        <f>Inventaire!A5</f>
        <v>LUX-001</v>
      </c>
      <c r="B5" s="3" t="str">
        <f>Inventaire!B5</f>
        <v>Cuir Crocodile Himalaya</v>
      </c>
      <c r="C5" s="3" t="str">
        <f>Inventaire!D5</f>
        <v>MP</v>
      </c>
      <c r="D5" s="27">
        <f>Inventaire!G5*Inventaire!F5</f>
        <v>382500</v>
      </c>
      <c r="E5" s="27">
        <f>Inventaire!O5*Inventaire!F5</f>
        <v>576000</v>
      </c>
      <c r="F5" s="27">
        <f>Inventaire!P5*Inventaire!F5</f>
        <v>0</v>
      </c>
      <c r="G5" s="27">
        <f>Inventaire!Q5*Inventaire!F5</f>
        <v>28800</v>
      </c>
      <c r="H5" s="27">
        <f t="shared" ref="H5:H11" si="0">E5-F5-G5</f>
        <v>547200</v>
      </c>
      <c r="I5" s="27">
        <f t="shared" ref="I5:I11" si="1">D5-H5</f>
        <v>-164700</v>
      </c>
      <c r="J5" s="27">
        <f t="shared" ref="J5:J11" si="2">MAX(0,I5)</f>
        <v>0</v>
      </c>
      <c r="K5" s="3" t="str">
        <f t="shared" ref="K5:K11" si="3">IF(I5&gt;0,"🔴 Dépréciation","✅ Conforme")</f>
        <v>✅ Conforme</v>
      </c>
    </row>
    <row r="6" spans="1:11" ht="24" customHeight="1" x14ac:dyDescent="0.25">
      <c r="A6" s="10" t="str">
        <f>Inventaire!A6</f>
        <v>LUX-002</v>
      </c>
      <c r="B6" s="10" t="str">
        <f>Inventaire!B6</f>
        <v>Mouvement Tourbillon Cal.3135</v>
      </c>
      <c r="C6" s="10" t="str">
        <f>Inventaire!D6</f>
        <v>EC</v>
      </c>
      <c r="D6" s="29">
        <f>Inventaire!G6*Inventaire!F6</f>
        <v>504000</v>
      </c>
      <c r="E6" s="29">
        <f>Inventaire!O6*Inventaire!F6</f>
        <v>1020000</v>
      </c>
      <c r="F6" s="29">
        <f>Inventaire!P6*Inventaire!F6</f>
        <v>180000</v>
      </c>
      <c r="G6" s="29">
        <f>Inventaire!Q6*Inventaire!F6</f>
        <v>51000</v>
      </c>
      <c r="H6" s="29">
        <f t="shared" si="0"/>
        <v>789000</v>
      </c>
      <c r="I6" s="29">
        <f t="shared" si="1"/>
        <v>-285000</v>
      </c>
      <c r="J6" s="29">
        <f t="shared" si="2"/>
        <v>0</v>
      </c>
      <c r="K6" s="10" t="str">
        <f t="shared" si="3"/>
        <v>✅ Conforme</v>
      </c>
    </row>
    <row r="7" spans="1:11" ht="24" customHeight="1" x14ac:dyDescent="0.25">
      <c r="A7" s="3" t="str">
        <f>Inventaire!A7</f>
        <v>LUX-003</v>
      </c>
      <c r="B7" s="3" t="str">
        <f>Inventaire!B7</f>
        <v>Sac Birkin 30 Togo</v>
      </c>
      <c r="C7" s="3" t="str">
        <f>Inventaire!D7</f>
        <v>PF</v>
      </c>
      <c r="D7" s="27">
        <f>Inventaire!G7*Inventaire!F7</f>
        <v>33600</v>
      </c>
      <c r="E7" s="27">
        <f>Inventaire!O7*Inventaire!F7</f>
        <v>78400</v>
      </c>
      <c r="F7" s="27">
        <f>Inventaire!P7*Inventaire!F7</f>
        <v>0</v>
      </c>
      <c r="G7" s="27">
        <f>Inventaire!Q7*Inventaire!F7</f>
        <v>3920</v>
      </c>
      <c r="H7" s="27">
        <f t="shared" si="0"/>
        <v>74480</v>
      </c>
      <c r="I7" s="27">
        <f t="shared" si="1"/>
        <v>-40880</v>
      </c>
      <c r="J7" s="27">
        <f t="shared" si="2"/>
        <v>0</v>
      </c>
      <c r="K7" s="3" t="str">
        <f t="shared" si="3"/>
        <v>✅ Conforme</v>
      </c>
    </row>
    <row r="8" spans="1:11" ht="24" customHeight="1" x14ac:dyDescent="0.25">
      <c r="A8" s="10" t="str">
        <f>Inventaire!A8</f>
        <v>LUX-004</v>
      </c>
      <c r="B8" s="10" t="str">
        <f>Inventaire!B8</f>
        <v>Diamants VVS1 D-Color (1ct)</v>
      </c>
      <c r="C8" s="10" t="str">
        <f>Inventaire!D8</f>
        <v>MP</v>
      </c>
      <c r="D8" s="29">
        <f>Inventaire!G8*Inventaire!F8</f>
        <v>1824000</v>
      </c>
      <c r="E8" s="29">
        <f>Inventaire!O8*Inventaire!F8</f>
        <v>3420000</v>
      </c>
      <c r="F8" s="29">
        <f>Inventaire!P8*Inventaire!F8</f>
        <v>300000</v>
      </c>
      <c r="G8" s="29">
        <f>Inventaire!Q8*Inventaire!F8</f>
        <v>171000</v>
      </c>
      <c r="H8" s="29">
        <f t="shared" si="0"/>
        <v>2949000</v>
      </c>
      <c r="I8" s="29">
        <f t="shared" si="1"/>
        <v>-1125000</v>
      </c>
      <c r="J8" s="29">
        <f t="shared" si="2"/>
        <v>0</v>
      </c>
      <c r="K8" s="10" t="str">
        <f t="shared" si="3"/>
        <v>✅ Conforme</v>
      </c>
    </row>
    <row r="9" spans="1:11" ht="24" customHeight="1" x14ac:dyDescent="0.25">
      <c r="A9" s="3" t="str">
        <f>Inventaire!A9</f>
        <v>LUX-005</v>
      </c>
      <c r="B9" s="3" t="str">
        <f>Inventaire!B9</f>
        <v>Montre Nautilus 5711/1A</v>
      </c>
      <c r="C9" s="3" t="str">
        <f>Inventaire!D9</f>
        <v>PF</v>
      </c>
      <c r="D9" s="27">
        <f>Inventaire!G9*Inventaire!F9</f>
        <v>92500</v>
      </c>
      <c r="E9" s="27">
        <f>Inventaire!O9*Inventaire!F9</f>
        <v>175000</v>
      </c>
      <c r="F9" s="27">
        <f>Inventaire!P9*Inventaire!F9</f>
        <v>0</v>
      </c>
      <c r="G9" s="27">
        <f>Inventaire!Q9*Inventaire!F9</f>
        <v>8750</v>
      </c>
      <c r="H9" s="27">
        <f t="shared" si="0"/>
        <v>166250</v>
      </c>
      <c r="I9" s="27">
        <f t="shared" si="1"/>
        <v>-73750</v>
      </c>
      <c r="J9" s="27">
        <f t="shared" si="2"/>
        <v>0</v>
      </c>
      <c r="K9" s="3" t="str">
        <f t="shared" si="3"/>
        <v>✅ Conforme</v>
      </c>
    </row>
    <row r="10" spans="1:11" ht="24" customHeight="1" x14ac:dyDescent="0.25">
      <c r="A10" s="10" t="str">
        <f>Inventaire!A10</f>
        <v>LUX-006</v>
      </c>
      <c r="B10" s="10" t="str">
        <f>Inventaire!B10</f>
        <v>Tissu Tweed Haute Couture</v>
      </c>
      <c r="C10" s="10" t="str">
        <f>Inventaire!D10</f>
        <v>EC</v>
      </c>
      <c r="D10" s="29">
        <f>Inventaire!G10*Inventaire!F10</f>
        <v>370000</v>
      </c>
      <c r="E10" s="29">
        <f>Inventaire!O10*Inventaire!F10</f>
        <v>320000</v>
      </c>
      <c r="F10" s="29">
        <f>Inventaire!P10*Inventaire!F10</f>
        <v>40000</v>
      </c>
      <c r="G10" s="29">
        <f>Inventaire!Q10*Inventaire!F10</f>
        <v>16000</v>
      </c>
      <c r="H10" s="29">
        <f t="shared" si="0"/>
        <v>264000</v>
      </c>
      <c r="I10" s="29">
        <f t="shared" si="1"/>
        <v>106000</v>
      </c>
      <c r="J10" s="29">
        <f t="shared" si="2"/>
        <v>106000</v>
      </c>
      <c r="K10" s="10" t="str">
        <f t="shared" si="3"/>
        <v>🔴 Dépréciation</v>
      </c>
    </row>
    <row r="11" spans="1:11" ht="24" customHeight="1" x14ac:dyDescent="0.25">
      <c r="A11" s="3" t="str">
        <f>Inventaire!A11</f>
        <v>LUX-007</v>
      </c>
      <c r="B11" s="3" t="str">
        <f>Inventaire!B11</f>
        <v>Collier Haute Joaillerie Panthère</v>
      </c>
      <c r="C11" s="3" t="str">
        <f>Inventaire!D11</f>
        <v>PF</v>
      </c>
      <c r="D11" s="27">
        <f>Inventaire!G11*Inventaire!F11</f>
        <v>375000</v>
      </c>
      <c r="E11" s="27">
        <f>Inventaire!O11*Inventaire!F11</f>
        <v>840000</v>
      </c>
      <c r="F11" s="27">
        <f>Inventaire!P11*Inventaire!F11</f>
        <v>0</v>
      </c>
      <c r="G11" s="27">
        <f>Inventaire!Q11*Inventaire!F11</f>
        <v>42000</v>
      </c>
      <c r="H11" s="27">
        <f t="shared" si="0"/>
        <v>798000</v>
      </c>
      <c r="I11" s="27">
        <f t="shared" si="1"/>
        <v>-423000</v>
      </c>
      <c r="J11" s="27">
        <f t="shared" si="2"/>
        <v>0</v>
      </c>
      <c r="K11" s="3" t="str">
        <f t="shared" si="3"/>
        <v>✅ Conforme</v>
      </c>
    </row>
    <row r="12" spans="1:11" ht="26.1" customHeight="1" x14ac:dyDescent="0.25">
      <c r="A12" s="30" t="s">
        <v>150</v>
      </c>
      <c r="B12" s="17" t="s">
        <v>159</v>
      </c>
      <c r="C12" s="18"/>
      <c r="D12" s="31">
        <f t="shared" ref="D12:J12" si="4">SUM(D5:D11)</f>
        <v>3581600</v>
      </c>
      <c r="E12" s="31">
        <f t="shared" si="4"/>
        <v>6429400</v>
      </c>
      <c r="F12" s="31">
        <f t="shared" si="4"/>
        <v>520000</v>
      </c>
      <c r="G12" s="31">
        <f t="shared" si="4"/>
        <v>321470</v>
      </c>
      <c r="H12" s="31">
        <f t="shared" si="4"/>
        <v>5587930</v>
      </c>
      <c r="I12" s="31">
        <f t="shared" si="4"/>
        <v>-2006330</v>
      </c>
      <c r="J12" s="31">
        <f t="shared" si="4"/>
        <v>106000</v>
      </c>
      <c r="K12" s="18"/>
    </row>
    <row r="13" spans="1:11" ht="12" customHeight="1" x14ac:dyDescent="0.25"/>
    <row r="14" spans="1:11" ht="27.95" customHeight="1" thickBot="1" x14ac:dyDescent="0.3">
      <c r="A14" s="144" t="s">
        <v>160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</row>
    <row r="15" spans="1:11" ht="26.1" customHeight="1" x14ac:dyDescent="0.3">
      <c r="A15" s="158" t="s">
        <v>161</v>
      </c>
      <c r="B15" s="159"/>
      <c r="C15" s="92">
        <f>J12</f>
        <v>106000</v>
      </c>
    </row>
    <row r="16" spans="1:11" ht="26.1" customHeight="1" x14ac:dyDescent="0.3">
      <c r="A16" s="155" t="s">
        <v>162</v>
      </c>
      <c r="B16" s="157"/>
      <c r="C16" s="93">
        <f>J12/D12</f>
        <v>2.9595711413893232E-2</v>
      </c>
    </row>
    <row r="17" spans="1:11" ht="26.1" customHeight="1" x14ac:dyDescent="0.3">
      <c r="A17" s="155" t="s">
        <v>163</v>
      </c>
      <c r="B17" s="157"/>
      <c r="C17" s="94">
        <f>COUNTIF(K5:K11,"🔴*")</f>
        <v>1</v>
      </c>
    </row>
    <row r="18" spans="1:11" ht="15.75" x14ac:dyDescent="0.25">
      <c r="A18" s="155" t="s">
        <v>193</v>
      </c>
      <c r="B18" s="156"/>
      <c r="C18" s="95">
        <f>COUNTA(A5:A11)</f>
        <v>7</v>
      </c>
    </row>
    <row r="19" spans="1:11" ht="15.75" x14ac:dyDescent="0.25">
      <c r="A19" s="155" t="s">
        <v>194</v>
      </c>
      <c r="B19" s="156"/>
      <c r="C19" s="95">
        <f>COUNTIF(J5:J11,0)</f>
        <v>6</v>
      </c>
    </row>
    <row r="20" spans="1:11" ht="15.75" x14ac:dyDescent="0.25">
      <c r="A20" s="153" t="s">
        <v>195</v>
      </c>
      <c r="B20" s="154"/>
      <c r="C20" s="95">
        <f>COUNTIF(J5:J11,"&gt;0")</f>
        <v>1</v>
      </c>
    </row>
    <row r="21" spans="1:11" ht="18.75" x14ac:dyDescent="0.3">
      <c r="A21" s="151" t="s">
        <v>196</v>
      </c>
      <c r="B21" s="152"/>
      <c r="C21" s="96">
        <f>IF(Inventaire!H12&lt;&gt;0,-SUM(J5:J11)/Inventaire!H12,0)</f>
        <v>-2.9595711413893232E-2</v>
      </c>
    </row>
    <row r="22" spans="1:11" ht="15.75" x14ac:dyDescent="0.25">
      <c r="A22" s="151" t="s">
        <v>197</v>
      </c>
      <c r="B22" s="152"/>
      <c r="C22" s="97">
        <f>IF(C18&gt;0,C20/C18,0)</f>
        <v>0.14285714285714285</v>
      </c>
    </row>
    <row r="23" spans="1:11" ht="15.75" thickBot="1" x14ac:dyDescent="0.3">
      <c r="A23" s="161"/>
      <c r="B23" s="162"/>
      <c r="C23" s="163"/>
    </row>
    <row r="24" spans="1:11" x14ac:dyDescent="0.25">
      <c r="A24" s="116"/>
      <c r="B24" s="116"/>
      <c r="C24" s="116"/>
    </row>
    <row r="25" spans="1:11" x14ac:dyDescent="0.25">
      <c r="A25" s="116"/>
      <c r="B25" s="116"/>
      <c r="C25" s="116"/>
    </row>
    <row r="26" spans="1:11" ht="18" thickBot="1" x14ac:dyDescent="0.3">
      <c r="A26" s="134" t="s">
        <v>215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8" spans="1:11" ht="15.75" x14ac:dyDescent="0.25">
      <c r="A28" s="98" t="s">
        <v>198</v>
      </c>
      <c r="B28" s="98"/>
      <c r="C28" s="98" t="s">
        <v>199</v>
      </c>
      <c r="D28" s="98" t="s">
        <v>200</v>
      </c>
      <c r="E28" s="98"/>
      <c r="F28" s="98"/>
      <c r="G28" s="98" t="s">
        <v>201</v>
      </c>
      <c r="H28" s="98"/>
      <c r="I28" s="98" t="s">
        <v>202</v>
      </c>
    </row>
    <row r="29" spans="1:11" x14ac:dyDescent="0.25">
      <c r="A29" s="82">
        <v>1</v>
      </c>
      <c r="B29" s="82"/>
      <c r="C29" s="82">
        <v>6817</v>
      </c>
      <c r="D29" s="82" t="s">
        <v>204</v>
      </c>
      <c r="E29" s="82"/>
      <c r="F29" s="82"/>
      <c r="G29" s="82">
        <f>C15</f>
        <v>106000</v>
      </c>
      <c r="H29" s="82"/>
      <c r="I29" s="82"/>
    </row>
    <row r="30" spans="1:11" x14ac:dyDescent="0.25">
      <c r="A30" s="83">
        <v>2</v>
      </c>
      <c r="B30" s="101"/>
      <c r="C30" s="83" t="s">
        <v>203</v>
      </c>
      <c r="D30" s="101" t="s">
        <v>205</v>
      </c>
      <c r="E30" s="101"/>
      <c r="F30" s="101"/>
      <c r="G30" s="101"/>
      <c r="H30" s="101"/>
      <c r="I30" s="101">
        <f>C15</f>
        <v>106000</v>
      </c>
    </row>
    <row r="31" spans="1:11" x14ac:dyDescent="0.25">
      <c r="A31" s="82" t="s">
        <v>207</v>
      </c>
      <c r="B31" s="82"/>
      <c r="C31" s="82"/>
      <c r="D31" s="82" t="s">
        <v>206</v>
      </c>
      <c r="E31" s="82"/>
      <c r="F31" s="82"/>
      <c r="G31" s="82" t="str">
        <f>IF(G29=I30,"✅ Équilibré","❌ Déséquilibré")</f>
        <v>✅ Équilibré</v>
      </c>
      <c r="H31" s="82"/>
      <c r="I31" s="82"/>
    </row>
    <row r="34" spans="1:11" ht="18" thickBot="1" x14ac:dyDescent="0.3">
      <c r="A34" s="134" t="s">
        <v>216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</row>
    <row r="35" spans="1:11" ht="15.75" thickBot="1" x14ac:dyDescent="0.3"/>
    <row r="36" spans="1:11" ht="15.75" x14ac:dyDescent="0.25">
      <c r="A36" s="149" t="s">
        <v>217</v>
      </c>
      <c r="B36" s="150"/>
      <c r="C36" s="117">
        <f>Inventaire!H12</f>
        <v>3581600</v>
      </c>
    </row>
    <row r="37" spans="1:11" ht="15.75" x14ac:dyDescent="0.25">
      <c r="A37" s="147" t="s">
        <v>218</v>
      </c>
      <c r="B37" s="148"/>
      <c r="C37" s="118">
        <f>-SUM(J5:J11)</f>
        <v>-106000</v>
      </c>
    </row>
    <row r="38" spans="1:11" ht="18" thickBot="1" x14ac:dyDescent="0.35">
      <c r="A38" s="164" t="s">
        <v>219</v>
      </c>
      <c r="B38" s="165"/>
      <c r="C38" s="119">
        <f>C36+C37</f>
        <v>3475600</v>
      </c>
    </row>
    <row r="39" spans="1:11" ht="15.75" thickBot="1" x14ac:dyDescent="0.3"/>
    <row r="40" spans="1:11" ht="16.5" thickBot="1" x14ac:dyDescent="0.3">
      <c r="A40" s="160" t="s">
        <v>220</v>
      </c>
      <c r="B40" s="160"/>
      <c r="C40" s="120" t="str">
        <f>IF(ABS(C38-(Inventaire!H12-SUM(Test_NRV_IAS2!J5:J11)))&lt;1,"Vérifié ✅","Erreur ❌")</f>
        <v>Vérifié ✅</v>
      </c>
    </row>
  </sheetData>
  <mergeCells count="18">
    <mergeCell ref="A40:B40"/>
    <mergeCell ref="A23:C23"/>
    <mergeCell ref="A26:K26"/>
    <mergeCell ref="A34:K34"/>
    <mergeCell ref="A38:B38"/>
    <mergeCell ref="A37:B37"/>
    <mergeCell ref="A36:B36"/>
    <mergeCell ref="A2:K2"/>
    <mergeCell ref="A14:K14"/>
    <mergeCell ref="A1:K1"/>
    <mergeCell ref="A22:B22"/>
    <mergeCell ref="A21:B21"/>
    <mergeCell ref="A20:B20"/>
    <mergeCell ref="A19:B19"/>
    <mergeCell ref="A18:B18"/>
    <mergeCell ref="A17:B17"/>
    <mergeCell ref="A16:B16"/>
    <mergeCell ref="A15:B15"/>
  </mergeCells>
  <conditionalFormatting sqref="I5:I11">
    <cfRule type="cellIs" dxfId="1" priority="1" operator="greaterThan">
      <formula>0</formula>
    </cfRule>
  </conditionalFormatting>
  <conditionalFormatting sqref="K5:K11">
    <cfRule type="cellIs" dxfId="0" priority="2" operator="equal">
      <formula>"🔴 Dépréciation"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K40"/>
  <sheetViews>
    <sheetView showGridLines="0" tabSelected="1" workbookViewId="0">
      <selection activeCell="C14" sqref="C14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25.140625" customWidth="1"/>
    <col min="4" max="6" width="16" customWidth="1"/>
    <col min="7" max="7" width="14" customWidth="1"/>
    <col min="8" max="8" width="12" customWidth="1"/>
    <col min="9" max="10" width="16" customWidth="1"/>
  </cols>
  <sheetData>
    <row r="1" spans="1:11" ht="42" customHeight="1" x14ac:dyDescent="0.25">
      <c r="A1" s="132" t="s">
        <v>164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1" ht="24" customHeight="1" x14ac:dyDescent="0.25">
      <c r="A2" s="135" t="s">
        <v>165</v>
      </c>
      <c r="B2" s="133"/>
      <c r="C2" s="133"/>
      <c r="D2" s="133"/>
      <c r="E2" s="133"/>
      <c r="F2" s="133"/>
      <c r="G2" s="133"/>
      <c r="H2" s="133"/>
      <c r="I2" s="133"/>
      <c r="J2" s="133"/>
    </row>
    <row r="3" spans="1:11" ht="9.9499999999999993" customHeight="1" x14ac:dyDescent="0.25"/>
    <row r="4" spans="1:11" ht="32.1" customHeight="1" x14ac:dyDescent="0.25">
      <c r="A4" s="1" t="s">
        <v>2</v>
      </c>
      <c r="B4" s="1" t="s">
        <v>166</v>
      </c>
      <c r="C4" s="1" t="s">
        <v>4</v>
      </c>
      <c r="D4" s="1" t="s">
        <v>167</v>
      </c>
      <c r="E4" s="1" t="s">
        <v>221</v>
      </c>
      <c r="F4" s="1" t="s">
        <v>168</v>
      </c>
      <c r="G4" s="1" t="s">
        <v>169</v>
      </c>
      <c r="H4" s="1" t="s">
        <v>170</v>
      </c>
      <c r="I4" s="1" t="s">
        <v>171</v>
      </c>
      <c r="J4" s="1" t="s">
        <v>172</v>
      </c>
      <c r="K4" s="122" t="s">
        <v>231</v>
      </c>
    </row>
    <row r="5" spans="1:11" ht="24" customHeight="1" x14ac:dyDescent="0.25">
      <c r="A5" s="3" t="str">
        <f>Inventaire!A7</f>
        <v>LUX-003</v>
      </c>
      <c r="B5" s="3" t="str">
        <f>Inventaire!B7</f>
        <v>Sac Birkin 30 Togo</v>
      </c>
      <c r="C5" s="3" t="str">
        <f>Inventaire!C7</f>
        <v>Hermès</v>
      </c>
      <c r="D5" s="27">
        <f>Inventaire!G7</f>
        <v>4200</v>
      </c>
      <c r="E5" s="27">
        <f>Inventaire!R7</f>
        <v>9800</v>
      </c>
      <c r="F5" s="27">
        <f>E5-D5</f>
        <v>5600</v>
      </c>
      <c r="G5" s="28">
        <f>F5/E5</f>
        <v>0.5714285714285714</v>
      </c>
      <c r="H5" s="6">
        <f>Inventaire!F7</f>
        <v>8</v>
      </c>
      <c r="I5" s="27">
        <f>E5*H5</f>
        <v>78400</v>
      </c>
      <c r="J5" s="27">
        <f>F5*H5</f>
        <v>44800</v>
      </c>
      <c r="K5" s="123">
        <f>Inventaire!S7</f>
        <v>110</v>
      </c>
    </row>
    <row r="6" spans="1:11" ht="24" customHeight="1" x14ac:dyDescent="0.25">
      <c r="A6" s="10" t="str">
        <f>Inventaire!A9</f>
        <v>LUX-005</v>
      </c>
      <c r="B6" s="10" t="str">
        <f>Inventaire!B9</f>
        <v>Montre Nautilus 5711/1A</v>
      </c>
      <c r="C6" s="10" t="str">
        <f>Inventaire!C9</f>
        <v>Patek Philippe</v>
      </c>
      <c r="D6" s="29">
        <f>Inventaire!G9</f>
        <v>18500</v>
      </c>
      <c r="E6" s="29">
        <f>Inventaire!R9</f>
        <v>35000</v>
      </c>
      <c r="F6" s="29">
        <f>E6-D6</f>
        <v>16500</v>
      </c>
      <c r="G6" s="24">
        <f>F6/E6</f>
        <v>0.47142857142857142</v>
      </c>
      <c r="H6" s="13">
        <f>Inventaire!F9</f>
        <v>5</v>
      </c>
      <c r="I6" s="29">
        <f>E6*H6</f>
        <v>175000</v>
      </c>
      <c r="J6" s="29">
        <f>F6*H6</f>
        <v>82500</v>
      </c>
      <c r="K6" s="124">
        <f>Inventaire!S9</f>
        <v>30</v>
      </c>
    </row>
    <row r="7" spans="1:11" ht="24" customHeight="1" thickBot="1" x14ac:dyDescent="0.3">
      <c r="A7" s="3" t="str">
        <f>Inventaire!A11</f>
        <v>LUX-007</v>
      </c>
      <c r="B7" s="3" t="str">
        <f>Inventaire!B11</f>
        <v>Collier Haute Joaillerie Panthère</v>
      </c>
      <c r="C7" s="3" t="str">
        <f>Inventaire!C11</f>
        <v>Cartier</v>
      </c>
      <c r="D7" s="27">
        <f>Inventaire!G11</f>
        <v>125000</v>
      </c>
      <c r="E7" s="27">
        <f>Inventaire!R11</f>
        <v>280000</v>
      </c>
      <c r="F7" s="27">
        <f>E7-D7</f>
        <v>155000</v>
      </c>
      <c r="G7" s="28">
        <f>F7/E7</f>
        <v>0.5535714285714286</v>
      </c>
      <c r="H7" s="6">
        <f>Inventaire!F11</f>
        <v>3</v>
      </c>
      <c r="I7" s="27">
        <f>E7*H7</f>
        <v>840000</v>
      </c>
      <c r="J7" s="27">
        <f>F7*H7</f>
        <v>465000</v>
      </c>
      <c r="K7" s="123">
        <f>Inventaire!S11</f>
        <v>6</v>
      </c>
    </row>
    <row r="8" spans="1:11" ht="26.1" customHeight="1" thickTop="1" thickBot="1" x14ac:dyDescent="0.3">
      <c r="A8" s="30" t="s">
        <v>173</v>
      </c>
      <c r="B8" s="17" t="s">
        <v>174</v>
      </c>
      <c r="C8" s="18"/>
      <c r="D8" s="31">
        <f>SUM(D5:D7)</f>
        <v>147700</v>
      </c>
      <c r="E8" s="31">
        <f>SUM(E5:E7)</f>
        <v>324800</v>
      </c>
      <c r="F8" s="31">
        <f>SUM(F5:F7)</f>
        <v>177100</v>
      </c>
      <c r="G8" s="32">
        <f>F8/E8</f>
        <v>0.54525862068965514</v>
      </c>
      <c r="H8" s="33">
        <f>SUM(H5:H7)</f>
        <v>16</v>
      </c>
      <c r="I8" s="31">
        <f>SUM(I5:I7)</f>
        <v>1093400</v>
      </c>
      <c r="J8" s="31">
        <f>SUM(J5:J7)</f>
        <v>592300</v>
      </c>
      <c r="K8" s="125">
        <f>SUM(K5:K7)</f>
        <v>146</v>
      </c>
    </row>
    <row r="9" spans="1:11" ht="12" customHeight="1" thickTop="1" thickBot="1" x14ac:dyDescent="0.3"/>
    <row r="10" spans="1:11" ht="27.95" customHeight="1" thickBot="1" x14ac:dyDescent="0.3">
      <c r="A10" s="166" t="s">
        <v>175</v>
      </c>
      <c r="B10" s="167"/>
      <c r="C10" s="167"/>
      <c r="D10" s="167"/>
      <c r="E10" s="167"/>
      <c r="F10" s="167"/>
      <c r="G10" s="167"/>
      <c r="H10" s="167"/>
      <c r="I10" s="167"/>
      <c r="J10" s="168"/>
    </row>
    <row r="11" spans="1:11" ht="26.1" customHeight="1" thickBot="1" x14ac:dyDescent="0.3">
      <c r="A11" s="134" t="s">
        <v>176</v>
      </c>
      <c r="B11" s="133"/>
      <c r="C11" s="105">
        <f>G8</f>
        <v>0.54525862068965514</v>
      </c>
      <c r="D11" s="102"/>
    </row>
    <row r="12" spans="1:11" ht="26.1" customHeight="1" thickTop="1" thickBot="1" x14ac:dyDescent="0.3">
      <c r="A12" s="171" t="s">
        <v>177</v>
      </c>
      <c r="B12" s="171"/>
      <c r="C12" s="106">
        <f>I8</f>
        <v>1093400</v>
      </c>
      <c r="D12" s="103"/>
    </row>
    <row r="13" spans="1:11" ht="26.1" customHeight="1" thickTop="1" thickBot="1" x14ac:dyDescent="0.3">
      <c r="A13" s="144" t="s">
        <v>178</v>
      </c>
      <c r="B13" s="133"/>
      <c r="C13" s="107">
        <f>J8</f>
        <v>592300</v>
      </c>
      <c r="D13" s="103"/>
    </row>
    <row r="14" spans="1:11" ht="26.1" customHeight="1" thickBot="1" x14ac:dyDescent="0.3">
      <c r="A14" s="169" t="s">
        <v>179</v>
      </c>
      <c r="B14" s="170"/>
      <c r="C14" s="108" t="str">
        <f>INDEX(B5:B7,MATCH(MAX(G5:G7),G5:G7,0))</f>
        <v>Sac Birkin 30 Togo</v>
      </c>
      <c r="D14" s="103"/>
    </row>
    <row r="15" spans="1:11" x14ac:dyDescent="0.25">
      <c r="C15" s="104"/>
    </row>
    <row r="17" spans="1:10" ht="18" thickBot="1" x14ac:dyDescent="0.3">
      <c r="A17" s="134" t="s">
        <v>208</v>
      </c>
      <c r="B17" s="133"/>
      <c r="C17" s="133"/>
      <c r="D17" s="133"/>
      <c r="E17" s="133"/>
      <c r="F17" s="133"/>
      <c r="G17" s="133"/>
      <c r="H17" s="133"/>
      <c r="I17" s="133"/>
      <c r="J17" s="133"/>
    </row>
    <row r="19" spans="1:10" ht="15.75" thickBot="1" x14ac:dyDescent="0.3">
      <c r="A19" s="172" t="s">
        <v>209</v>
      </c>
      <c r="B19" s="172"/>
      <c r="C19" s="1"/>
      <c r="D19" s="1" t="s">
        <v>210</v>
      </c>
      <c r="E19" s="1" t="s">
        <v>211</v>
      </c>
      <c r="F19" s="1" t="s">
        <v>212</v>
      </c>
      <c r="G19" s="1"/>
      <c r="H19" s="1" t="s">
        <v>213</v>
      </c>
      <c r="I19" s="1" t="s">
        <v>214</v>
      </c>
      <c r="J19" s="1"/>
    </row>
    <row r="20" spans="1:10" x14ac:dyDescent="0.25">
      <c r="A20" s="174" t="str">
        <f>B5</f>
        <v>Sac Birkin 30 Togo</v>
      </c>
      <c r="B20" s="174"/>
      <c r="D20" s="91">
        <f>IF(I$8&lt;&gt;0,I5/I$8,0)</f>
        <v>7.1702944942381566E-2</v>
      </c>
    </row>
    <row r="21" spans="1:10" x14ac:dyDescent="0.25">
      <c r="A21" s="173" t="str">
        <f>B6</f>
        <v>Montre Nautilus 5711/1A</v>
      </c>
      <c r="B21" s="173"/>
      <c r="D21" s="91">
        <f>IF(I$8&lt;&gt;0,I6/I$8,0)</f>
        <v>0.16005121638924455</v>
      </c>
    </row>
    <row r="22" spans="1:10" x14ac:dyDescent="0.25">
      <c r="A22" s="173" t="str">
        <f>B7</f>
        <v>Collier Haute Joaillerie Panthère</v>
      </c>
      <c r="B22" s="173"/>
      <c r="D22" s="91">
        <f>IF(I$8&lt;&gt;0,I7/I$8,0)</f>
        <v>0.76824583866837393</v>
      </c>
    </row>
    <row r="26" spans="1:10" ht="18" thickBot="1" x14ac:dyDescent="0.3">
      <c r="A26" s="134" t="s">
        <v>222</v>
      </c>
      <c r="B26" s="133"/>
      <c r="C26" s="133"/>
      <c r="D26" s="133"/>
      <c r="E26" s="133"/>
      <c r="F26" s="133"/>
      <c r="G26" s="133"/>
      <c r="H26" s="133"/>
      <c r="I26" s="133"/>
      <c r="J26" s="133"/>
    </row>
    <row r="28" spans="1:10" ht="15.75" thickBot="1" x14ac:dyDescent="0.3">
      <c r="A28" s="172" t="s">
        <v>3</v>
      </c>
      <c r="B28" s="172"/>
      <c r="C28" s="1" t="s">
        <v>223</v>
      </c>
      <c r="D28" s="1" t="s">
        <v>224</v>
      </c>
      <c r="E28" s="1" t="s">
        <v>225</v>
      </c>
      <c r="F28" s="1"/>
      <c r="G28" s="1" t="s">
        <v>226</v>
      </c>
      <c r="H28" s="1" t="s">
        <v>227</v>
      </c>
      <c r="I28" s="1" t="s">
        <v>228</v>
      </c>
      <c r="J28" s="1" t="s">
        <v>229</v>
      </c>
    </row>
    <row r="29" spans="1:10" x14ac:dyDescent="0.25">
      <c r="B29" t="str">
        <f>B5</f>
        <v>Sac Birkin 30 Togo</v>
      </c>
      <c r="C29" s="100">
        <f>D5</f>
        <v>4200</v>
      </c>
      <c r="D29">
        <f>E5*0.9</f>
        <v>8820</v>
      </c>
      <c r="E29" s="121">
        <f>IF(D29&lt;&gt;0,(D29-C29)/D29,0)</f>
        <v>0.52380952380952384</v>
      </c>
      <c r="G29" s="100">
        <f>E5</f>
        <v>9800</v>
      </c>
      <c r="H29" s="121">
        <f>G5</f>
        <v>0.5714285714285714</v>
      </c>
      <c r="I29">
        <f>E5*1.1</f>
        <v>10780</v>
      </c>
      <c r="J29" s="121">
        <f>IF(I29&lt;&gt;0,(I29-C29)/I29,0)</f>
        <v>0.61038961038961037</v>
      </c>
    </row>
    <row r="30" spans="1:10" x14ac:dyDescent="0.25">
      <c r="B30" t="str">
        <f>B6</f>
        <v>Montre Nautilus 5711/1A</v>
      </c>
      <c r="C30" s="100">
        <f>D6</f>
        <v>18500</v>
      </c>
      <c r="D30">
        <f t="shared" ref="D30:D31" si="0">E6*0.9</f>
        <v>31500</v>
      </c>
      <c r="E30" s="121">
        <f t="shared" ref="E30:E31" si="1">IF(D30&lt;&gt;0,(D30-C30)/D30,0)</f>
        <v>0.41269841269841268</v>
      </c>
      <c r="G30" s="100">
        <f t="shared" ref="G30:G31" si="2">E6</f>
        <v>35000</v>
      </c>
      <c r="H30" s="121">
        <f t="shared" ref="H30:H31" si="3">G6</f>
        <v>0.47142857142857142</v>
      </c>
      <c r="I30">
        <f t="shared" ref="I30:I31" si="4">E6*1.1</f>
        <v>38500</v>
      </c>
      <c r="J30" s="121">
        <f t="shared" ref="J30:J31" si="5">IF(I30&lt;&gt;0,(I30-C30)/I30,0)</f>
        <v>0.51948051948051943</v>
      </c>
    </row>
    <row r="31" spans="1:10" x14ac:dyDescent="0.25">
      <c r="B31" t="str">
        <f>B7</f>
        <v>Collier Haute Joaillerie Panthère</v>
      </c>
      <c r="C31" s="100">
        <f>D7</f>
        <v>125000</v>
      </c>
      <c r="D31">
        <f t="shared" si="0"/>
        <v>252000</v>
      </c>
      <c r="E31" s="121">
        <f t="shared" si="1"/>
        <v>0.50396825396825395</v>
      </c>
      <c r="G31" s="100">
        <f t="shared" si="2"/>
        <v>280000</v>
      </c>
      <c r="H31" s="121">
        <f t="shared" si="3"/>
        <v>0.5535714285714286</v>
      </c>
      <c r="I31">
        <f t="shared" si="4"/>
        <v>308000</v>
      </c>
      <c r="J31" s="121">
        <f t="shared" si="5"/>
        <v>0.5941558441558441</v>
      </c>
    </row>
    <row r="34" spans="1:10" ht="18" thickBot="1" x14ac:dyDescent="0.3">
      <c r="A34" s="134" t="s">
        <v>230</v>
      </c>
      <c r="B34" s="133"/>
      <c r="C34" s="133"/>
      <c r="D34" s="133"/>
      <c r="E34" s="133"/>
      <c r="F34" s="133"/>
      <c r="G34" s="133"/>
      <c r="H34" s="133"/>
      <c r="I34" s="133"/>
      <c r="J34" s="133"/>
    </row>
    <row r="36" spans="1:10" ht="30.75" thickBot="1" x14ac:dyDescent="0.3">
      <c r="A36" s="172" t="s">
        <v>3</v>
      </c>
      <c r="B36" s="172"/>
      <c r="C36" s="1" t="s">
        <v>223</v>
      </c>
      <c r="D36" s="1" t="s">
        <v>232</v>
      </c>
      <c r="E36" s="1" t="s">
        <v>233</v>
      </c>
      <c r="F36" s="1"/>
      <c r="G36" s="1" t="s">
        <v>234</v>
      </c>
      <c r="H36" s="1"/>
      <c r="I36" s="1" t="s">
        <v>235</v>
      </c>
      <c r="J36" s="1"/>
    </row>
    <row r="37" spans="1:10" x14ac:dyDescent="0.25">
      <c r="A37" s="175" t="str">
        <f>B5</f>
        <v>Sac Birkin 30 Togo</v>
      </c>
      <c r="B37" s="176"/>
      <c r="C37" s="99">
        <f>(K5*E5)*0.15</f>
        <v>161700</v>
      </c>
      <c r="D37" s="99">
        <f>F5</f>
        <v>5600</v>
      </c>
      <c r="E37" s="99">
        <f>IF(C37&lt;&gt;0,ROUNDUP(C37/D37,0),0)</f>
        <v>29</v>
      </c>
      <c r="F37" s="99"/>
      <c r="G37" s="99">
        <f>E37*E5</f>
        <v>284200</v>
      </c>
      <c r="H37" s="99"/>
      <c r="I37" s="131">
        <f>IF(K5&lt;&gt;0,(K5-E37)/K5,0)</f>
        <v>0.73636363636363633</v>
      </c>
      <c r="J37" s="99"/>
    </row>
    <row r="38" spans="1:10" ht="15.75" thickBot="1" x14ac:dyDescent="0.3">
      <c r="A38" s="177" t="str">
        <f>B6</f>
        <v>Montre Nautilus 5711/1A</v>
      </c>
      <c r="B38" s="178"/>
      <c r="C38" s="83">
        <f t="shared" ref="C38:C39" si="6">(K6*E6)*0.15</f>
        <v>157500</v>
      </c>
      <c r="D38" s="83">
        <f t="shared" ref="D38:D39" si="7">F6</f>
        <v>16500</v>
      </c>
      <c r="E38" s="83">
        <f t="shared" ref="E38:E39" si="8">IF(C38&lt;&gt;0,ROUNDUP(C38/D38,0),0)</f>
        <v>10</v>
      </c>
      <c r="F38" s="83"/>
      <c r="G38" s="83">
        <f t="shared" ref="G38:G39" si="9">E38*E6</f>
        <v>350000</v>
      </c>
      <c r="H38" s="83"/>
      <c r="I38" s="129">
        <f t="shared" ref="I38:I39" si="10">IF(K6&lt;&gt;0,(K6-E38)/K6,0)</f>
        <v>0.66666666666666663</v>
      </c>
      <c r="J38" s="83"/>
    </row>
    <row r="39" spans="1:10" x14ac:dyDescent="0.25">
      <c r="A39" s="175" t="str">
        <f>B7</f>
        <v>Collier Haute Joaillerie Panthère</v>
      </c>
      <c r="B39" s="176"/>
      <c r="C39" s="126">
        <f t="shared" si="6"/>
        <v>252000</v>
      </c>
      <c r="D39" s="127">
        <f t="shared" si="7"/>
        <v>155000</v>
      </c>
      <c r="E39" s="126">
        <f t="shared" si="8"/>
        <v>2</v>
      </c>
      <c r="F39" s="127"/>
      <c r="G39" s="126">
        <f t="shared" si="9"/>
        <v>560000</v>
      </c>
      <c r="H39" s="128"/>
      <c r="I39" s="130">
        <f t="shared" si="10"/>
        <v>0.66666666666666663</v>
      </c>
      <c r="J39" s="128"/>
    </row>
    <row r="40" spans="1:10" x14ac:dyDescent="0.25">
      <c r="G40" s="99"/>
    </row>
  </sheetData>
  <mergeCells count="19">
    <mergeCell ref="A26:J26"/>
    <mergeCell ref="A34:J34"/>
    <mergeCell ref="A28:B28"/>
    <mergeCell ref="A36:B36"/>
    <mergeCell ref="A39:B39"/>
    <mergeCell ref="A38:B38"/>
    <mergeCell ref="A37:B37"/>
    <mergeCell ref="A17:J17"/>
    <mergeCell ref="A19:B19"/>
    <mergeCell ref="A22:B22"/>
    <mergeCell ref="A21:B21"/>
    <mergeCell ref="A20:B20"/>
    <mergeCell ref="A1:J1"/>
    <mergeCell ref="A10:J10"/>
    <mergeCell ref="A2:J2"/>
    <mergeCell ref="A14:B14"/>
    <mergeCell ref="A13:B13"/>
    <mergeCell ref="A12:B12"/>
    <mergeCell ref="A11:B11"/>
  </mergeCells>
  <conditionalFormatting sqref="G5:G7">
    <cfRule type="colorScale" priority="1">
      <colorScale>
        <cfvo type="num" val="0"/>
        <cfvo type="num" val="0.8"/>
        <color rgb="FFE74C3C"/>
        <color rgb="FF27AE6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Dashboard</vt:lpstr>
      <vt:lpstr>Inventaire</vt:lpstr>
      <vt:lpstr>Analyse_Risques</vt:lpstr>
      <vt:lpstr>Valorisation</vt:lpstr>
      <vt:lpstr>Test_NRV_IAS2</vt:lpstr>
      <vt:lpstr>Marges_PF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NEURAL Platform v3.0</dc:creator>
  <cp:lastModifiedBy>Ludovic Labeaut</cp:lastModifiedBy>
  <dcterms:created xsi:type="dcterms:W3CDTF">2026-03-25T11:22:11Z</dcterms:created>
  <dcterms:modified xsi:type="dcterms:W3CDTF">2026-03-29T11:30:18Z</dcterms:modified>
</cp:coreProperties>
</file>