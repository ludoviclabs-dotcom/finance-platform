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README" sheetId="1" state="visible" r:id="rId3"/>
    <sheet name="1_Calendrier_Salons" sheetId="2" state="visible" r:id="rId4"/>
    <sheet name="2_Referentiel" sheetId="3" state="visible" r:id="rId5"/>
    <sheet name="3_Packs_Evenementiels" sheetId="4" state="visible" r:id="rId6"/>
    <sheet name="4_Verdict_Par_Pack" sheetId="5" state="visible" r:id="rId7"/>
    <sheet name="5_Redlines" sheetId="6" state="visible" r:id="rId8"/>
    <sheet name="6_AI_Act_Disclosure" sheetId="7" state="visible" r:id="rId9"/>
    <sheet name="7_Limi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<sst xmlns="http://schemas.openxmlformats.org/spreadsheetml/2006/main" count="358" uniqueCount="252">
  <si>
    <t xml:space="preserve">AeroEventAI — Génération + audit packs événementiels salons aéro 2026</t>
  </si>
  <si>
    <t xml:space="preserve">NEURAL — Branche Aéronautique / Marketing — Date de réf. : 25/04/2026</t>
  </si>
  <si>
    <t xml:space="preserve">Mission</t>
  </si>
  <si>
    <t xml:space="preserve">Générer et auditer des packs événementiels (briefs presse, posts social, talking points VIP, brochures) pour les salons aéro/défense majeurs de Q2-Q4 2026, avec respect tonalité ASD + AI Act + multi-fuseau + multi-langue.</t>
  </si>
  <si>
    <t xml:space="preserve">Calendrier salons</t>
  </si>
  <si>
    <t xml:space="preserve">4 salons réels Q2-Q4 2026 : ILA Berlin (10-14 juin), Eurosatory Paris (15-19 juin), Farnborough UK (20-24 juillet), MEBAA Dubai (8-10 décembre). Paris Air Show prochain en 2027 (biennal).</t>
  </si>
  <si>
    <t xml:space="preserve">Référentiel</t>
  </si>
  <si>
    <t xml:space="preserve">10 règles encodées (E01-E10) : ASD responsible comms, AI Act disclosure, export safe, no classified, source freshness, num validated, timezone, langue locale, embargo presse, anti-greenwashing.</t>
  </si>
  <si>
    <t xml:space="preserve">Échelle verdict</t>
  </si>
  <si>
    <t xml:space="preserve">OK = conforme | WARN = ajustement recommandé | KO = bloquant, redline obligatoire avant diffusion.</t>
  </si>
  <si>
    <t xml:space="preserve">Décision</t>
  </si>
  <si>
    <t xml:space="preserve">0 KO ET score ≥ 80% → DIFFUSION OK. Sinon : RELECTURE ou BLOQUÉ.</t>
  </si>
  <si>
    <t xml:space="preserve">Inputs cas démo</t>
  </si>
  <si>
    <t xml:space="preserve">4 packs synthétiques inspirés du marché 2026 : brief presse FAR propulsion hybride, post LinkedIn ILA partenariat défense EU, talking points VIP Eurosatory, brochure VIP MEBAA business jets.</t>
  </si>
  <si>
    <t xml:space="preserve">Outputs</t>
  </si>
  <si>
    <t xml:space="preserve">(1) Verdict matrice 10 × 4, (2) score conformité auto, (3) décision auto, (4) ~16 redlines concrètes, (5) 5 modèles disclosure IA FR + EN.</t>
  </si>
  <si>
    <t xml:space="preserve">Cohérence cross-agents</t>
  </si>
  <si>
    <t xml:space="preserve">Sur ITAR/EAR → renvoi DefenseCommsGuard. Sur greenwashing → renvoi AeroSustainabilityComms. Cet agent se concentre sur tonalité + format + multi-langue + multi-fuseau.</t>
  </si>
  <si>
    <t xml:space="preserve">Statut</t>
  </si>
  <si>
    <t xml:space="preserve">Démo recruteur — packs synthétiques. Aucun client réel ni programme classifié cité.</t>
  </si>
  <si>
    <t xml:space="preserve">Disclaimer</t>
  </si>
  <si>
    <t xml:space="preserve">Outil indicatif. Ne remplace pas le directeur communication, le compliance officer export, ni le juriste défense. Toute diffusion finale doit être validée humainement.</t>
  </si>
  <si>
    <t xml:space="preserve">Calendrier salons aéro/défense 2026 — Q2 à Q4</t>
  </si>
  <si>
    <t xml:space="preserve">4 salons majeurs avec organisateur, fuseau, langues, tonalité requise.</t>
  </si>
  <si>
    <t xml:space="preserve">ID</t>
  </si>
  <si>
    <t xml:space="preserve">Salon</t>
  </si>
  <si>
    <t xml:space="preserve">Dates 2026</t>
  </si>
  <si>
    <t xml:space="preserve">Lieu</t>
  </si>
  <si>
    <t xml:space="preserve">Organisateur</t>
  </si>
  <si>
    <t xml:space="preserve">Publics cibles</t>
  </si>
  <si>
    <t xml:space="preserve">Fuseau</t>
  </si>
  <si>
    <t xml:space="preserve">Langues</t>
  </si>
  <si>
    <t xml:space="preserve">Tonalité</t>
  </si>
  <si>
    <t xml:space="preserve">FAR-2026</t>
  </si>
  <si>
    <t xml:space="preserve">Farnborough International Airshow 2026</t>
  </si>
  <si>
    <t xml:space="preserve">20-24 juillet 2026</t>
  </si>
  <si>
    <t xml:space="preserve">Farnborough Airport, UK</t>
  </si>
  <si>
    <t xml:space="preserve">ADS Group</t>
  </si>
  <si>
    <t xml:space="preserve">B2B civil + défense — décideurs, CEO, ministres, presse spécialisée</t>
  </si>
  <si>
    <t xml:space="preserve">Europe/London (BST UTC+1)</t>
  </si>
  <si>
    <t xml:space="preserve">EN principal, FR / DE / IT secondaires</t>
  </si>
  <si>
    <t xml:space="preserve">Civil dominant, défense présent. Tonalité innovation + souveraineté EU.</t>
  </si>
  <si>
    <t xml:space="preserve">ILA-2026</t>
  </si>
  <si>
    <t xml:space="preserve">ILA Berlin 2026</t>
  </si>
  <si>
    <t xml:space="preserve">10-14 juin 2026</t>
  </si>
  <si>
    <t xml:space="preserve">Berlin Brandenburg Airport (BER), Allemagne</t>
  </si>
  <si>
    <t xml:space="preserve">BDLI (Bundesverband der Deutschen Luft- und Raumfahrtindustrie)</t>
  </si>
  <si>
    <t xml:space="preserve">Civil + défense + spatial — focus EU, Bundeswehr, ESA</t>
  </si>
  <si>
    <t xml:space="preserve">Europe/Berlin (CEST UTC+2)</t>
  </si>
  <si>
    <t xml:space="preserve">DE principal, EN secondaire</t>
  </si>
  <si>
    <t xml:space="preserve">Souveraineté EU + transition énergétique. Tonalité plus industrielle.</t>
  </si>
  <si>
    <t xml:space="preserve">EUR-2026</t>
  </si>
  <si>
    <t xml:space="preserve">Eurosatory 2026</t>
  </si>
  <si>
    <t xml:space="preserve">15-19 juin 2026</t>
  </si>
  <si>
    <t xml:space="preserve">Paris-Nord Villepinte, France</t>
  </si>
  <si>
    <t xml:space="preserve">COGES (Commissariat général du salon)</t>
  </si>
  <si>
    <t xml:space="preserve">Défense terrestre + drones + sécurité — délégations 100+ pays</t>
  </si>
  <si>
    <t xml:space="preserve">Europe/Paris (CEST UTC+2)</t>
  </si>
  <si>
    <t xml:space="preserve">FR principal, EN secondaire</t>
  </si>
  <si>
    <t xml:space="preserve">Strict défense — charte ASD impérative, contexte géopolitique post-Ukraine.</t>
  </si>
  <si>
    <t xml:space="preserve">MEB-2026</t>
  </si>
  <si>
    <t xml:space="preserve">MEBAA Show 2026</t>
  </si>
  <si>
    <t xml:space="preserve">8-10 décembre 2026</t>
  </si>
  <si>
    <t xml:space="preserve">Dubai World Central (DWC), Émirats Arabes Unis</t>
  </si>
  <si>
    <t xml:space="preserve">MEBAA</t>
  </si>
  <si>
    <t xml:space="preserve">Aviation d'affaires + business jets — clientèle MEA + Asie</t>
  </si>
  <si>
    <t xml:space="preserve">Asia/Dubai (GST UTC+4)</t>
  </si>
  <si>
    <t xml:space="preserve">EN principal, AR secondaire</t>
  </si>
  <si>
    <t xml:space="preserve">Aviation d'affaires haut de gamme. Attention dual-use + sanctions Iran/Russie via UAE.</t>
  </si>
  <si>
    <t xml:space="preserve">Référentiel — 10 règles audit pack événementiel</t>
  </si>
  <si>
    <t xml:space="preserve">Tonalité ASD + AI Act + Export safe + Multi-fuseau/langue + Embargo presse + ESG.</t>
  </si>
  <si>
    <t xml:space="preserve">Label</t>
  </si>
  <si>
    <t xml:space="preserve">Axe</t>
  </si>
  <si>
    <t xml:space="preserve">Règle</t>
  </si>
  <si>
    <t xml:space="preserve">Base / réf.</t>
  </si>
  <si>
    <t xml:space="preserve">E01</t>
  </si>
  <si>
    <t xml:space="preserve">ASD-RESPONSIBLE</t>
  </si>
  <si>
    <t xml:space="preserve">Charte ASD Europe « responsible defence comms » : pas de glorification, pas de visuel choquant, contexte stratégique sourcé.</t>
  </si>
  <si>
    <t xml:space="preserve">ASD Europe Charter (mars 2025).</t>
  </si>
  <si>
    <t xml:space="preserve">E02</t>
  </si>
  <si>
    <t xml:space="preserve">AI-DISCLOSE</t>
  </si>
  <si>
    <t xml:space="preserve">AI Act</t>
  </si>
  <si>
    <t xml:space="preserve">Tout contenu généré par IA (post, brief, talking points) requiert mention IA — applicable 2 août 2026.</t>
  </si>
  <si>
    <t xml:space="preserve">EU AI Act 2024/1689 art. 50.</t>
  </si>
  <si>
    <t xml:space="preserve">E03</t>
  </si>
  <si>
    <t xml:space="preserve">EXPORT-SAFE</t>
  </si>
  <si>
    <t xml:space="preserve">Export Control</t>
  </si>
  <si>
    <t xml:space="preserve">Pas d'information ITAR/EAR/dual-use sensible diffusée au-delà du périmètre de salon contrôlé.</t>
  </si>
  <si>
    <t xml:space="preserve">ITAR 22 CFR 120-130, EAR 15 CFR 730-774, EU Reg. 2021/821.</t>
  </si>
  <si>
    <t xml:space="preserve">E04</t>
  </si>
  <si>
    <t xml:space="preserve">NO-CLASSIFIED</t>
  </si>
  <si>
    <t xml:space="preserve">Sécurité</t>
  </si>
  <si>
    <t xml:space="preserve">Aucune information classifiée DR / SD / TS dans contenu événementiel public (brief presse, social, talking points).</t>
  </si>
  <si>
    <t xml:space="preserve">SGDSN — Code défense L.2311-1.</t>
  </si>
  <si>
    <t xml:space="preserve">E05</t>
  </si>
  <si>
    <t xml:space="preserve">SOURCE-FRESHNESS</t>
  </si>
  <si>
    <t xml:space="preserve">Veille</t>
  </si>
  <si>
    <t xml:space="preserve">Chiffres et benchmarks ≤ 24 mois (sauf normes pérennes).</t>
  </si>
  <si>
    <t xml:space="preserve">Bonne pratique communication B2B.</t>
  </si>
  <si>
    <t xml:space="preserve">E06</t>
  </si>
  <si>
    <t xml:space="preserve">NUM-VALIDATED</t>
  </si>
  <si>
    <t xml:space="preserve">Précision</t>
  </si>
  <si>
    <t xml:space="preserve">Tout chiffre technique sourcé. Pas de chiffre rond marketing sans référence.</t>
  </si>
  <si>
    <t xml:space="preserve">Code consommation L.121-1 + ASD Charter.</t>
  </si>
  <si>
    <t xml:space="preserve">E07</t>
  </si>
  <si>
    <t xml:space="preserve">TIMEZONE</t>
  </si>
  <si>
    <t xml:space="preserve">Logistique</t>
  </si>
  <si>
    <t xml:space="preserve">Embargos presse + horaires conf en heure locale du salon, mention explicite (BST/CEST/GST).</t>
  </si>
  <si>
    <t xml:space="preserve">Bonne pratique relations presse internationales.</t>
  </si>
  <si>
    <t xml:space="preserve">E08</t>
  </si>
  <si>
    <t xml:space="preserve">LANGUE-LOCALE</t>
  </si>
  <si>
    <t xml:space="preserve">Multi-langue</t>
  </si>
  <si>
    <t xml:space="preserve">Contenu disponible dans la langue principale du salon (EN Farnborough/MEBAA, DE ILA, FR Eurosatory) + EN systématique.</t>
  </si>
  <si>
    <t xml:space="preserve">Bonne pratique relations presse multi-pays.</t>
  </si>
  <si>
    <t xml:space="preserve">E09</t>
  </si>
  <si>
    <t xml:space="preserve">EMBARGO-OK</t>
  </si>
  <si>
    <t xml:space="preserve">Presse</t>
  </si>
  <si>
    <t xml:space="preserve">Embargo presse explicite (date + heure + fuseau) sur tout brief presse pré-salon.</t>
  </si>
  <si>
    <t xml:space="preserve">Bonne pratique relations presse — éviter pré-fuites.</t>
  </si>
  <si>
    <t xml:space="preserve">E10</t>
  </si>
  <si>
    <t xml:space="preserve">GREENWASH</t>
  </si>
  <si>
    <t xml:space="preserve">ESG</t>
  </si>
  <si>
    <t xml:space="preserve">Pas de claims SAF/H2/électrique vagues sans LCA — pour audit complet renvoyer vers AeroSustainabilityComms.</t>
  </si>
  <si>
    <t xml:space="preserve">EU Green Claims Directive 2024 + ReFuelEU Aviation.</t>
  </si>
  <si>
    <t xml:space="preserve">Packs événementiels — 4 cas démo synthétiques</t>
  </si>
  <si>
    <t xml:space="preserve">Un cas par salon. Anonymisés mais inspirés du marché 2026.</t>
  </si>
  <si>
    <t xml:space="preserve">Type pack</t>
  </si>
  <si>
    <t xml:space="preserve">Titre</t>
  </si>
  <si>
    <t xml:space="preserve">IA utilisée</t>
  </si>
  <si>
    <t xml:space="preserve">Extrait</t>
  </si>
  <si>
    <t xml:space="preserve">Brief presse pré-salon</t>
  </si>
  <si>
    <t xml:space="preserve">Brief presse — propulsion hybride régionale Farnborough</t>
  </si>
  <si>
    <t xml:space="preserve">OUI — rédaction par LLM</t>
  </si>
  <si>
    <t xml:space="preserve">EMBARGO 20/07/2026 06:00 BST. Notre démonstrateur de propulsion hybride pour aviation régionale sera présenté en vol le 21 juillet. Réduction CO2 de 70% démontrée sur le corridor London-Edinburgh (260 km). Premier client identifié : compagnie régionale UK (annonce conjointe lors du salon). Source autonomie : tests 2024 conditions ISA.</t>
  </si>
  <si>
    <t xml:space="preserve">Post LinkedIn jour J</t>
  </si>
  <si>
    <t xml:space="preserve">Post live ILA 2026 — partenariat industriel défense EU</t>
  </si>
  <si>
    <t xml:space="preserve">OUI — traduction et rédaction IA</t>
  </si>
  <si>
    <t xml:space="preserve">Heute auf der ILA 2026 — Wir kündigen unsere Partnerschaft mit dem deutschen Mittelstand für das Programm « European Sky Shield » an. Unser Système d'arme sol-air offre Reichweite 50 km + Engagement 12 cibles parallèles. EDIP funded 35%. Démonstration au Hall 4, Stand C-201. #ILA2026 #EuropeanDefence</t>
  </si>
  <si>
    <t xml:space="preserve">Talking points VIP</t>
  </si>
  <si>
    <t xml:space="preserve">Talking points dîner VIP Eurosatory — délégations gouvernementales</t>
  </si>
  <si>
    <t xml:space="preserve">PARTIEL — synthèse benchmarks IA</t>
  </si>
  <si>
    <t xml:space="preserve">Talking points pour rencontre déléguée Europe + 2 pays MENA. Points clés : (1) système anti-drone éprouvé sur le terrain ukrainien, (2) capacité de production 200 unités/an sur ligne LPM 2024-2030, (3) co-financement EDF (Eu Defence Fund) phase 2, (4) ouverts aux discussions de transferts de technologie pour pays partenaires. Mention sensibilité : éviter sujets RGE individuels.</t>
  </si>
  <si>
    <t xml:space="preserve">Brochure VIP + post Instagram</t>
  </si>
  <si>
    <t xml:space="preserve">Pack MEBAA — brochure print VIP + Instagram story dual-language</t>
  </si>
  <si>
    <t xml:space="preserve">OUI — renders cabine IA + traduction AR</t>
  </si>
  <si>
    <t xml:space="preserve">Brochure print + carrousel Instagram (EN/AR). « Discover our new business jet — range 6 500 nm, cabin 16 ft. Speed Mach 0.85. Sustainability built-in: SAF compatible up to 50% blend. Available for Q1 2027 delivery. Price on request. » Story Instagram avec démos vidéo ralenties + IA-generated cabin renders. Distribution VIP : 80 invités dont 12 high-net-worth de pays Moyen-Orient.</t>
  </si>
  <si>
    <t xml:space="preserve">Matrice verdicts — 10 règles × 4 packs salons</t>
  </si>
  <si>
    <t xml:space="preserve">OK = conforme | WARN = ajustement recommandé | KO = bloquant. Score + décision en bas.</t>
  </si>
  <si>
    <t xml:space="preserve">OK</t>
  </si>
  <si>
    <t xml:space="preserve">WARN</t>
  </si>
  <si>
    <t xml:space="preserve">KO</t>
  </si>
  <si>
    <t xml:space="preserve">Synthèse par pack</t>
  </si>
  <si>
    <t xml:space="preserve">Nb OK</t>
  </si>
  <si>
    <t xml:space="preserve">Nb WARN</t>
  </si>
  <si>
    <t xml:space="preserve">Nb KO</t>
  </si>
  <si>
    <t xml:space="preserve">Score conformité</t>
  </si>
  <si>
    <t xml:space="preserve">Redlines — Suggestions de correction concrètes</t>
  </si>
  <si>
    <t xml:space="preserve">Pour chaque KO/WARN, redline applicable avec base citée.</t>
  </si>
  <si>
    <t xml:space="preserve">Avant (extrait)</t>
  </si>
  <si>
    <t xml:space="preserve">Après (suggestion)</t>
  </si>
  <si>
    <t xml:space="preserve">Pourquoi</t>
  </si>
  <si>
    <t xml:space="preserve">[Aucune mention IA dans brief presse]</t>
  </si>
  <si>
    <t xml:space="preserve">Footer brief : « Communiqué rédigé avec assistance IA — données validées par bureau d'études. UE 2024/1689 art. 50. »</t>
  </si>
  <si>
    <t xml:space="preserve">AI Act art. 50 disclosure obligatoire applicable 02/08/2026</t>
  </si>
  <si>
    <t xml:space="preserve">Réduction CO2 de 70% démontrée sur le corridor London-Edinburgh</t>
  </si>
  <si>
    <t xml:space="preserve">Réduction CO2 estimée à 70% (méthodologie ICAO CORSIA v2.3, 2024) sur le corridor London-Edinburgh (260 km), mode hybride. Hors phases production batterie.</t>
  </si>
  <si>
    <t xml:space="preserve">Chiffre marketing sans périmètre LCA = trompeur</t>
  </si>
  <si>
    <t xml:space="preserve">[Brief uniquement EN]</t>
  </si>
  <si>
    <t xml:space="preserve">Préparer une version FR du brief presse + traduction allemande pour audience continentale UE.</t>
  </si>
  <si>
    <t xml:space="preserve">Farnborough = audience EU significative — multilingue recommandé</t>
  </si>
  <si>
    <t xml:space="preserve">(implicite mention transition énergétique)</t>
  </si>
  <si>
    <t xml:space="preserve">Pour communication SAF/hybride/H2, renvoyer audit complet à AeroSustainabilityComms — éviter claims green non sourcés.</t>
  </si>
  <si>
    <t xml:space="preserve">Greenwashing aviation = risque DGCCRF / EASA Decision 2024/015</t>
  </si>
  <si>
    <t xml:space="preserve">Reichweite 50 km + Engagement 12 cibles parallèles</t>
  </si>
  <si>
    <t xml:space="preserve">Capacité de portée 50 km avec engagement multi-cibles selon paramètres opérationnels du programme « European Sky Shield ».</t>
  </si>
  <si>
    <t xml:space="preserve">Charte ASD : éviter chiffres tactiques précis dans communication grand public</t>
  </si>
  <si>
    <t xml:space="preserve">[Pas de mention IA dans le post LinkedIn]</t>
  </si>
  <si>
    <t xml:space="preserve">Hashtag obligatoire en fin de post : #AIGenerated #EUAIAct ou note discrète : « Post avec assistance IA »</t>
  </si>
  <si>
    <t xml:space="preserve">AI Act art. 50 — applicable aussi aux posts social</t>
  </si>
  <si>
    <t xml:space="preserve">Système d'arme sol-air offre Reichweite 50 km</t>
  </si>
  <si>
    <t xml:space="preserve">[FLAG DefenseCommsGuard] Système d'arme sol-air = matériel de guerre LMG cat. 2 — diffusion publique des spécifications à valider compliance officer export.</t>
  </si>
  <si>
    <t xml:space="preserve">Diffusion publique des specs d'un matériel de guerre = potentiellement non conforme L.2335-1</t>
  </si>
  <si>
    <t xml:space="preserve">EDIP funded 35%</t>
  </si>
  <si>
    <t xml:space="preserve">EDIP funded 35% (Reg. UE 2025/588, conformément aux engagements EU Defence Industrial Strategy 2024)</t>
  </si>
  <si>
    <t xml:space="preserve">Sourcer la référence du règlement EDIP</t>
  </si>
  <si>
    <t xml:space="preserve">système anti-drone éprouvé sur le terrain ukrainien</t>
  </si>
  <si>
    <t xml:space="preserve">système anti-drone éprouvé en conditions opérationnelles complexes (sans citation conflit en cours)</t>
  </si>
  <si>
    <t xml:space="preserve">Charte ASD : éviter référence à conflit en cours pour des talking points VIP — risque géopolitique</t>
  </si>
  <si>
    <t xml:space="preserve">[Pas de mention IA dans talking points]</t>
  </si>
  <si>
    <t xml:space="preserve">Mention en pied : « Synthèse benchmarks assistée IA — validation manuelle par dirigeant intervenant ».</t>
  </si>
  <si>
    <t xml:space="preserve">AI Act applicable aux talking points même non publiés</t>
  </si>
  <si>
    <t xml:space="preserve">ouverts aux discussions de transferts de technologie pour pays partenaires</t>
  </si>
  <si>
    <t xml:space="preserve">[FLAG DefenseCommsGuard] — Mention transferts de technologie = opération sous AT/IDP DGA. Reformuler : « Coopérations encadrées par les autorités françaises (DGA) selon les accords G2G applicables ».</t>
  </si>
  <si>
    <t xml:space="preserve">Mention « transferts de technologie » sans encadrement compliance = risque export-control</t>
  </si>
  <si>
    <t xml:space="preserve">[Talking points en français uniquement]</t>
  </si>
  <si>
    <t xml:space="preserve">Préparer version EN systématique + version arabe si délégations MENA confirmées.</t>
  </si>
  <si>
    <t xml:space="preserve">Eurosatory accueille 100+ délégations — multilangue recommandé pour talking points VIP</t>
  </si>
  <si>
    <t xml:space="preserve">[Pas de mention IA pour les renders cabine et la traduction AR]</t>
  </si>
  <si>
    <t xml:space="preserve">Sticker discret sur les renders : « AI-generated visualization » — UE 2024/1689 art. 50 + AR translation watermark.</t>
  </si>
  <si>
    <t xml:space="preserve">AI Act art. 50 art. visuels IA = disclosure obligatoire (deepfake/synthetic media)</t>
  </si>
  <si>
    <t xml:space="preserve">Story Instagram (sans mention horaire local)</t>
  </si>
  <si>
    <t xml:space="preserve">Programmer story selon fuseau Asia/Dubai (GST UTC+4) — éviter publication 2-3am heure locale.</t>
  </si>
  <si>
    <t xml:space="preserve">Multi-fuseau : programmation sociale doit respecter heure locale du salon</t>
  </si>
  <si>
    <t xml:space="preserve">Sustainability built-in: SAF compatible up to 50% blend</t>
  </si>
  <si>
    <t xml:space="preserve">SAF compatibility up to 50% blend (HEFA certified ISCC EU, ReFuelEU Aviation Reg. 2023/2405). Lifecycle CO2eq study available on request.</t>
  </si>
  <si>
    <t xml:space="preserve">Greenwashing potentiel : préciser type SAF + certification + LCA</t>
  </si>
  <si>
    <t xml:space="preserve">range 6 500 nm... Speed Mach 0.85</t>
  </si>
  <si>
    <t xml:space="preserve">Range 6 500 nm (long-range cruise, ISA, max payload — réf. flight test FT-2024-Q3) — Speed Mach 0.85 (max operating cruise)</t>
  </si>
  <si>
    <t xml:space="preserve">Chiffres techniques marketing sans contexte opérationnel = potentiellement trompeur</t>
  </si>
  <si>
    <t xml:space="preserve">AI Act art. 50 — Modèles de mention IA pour packs salons</t>
  </si>
  <si>
    <t xml:space="preserve">Applicable 2 août 2026. Tous formats événementiels concernés.</t>
  </si>
  <si>
    <t xml:space="preserve">Format</t>
  </si>
  <si>
    <t xml:space="preserve">Mention FR</t>
  </si>
  <si>
    <t xml:space="preserve">Mention EN</t>
  </si>
  <si>
    <t xml:space="preserve">Communiqué rédigé avec assistance IA — données techniques validées par bureau d'études. (UE 2024/1689 art. 50.)</t>
  </si>
  <si>
    <t xml:space="preserve">Press release drafted with AI assistance — technical data validated by engineering office. (EU 2024/1689 art. 50.)</t>
  </si>
  <si>
    <t xml:space="preserve">Post social (LinkedIn / X)</t>
  </si>
  <si>
    <t xml:space="preserve">Post composé avec assistance IA #AIGen</t>
  </si>
  <si>
    <t xml:space="preserve">Post composed with AI assistance #AIGen #EU2024-1689</t>
  </si>
  <si>
    <t xml:space="preserve">Story Instagram avec renders</t>
  </si>
  <si>
    <t xml:space="preserve">Visualisation générée par IA — réalité approximative — UE 2024/1689</t>
  </si>
  <si>
    <t xml:space="preserve">AI-generated visualization — approximate render — EU 2024/1689</t>
  </si>
  <si>
    <t xml:space="preserve">Talking points VIP (interne)</t>
  </si>
  <si>
    <t xml:space="preserve">Talking points avec synthèse IA — validation manuelle par intervenant. UE 2024/1689 art. 50.</t>
  </si>
  <si>
    <t xml:space="preserve">Talking points with AI synthesis — manual validation by speaker. EU 2024/1689 art. 50.</t>
  </si>
  <si>
    <t xml:space="preserve">Brochure imprimée salon</t>
  </si>
  <si>
    <t xml:space="preserve">Document avec contenus partiellement générés par IA — UE 2024/1689 art. 50.</t>
  </si>
  <si>
    <t xml:space="preserve">Document with content partially AI-generated — EU 2024/1689 art. 50.</t>
  </si>
  <si>
    <t xml:space="preserve">Truth layer — Ce que AeroEventAI NE remplace PAS</t>
  </si>
  <si>
    <t xml:space="preserve">Disclaimer obligatoire. Sujet : pack événementiel salons sensibles.</t>
  </si>
  <si>
    <t xml:space="preserve">Directeur communication</t>
  </si>
  <si>
    <t xml:space="preserve">L'agent ne remplace pas le directeur communication / DirCom. Toute diffusion presse, social, brochure doit être validée par le DirCom.</t>
  </si>
  <si>
    <t xml:space="preserve">Compliance officer export</t>
  </si>
  <si>
    <t xml:space="preserve">Pour toute information ITAR/EAR/dual-use → validation par DefenseCommsGuard + compliance officer obligatoire avant diffusion publique au salon.</t>
  </si>
  <si>
    <t xml:space="preserve">Juriste défense</t>
  </si>
  <si>
    <t xml:space="preserve">Toute mention programme défense / cooperation agreement / G2G doit être validée par juriste défense.</t>
  </si>
  <si>
    <t xml:space="preserve">Bureau d'études</t>
  </si>
  <si>
    <t xml:space="preserve">Tout chiffre technique (range, vitesse, MTBF, autonomie) doit être confirmé par bureau d'études signataire.</t>
  </si>
  <si>
    <t xml:space="preserve">DGA/SGDSN — Classification</t>
  </si>
  <si>
    <t xml:space="preserve">L'agent ne classifie pas les contenus. Toute mention sensible doit être pré-validée par officier de sécurité.</t>
  </si>
  <si>
    <t xml:space="preserve">Anti-greenwashing</t>
  </si>
  <si>
    <t xml:space="preserve">Pour tout claim SAF/H2/électrique/CO2 → renvoyer audit complet à AeroSustainabilityComms avant diffusion.</t>
  </si>
  <si>
    <t xml:space="preserve">ASD Charter</t>
  </si>
  <si>
    <t xml:space="preserve">Charte « responsible defence comms » est volontaire (non opposable juridiquement). L'agent applique ses principes, mais l'arbitrage final reste au DirCom.</t>
  </si>
  <si>
    <t xml:space="preserve">Multi-fuseau / multi-langue</t>
  </si>
  <si>
    <t xml:space="preserve">L'agent suggère des bonnes pratiques. La traduction finale (DE, FR, AR, EN) doit être validée par traducteur professionnel — pas par IA seule pour les contenus sensibles.</t>
  </si>
  <si>
    <t xml:space="preserve">Embargo presse</t>
  </si>
  <si>
    <t xml:space="preserve">L'agent applique les conventions standard (date + heure + fuseau). Toute relation presse spécifique (exclusivité, embargo strict) reste de la responsabilité du DirCom.</t>
  </si>
  <si>
    <t xml:space="preserve">Date de fraîcheur</t>
  </si>
  <si>
    <t xml:space="preserve">Calendrier 2026 figé au 25/04/2026. À rafraîchir avant tout planning événementiel — annulations / reports possibles.</t>
  </si>
  <si>
    <t xml:space="preserve">Limite v1</t>
  </si>
  <si>
    <t xml:space="preserve">Pas de génération automatique de visuels/photos. Pas de scheduling automatique sur LinkedIn/X. v2 prévue avec connecteur outils MarTech.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</si>
</sst>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0E0824"/>
      <name val="Arial"/>
      <family val="0"/>
      <charset val="1"/>
    </font>
    <font>
      <sz val="10"/>
      <color rgb="FF0E082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AE6F5"/>
        <bgColor rgb="FFFEE2E2"/>
      </patternFill>
    </fill>
    <fill>
      <patternFill patternType="solid">
        <fgColor rgb="FF1E1242"/>
        <bgColor rgb="FF0E0824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AE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E0824"/>
      <rgbColor rgb="FF808000"/>
      <rgbColor rgb="FF800080"/>
      <rgbColor rgb="FF008080"/>
      <rgbColor rgb="FFCCCCCC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6F5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1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36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39.75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39.75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39.75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50"/>
    <col collapsed="false" customWidth="true" hidden="false" outlineLevel="0" max="8" min="7" style="0" width="22"/>
    <col collapsed="false" customWidth="true" hidden="false" outlineLevel="0" max="9" min="9" style="0" width="50"/>
  </cols>
  <sheetData>
    <row r="1" customFormat="false" ht="36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</row>
    <row r="5" customFormat="false" ht="79.5" hidden="false" customHeight="tru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customFormat="false" ht="79.5" hidden="false" customHeight="true" outlineLevel="0" collapsed="false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50</v>
      </c>
    </row>
    <row r="7" customFormat="false" ht="79.5" hidden="false" customHeight="true" outlineLevel="0" collapsed="false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</row>
    <row r="8" customFormat="false" ht="79.5" hidden="false" customHeight="true" outlineLevel="0" collapsed="false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45"/>
  </cols>
  <sheetData>
    <row r="1" customFormat="false" ht="36" hidden="false" customHeight="true" outlineLevel="0" collapsed="false">
      <c r="A1" s="1" t="s">
        <v>69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70</v>
      </c>
      <c r="B2" s="2"/>
      <c r="C2" s="2"/>
      <c r="D2" s="2"/>
      <c r="E2" s="2"/>
    </row>
    <row r="4" customFormat="false" ht="30" hidden="false" customHeight="true" outlineLevel="0" collapsed="false">
      <c r="A4" s="5" t="s">
        <v>24</v>
      </c>
      <c r="B4" s="5" t="s">
        <v>71</v>
      </c>
      <c r="C4" s="5" t="s">
        <v>72</v>
      </c>
      <c r="D4" s="5" t="s">
        <v>73</v>
      </c>
      <c r="E4" s="5" t="s">
        <v>74</v>
      </c>
    </row>
    <row r="5" customFormat="false" ht="69.75" hidden="false" customHeight="true" outlineLevel="0" collapsed="false">
      <c r="A5" s="4" t="s">
        <v>75</v>
      </c>
      <c r="B5" s="4" t="s">
        <v>76</v>
      </c>
      <c r="C5" s="4" t="s">
        <v>32</v>
      </c>
      <c r="D5" s="4" t="s">
        <v>77</v>
      </c>
      <c r="E5" s="4" t="s">
        <v>78</v>
      </c>
    </row>
    <row r="6" customFormat="false" ht="69.75" hidden="false" customHeight="true" outlineLevel="0" collapsed="false">
      <c r="A6" s="6" t="s">
        <v>79</v>
      </c>
      <c r="B6" s="6" t="s">
        <v>80</v>
      </c>
      <c r="C6" s="6" t="s">
        <v>81</v>
      </c>
      <c r="D6" s="6" t="s">
        <v>82</v>
      </c>
      <c r="E6" s="6" t="s">
        <v>83</v>
      </c>
    </row>
    <row r="7" customFormat="false" ht="69.75" hidden="false" customHeight="true" outlineLevel="0" collapsed="false">
      <c r="A7" s="4" t="s">
        <v>84</v>
      </c>
      <c r="B7" s="4" t="s">
        <v>85</v>
      </c>
      <c r="C7" s="4" t="s">
        <v>86</v>
      </c>
      <c r="D7" s="4" t="s">
        <v>87</v>
      </c>
      <c r="E7" s="4" t="s">
        <v>88</v>
      </c>
    </row>
    <row r="8" customFormat="false" ht="69.75" hidden="false" customHeight="true" outlineLevel="0" collapsed="false">
      <c r="A8" s="6" t="s">
        <v>89</v>
      </c>
      <c r="B8" s="6" t="s">
        <v>90</v>
      </c>
      <c r="C8" s="6" t="s">
        <v>91</v>
      </c>
      <c r="D8" s="6" t="s">
        <v>92</v>
      </c>
      <c r="E8" s="6" t="s">
        <v>93</v>
      </c>
    </row>
    <row r="9" customFormat="false" ht="69.75" hidden="false" customHeight="true" outlineLevel="0" collapsed="false">
      <c r="A9" s="4" t="s">
        <v>94</v>
      </c>
      <c r="B9" s="4" t="s">
        <v>95</v>
      </c>
      <c r="C9" s="4" t="s">
        <v>96</v>
      </c>
      <c r="D9" s="4" t="s">
        <v>97</v>
      </c>
      <c r="E9" s="4" t="s">
        <v>98</v>
      </c>
    </row>
    <row r="10" customFormat="false" ht="69.75" hidden="false" customHeight="true" outlineLevel="0" collapsed="false">
      <c r="A10" s="6" t="s">
        <v>99</v>
      </c>
      <c r="B10" s="6" t="s">
        <v>100</v>
      </c>
      <c r="C10" s="6" t="s">
        <v>101</v>
      </c>
      <c r="D10" s="6" t="s">
        <v>102</v>
      </c>
      <c r="E10" s="6" t="s">
        <v>103</v>
      </c>
    </row>
    <row r="11" customFormat="false" ht="69.75" hidden="false" customHeight="true" outlineLevel="0" collapsed="false">
      <c r="A11" s="4" t="s">
        <v>104</v>
      </c>
      <c r="B11" s="4" t="s">
        <v>105</v>
      </c>
      <c r="C11" s="4" t="s">
        <v>106</v>
      </c>
      <c r="D11" s="4" t="s">
        <v>107</v>
      </c>
      <c r="E11" s="4" t="s">
        <v>108</v>
      </c>
    </row>
    <row r="12" customFormat="false" ht="69.75" hidden="false" customHeight="true" outlineLevel="0" collapsed="false">
      <c r="A12" s="6" t="s">
        <v>109</v>
      </c>
      <c r="B12" s="6" t="s">
        <v>110</v>
      </c>
      <c r="C12" s="6" t="s">
        <v>111</v>
      </c>
      <c r="D12" s="6" t="s">
        <v>112</v>
      </c>
      <c r="E12" s="6" t="s">
        <v>113</v>
      </c>
    </row>
    <row r="13" customFormat="false" ht="69.75" hidden="false" customHeight="true" outlineLevel="0" collapsed="false">
      <c r="A13" s="4" t="s">
        <v>114</v>
      </c>
      <c r="B13" s="4" t="s">
        <v>115</v>
      </c>
      <c r="C13" s="4" t="s">
        <v>116</v>
      </c>
      <c r="D13" s="4" t="s">
        <v>117</v>
      </c>
      <c r="E13" s="4" t="s">
        <v>118</v>
      </c>
    </row>
    <row r="14" customFormat="false" ht="69.75" hidden="false" customHeight="true" outlineLevel="0" collapsed="false">
      <c r="A14" s="6" t="s">
        <v>119</v>
      </c>
      <c r="B14" s="6" t="s">
        <v>120</v>
      </c>
      <c r="C14" s="6" t="s">
        <v>121</v>
      </c>
      <c r="D14" s="6" t="s">
        <v>122</v>
      </c>
      <c r="E14" s="6" t="s">
        <v>123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80"/>
  </cols>
  <sheetData>
    <row r="1" customFormat="false" ht="36" hidden="false" customHeight="true" outlineLevel="0" collapsed="false">
      <c r="A1" s="1" t="s">
        <v>124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125</v>
      </c>
      <c r="B2" s="2"/>
      <c r="C2" s="2"/>
      <c r="D2" s="2"/>
      <c r="E2" s="2"/>
    </row>
    <row r="4" customFormat="false" ht="30" hidden="false" customHeight="true" outlineLevel="0" collapsed="false">
      <c r="A4" s="5" t="s">
        <v>25</v>
      </c>
      <c r="B4" s="5" t="s">
        <v>126</v>
      </c>
      <c r="C4" s="5" t="s">
        <v>127</v>
      </c>
      <c r="D4" s="5" t="s">
        <v>128</v>
      </c>
      <c r="E4" s="5" t="s">
        <v>129</v>
      </c>
    </row>
    <row r="5" customFormat="false" ht="139.5" hidden="false" customHeight="true" outlineLevel="0" collapsed="false">
      <c r="A5" s="4" t="s">
        <v>33</v>
      </c>
      <c r="B5" s="4" t="s">
        <v>130</v>
      </c>
      <c r="C5" s="4" t="s">
        <v>131</v>
      </c>
      <c r="D5" s="4" t="s">
        <v>132</v>
      </c>
      <c r="E5" s="4" t="s">
        <v>133</v>
      </c>
    </row>
    <row r="6" customFormat="false" ht="139.5" hidden="false" customHeight="true" outlineLevel="0" collapsed="false">
      <c r="A6" s="6" t="s">
        <v>42</v>
      </c>
      <c r="B6" s="6" t="s">
        <v>134</v>
      </c>
      <c r="C6" s="6" t="s">
        <v>135</v>
      </c>
      <c r="D6" s="6" t="s">
        <v>136</v>
      </c>
      <c r="E6" s="6" t="s">
        <v>137</v>
      </c>
    </row>
    <row r="7" customFormat="false" ht="139.5" hidden="false" customHeight="true" outlineLevel="0" collapsed="false">
      <c r="A7" s="4" t="s">
        <v>51</v>
      </c>
      <c r="B7" s="4" t="s">
        <v>138</v>
      </c>
      <c r="C7" s="4" t="s">
        <v>139</v>
      </c>
      <c r="D7" s="4" t="s">
        <v>140</v>
      </c>
      <c r="E7" s="4" t="s">
        <v>141</v>
      </c>
    </row>
    <row r="8" customFormat="false" ht="139.5" hidden="false" customHeight="true" outlineLevel="0" collapsed="false">
      <c r="A8" s="6" t="s">
        <v>60</v>
      </c>
      <c r="B8" s="6" t="s">
        <v>142</v>
      </c>
      <c r="C8" s="6" t="s">
        <v>143</v>
      </c>
      <c r="D8" s="6" t="s">
        <v>144</v>
      </c>
      <c r="E8" s="6" t="s">
        <v>145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4"/>
  </cols>
  <sheetData>
    <row r="1" customFormat="false" ht="36" hidden="false" customHeight="true" outlineLevel="0" collapsed="false">
      <c r="A1" s="1" t="s">
        <v>146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147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24</v>
      </c>
      <c r="B4" s="5" t="s">
        <v>73</v>
      </c>
      <c r="C4" s="5" t="s">
        <v>33</v>
      </c>
      <c r="D4" s="5" t="s">
        <v>42</v>
      </c>
      <c r="E4" s="5" t="s">
        <v>51</v>
      </c>
      <c r="F4" s="5" t="s">
        <v>60</v>
      </c>
    </row>
    <row r="5" customFormat="false" ht="25.5" hidden="false" customHeight="true" outlineLevel="0" collapsed="false">
      <c r="A5" s="7" t="s">
        <v>75</v>
      </c>
      <c r="B5" s="8" t="s">
        <v>76</v>
      </c>
      <c r="C5" s="9" t="s">
        <v>148</v>
      </c>
      <c r="D5" s="10" t="s">
        <v>149</v>
      </c>
      <c r="E5" s="11" t="s">
        <v>150</v>
      </c>
      <c r="F5" s="9" t="s">
        <v>148</v>
      </c>
    </row>
    <row r="6" customFormat="false" ht="25.5" hidden="false" customHeight="true" outlineLevel="0" collapsed="false">
      <c r="A6" s="7" t="s">
        <v>79</v>
      </c>
      <c r="B6" s="8" t="s">
        <v>80</v>
      </c>
      <c r="C6" s="11" t="s">
        <v>150</v>
      </c>
      <c r="D6" s="11" t="s">
        <v>150</v>
      </c>
      <c r="E6" s="10" t="s">
        <v>149</v>
      </c>
      <c r="F6" s="11" t="s">
        <v>150</v>
      </c>
    </row>
    <row r="7" customFormat="false" ht="25.5" hidden="false" customHeight="true" outlineLevel="0" collapsed="false">
      <c r="A7" s="7" t="s">
        <v>84</v>
      </c>
      <c r="B7" s="8" t="s">
        <v>85</v>
      </c>
      <c r="C7" s="9" t="s">
        <v>148</v>
      </c>
      <c r="D7" s="10" t="s">
        <v>149</v>
      </c>
      <c r="E7" s="10" t="s">
        <v>149</v>
      </c>
      <c r="F7" s="9" t="s">
        <v>148</v>
      </c>
    </row>
    <row r="8" customFormat="false" ht="25.5" hidden="false" customHeight="true" outlineLevel="0" collapsed="false">
      <c r="A8" s="7" t="s">
        <v>89</v>
      </c>
      <c r="B8" s="8" t="s">
        <v>90</v>
      </c>
      <c r="C8" s="9" t="s">
        <v>148</v>
      </c>
      <c r="D8" s="9" t="s">
        <v>148</v>
      </c>
      <c r="E8" s="9" t="s">
        <v>148</v>
      </c>
      <c r="F8" s="9" t="s">
        <v>148</v>
      </c>
    </row>
    <row r="9" customFormat="false" ht="25.5" hidden="false" customHeight="true" outlineLevel="0" collapsed="false">
      <c r="A9" s="7" t="s">
        <v>94</v>
      </c>
      <c r="B9" s="8" t="s">
        <v>95</v>
      </c>
      <c r="C9" s="9" t="s">
        <v>148</v>
      </c>
      <c r="D9" s="9" t="s">
        <v>148</v>
      </c>
      <c r="E9" s="9" t="s">
        <v>148</v>
      </c>
      <c r="F9" s="9" t="s">
        <v>148</v>
      </c>
    </row>
    <row r="10" customFormat="false" ht="25.5" hidden="false" customHeight="true" outlineLevel="0" collapsed="false">
      <c r="A10" s="7" t="s">
        <v>99</v>
      </c>
      <c r="B10" s="8" t="s">
        <v>100</v>
      </c>
      <c r="C10" s="10" t="s">
        <v>149</v>
      </c>
      <c r="D10" s="10" t="s">
        <v>149</v>
      </c>
      <c r="E10" s="10" t="s">
        <v>149</v>
      </c>
      <c r="F10" s="10" t="s">
        <v>149</v>
      </c>
    </row>
    <row r="11" customFormat="false" ht="25.5" hidden="false" customHeight="true" outlineLevel="0" collapsed="false">
      <c r="A11" s="7" t="s">
        <v>104</v>
      </c>
      <c r="B11" s="8" t="s">
        <v>105</v>
      </c>
      <c r="C11" s="9" t="s">
        <v>148</v>
      </c>
      <c r="D11" s="9" t="s">
        <v>148</v>
      </c>
      <c r="E11" s="9" t="s">
        <v>148</v>
      </c>
      <c r="F11" s="10" t="s">
        <v>149</v>
      </c>
    </row>
    <row r="12" customFormat="false" ht="25.5" hidden="false" customHeight="true" outlineLevel="0" collapsed="false">
      <c r="A12" s="7" t="s">
        <v>109</v>
      </c>
      <c r="B12" s="8" t="s">
        <v>110</v>
      </c>
      <c r="C12" s="10" t="s">
        <v>149</v>
      </c>
      <c r="D12" s="9" t="s">
        <v>148</v>
      </c>
      <c r="E12" s="10" t="s">
        <v>149</v>
      </c>
      <c r="F12" s="9" t="s">
        <v>148</v>
      </c>
    </row>
    <row r="13" customFormat="false" ht="25.5" hidden="false" customHeight="true" outlineLevel="0" collapsed="false">
      <c r="A13" s="7" t="s">
        <v>114</v>
      </c>
      <c r="B13" s="8" t="s">
        <v>115</v>
      </c>
      <c r="C13" s="9" t="s">
        <v>148</v>
      </c>
      <c r="D13" s="9" t="s">
        <v>148</v>
      </c>
      <c r="E13" s="9" t="s">
        <v>148</v>
      </c>
      <c r="F13" s="9" t="s">
        <v>148</v>
      </c>
    </row>
    <row r="14" customFormat="false" ht="25.5" hidden="false" customHeight="true" outlineLevel="0" collapsed="false">
      <c r="A14" s="7" t="s">
        <v>119</v>
      </c>
      <c r="B14" s="8" t="s">
        <v>120</v>
      </c>
      <c r="C14" s="10" t="s">
        <v>149</v>
      </c>
      <c r="D14" s="9" t="s">
        <v>148</v>
      </c>
      <c r="E14" s="9" t="s">
        <v>148</v>
      </c>
      <c r="F14" s="10" t="s">
        <v>149</v>
      </c>
    </row>
    <row r="16" customFormat="false" ht="24" hidden="false" customHeight="true" outlineLevel="0" collapsed="false">
      <c r="A16" s="12" t="s">
        <v>151</v>
      </c>
      <c r="B16" s="12"/>
      <c r="C16" s="12"/>
      <c r="D16" s="12"/>
      <c r="E16" s="12"/>
      <c r="F16" s="12"/>
    </row>
    <row r="17" customFormat="false" ht="21.75" hidden="false" customHeight="true" outlineLevel="0" collapsed="false">
      <c r="A17" s="4"/>
      <c r="B17" s="13" t="s">
        <v>152</v>
      </c>
      <c r="C17" s="4" t="n">
        <f aca="false">COUNTIF(C5:C14,"OK")</f>
        <v>6</v>
      </c>
      <c r="D17" s="4" t="n">
        <f aca="false">COUNTIF(D5:D14,"OK")</f>
        <v>6</v>
      </c>
      <c r="E17" s="4" t="n">
        <f aca="false">COUNTIF(E5:E14,"OK")</f>
        <v>5</v>
      </c>
      <c r="F17" s="4" t="n">
        <f aca="false">COUNTIF(F5:F14,"OK")</f>
        <v>6</v>
      </c>
    </row>
    <row r="18" customFormat="false" ht="21.75" hidden="false" customHeight="true" outlineLevel="0" collapsed="false">
      <c r="A18" s="4"/>
      <c r="B18" s="13" t="s">
        <v>153</v>
      </c>
      <c r="C18" s="4" t="n">
        <f aca="false">COUNTIF(C5:C14,"WARN")</f>
        <v>3</v>
      </c>
      <c r="D18" s="4" t="n">
        <f aca="false">COUNTIF(D5:D14,"WARN")</f>
        <v>3</v>
      </c>
      <c r="E18" s="4" t="n">
        <f aca="false">COUNTIF(E5:E14,"WARN")</f>
        <v>4</v>
      </c>
      <c r="F18" s="4" t="n">
        <f aca="false">COUNTIF(F5:F14,"WARN")</f>
        <v>3</v>
      </c>
    </row>
    <row r="19" customFormat="false" ht="21.75" hidden="false" customHeight="true" outlineLevel="0" collapsed="false">
      <c r="A19" s="4"/>
      <c r="B19" s="13" t="s">
        <v>154</v>
      </c>
      <c r="C19" s="4" t="n">
        <f aca="false">COUNTIF(C5:C14,"KO")</f>
        <v>1</v>
      </c>
      <c r="D19" s="4" t="n">
        <f aca="false">COUNTIF(D5:D14,"KO")</f>
        <v>1</v>
      </c>
      <c r="E19" s="4" t="n">
        <f aca="false">COUNTIF(E5:E14,"KO")</f>
        <v>1</v>
      </c>
      <c r="F19" s="4" t="n">
        <f aca="false">COUNTIF(F5:F14,"KO")</f>
        <v>1</v>
      </c>
    </row>
    <row r="20" customFormat="false" ht="24" hidden="false" customHeight="true" outlineLevel="0" collapsed="false">
      <c r="A20" s="4"/>
      <c r="B20" s="13" t="s">
        <v>155</v>
      </c>
      <c r="C20" s="14" t="n">
        <f aca="false">(COUNTIF(C5:C14,"OK")+0.5*COUNTIF(C5:C14,"WARN"))/10</f>
        <v>0.75</v>
      </c>
      <c r="D20" s="14" t="n">
        <f aca="false">(COUNTIF(D5:D14,"OK")+0.5*COUNTIF(D5:D14,"WARN"))/10</f>
        <v>0.75</v>
      </c>
      <c r="E20" s="14" t="n">
        <f aca="false">(COUNTIF(E5:E14,"OK")+0.5*COUNTIF(E5:E14,"WARN"))/10</f>
        <v>0.7</v>
      </c>
      <c r="F20" s="14" t="n">
        <f aca="false">(COUNTIF(F5:F14,"OK")+0.5*COUNTIF(F5:F14,"WARN"))/10</f>
        <v>0.75</v>
      </c>
    </row>
    <row r="21" customFormat="false" ht="25.5" hidden="false" customHeight="true" outlineLevel="0" collapsed="false">
      <c r="A21" s="4"/>
      <c r="B21" s="13" t="s">
        <v>10</v>
      </c>
      <c r="C21" s="4" t="str">
        <f aca="false">IF(COUNTIF(C5:C14,"KO")&gt;0,"BLOQUÉ",IF((COUNTIF(C5:C14,"OK")+0.5*COUNTIF(C5:C14,"WARN"))/10&gt;=0.8,"DIFFUSION OK","RELECTURE"))</f>
        <v>BLOQUÉ</v>
      </c>
      <c r="D21" s="4" t="str">
        <f aca="false">IF(COUNTIF(D5:D14,"KO")&gt;0,"BLOQUÉ",IF((COUNTIF(D5:D14,"OK")+0.5*COUNTIF(D5:D14,"WARN"))/10&gt;=0.8,"DIFFUSION OK","RELECTURE"))</f>
        <v>BLOQUÉ</v>
      </c>
      <c r="E21" s="4" t="str">
        <f aca="false">IF(COUNTIF(E5:E14,"KO")&gt;0,"BLOQUÉ",IF((COUNTIF(E5:E14,"OK")+0.5*COUNTIF(E5:E14,"WARN"))/10&gt;=0.8,"DIFFUSION OK","RELECTURE"))</f>
        <v>BLOQUÉ</v>
      </c>
      <c r="F21" s="4" t="str">
        <f aca="false">IF(COUNTIF(F5:F14,"KO")&gt;0,"BLOQUÉ",IF((COUNTIF(F5:F14,"OK")+0.5*COUNTIF(F5:F14,"WARN"))/10&gt;=0.8,"DIFFUSION OK","RELECTURE"))</f>
        <v>BLOQUÉ</v>
      </c>
    </row>
  </sheetData>
  <mergeCells count="3">
    <mergeCell ref="A1:F1"/>
    <mergeCell ref="A2:F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65"/>
    <col collapsed="false" customWidth="true" hidden="false" outlineLevel="0" max="5" min="5" style="0" width="45"/>
  </cols>
  <sheetData>
    <row r="1" customFormat="false" ht="36" hidden="false" customHeight="true" outlineLevel="0" collapsed="false">
      <c r="A1" s="1" t="s">
        <v>156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157</v>
      </c>
      <c r="B2" s="2"/>
      <c r="C2" s="2"/>
      <c r="D2" s="2"/>
      <c r="E2" s="2"/>
    </row>
    <row r="4" customFormat="false" ht="30" hidden="false" customHeight="true" outlineLevel="0" collapsed="false">
      <c r="A4" s="5" t="s">
        <v>25</v>
      </c>
      <c r="B4" s="5" t="s">
        <v>73</v>
      </c>
      <c r="C4" s="5" t="s">
        <v>158</v>
      </c>
      <c r="D4" s="5" t="s">
        <v>159</v>
      </c>
      <c r="E4" s="5" t="s">
        <v>160</v>
      </c>
    </row>
    <row r="5" customFormat="false" ht="75" hidden="false" customHeight="true" outlineLevel="0" collapsed="false">
      <c r="A5" s="4" t="s">
        <v>33</v>
      </c>
      <c r="B5" s="4" t="s">
        <v>79</v>
      </c>
      <c r="C5" s="4" t="s">
        <v>161</v>
      </c>
      <c r="D5" s="4" t="s">
        <v>162</v>
      </c>
      <c r="E5" s="4" t="s">
        <v>163</v>
      </c>
    </row>
    <row r="6" customFormat="false" ht="75" hidden="false" customHeight="true" outlineLevel="0" collapsed="false">
      <c r="A6" s="6" t="s">
        <v>33</v>
      </c>
      <c r="B6" s="6" t="s">
        <v>99</v>
      </c>
      <c r="C6" s="6" t="s">
        <v>164</v>
      </c>
      <c r="D6" s="6" t="s">
        <v>165</v>
      </c>
      <c r="E6" s="6" t="s">
        <v>166</v>
      </c>
    </row>
    <row r="7" customFormat="false" ht="75" hidden="false" customHeight="true" outlineLevel="0" collapsed="false">
      <c r="A7" s="4" t="s">
        <v>33</v>
      </c>
      <c r="B7" s="4" t="s">
        <v>109</v>
      </c>
      <c r="C7" s="4" t="s">
        <v>167</v>
      </c>
      <c r="D7" s="4" t="s">
        <v>168</v>
      </c>
      <c r="E7" s="4" t="s">
        <v>169</v>
      </c>
    </row>
    <row r="8" customFormat="false" ht="75" hidden="false" customHeight="true" outlineLevel="0" collapsed="false">
      <c r="A8" s="6" t="s">
        <v>33</v>
      </c>
      <c r="B8" s="6" t="s">
        <v>119</v>
      </c>
      <c r="C8" s="6" t="s">
        <v>170</v>
      </c>
      <c r="D8" s="6" t="s">
        <v>171</v>
      </c>
      <c r="E8" s="6" t="s">
        <v>172</v>
      </c>
    </row>
    <row r="9" customFormat="false" ht="75" hidden="false" customHeight="true" outlineLevel="0" collapsed="false">
      <c r="A9" s="4" t="s">
        <v>42</v>
      </c>
      <c r="B9" s="4" t="s">
        <v>75</v>
      </c>
      <c r="C9" s="4" t="s">
        <v>173</v>
      </c>
      <c r="D9" s="4" t="s">
        <v>174</v>
      </c>
      <c r="E9" s="4" t="s">
        <v>175</v>
      </c>
    </row>
    <row r="10" customFormat="false" ht="75" hidden="false" customHeight="true" outlineLevel="0" collapsed="false">
      <c r="A10" s="6" t="s">
        <v>42</v>
      </c>
      <c r="B10" s="6" t="s">
        <v>79</v>
      </c>
      <c r="C10" s="6" t="s">
        <v>176</v>
      </c>
      <c r="D10" s="6" t="s">
        <v>177</v>
      </c>
      <c r="E10" s="6" t="s">
        <v>178</v>
      </c>
    </row>
    <row r="11" customFormat="false" ht="75" hidden="false" customHeight="true" outlineLevel="0" collapsed="false">
      <c r="A11" s="4" t="s">
        <v>42</v>
      </c>
      <c r="B11" s="4" t="s">
        <v>84</v>
      </c>
      <c r="C11" s="4" t="s">
        <v>179</v>
      </c>
      <c r="D11" s="4" t="s">
        <v>180</v>
      </c>
      <c r="E11" s="4" t="s">
        <v>181</v>
      </c>
    </row>
    <row r="12" customFormat="false" ht="75" hidden="false" customHeight="true" outlineLevel="0" collapsed="false">
      <c r="A12" s="6" t="s">
        <v>42</v>
      </c>
      <c r="B12" s="6" t="s">
        <v>99</v>
      </c>
      <c r="C12" s="6" t="s">
        <v>182</v>
      </c>
      <c r="D12" s="6" t="s">
        <v>183</v>
      </c>
      <c r="E12" s="6" t="s">
        <v>184</v>
      </c>
    </row>
    <row r="13" customFormat="false" ht="75" hidden="false" customHeight="true" outlineLevel="0" collapsed="false">
      <c r="A13" s="4" t="s">
        <v>51</v>
      </c>
      <c r="B13" s="4" t="s">
        <v>75</v>
      </c>
      <c r="C13" s="4" t="s">
        <v>185</v>
      </c>
      <c r="D13" s="4" t="s">
        <v>186</v>
      </c>
      <c r="E13" s="4" t="s">
        <v>187</v>
      </c>
    </row>
    <row r="14" customFormat="false" ht="75" hidden="false" customHeight="true" outlineLevel="0" collapsed="false">
      <c r="A14" s="6" t="s">
        <v>51</v>
      </c>
      <c r="B14" s="6" t="s">
        <v>79</v>
      </c>
      <c r="C14" s="6" t="s">
        <v>188</v>
      </c>
      <c r="D14" s="6" t="s">
        <v>189</v>
      </c>
      <c r="E14" s="6" t="s">
        <v>190</v>
      </c>
    </row>
    <row r="15" customFormat="false" ht="75" hidden="false" customHeight="true" outlineLevel="0" collapsed="false">
      <c r="A15" s="4" t="s">
        <v>51</v>
      </c>
      <c r="B15" s="4" t="s">
        <v>84</v>
      </c>
      <c r="C15" s="4" t="s">
        <v>191</v>
      </c>
      <c r="D15" s="4" t="s">
        <v>192</v>
      </c>
      <c r="E15" s="4" t="s">
        <v>193</v>
      </c>
    </row>
    <row r="16" customFormat="false" ht="75" hidden="false" customHeight="true" outlineLevel="0" collapsed="false">
      <c r="A16" s="6" t="s">
        <v>51</v>
      </c>
      <c r="B16" s="6" t="s">
        <v>109</v>
      </c>
      <c r="C16" s="6" t="s">
        <v>194</v>
      </c>
      <c r="D16" s="6" t="s">
        <v>195</v>
      </c>
      <c r="E16" s="6" t="s">
        <v>196</v>
      </c>
    </row>
    <row r="17" customFormat="false" ht="75" hidden="false" customHeight="true" outlineLevel="0" collapsed="false">
      <c r="A17" s="4" t="s">
        <v>60</v>
      </c>
      <c r="B17" s="4" t="s">
        <v>79</v>
      </c>
      <c r="C17" s="4" t="s">
        <v>197</v>
      </c>
      <c r="D17" s="4" t="s">
        <v>198</v>
      </c>
      <c r="E17" s="4" t="s">
        <v>199</v>
      </c>
    </row>
    <row r="18" customFormat="false" ht="75" hidden="false" customHeight="true" outlineLevel="0" collapsed="false">
      <c r="A18" s="6" t="s">
        <v>60</v>
      </c>
      <c r="B18" s="6" t="s">
        <v>104</v>
      </c>
      <c r="C18" s="6" t="s">
        <v>200</v>
      </c>
      <c r="D18" s="6" t="s">
        <v>201</v>
      </c>
      <c r="E18" s="6" t="s">
        <v>202</v>
      </c>
    </row>
    <row r="19" customFormat="false" ht="75" hidden="false" customHeight="true" outlineLevel="0" collapsed="false">
      <c r="A19" s="4" t="s">
        <v>60</v>
      </c>
      <c r="B19" s="4" t="s">
        <v>119</v>
      </c>
      <c r="C19" s="4" t="s">
        <v>203</v>
      </c>
      <c r="D19" s="4" t="s">
        <v>204</v>
      </c>
      <c r="E19" s="4" t="s">
        <v>205</v>
      </c>
    </row>
    <row r="20" customFormat="false" ht="75" hidden="false" customHeight="true" outlineLevel="0" collapsed="false">
      <c r="A20" s="6" t="s">
        <v>60</v>
      </c>
      <c r="B20" s="6" t="s">
        <v>99</v>
      </c>
      <c r="C20" s="6" t="s">
        <v>206</v>
      </c>
      <c r="D20" s="6" t="s">
        <v>207</v>
      </c>
      <c r="E20" s="6" t="s">
        <v>208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</cols>
  <sheetData>
    <row r="1" customFormat="false" ht="36" hidden="false" customHeight="true" outlineLevel="0" collapsed="false">
      <c r="A1" s="1" t="s">
        <v>209</v>
      </c>
      <c r="B1" s="1"/>
      <c r="C1" s="1"/>
    </row>
    <row r="2" customFormat="false" ht="21.75" hidden="false" customHeight="true" outlineLevel="0" collapsed="false">
      <c r="A2" s="2" t="s">
        <v>210</v>
      </c>
      <c r="B2" s="2"/>
      <c r="C2" s="2"/>
    </row>
    <row r="4" customFormat="false" ht="30" hidden="false" customHeight="true" outlineLevel="0" collapsed="false">
      <c r="A4" s="5" t="s">
        <v>211</v>
      </c>
      <c r="B4" s="5" t="s">
        <v>212</v>
      </c>
      <c r="C4" s="5" t="s">
        <v>213</v>
      </c>
    </row>
    <row r="5" customFormat="false" ht="79.5" hidden="false" customHeight="true" outlineLevel="0" collapsed="false">
      <c r="A5" s="4" t="s">
        <v>130</v>
      </c>
      <c r="B5" s="4" t="s">
        <v>214</v>
      </c>
      <c r="C5" s="4" t="s">
        <v>215</v>
      </c>
    </row>
    <row r="6" customFormat="false" ht="79.5" hidden="false" customHeight="true" outlineLevel="0" collapsed="false">
      <c r="A6" s="6" t="s">
        <v>216</v>
      </c>
      <c r="B6" s="6" t="s">
        <v>217</v>
      </c>
      <c r="C6" s="6" t="s">
        <v>218</v>
      </c>
    </row>
    <row r="7" customFormat="false" ht="79.5" hidden="false" customHeight="true" outlineLevel="0" collapsed="false">
      <c r="A7" s="4" t="s">
        <v>219</v>
      </c>
      <c r="B7" s="4" t="s">
        <v>220</v>
      </c>
      <c r="C7" s="4" t="s">
        <v>221</v>
      </c>
    </row>
    <row r="8" customFormat="false" ht="79.5" hidden="false" customHeight="true" outlineLevel="0" collapsed="false">
      <c r="A8" s="6" t="s">
        <v>222</v>
      </c>
      <c r="B8" s="6" t="s">
        <v>223</v>
      </c>
      <c r="C8" s="6" t="s">
        <v>224</v>
      </c>
    </row>
    <row r="9" customFormat="false" ht="79.5" hidden="false" customHeight="true" outlineLevel="0" collapsed="false">
      <c r="A9" s="4" t="s">
        <v>225</v>
      </c>
      <c r="B9" s="4" t="s">
        <v>226</v>
      </c>
      <c r="C9" s="4" t="s">
        <v>227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6" hidden="false" customHeight="true" outlineLevel="0" collapsed="false">
      <c r="A1" s="1" t="s">
        <v>228</v>
      </c>
      <c r="B1" s="1"/>
    </row>
    <row r="2" customFormat="false" ht="21.75" hidden="false" customHeight="true" outlineLevel="0" collapsed="false">
      <c r="A2" s="2" t="s">
        <v>229</v>
      </c>
      <c r="B2" s="2"/>
    </row>
    <row r="4" customFormat="false" ht="39.75" hidden="false" customHeight="true" outlineLevel="0" collapsed="false">
      <c r="A4" s="3" t="s">
        <v>230</v>
      </c>
      <c r="B4" s="4" t="s">
        <v>231</v>
      </c>
    </row>
    <row r="5" customFormat="false" ht="42" hidden="false" customHeight="true" outlineLevel="0" collapsed="false">
      <c r="A5" s="3" t="s">
        <v>232</v>
      </c>
      <c r="B5" s="4" t="s">
        <v>233</v>
      </c>
    </row>
    <row r="6" customFormat="false" ht="39.75" hidden="false" customHeight="true" outlineLevel="0" collapsed="false">
      <c r="A6" s="3" t="s">
        <v>234</v>
      </c>
      <c r="B6" s="4" t="s">
        <v>235</v>
      </c>
    </row>
    <row r="7" customFormat="false" ht="39.75" hidden="false" customHeight="true" outlineLevel="0" collapsed="false">
      <c r="A7" s="3" t="s">
        <v>236</v>
      </c>
      <c r="B7" s="4" t="s">
        <v>237</v>
      </c>
    </row>
    <row r="8" customFormat="false" ht="39.75" hidden="false" customHeight="true" outlineLevel="0" collapsed="false">
      <c r="A8" s="3" t="s">
        <v>238</v>
      </c>
      <c r="B8" s="4" t="s">
        <v>239</v>
      </c>
    </row>
    <row r="9" customFormat="false" ht="39.75" hidden="false" customHeight="true" outlineLevel="0" collapsed="false">
      <c r="A9" s="3" t="s">
        <v>240</v>
      </c>
      <c r="B9" s="4" t="s">
        <v>241</v>
      </c>
    </row>
    <row r="10" customFormat="false" ht="42" hidden="false" customHeight="true" outlineLevel="0" collapsed="false">
      <c r="A10" s="3" t="s">
        <v>242</v>
      </c>
      <c r="B10" s="4" t="s">
        <v>243</v>
      </c>
    </row>
    <row r="11" customFormat="false" ht="42" hidden="false" customHeight="true" outlineLevel="0" collapsed="false">
      <c r="A11" s="3" t="s">
        <v>244</v>
      </c>
      <c r="B11" s="4" t="s">
        <v>245</v>
      </c>
    </row>
    <row r="12" customFormat="false" ht="42" hidden="false" customHeight="true" outlineLevel="0" collapsed="false">
      <c r="A12" s="3" t="s">
        <v>246</v>
      </c>
      <c r="B12" s="4" t="s">
        <v>247</v>
      </c>
    </row>
    <row r="13" customFormat="false" ht="39.75" hidden="false" customHeight="true" outlineLevel="0" collapsed="false">
      <c r="A13" s="3" t="s">
        <v>248</v>
      </c>
      <c r="B13" s="4" t="s">
        <v>249</v>
      </c>
    </row>
    <row r="14" customFormat="false" ht="39.75" hidden="false" customHeight="true" outlineLevel="0" collapsed="false">
      <c r="A14" s="3" t="s">
        <v>250</v>
      </c>
      <c r="B14" s="4" t="s">
        <v>251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2026-04-25T15:42:32Z</dcterms:created>
  <dc:creator>openpyxl</dc:creator>
  <dc:description/>
  <dc:language>fr-FR</dc:language>
  <cp:lastModifiedBy/>
  <dcterms:modified xsi:type="dcterms:W3CDTF">2026-04-25T15:42:32Z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