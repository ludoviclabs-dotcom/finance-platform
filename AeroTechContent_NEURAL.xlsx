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README" sheetId="1" state="visible" r:id="rId3"/>
    <sheet name="1_Referentiel" sheetId="2" state="visible" r:id="rId4"/>
    <sheet name="2_Cas_Inputs" sheetId="3" state="visible" r:id="rId5"/>
    <sheet name="3_Verdict_Par_Cas" sheetId="4" state="visible" r:id="rId6"/>
    <sheet name="4_Redlines_Outputs" sheetId="5" state="visible" r:id="rId7"/>
    <sheet name="5_AI_Act_Disclosure" sheetId="6" state="visible" r:id="rId8"/>
    <sheet name="6_Limi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<sst xmlns="http://schemas.openxmlformats.org/spreadsheetml/2006/main" count="351" uniqueCount="227">
  <si>
    <t xml:space="preserve">AeroTechContent — Audit qualité contenus aéro B2B technique</t>
  </si>
  <si>
    <t xml:space="preserve">NEURAL — Branche Aéronautique / Marketing — Date de réf. : 25/04/2026</t>
  </si>
  <si>
    <t xml:space="preserve">Mission</t>
  </si>
  <si>
    <t xml:space="preserve">Auditer les contenus marketing techniques aéro (white papers, fiches, RFP, brochures salons) avant diffusion : sources actives, chiffres validés, disclosure IA, mentions DGA, anti-greenwashing, mention cyber, flag export.</t>
  </si>
  <si>
    <t xml:space="preserve">Périmètre</t>
  </si>
  <si>
    <t xml:space="preserve">Aéronautique civile + défense + spatial. B2B uniquement (pas de communication B2C, pas de relations gouvernementales — voir agent aero-comms AGA003 GovRelations).</t>
  </si>
  <si>
    <t xml:space="preserve">Référentiel</t>
  </si>
  <si>
    <t xml:space="preserve">10 règles encodées (R01 à R10) couvrant veille, précision, AI Act, défense FR, ESG, cyber, sécurité, export control, financement EU, mentions légales.</t>
  </si>
  <si>
    <t xml:space="preserve">Échelle verdict</t>
  </si>
  <si>
    <t xml:space="preserve">OK = conforme | WARN = à revoir mais non bloquant | KO = bloquant, redline obligatoire avant diffusion.</t>
  </si>
  <si>
    <t xml:space="preserve">Décision</t>
  </si>
  <si>
    <t xml:space="preserve">Score conformité ≥ 80% ET 0 KO → DIFFUSION OK. Sinon : RELECTURE (WARN cumulés) ou BLOQUÉ (KO ≥ 1).</t>
  </si>
  <si>
    <t xml:space="preserve">Inputs cas démo</t>
  </si>
  <si>
    <t xml:space="preserve">5 cas synthétiques inspirés du marché 2026 : white paper drone, fiche radar AESA, RFP DGA programme drone, RFI NATO communication, brochure Farnborough propulsion hybride.</t>
  </si>
  <si>
    <t xml:space="preserve">Outputs</t>
  </si>
  <si>
    <t xml:space="preserve">(1) Verdict par règle × cas, (2) score conformité auto, (3) décision auto, (4) ~17 redlines concrètes, (5) modèles disclosure IA FR + EN.</t>
  </si>
  <si>
    <t xml:space="preserve">Statut</t>
  </si>
  <si>
    <t xml:space="preserve">Démo recruteur — données synthétiques, pas de programme classifié, pas de client réel cité.</t>
  </si>
  <si>
    <t xml:space="preserve">Disclaimer</t>
  </si>
  <si>
    <t xml:space="preserve">Outil indicatif. Ne remplace PAS un compliance officer export-control, un juriste défense, un bureau d'études signataire ou la DGA / DGAC. Toute diffusion finale doit être validée humainement.</t>
  </si>
  <si>
    <t xml:space="preserve">Référentiel — 10 règles d'audit AeroTechContent</t>
  </si>
  <si>
    <t xml:space="preserve">Chaque règle a un seuil bloquant. Les KO bloquent la diffusion. Les WARN imposent une relecture.</t>
  </si>
  <si>
    <t xml:space="preserve">ID</t>
  </si>
  <si>
    <t xml:space="preserve">Label</t>
  </si>
  <si>
    <t xml:space="preserve">Axe</t>
  </si>
  <si>
    <t xml:space="preserve">Règle</t>
  </si>
  <si>
    <t xml:space="preserve">Base légale / réf.</t>
  </si>
  <si>
    <t xml:space="preserve">Seuil</t>
  </si>
  <si>
    <t xml:space="preserve">R01</t>
  </si>
  <si>
    <t xml:space="preserve">SOURCE-FRESHNESS</t>
  </si>
  <si>
    <t xml:space="preserve">Veille</t>
  </si>
  <si>
    <t xml:space="preserve">Toute source citée doit avoir une date de publication ≤ 24 mois (sauf normes ISO/EASA pérennes).</t>
  </si>
  <si>
    <t xml:space="preserve">Bonne pratique B2B technique — éviter contenu obsolète.</t>
  </si>
  <si>
    <t xml:space="preserve">WARN</t>
  </si>
  <si>
    <t xml:space="preserve">R02</t>
  </si>
  <si>
    <t xml:space="preserve">NUM-VALIDATED</t>
  </si>
  <si>
    <t xml:space="preserve">Précision</t>
  </si>
  <si>
    <t xml:space="preserve">Chaque chiffre technique (km/h, kg, dB, GHz, autonomie, MTBF, dollars) doit être sourcé avec référence vérifiable.</t>
  </si>
  <si>
    <t xml:space="preserve">Code consommation L.121-1 (pratiques commerciales trompeuses) + ASD Charter mars 2025.</t>
  </si>
  <si>
    <t xml:space="preserve">KO</t>
  </si>
  <si>
    <t xml:space="preserve">R03</t>
  </si>
  <si>
    <t xml:space="preserve">AI-DISCLOSE</t>
  </si>
  <si>
    <t xml:space="preserve">AI Act</t>
  </si>
  <si>
    <t xml:space="preserve">Mention IA obligatoire si tout ou partie du contenu généré par IA — applicable 02/08/2026.</t>
  </si>
  <si>
    <t xml:space="preserve">EU AI Act UE 2024/1689 art. 50, applicable 2 août 2026.</t>
  </si>
  <si>
    <t xml:space="preserve">R04</t>
  </si>
  <si>
    <t xml:space="preserve">DGA-MENTION</t>
  </si>
  <si>
    <t xml:space="preserve">Défense FR</t>
  </si>
  <si>
    <t xml:space="preserve">Tout contenu lié à un programme défense français doit mentionner DGA-MOA / numéro programme si publiable.</t>
  </si>
  <si>
    <t xml:space="preserve">Code de la défense L.2335-1 + LPM 2024-2030 (Loi 2023-703).</t>
  </si>
  <si>
    <t xml:space="preserve">R05</t>
  </si>
  <si>
    <t xml:space="preserve">NO-GREENWASH</t>
  </si>
  <si>
    <t xml:space="preserve">ESG</t>
  </si>
  <si>
    <t xml:space="preserve">Pas de claims SAF/H2/électrique vagues (« vert », « neutre carbone », « propre ») sans LCA chiffrée + fournisseur ISCC EU.</t>
  </si>
  <si>
    <t xml:space="preserve">EU Green Claims Directive 2024 (transposition 2026) + Loi Climat &amp; Résilience FR art. 12 + ReFuelEU Aviation Reg. 2023/2405.</t>
  </si>
  <si>
    <t xml:space="preserve">R06</t>
  </si>
  <si>
    <t xml:space="preserve">CYBER-MENTION</t>
  </si>
  <si>
    <t xml:space="preserve">Cyber</t>
  </si>
  <si>
    <t xml:space="preserve">Mention NIS2 / DORA / certification CC EAL ou SecNumCloud obligatoire pour tout système critique embarqué ou sol.</t>
  </si>
  <si>
    <t xml:space="preserve">Décret FR 2024-1308 (NIS2) + DORA Reg. UE 2022/2554 (applicable 17/01/2025).</t>
  </si>
  <si>
    <t xml:space="preserve">R07</t>
  </si>
  <si>
    <t xml:space="preserve">NO-CLASSIFIED</t>
  </si>
  <si>
    <t xml:space="preserve">Sécurité</t>
  </si>
  <si>
    <t xml:space="preserve">Aucune information classifiée Diffusion Restreinte / Secret Défense / Top Secret ne doit apparaître dans un contenu marketing.</t>
  </si>
  <si>
    <t xml:space="preserve">SGDSN — Protection du secret de la défense nationale (Code défense L.2311-1).</t>
  </si>
  <si>
    <t xml:space="preserve">R08</t>
  </si>
  <si>
    <t xml:space="preserve">EXPORT-AWARE</t>
  </si>
  <si>
    <t xml:space="preserve">Export Control</t>
  </si>
  <si>
    <t xml:space="preserve">Toute techno potentiellement ITAR (US 22 CFR 120-130) / EAR (15 CFR 730-774) / EU dual-use Reg. 2021/821 doit être flaggée pour audit DefenseCommsGuard.</t>
  </si>
  <si>
    <t xml:space="preserve">ITAR USML revision janv 2026 + EAR FDPR drones 2025 + EU Reg. 2021/821 dual-use.</t>
  </si>
  <si>
    <t xml:space="preserve">R09</t>
  </si>
  <si>
    <t xml:space="preserve">EU-FUNDING</t>
  </si>
  <si>
    <t xml:space="preserve">Financement EU</t>
  </si>
  <si>
    <t xml:space="preserve">Si projet financé par EDF / EDIRPA / EDIP / ASAP, mention obligatoire du programme et du % de cofinancement.</t>
  </si>
  <si>
    <t xml:space="preserve">EU Defence Industrial Strategy 2024 + EDIP Reg. UE 2025/588 (mars 2025) + ASAP étendu 2026.</t>
  </si>
  <si>
    <t xml:space="preserve">R10</t>
  </si>
  <si>
    <t xml:space="preserve">LEGAL-FOOTER</t>
  </si>
  <si>
    <t xml:space="preserve">Mentions légales</t>
  </si>
  <si>
    <t xml:space="preserve">Footer obligatoire : raison sociale, SIREN, adresse postale, directeur publication, ORIAS si distribution assurance.</t>
  </si>
  <si>
    <t xml:space="preserve">Code commerce R.123-237 + LCEN art. 6-III.</t>
  </si>
  <si>
    <t xml:space="preserve">Cas inputs — 5 contenus marketing à auditer</t>
  </si>
  <si>
    <t xml:space="preserve">Cas synthétiques 2026 inspirés du marché. Aucun client réel ni programme classifié.</t>
  </si>
  <si>
    <t xml:space="preserve">Type</t>
  </si>
  <si>
    <t xml:space="preserve">Titre</t>
  </si>
  <si>
    <t xml:space="preserve">Audience</t>
  </si>
  <si>
    <t xml:space="preserve">Format diffusion</t>
  </si>
  <si>
    <t xml:space="preserve">IA utilisée</t>
  </si>
  <si>
    <t xml:space="preserve">Extrait</t>
  </si>
  <si>
    <t xml:space="preserve">WPR-001</t>
  </si>
  <si>
    <t xml:space="preserve">White Paper</t>
  </si>
  <si>
    <t xml:space="preserve">Mini-drones surveillance maritime — État de l'art 2026</t>
  </si>
  <si>
    <t xml:space="preserve">Décideurs maritimes (douanes, garde-côtes, autorités portuaires)</t>
  </si>
  <si>
    <t xml:space="preserve">PDF 18 pages, diffusion lead generation salon Eurosatory + Farnborough</t>
  </si>
  <si>
    <t xml:space="preserve">OUI — rédaction par LLM, schémas générés, traduction EN</t>
  </si>
  <si>
    <t xml:space="preserve">Notre famille de mini-drones surveillance offre une autonomie révolutionnaire de 6 heures, une charge utile de 2,5 kg, et une signature radar quasi-nulle. La technologie de propulsion électrique 100% verte garantit zéro émission de CO2 sur l'ensemble du cycle de vol. Compatible avec les chaînes ISR de l'OTAN, ils s'intègrent à tout C2 standard. Source de l'autonomie : tests internes 2023.</t>
  </si>
  <si>
    <t xml:space="preserve">TDS-001</t>
  </si>
  <si>
    <t xml:space="preserve">Fiche technique</t>
  </si>
  <si>
    <t xml:space="preserve">Radar AESA Bande X — Datasheet</t>
  </si>
  <si>
    <t xml:space="preserve">Acheteurs systèmes (équipementiers, intégrateurs aéro)</t>
  </si>
  <si>
    <t xml:space="preserve">PDF 4 pages, distribution salons Farnborough + ILA Berlin + sur demande</t>
  </si>
  <si>
    <t xml:space="preserve">PARTIEL — synthèse spécifications, traduction EN</t>
  </si>
  <si>
    <t xml:space="preserve">Radar AESA bande X — gain antenne 32 dBi, portée 350 km en mode air-air, résolution Doppler 0,5 m/s. MTBF documenté à 4 200 heures (réf. tests 2024). Conforme MIL-STD-810H. Solution embarquée certifiée DO-178C niveau B. Disponible sous licence d'export selon réglementation EAR ECCN 6A008. Compatible OTAN STANAG 4660.</t>
  </si>
  <si>
    <t xml:space="preserve">RFP-DGA-001</t>
  </si>
  <si>
    <t xml:space="preserve">Réponse RFP</t>
  </si>
  <si>
    <t xml:space="preserve">RFP DGA — Programme drone tactique terrestre TACT-2027 (section technique)</t>
  </si>
  <si>
    <t xml:space="preserve">Direction Générale de l'Armement, Service du Matériel Aérien</t>
  </si>
  <si>
    <t xml:space="preserve">Document de réponse 80 pages, soumission via plateforme PLACE</t>
  </si>
  <si>
    <t xml:space="preserve">PARTIEL — synthèse benchmarks, génération de schémas</t>
  </si>
  <si>
    <t xml:space="preserve">Notre solution répond au cahier des charges du programme TACT-2027 lancé par la DGA-MOA Aéro. L'autonomie de 4h dépasse de 33% la spécification minimale. Le système intègre un module de cybersécurité conforme aux exigences de l'ANSSI. Co-financement EDIP envisagé à hauteur de 35% (en cours d'instruction CINEA). Le radar embarqué utilise une technologie radar à compression d'impulsions optimisée.</t>
  </si>
  <si>
    <t xml:space="preserve">RFP-NAT-001</t>
  </si>
  <si>
    <t xml:space="preserve">Réponse RFI</t>
  </si>
  <si>
    <t xml:space="preserve">RFI NATO — Système communication tactique sécurisée 2026</t>
  </si>
  <si>
    <t xml:space="preserve">NATO Communications and Information Agency (NCIA)</t>
  </si>
  <si>
    <t xml:space="preserve">RFI réponse 45 pages, anglais</t>
  </si>
  <si>
    <t xml:space="preserve">OUI — rédaction sections techniques + traduction</t>
  </si>
  <si>
    <t xml:space="preserve">Our tactical SDR solution offers AES-256 encryption with FIPS 140-3 certification. Compatible with NATO STANAG 5066 and 4691. Operational since 2022, deployed by 4 NATO members. Throughput: 2 Mbps in degraded environment. Cyber-resilience certified Common Criteria EAL4+. Eligible for NATO Defence Innovation Accelerator. Export licence US/UK obtained under AUKUS Pillar II Open General Licence.</t>
  </si>
  <si>
    <t xml:space="preserve">BRO-FAR-001</t>
  </si>
  <si>
    <t xml:space="preserve">Brochure salon</t>
  </si>
  <si>
    <t xml:space="preserve">Propulsion hybride-électrique aviation régionale — Brochure Farnborough 2026</t>
  </si>
  <si>
    <t xml:space="preserve">Compagnies aériennes régionales, leasing companies, MRO</t>
  </si>
  <si>
    <t xml:space="preserve">Brochure print 6 pages — distribution stand FAR2026 + version PDF</t>
  </si>
  <si>
    <t xml:space="preserve">NON — rédaction humaine, photos studio</t>
  </si>
  <si>
    <t xml:space="preserve">Notre solution de propulsion hybride-électrique permet un vol 100% décarboné sur 250 km. Autonomie totale 1 200 km grâce au système de generator de bord. Réduction CO2 de 70% par rapport aux appareils thermiques. Notre technologie est verte. Disponible en option SAF blend 50%. Certifications EASA en cours. Premier appareil livraison 2027 (sous réserve).</t>
  </si>
  <si>
    <t xml:space="preserve">Matrice verdicts — 10 règles × 5 cas</t>
  </si>
  <si>
    <t xml:space="preserve">OK = vert | WARN = ambre | KO = rouge. Score conformité auto + décision auto en bas.</t>
  </si>
  <si>
    <t xml:space="preserve">OK</t>
  </si>
  <si>
    <t xml:space="preserve">Synthèse par cas</t>
  </si>
  <si>
    <t xml:space="preserve">Nb OK</t>
  </si>
  <si>
    <t xml:space="preserve">Nb WARN</t>
  </si>
  <si>
    <t xml:space="preserve">Nb KO</t>
  </si>
  <si>
    <t xml:space="preserve">Score conformité</t>
  </si>
  <si>
    <t xml:space="preserve">Redlines — Suggestions de correction concrètes</t>
  </si>
  <si>
    <t xml:space="preserve">Pour chaque KO/WARN, une redline applicable. Conserver l'extrait original pour traçabilité.</t>
  </si>
  <si>
    <t xml:space="preserve">Cas</t>
  </si>
  <si>
    <t xml:space="preserve">Avant (extrait original)</t>
  </si>
  <si>
    <t xml:space="preserve">Après (suggestion redline)</t>
  </si>
  <si>
    <t xml:space="preserve">Pourquoi</t>
  </si>
  <si>
    <t xml:space="preserve">autonomie révolutionnaire de 6 heures</t>
  </si>
  <si>
    <t xml:space="preserve">autonomie de 5h45 (test interne, conditions standard ISA, charge 1,5 kg) — réf. doc test n°TI-2024-Q3-117</t>
  </si>
  <si>
    <t xml:space="preserve">Chiffre marketing non sourcé, formulation évaluative interdite (« révolutionnaire »)</t>
  </si>
  <si>
    <t xml:space="preserve">[Aucune mention IA]</t>
  </si>
  <si>
    <t xml:space="preserve">Mention pied de page : « Ce document a été partiellement rédigé avec l'assistance d'un système d'IA générative — relecture humaine experte. (UE 2024/1689 art. 50). »</t>
  </si>
  <si>
    <t xml:space="preserve">AI Act art. 50 applicable 02/08/2026 — disclosure obligatoire</t>
  </si>
  <si>
    <t xml:space="preserve">propulsion électrique 100% verte... zéro émission de CO2 sur l'ensemble du cycle de vol</t>
  </si>
  <si>
    <t xml:space="preserve">propulsion électrique batterie : 0 émission CO2 en vol. Bilan cycle de vie (LCA conforme PEF) = 18 g CO2eq/km — étude ADEME 2024 réf. AVI-LCA-024</t>
  </si>
  <si>
    <t xml:space="preserve">Greenwashing : « 100% verte » et « ensemble du cycle » contredits par l'extraction batterie. Green Claims Directive interdit ces formulations sans LCA</t>
  </si>
  <si>
    <t xml:space="preserve">Compatible avec les chaînes ISR de l'OTAN, ils s'intègrent à tout C2 standard</t>
  </si>
  <si>
    <t xml:space="preserve">[FLAG DefenseCommsGuard] Vérifier si les protocoles ISR/C2 cités sont couverts par EAR ECCN 6A008 ou EU dual-use Reg. 2021/821 annexe I avant publication.</t>
  </si>
  <si>
    <t xml:space="preserve">Mention de chaîne ISR OTAN nécessite revue export control</t>
  </si>
  <si>
    <t xml:space="preserve">Source de l'autonomie : tests internes 2023</t>
  </si>
  <si>
    <t xml:space="preserve">Source : test interne TI-2024-Q3-117 (octobre 2024) — sources externes : Frost &amp; Sullivan Mini-Drone Market Report 2025</t>
  </si>
  <si>
    <t xml:space="preserve">Source datée de 2023 — &gt; 24 mois → WARN</t>
  </si>
  <si>
    <t xml:space="preserve">[Mention IA absente sur la fiche]</t>
  </si>
  <si>
    <t xml:space="preserve">Mention discrète sous le titre : « Synthèse spécifications assistée IA — données techniques validées par bureau d'études. »</t>
  </si>
  <si>
    <t xml:space="preserve">AI partiel utilisé → disclosure même réduite obligatoire</t>
  </si>
  <si>
    <t xml:space="preserve">[Pas de mention de programme]</t>
  </si>
  <si>
    <t xml:space="preserve">Si applicable : ajouter « Développement supporté par programme DGA-MOA Aéro RAPID 2024 ».</t>
  </si>
  <si>
    <t xml:space="preserve">Si programme DGA, mention conseillée — sinon retirer toute connotation défense FR</t>
  </si>
  <si>
    <t xml:space="preserve">L'autonomie de 4h dépasse de 33% la spécification minimale</t>
  </si>
  <si>
    <t xml:space="preserve">L'autonomie de 4h00 (test interne TI-DGA-2025-Q1) dépasse de 33% la spécification minimale de 3h00 (cahier des charges TACT-2027 v1.2 du 15/01/2026)</t>
  </si>
  <si>
    <t xml:space="preserve">Spécifier la source de la spec et du test</t>
  </si>
  <si>
    <t xml:space="preserve">[Aucune mention IA dans la réponse RFP]</t>
  </si>
  <si>
    <t xml:space="preserve">Annexe RFP : « Sections benchmarks et schémas générés avec assistance IA — relecture par bureau d'études et signature ingénieur responsable. »</t>
  </si>
  <si>
    <t xml:space="preserve">AI Act art. 50 — RFP DGA inclus dans le scope de disclosure</t>
  </si>
  <si>
    <t xml:space="preserve">Le radar embarqué utilise une technologie radar à compression d'impulsions optimisée</t>
  </si>
  <si>
    <t xml:space="preserve">[FLAG DefenseCommsGuard + DGA EXPORT] Vérifier classification matériel de guerre (Code défense L.2335-1) avant publication RFP final.</t>
  </si>
  <si>
    <t xml:space="preserve">Radar à compression d'impulsions = matériel potentiellement classé</t>
  </si>
  <si>
    <t xml:space="preserve">[No AI disclosure in NATO RFI]</t>
  </si>
  <si>
    <t xml:space="preserve">Footer en anglais : « This document includes content generated with AI assistance under EU AI Act art. 50 (applicable 02/08/2026). Human technical review by certified engineer. »</t>
  </si>
  <si>
    <t xml:space="preserve">AI Act applicable to all communications including RFI</t>
  </si>
  <si>
    <t xml:space="preserve">Eligible for NATO Defence Innovation Accelerator</t>
  </si>
  <si>
    <t xml:space="preserve">Eligible for NATO Defence Innovation Accelerator (DIANA) — submission planned Q3 2026. Co-funding under EU EDIP under instruction (Reg. UE 2025/588).</t>
  </si>
  <si>
    <t xml:space="preserve">Précision EDIP + DIANA si applicable</t>
  </si>
  <si>
    <t xml:space="preserve">[Footer minimal]</t>
  </si>
  <si>
    <t xml:space="preserve">Add full legal footer: registered name, SIREN, head office, publication director, ORIAS if applicable.</t>
  </si>
  <si>
    <t xml:space="preserve">LCEN art. 6-III applicable même pour documents export</t>
  </si>
  <si>
    <t xml:space="preserve">Réduction CO2 de 70% par rapport aux appareils thermiques</t>
  </si>
  <si>
    <t xml:space="preserve">Réduction CO2 estimée de 70% en mode 100% électrique sur 250 km par rapport à un ATR 72 thermique de référence — étude ICAO CORSIA Methodology v2.3 (2024). Hors phases de production batterie.</t>
  </si>
  <si>
    <t xml:space="preserve">Chiffre marketing sans périmètre LCA → trompeur</t>
  </si>
  <si>
    <t xml:space="preserve">vol 100% décarboné sur 250 km</t>
  </si>
  <si>
    <t xml:space="preserve">vol à 0 émission CO2 directe sur 250 km en mode batterie (hors LCA cycle complet)</t>
  </si>
  <si>
    <t xml:space="preserve">« Décarboné » sans LCA = greenwashing au sens Green Claims Directive 2024</t>
  </si>
  <si>
    <t xml:space="preserve">Notre technologie est verte</t>
  </si>
  <si>
    <t xml:space="preserve">[SUPPRIMER cette phrase]. Remplacer par : « Empreinte carbone du cycle de vie : 28 g CO2eq/passager-km (étude ADEME 2025) ».</t>
  </si>
  <si>
    <t xml:space="preserve">« Verte » est un superlatif environnemental interdit par Green Claims Directive sans preuve PEF/LCA</t>
  </si>
  <si>
    <t xml:space="preserve">Disponible en option SAF blend 50%</t>
  </si>
  <si>
    <t xml:space="preserve">Disponible en option SAF blend 50% (HEFA certifié ISCC EU, fournisseur Neste — réf. ReFuelEU Aviation Reg. 2023/2405)</t>
  </si>
  <si>
    <t xml:space="preserve">Mention SAF doit préciser type (HEFA/ATJ/PtL), certification fournisseur, et conformité ReFuelEU</t>
  </si>
  <si>
    <t xml:space="preserve">AI Act art. 50 — Modèles de mention IA</t>
  </si>
  <si>
    <t xml:space="preserve">Applicable 2 août 2026. Disclosure obligatoire si tout ou partie du contenu généré par IA.</t>
  </si>
  <si>
    <t xml:space="preserve">Format</t>
  </si>
  <si>
    <t xml:space="preserve">Mention FR</t>
  </si>
  <si>
    <t xml:space="preserve">Mention EN</t>
  </si>
  <si>
    <t xml:space="preserve">Ce document a été partiellement rédigé avec l'assistance d'un système d'intelligence artificielle générative. Toutes les données techniques ont fait l'objet d'une relecture par des experts humains. (Mention au titre du Règlement UE 2024/1689 art. 50 — applicable au 2 août 2026.)</t>
  </si>
  <si>
    <t xml:space="preserve">This document has been partially drafted with the assistance of a generative AI system. All technical data has been reviewed by human experts. (Notice pursuant to Regulation (EU) 2024/1689 art. 50 — applicable August 2, 2026.)</t>
  </si>
  <si>
    <t xml:space="preserve">Synthèse des spécifications assistée par IA — données techniques validées et signées par bureau d'études. (UE 2024/1689 art. 50.)</t>
  </si>
  <si>
    <t xml:space="preserve">Specifications synthesis AI-assisted — technical data validated and signed by engineering office. (EU 2024/1689 art. 50.)</t>
  </si>
  <si>
    <t xml:space="preserve">Réponse RFP/RFI</t>
  </si>
  <si>
    <t xml:space="preserve">Annexe disclosure : Les sections benchmarks, traduction et schémas du présent document ont été générées avec l'assistance d'un système d'IA. Tous les engagements techniques sont signés par un ingénieur responsable. (UE 2024/1689 art. 50.)</t>
  </si>
  <si>
    <t xml:space="preserve">Disclosure annex: The benchmarks, translation and diagrams sections of this document were generated with AI assistance. All technical commitments are signed by a responsible engineer. (EU 2024/1689 art. 50.)</t>
  </si>
  <si>
    <t xml:space="preserve">Document rédigé sans assistance IA — toutes images et chiffres validés par bureau d'études. (Conformité préventive UE 2024/1689 art. 50.)</t>
  </si>
  <si>
    <t xml:space="preserve">Document drafted without AI assistance — all images and figures validated by engineering office. (Preventive compliance EU 2024/1689 art. 50.)</t>
  </si>
  <si>
    <t xml:space="preserve">Post LinkedIn / X</t>
  </si>
  <si>
    <t xml:space="preserve">Post composé avec assistance IA #AIGen #UE2024-1689</t>
  </si>
  <si>
    <t xml:space="preserve">Post composed with AI assistance #AIGen #EU2024-1689</t>
  </si>
  <si>
    <t xml:space="preserve">Truth layer — Ce que l'agent NE remplace PAS</t>
  </si>
  <si>
    <t xml:space="preserve">Disclaimer obligatoire à conserver dans tous les outputs.</t>
  </si>
  <si>
    <t xml:space="preserve">Compliance officer export</t>
  </si>
  <si>
    <t xml:space="preserve">L'audit ITAR/EAR/dual-use est indicatif. Toute classification matériels de guerre, dual-use ou ECCN doit être validée par un officier de conformité export-control habilité (DGA / DDTC / BIS).</t>
  </si>
  <si>
    <t xml:space="preserve">Juriste défense</t>
  </si>
  <si>
    <t xml:space="preserve">L'agent ne se substitue pas à une revue juridique défense (Code défense L.2335-1, LPM 2024-2030, accords AUKUS Pillar II, accords G2G).</t>
  </si>
  <si>
    <t xml:space="preserve">Bureau d'études signataire</t>
  </si>
  <si>
    <t xml:space="preserve">Aucun chiffre technique généré par l'agent ne tient lieu d'engagement contractuel. Toute donnée doit être validée et signée par un ingénieur responsable du bureau d'études.</t>
  </si>
  <si>
    <t xml:space="preserve">DGA / DGAC / EASA</t>
  </si>
  <si>
    <t xml:space="preserve">L'agent ne remplace ni la DGA pour les programmes défense FR, ni la DGAC/EASA pour la certification, ni le SGDSN pour la classification (Diffusion Restreinte / Secret Défense).</t>
  </si>
  <si>
    <t xml:space="preserve">DGCCRF / CMA / EASA Greenwashing</t>
  </si>
  <si>
    <t xml:space="preserve">L'audit anti-greenwashing est préventif. Toute campagne SAF/H2/électrique doit être contre-vérifiée par juriste consommation + responsable ESG signataire CSRD.</t>
  </si>
  <si>
    <t xml:space="preserve">ANSSI / cybersécurité</t>
  </si>
  <si>
    <t xml:space="preserve">Les mentions NIS2/DORA/CC EAL/SecNumCloud sont indicatives. Toute revendication de certification doit être validée par un responsable RSSI signataire.</t>
  </si>
  <si>
    <t xml:space="preserve">DPO / RGPD</t>
  </si>
  <si>
    <t xml:space="preserve">Si le contenu marketing inclut des traitements de données personnelles, validation DPO obligatoire.</t>
  </si>
  <si>
    <t xml:space="preserve">Date de fraîcheur sources</t>
  </si>
  <si>
    <t xml:space="preserve">Sanctions OFAC SDN, EU listes, EAR Entity List évoluent en continu. Date de référence des sources : 25/04/2026. À rafraîchir avant toute diffusion sensible.</t>
  </si>
  <si>
    <t xml:space="preserve">Ce que l'agent NE génère PAS</t>
  </si>
  <si>
    <t xml:space="preserve">Ne génère pas le contenu lui-même (rôle d'audit, pas de rédaction). Voir module rédaction sous supervision dans la roadmap v2.</t>
  </si>
  <si>
    <t xml:space="preserve">Mode de fonctionnement</t>
  </si>
  <si>
    <t xml:space="preserve">Scenario-id only en démo publique. Pas d'ingestion de texte libre confidentiel sans contrat NDA + environnement isolé.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</si>
</sst>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 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0"/>
      <color rgb="FF0E0824"/>
      <name val="Arial"/>
      <family val="0"/>
      <charset val="1"/>
    </font>
    <font>
      <sz val="10"/>
      <color rgb="FF0E082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DC262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40AF"/>
        <bgColor rgb="FF003366"/>
      </patternFill>
    </fill>
    <fill>
      <patternFill patternType="solid">
        <fgColor rgb="FFEAE6F5"/>
        <bgColor rgb="FFFEE2E2"/>
      </patternFill>
    </fill>
    <fill>
      <patternFill patternType="solid">
        <fgColor rgb="FF1E1242"/>
        <bgColor rgb="FF0E0824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CCFFCC"/>
      </patternFill>
    </fill>
    <fill>
      <patternFill patternType="solid">
        <fgColor rgb="FFFEE2E2"/>
        <bgColor rgb="FFEAE6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E0824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6F5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475569"/>
      <rgbColor rgb="FF969696"/>
      <rgbColor rgb="FF003366"/>
      <rgbColor rgb="FF16A34A"/>
      <rgbColor rgb="FF003300"/>
      <rgbColor rgb="FF333300"/>
      <rgbColor rgb="FF993300"/>
      <rgbColor rgb="FF993366"/>
      <rgbColor rgb="FF1E40AF"/>
      <rgbColor rgb="FF1E1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36" hidden="false" customHeight="true" outlineLevel="0" collapsed="false">
      <c r="A1" s="1" t="s">
        <v>0</v>
      </c>
      <c r="B1" s="1"/>
    </row>
    <row r="2" customFormat="false" ht="21.75" hidden="false" customHeight="true" outlineLevel="0" collapsed="false">
      <c r="A2" s="2" t="s">
        <v>1</v>
      </c>
      <c r="B2" s="2"/>
    </row>
    <row r="4" customFormat="false" ht="42" hidden="false" customHeight="true" outlineLevel="0" collapsed="false">
      <c r="A4" s="3" t="s">
        <v>2</v>
      </c>
      <c r="B4" s="4" t="s">
        <v>3</v>
      </c>
    </row>
    <row r="5" customFormat="false" ht="42" hidden="false" customHeight="true" outlineLevel="0" collapsed="false">
      <c r="A5" s="3" t="s">
        <v>4</v>
      </c>
      <c r="B5" s="4" t="s">
        <v>5</v>
      </c>
    </row>
    <row r="6" customFormat="false" ht="42" hidden="false" customHeight="true" outlineLevel="0" collapsed="false">
      <c r="A6" s="3" t="s">
        <v>6</v>
      </c>
      <c r="B6" s="4" t="s">
        <v>7</v>
      </c>
    </row>
    <row r="7" customFormat="false" ht="39.75" hidden="false" customHeight="true" outlineLevel="0" collapsed="false">
      <c r="A7" s="3" t="s">
        <v>8</v>
      </c>
      <c r="B7" s="4" t="s">
        <v>9</v>
      </c>
    </row>
    <row r="8" customFormat="false" ht="39.75" hidden="false" customHeight="true" outlineLevel="0" collapsed="false">
      <c r="A8" s="3" t="s">
        <v>10</v>
      </c>
      <c r="B8" s="4" t="s">
        <v>11</v>
      </c>
    </row>
    <row r="9" customFormat="false" ht="42" hidden="false" customHeight="true" outlineLevel="0" collapsed="false">
      <c r="A9" s="3" t="s">
        <v>12</v>
      </c>
      <c r="B9" s="4" t="s">
        <v>13</v>
      </c>
    </row>
    <row r="10" customFormat="false" ht="39.75" hidden="false" customHeight="true" outlineLevel="0" collapsed="false">
      <c r="A10" s="3" t="s">
        <v>14</v>
      </c>
      <c r="B10" s="4" t="s">
        <v>15</v>
      </c>
    </row>
    <row r="11" customFormat="false" ht="39.75" hidden="false" customHeight="true" outlineLevel="0" collapsed="false">
      <c r="A11" s="3" t="s">
        <v>16</v>
      </c>
      <c r="B11" s="4" t="s">
        <v>17</v>
      </c>
    </row>
    <row r="12" customFormat="false" ht="42" hidden="false" customHeight="true" outlineLevel="0" collapsed="false">
      <c r="A12" s="3" t="s">
        <v>18</v>
      </c>
      <c r="B12" s="4" t="s">
        <v>19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50"/>
    <col collapsed="false" customWidth="true" hidden="false" outlineLevel="0" max="6" min="6" style="0" width="12"/>
  </cols>
  <sheetData>
    <row r="1" customFormat="false" ht="36" hidden="false" customHeight="true" outlineLevel="0" collapsed="false">
      <c r="A1" s="1" t="s">
        <v>20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21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</row>
    <row r="5" customFormat="false" ht="69.75" hidden="false" customHeight="true" outlineLevel="0" collapsed="false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</row>
    <row r="6" customFormat="false" ht="69.75" hidden="false" customHeight="true" outlineLevel="0" collapsed="false">
      <c r="A6" s="6" t="s">
        <v>34</v>
      </c>
      <c r="B6" s="6" t="s">
        <v>35</v>
      </c>
      <c r="C6" s="6" t="s">
        <v>36</v>
      </c>
      <c r="D6" s="6" t="s">
        <v>37</v>
      </c>
      <c r="E6" s="6" t="s">
        <v>38</v>
      </c>
      <c r="F6" s="6" t="s">
        <v>39</v>
      </c>
    </row>
    <row r="7" customFormat="false" ht="69.75" hidden="false" customHeight="true" outlineLevel="0" collapsed="false">
      <c r="A7" s="4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39</v>
      </c>
    </row>
    <row r="8" customFormat="false" ht="69.75" hidden="false" customHeight="true" outlineLevel="0" collapsed="false">
      <c r="A8" s="6" t="s">
        <v>45</v>
      </c>
      <c r="B8" s="6" t="s">
        <v>46</v>
      </c>
      <c r="C8" s="6" t="s">
        <v>47</v>
      </c>
      <c r="D8" s="6" t="s">
        <v>48</v>
      </c>
      <c r="E8" s="6" t="s">
        <v>49</v>
      </c>
      <c r="F8" s="6" t="s">
        <v>33</v>
      </c>
    </row>
    <row r="9" customFormat="false" ht="69.75" hidden="false" customHeight="true" outlineLevel="0" collapsed="false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39</v>
      </c>
    </row>
    <row r="10" customFormat="false" ht="69.75" hidden="false" customHeight="true" outlineLevel="0" collapsed="false">
      <c r="A10" s="6" t="s">
        <v>55</v>
      </c>
      <c r="B10" s="6" t="s">
        <v>56</v>
      </c>
      <c r="C10" s="6" t="s">
        <v>57</v>
      </c>
      <c r="D10" s="6" t="s">
        <v>58</v>
      </c>
      <c r="E10" s="6" t="s">
        <v>59</v>
      </c>
      <c r="F10" s="6" t="s">
        <v>33</v>
      </c>
    </row>
    <row r="11" customFormat="false" ht="69.75" hidden="false" customHeight="true" outlineLevel="0" collapsed="false">
      <c r="A11" s="4" t="s">
        <v>60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39</v>
      </c>
    </row>
    <row r="12" customFormat="false" ht="69.75" hidden="false" customHeight="true" outlineLevel="0" collapsed="false">
      <c r="A12" s="6" t="s">
        <v>65</v>
      </c>
      <c r="B12" s="6" t="s">
        <v>66</v>
      </c>
      <c r="C12" s="6" t="s">
        <v>67</v>
      </c>
      <c r="D12" s="6" t="s">
        <v>68</v>
      </c>
      <c r="E12" s="6" t="s">
        <v>69</v>
      </c>
      <c r="F12" s="6" t="s">
        <v>39</v>
      </c>
    </row>
    <row r="13" customFormat="false" ht="69.75" hidden="false" customHeight="true" outlineLevel="0" collapsed="false">
      <c r="A13" s="4" t="s">
        <v>70</v>
      </c>
      <c r="B13" s="4" t="s">
        <v>71</v>
      </c>
      <c r="C13" s="4" t="s">
        <v>72</v>
      </c>
      <c r="D13" s="4" t="s">
        <v>73</v>
      </c>
      <c r="E13" s="4" t="s">
        <v>74</v>
      </c>
      <c r="F13" s="4" t="s">
        <v>33</v>
      </c>
    </row>
    <row r="14" customFormat="false" ht="69.75" hidden="false" customHeight="true" outlineLevel="0" collapsed="false">
      <c r="A14" s="6" t="s">
        <v>75</v>
      </c>
      <c r="B14" s="6" t="s">
        <v>76</v>
      </c>
      <c r="C14" s="6" t="s">
        <v>77</v>
      </c>
      <c r="D14" s="6" t="s">
        <v>78</v>
      </c>
      <c r="E14" s="6" t="s">
        <v>79</v>
      </c>
      <c r="F14" s="6" t="s">
        <v>33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70"/>
  </cols>
  <sheetData>
    <row r="1" customFormat="false" ht="36" hidden="false" customHeight="true" outlineLevel="0" collapsed="false">
      <c r="A1" s="1" t="s">
        <v>80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81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5" t="s">
        <v>22</v>
      </c>
      <c r="B4" s="5" t="s">
        <v>82</v>
      </c>
      <c r="C4" s="5" t="s">
        <v>83</v>
      </c>
      <c r="D4" s="5" t="s">
        <v>84</v>
      </c>
      <c r="E4" s="5" t="s">
        <v>85</v>
      </c>
      <c r="F4" s="5" t="s">
        <v>86</v>
      </c>
      <c r="G4" s="5" t="s">
        <v>87</v>
      </c>
    </row>
    <row r="5" customFormat="false" ht="129.75" hidden="false" customHeight="true" outlineLevel="0" collapsed="false">
      <c r="A5" s="4" t="s">
        <v>88</v>
      </c>
      <c r="B5" s="4" t="s">
        <v>89</v>
      </c>
      <c r="C5" s="4" t="s">
        <v>90</v>
      </c>
      <c r="D5" s="4" t="s">
        <v>91</v>
      </c>
      <c r="E5" s="4" t="s">
        <v>92</v>
      </c>
      <c r="F5" s="4" t="s">
        <v>93</v>
      </c>
      <c r="G5" s="4" t="s">
        <v>94</v>
      </c>
    </row>
    <row r="6" customFormat="false" ht="129.75" hidden="false" customHeight="true" outlineLevel="0" collapsed="false">
      <c r="A6" s="6" t="s">
        <v>95</v>
      </c>
      <c r="B6" s="6" t="s">
        <v>96</v>
      </c>
      <c r="C6" s="6" t="s">
        <v>97</v>
      </c>
      <c r="D6" s="6" t="s">
        <v>98</v>
      </c>
      <c r="E6" s="6" t="s">
        <v>99</v>
      </c>
      <c r="F6" s="6" t="s">
        <v>100</v>
      </c>
      <c r="G6" s="6" t="s">
        <v>101</v>
      </c>
    </row>
    <row r="7" customFormat="false" ht="129.75" hidden="false" customHeight="true" outlineLevel="0" collapsed="false">
      <c r="A7" s="4" t="s">
        <v>102</v>
      </c>
      <c r="B7" s="4" t="s">
        <v>103</v>
      </c>
      <c r="C7" s="4" t="s">
        <v>104</v>
      </c>
      <c r="D7" s="4" t="s">
        <v>105</v>
      </c>
      <c r="E7" s="4" t="s">
        <v>106</v>
      </c>
      <c r="F7" s="4" t="s">
        <v>107</v>
      </c>
      <c r="G7" s="4" t="s">
        <v>108</v>
      </c>
    </row>
    <row r="8" customFormat="false" ht="129.75" hidden="false" customHeight="true" outlineLevel="0" collapsed="false">
      <c r="A8" s="6" t="s">
        <v>109</v>
      </c>
      <c r="B8" s="6" t="s">
        <v>110</v>
      </c>
      <c r="C8" s="6" t="s">
        <v>111</v>
      </c>
      <c r="D8" s="6" t="s">
        <v>112</v>
      </c>
      <c r="E8" s="6" t="s">
        <v>113</v>
      </c>
      <c r="F8" s="6" t="s">
        <v>114</v>
      </c>
      <c r="G8" s="6" t="s">
        <v>115</v>
      </c>
    </row>
    <row r="9" customFormat="false" ht="129.75" hidden="false" customHeight="true" outlineLevel="0" collapsed="false">
      <c r="A9" s="4" t="s">
        <v>116</v>
      </c>
      <c r="B9" s="4" t="s">
        <v>117</v>
      </c>
      <c r="C9" s="4" t="s">
        <v>118</v>
      </c>
      <c r="D9" s="4" t="s">
        <v>119</v>
      </c>
      <c r="E9" s="4" t="s">
        <v>120</v>
      </c>
      <c r="F9" s="4" t="s">
        <v>121</v>
      </c>
      <c r="G9" s="4" t="s">
        <v>122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7" min="3" style="0" width="16"/>
  </cols>
  <sheetData>
    <row r="1" customFormat="false" ht="36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124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5" t="s">
        <v>22</v>
      </c>
      <c r="B4" s="5" t="s">
        <v>25</v>
      </c>
      <c r="C4" s="5" t="s">
        <v>88</v>
      </c>
      <c r="D4" s="5" t="s">
        <v>95</v>
      </c>
      <c r="E4" s="5" t="s">
        <v>102</v>
      </c>
      <c r="F4" s="5" t="s">
        <v>109</v>
      </c>
      <c r="G4" s="5" t="s">
        <v>116</v>
      </c>
    </row>
    <row r="5" customFormat="false" ht="25.5" hidden="false" customHeight="true" outlineLevel="0" collapsed="false">
      <c r="A5" s="7" t="s">
        <v>28</v>
      </c>
      <c r="B5" s="8" t="s">
        <v>29</v>
      </c>
      <c r="C5" s="9" t="s">
        <v>33</v>
      </c>
      <c r="D5" s="10" t="s">
        <v>125</v>
      </c>
      <c r="E5" s="10" t="s">
        <v>125</v>
      </c>
      <c r="F5" s="10" t="s">
        <v>125</v>
      </c>
      <c r="G5" s="10" t="s">
        <v>125</v>
      </c>
    </row>
    <row r="6" customFormat="false" ht="25.5" hidden="false" customHeight="true" outlineLevel="0" collapsed="false">
      <c r="A6" s="7" t="s">
        <v>34</v>
      </c>
      <c r="B6" s="8" t="s">
        <v>35</v>
      </c>
      <c r="C6" s="11" t="s">
        <v>39</v>
      </c>
      <c r="D6" s="10" t="s">
        <v>125</v>
      </c>
      <c r="E6" s="9" t="s">
        <v>33</v>
      </c>
      <c r="F6" s="10" t="s">
        <v>125</v>
      </c>
      <c r="G6" s="9" t="s">
        <v>33</v>
      </c>
    </row>
    <row r="7" customFormat="false" ht="25.5" hidden="false" customHeight="true" outlineLevel="0" collapsed="false">
      <c r="A7" s="7" t="s">
        <v>40</v>
      </c>
      <c r="B7" s="8" t="s">
        <v>41</v>
      </c>
      <c r="C7" s="11" t="s">
        <v>39</v>
      </c>
      <c r="D7" s="9" t="s">
        <v>33</v>
      </c>
      <c r="E7" s="9" t="s">
        <v>33</v>
      </c>
      <c r="F7" s="11" t="s">
        <v>39</v>
      </c>
      <c r="G7" s="10" t="s">
        <v>125</v>
      </c>
    </row>
    <row r="8" customFormat="false" ht="25.5" hidden="false" customHeight="true" outlineLevel="0" collapsed="false">
      <c r="A8" s="7" t="s">
        <v>45</v>
      </c>
      <c r="B8" s="8" t="s">
        <v>46</v>
      </c>
      <c r="C8" s="10" t="s">
        <v>125</v>
      </c>
      <c r="D8" s="9" t="s">
        <v>33</v>
      </c>
      <c r="E8" s="10" t="s">
        <v>125</v>
      </c>
      <c r="F8" s="10" t="s">
        <v>125</v>
      </c>
      <c r="G8" s="10" t="s">
        <v>125</v>
      </c>
    </row>
    <row r="9" customFormat="false" ht="25.5" hidden="false" customHeight="true" outlineLevel="0" collapsed="false">
      <c r="A9" s="7" t="s">
        <v>50</v>
      </c>
      <c r="B9" s="8" t="s">
        <v>51</v>
      </c>
      <c r="C9" s="11" t="s">
        <v>39</v>
      </c>
      <c r="D9" s="10" t="s">
        <v>125</v>
      </c>
      <c r="E9" s="10" t="s">
        <v>125</v>
      </c>
      <c r="F9" s="10" t="s">
        <v>125</v>
      </c>
      <c r="G9" s="11" t="s">
        <v>39</v>
      </c>
    </row>
    <row r="10" customFormat="false" ht="25.5" hidden="false" customHeight="true" outlineLevel="0" collapsed="false">
      <c r="A10" s="7" t="s">
        <v>55</v>
      </c>
      <c r="B10" s="8" t="s">
        <v>56</v>
      </c>
      <c r="C10" s="9" t="s">
        <v>33</v>
      </c>
      <c r="D10" s="10" t="s">
        <v>125</v>
      </c>
      <c r="E10" s="10" t="s">
        <v>125</v>
      </c>
      <c r="F10" s="10" t="s">
        <v>125</v>
      </c>
      <c r="G10" s="10" t="s">
        <v>125</v>
      </c>
    </row>
    <row r="11" customFormat="false" ht="25.5" hidden="false" customHeight="true" outlineLevel="0" collapsed="false">
      <c r="A11" s="7" t="s">
        <v>60</v>
      </c>
      <c r="B11" s="8" t="s">
        <v>61</v>
      </c>
      <c r="C11" s="10" t="s">
        <v>125</v>
      </c>
      <c r="D11" s="10" t="s">
        <v>125</v>
      </c>
      <c r="E11" s="10" t="s">
        <v>125</v>
      </c>
      <c r="F11" s="10" t="s">
        <v>125</v>
      </c>
      <c r="G11" s="10" t="s">
        <v>125</v>
      </c>
    </row>
    <row r="12" customFormat="false" ht="25.5" hidden="false" customHeight="true" outlineLevel="0" collapsed="false">
      <c r="A12" s="7" t="s">
        <v>65</v>
      </c>
      <c r="B12" s="8" t="s">
        <v>66</v>
      </c>
      <c r="C12" s="9" t="s">
        <v>33</v>
      </c>
      <c r="D12" s="10" t="s">
        <v>125</v>
      </c>
      <c r="E12" s="9" t="s">
        <v>33</v>
      </c>
      <c r="F12" s="10" t="s">
        <v>125</v>
      </c>
      <c r="G12" s="10" t="s">
        <v>125</v>
      </c>
    </row>
    <row r="13" customFormat="false" ht="25.5" hidden="false" customHeight="true" outlineLevel="0" collapsed="false">
      <c r="A13" s="7" t="s">
        <v>70</v>
      </c>
      <c r="B13" s="8" t="s">
        <v>71</v>
      </c>
      <c r="C13" s="10" t="s">
        <v>125</v>
      </c>
      <c r="D13" s="10" t="s">
        <v>125</v>
      </c>
      <c r="E13" s="10" t="s">
        <v>125</v>
      </c>
      <c r="F13" s="9" t="s">
        <v>33</v>
      </c>
      <c r="G13" s="10" t="s">
        <v>125</v>
      </c>
    </row>
    <row r="14" customFormat="false" ht="25.5" hidden="false" customHeight="true" outlineLevel="0" collapsed="false">
      <c r="A14" s="7" t="s">
        <v>75</v>
      </c>
      <c r="B14" s="8" t="s">
        <v>76</v>
      </c>
      <c r="C14" s="10" t="s">
        <v>125</v>
      </c>
      <c r="D14" s="10" t="s">
        <v>125</v>
      </c>
      <c r="E14" s="10" t="s">
        <v>125</v>
      </c>
      <c r="F14" s="9" t="s">
        <v>33</v>
      </c>
      <c r="G14" s="10" t="s">
        <v>125</v>
      </c>
    </row>
    <row r="16" customFormat="false" ht="24" hidden="false" customHeight="true" outlineLevel="0" collapsed="false">
      <c r="A16" s="12" t="s">
        <v>126</v>
      </c>
      <c r="B16" s="12"/>
      <c r="C16" s="12"/>
      <c r="D16" s="12"/>
      <c r="E16" s="12"/>
      <c r="F16" s="12"/>
      <c r="G16" s="12"/>
    </row>
    <row r="17" customFormat="false" ht="21.75" hidden="false" customHeight="true" outlineLevel="0" collapsed="false">
      <c r="A17" s="4"/>
      <c r="B17" s="13" t="s">
        <v>127</v>
      </c>
      <c r="C17" s="4" t="n">
        <f aca="false">COUNTIF(C5:C14,"OK")</f>
        <v>4</v>
      </c>
      <c r="D17" s="4" t="n">
        <f aca="false">COUNTIF(D5:D14,"OK")</f>
        <v>8</v>
      </c>
      <c r="E17" s="4" t="n">
        <f aca="false">COUNTIF(E5:E14,"OK")</f>
        <v>7</v>
      </c>
      <c r="F17" s="4" t="n">
        <f aca="false">COUNTIF(F5:F14,"OK")</f>
        <v>7</v>
      </c>
      <c r="G17" s="4" t="n">
        <f aca="false">COUNTIF(G5:G14,"OK")</f>
        <v>8</v>
      </c>
    </row>
    <row r="18" customFormat="false" ht="21.75" hidden="false" customHeight="true" outlineLevel="0" collapsed="false">
      <c r="A18" s="4"/>
      <c r="B18" s="13" t="s">
        <v>128</v>
      </c>
      <c r="C18" s="4" t="n">
        <f aca="false">COUNTIF(C5:C14,"WARN")</f>
        <v>3</v>
      </c>
      <c r="D18" s="4" t="n">
        <f aca="false">COUNTIF(D5:D14,"WARN")</f>
        <v>2</v>
      </c>
      <c r="E18" s="4" t="n">
        <f aca="false">COUNTIF(E5:E14,"WARN")</f>
        <v>3</v>
      </c>
      <c r="F18" s="4" t="n">
        <f aca="false">COUNTIF(F5:F14,"WARN")</f>
        <v>2</v>
      </c>
      <c r="G18" s="4" t="n">
        <f aca="false">COUNTIF(G5:G14,"WARN")</f>
        <v>1</v>
      </c>
    </row>
    <row r="19" customFormat="false" ht="21.75" hidden="false" customHeight="true" outlineLevel="0" collapsed="false">
      <c r="A19" s="4"/>
      <c r="B19" s="13" t="s">
        <v>129</v>
      </c>
      <c r="C19" s="4" t="n">
        <f aca="false">COUNTIF(C5:C14,"KO")</f>
        <v>3</v>
      </c>
      <c r="D19" s="4" t="n">
        <f aca="false">COUNTIF(D5:D14,"KO")</f>
        <v>0</v>
      </c>
      <c r="E19" s="4" t="n">
        <f aca="false">COUNTIF(E5:E14,"KO")</f>
        <v>0</v>
      </c>
      <c r="F19" s="4" t="n">
        <f aca="false">COUNTIF(F5:F14,"KO")</f>
        <v>1</v>
      </c>
      <c r="G19" s="4" t="n">
        <f aca="false">COUNTIF(G5:G14,"KO")</f>
        <v>1</v>
      </c>
    </row>
    <row r="20" customFormat="false" ht="24" hidden="false" customHeight="true" outlineLevel="0" collapsed="false">
      <c r="A20" s="4"/>
      <c r="B20" s="13" t="s">
        <v>130</v>
      </c>
      <c r="C20" s="14" t="n">
        <f aca="false">(COUNTIF(C5:C14,"OK")+0.5*COUNTIF(C5:C14,"WARN"))/10</f>
        <v>0.55</v>
      </c>
      <c r="D20" s="14" t="n">
        <f aca="false">(COUNTIF(D5:D14,"OK")+0.5*COUNTIF(D5:D14,"WARN"))/10</f>
        <v>0.9</v>
      </c>
      <c r="E20" s="14" t="n">
        <f aca="false">(COUNTIF(E5:E14,"OK")+0.5*COUNTIF(E5:E14,"WARN"))/10</f>
        <v>0.85</v>
      </c>
      <c r="F20" s="14" t="n">
        <f aca="false">(COUNTIF(F5:F14,"OK")+0.5*COUNTIF(F5:F14,"WARN"))/10</f>
        <v>0.8</v>
      </c>
      <c r="G20" s="14" t="n">
        <f aca="false">(COUNTIF(G5:G14,"OK")+0.5*COUNTIF(G5:G14,"WARN"))/10</f>
        <v>0.85</v>
      </c>
    </row>
    <row r="21" customFormat="false" ht="25.5" hidden="false" customHeight="true" outlineLevel="0" collapsed="false">
      <c r="A21" s="4"/>
      <c r="B21" s="13" t="s">
        <v>10</v>
      </c>
      <c r="C21" s="4" t="str">
        <f aca="false">IF(COUNTIF(C5:C14,"KO")&gt;0,"BLOQUÉ",IF((COUNTIF(C5:C14,"OK")+0.5*COUNTIF(C5:C14,"WARN"))/10&gt;=0.8,"DIFFUSION OK","RELECTURE"))</f>
        <v>BLOQUÉ</v>
      </c>
      <c r="D21" s="4" t="str">
        <f aca="false">IF(COUNTIF(D5:D14,"KO")&gt;0,"BLOQUÉ",IF((COUNTIF(D5:D14,"OK")+0.5*COUNTIF(D5:D14,"WARN"))/10&gt;=0.8,"DIFFUSION OK","RELECTURE"))</f>
        <v>DIFFUSION OK</v>
      </c>
      <c r="E21" s="4" t="str">
        <f aca="false">IF(COUNTIF(E5:E14,"KO")&gt;0,"BLOQUÉ",IF((COUNTIF(E5:E14,"OK")+0.5*COUNTIF(E5:E14,"WARN"))/10&gt;=0.8,"DIFFUSION OK","RELECTURE"))</f>
        <v>DIFFUSION OK</v>
      </c>
      <c r="F21" s="4" t="str">
        <f aca="false">IF(COUNTIF(F5:F14,"KO")&gt;0,"BLOQUÉ",IF((COUNTIF(F5:F14,"OK")+0.5*COUNTIF(F5:F14,"WARN"))/10&gt;=0.8,"DIFFUSION OK","RELECTURE"))</f>
        <v>BLOQUÉ</v>
      </c>
      <c r="G21" s="4" t="str">
        <f aca="false">IF(COUNTIF(G5:G14,"KO")&gt;0,"BLOQUÉ",IF((COUNTIF(G5:G14,"OK")+0.5*COUNTIF(G5:G14,"WARN"))/10&gt;=0.8,"DIFFUSION OK","RELECTURE"))</f>
        <v>BLOQUÉ</v>
      </c>
    </row>
  </sheetData>
  <mergeCells count="3">
    <mergeCell ref="A1:G1"/>
    <mergeCell ref="A2:G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50"/>
    <col collapsed="false" customWidth="true" hidden="false" outlineLevel="0" max="4" min="4" style="0" width="65"/>
    <col collapsed="false" customWidth="true" hidden="false" outlineLevel="0" max="5" min="5" style="0" width="45"/>
  </cols>
  <sheetData>
    <row r="1" customFormat="false" ht="36" hidden="false" customHeight="true" outlineLevel="0" collapsed="false">
      <c r="A1" s="1" t="s">
        <v>131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132</v>
      </c>
      <c r="B2" s="2"/>
      <c r="C2" s="2"/>
      <c r="D2" s="2"/>
      <c r="E2" s="2"/>
    </row>
    <row r="4" customFormat="false" ht="30" hidden="false" customHeight="true" outlineLevel="0" collapsed="false">
      <c r="A4" s="5" t="s">
        <v>133</v>
      </c>
      <c r="B4" s="5" t="s">
        <v>25</v>
      </c>
      <c r="C4" s="5" t="s">
        <v>134</v>
      </c>
      <c r="D4" s="5" t="s">
        <v>135</v>
      </c>
      <c r="E4" s="5" t="s">
        <v>136</v>
      </c>
    </row>
    <row r="5" customFormat="false" ht="69.75" hidden="false" customHeight="true" outlineLevel="0" collapsed="false">
      <c r="A5" s="4" t="s">
        <v>88</v>
      </c>
      <c r="B5" s="4" t="s">
        <v>34</v>
      </c>
      <c r="C5" s="4" t="s">
        <v>137</v>
      </c>
      <c r="D5" s="4" t="s">
        <v>138</v>
      </c>
      <c r="E5" s="4" t="s">
        <v>139</v>
      </c>
    </row>
    <row r="6" customFormat="false" ht="69.75" hidden="false" customHeight="true" outlineLevel="0" collapsed="false">
      <c r="A6" s="6" t="s">
        <v>88</v>
      </c>
      <c r="B6" s="6" t="s">
        <v>40</v>
      </c>
      <c r="C6" s="6" t="s">
        <v>140</v>
      </c>
      <c r="D6" s="6" t="s">
        <v>141</v>
      </c>
      <c r="E6" s="6" t="s">
        <v>142</v>
      </c>
    </row>
    <row r="7" customFormat="false" ht="69.75" hidden="false" customHeight="true" outlineLevel="0" collapsed="false">
      <c r="A7" s="4" t="s">
        <v>88</v>
      </c>
      <c r="B7" s="4" t="s">
        <v>50</v>
      </c>
      <c r="C7" s="4" t="s">
        <v>143</v>
      </c>
      <c r="D7" s="4" t="s">
        <v>144</v>
      </c>
      <c r="E7" s="4" t="s">
        <v>145</v>
      </c>
    </row>
    <row r="8" customFormat="false" ht="69.75" hidden="false" customHeight="true" outlineLevel="0" collapsed="false">
      <c r="A8" s="6" t="s">
        <v>88</v>
      </c>
      <c r="B8" s="6" t="s">
        <v>65</v>
      </c>
      <c r="C8" s="6" t="s">
        <v>146</v>
      </c>
      <c r="D8" s="6" t="s">
        <v>147</v>
      </c>
      <c r="E8" s="6" t="s">
        <v>148</v>
      </c>
    </row>
    <row r="9" customFormat="false" ht="69.75" hidden="false" customHeight="true" outlineLevel="0" collapsed="false">
      <c r="A9" s="4" t="s">
        <v>88</v>
      </c>
      <c r="B9" s="4" t="s">
        <v>28</v>
      </c>
      <c r="C9" s="4" t="s">
        <v>149</v>
      </c>
      <c r="D9" s="4" t="s">
        <v>150</v>
      </c>
      <c r="E9" s="4" t="s">
        <v>151</v>
      </c>
    </row>
    <row r="10" customFormat="false" ht="69.75" hidden="false" customHeight="true" outlineLevel="0" collapsed="false">
      <c r="A10" s="6" t="s">
        <v>95</v>
      </c>
      <c r="B10" s="6" t="s">
        <v>40</v>
      </c>
      <c r="C10" s="6" t="s">
        <v>152</v>
      </c>
      <c r="D10" s="6" t="s">
        <v>153</v>
      </c>
      <c r="E10" s="6" t="s">
        <v>154</v>
      </c>
    </row>
    <row r="11" customFormat="false" ht="69.75" hidden="false" customHeight="true" outlineLevel="0" collapsed="false">
      <c r="A11" s="4" t="s">
        <v>95</v>
      </c>
      <c r="B11" s="4" t="s">
        <v>45</v>
      </c>
      <c r="C11" s="4" t="s">
        <v>155</v>
      </c>
      <c r="D11" s="4" t="s">
        <v>156</v>
      </c>
      <c r="E11" s="4" t="s">
        <v>157</v>
      </c>
    </row>
    <row r="12" customFormat="false" ht="69.75" hidden="false" customHeight="true" outlineLevel="0" collapsed="false">
      <c r="A12" s="6" t="s">
        <v>102</v>
      </c>
      <c r="B12" s="6" t="s">
        <v>34</v>
      </c>
      <c r="C12" s="6" t="s">
        <v>158</v>
      </c>
      <c r="D12" s="6" t="s">
        <v>159</v>
      </c>
      <c r="E12" s="6" t="s">
        <v>160</v>
      </c>
    </row>
    <row r="13" customFormat="false" ht="69.75" hidden="false" customHeight="true" outlineLevel="0" collapsed="false">
      <c r="A13" s="4" t="s">
        <v>102</v>
      </c>
      <c r="B13" s="4" t="s">
        <v>40</v>
      </c>
      <c r="C13" s="4" t="s">
        <v>161</v>
      </c>
      <c r="D13" s="4" t="s">
        <v>162</v>
      </c>
      <c r="E13" s="4" t="s">
        <v>163</v>
      </c>
    </row>
    <row r="14" customFormat="false" ht="69.75" hidden="false" customHeight="true" outlineLevel="0" collapsed="false">
      <c r="A14" s="6" t="s">
        <v>102</v>
      </c>
      <c r="B14" s="6" t="s">
        <v>65</v>
      </c>
      <c r="C14" s="6" t="s">
        <v>164</v>
      </c>
      <c r="D14" s="6" t="s">
        <v>165</v>
      </c>
      <c r="E14" s="6" t="s">
        <v>166</v>
      </c>
    </row>
    <row r="15" customFormat="false" ht="69.75" hidden="false" customHeight="true" outlineLevel="0" collapsed="false">
      <c r="A15" s="4" t="s">
        <v>109</v>
      </c>
      <c r="B15" s="4" t="s">
        <v>40</v>
      </c>
      <c r="C15" s="4" t="s">
        <v>167</v>
      </c>
      <c r="D15" s="4" t="s">
        <v>168</v>
      </c>
      <c r="E15" s="4" t="s">
        <v>169</v>
      </c>
    </row>
    <row r="16" customFormat="false" ht="69.75" hidden="false" customHeight="true" outlineLevel="0" collapsed="false">
      <c r="A16" s="6" t="s">
        <v>109</v>
      </c>
      <c r="B16" s="6" t="s">
        <v>70</v>
      </c>
      <c r="C16" s="6" t="s">
        <v>170</v>
      </c>
      <c r="D16" s="6" t="s">
        <v>171</v>
      </c>
      <c r="E16" s="6" t="s">
        <v>172</v>
      </c>
    </row>
    <row r="17" customFormat="false" ht="69.75" hidden="false" customHeight="true" outlineLevel="0" collapsed="false">
      <c r="A17" s="4" t="s">
        <v>109</v>
      </c>
      <c r="B17" s="4" t="s">
        <v>75</v>
      </c>
      <c r="C17" s="4" t="s">
        <v>173</v>
      </c>
      <c r="D17" s="4" t="s">
        <v>174</v>
      </c>
      <c r="E17" s="4" t="s">
        <v>175</v>
      </c>
    </row>
    <row r="18" customFormat="false" ht="69.75" hidden="false" customHeight="true" outlineLevel="0" collapsed="false">
      <c r="A18" s="6" t="s">
        <v>116</v>
      </c>
      <c r="B18" s="6" t="s">
        <v>34</v>
      </c>
      <c r="C18" s="6" t="s">
        <v>176</v>
      </c>
      <c r="D18" s="6" t="s">
        <v>177</v>
      </c>
      <c r="E18" s="6" t="s">
        <v>178</v>
      </c>
    </row>
    <row r="19" customFormat="false" ht="69.75" hidden="false" customHeight="true" outlineLevel="0" collapsed="false">
      <c r="A19" s="4" t="s">
        <v>116</v>
      </c>
      <c r="B19" s="4" t="s">
        <v>50</v>
      </c>
      <c r="C19" s="4" t="s">
        <v>179</v>
      </c>
      <c r="D19" s="4" t="s">
        <v>180</v>
      </c>
      <c r="E19" s="4" t="s">
        <v>181</v>
      </c>
    </row>
    <row r="20" customFormat="false" ht="69.75" hidden="false" customHeight="true" outlineLevel="0" collapsed="false">
      <c r="A20" s="6" t="s">
        <v>116</v>
      </c>
      <c r="B20" s="6" t="s">
        <v>50</v>
      </c>
      <c r="C20" s="6" t="s">
        <v>182</v>
      </c>
      <c r="D20" s="6" t="s">
        <v>183</v>
      </c>
      <c r="E20" s="6" t="s">
        <v>184</v>
      </c>
    </row>
    <row r="21" customFormat="false" ht="69.75" hidden="false" customHeight="true" outlineLevel="0" collapsed="false">
      <c r="A21" s="4" t="s">
        <v>116</v>
      </c>
      <c r="B21" s="4" t="s">
        <v>50</v>
      </c>
      <c r="C21" s="4" t="s">
        <v>185</v>
      </c>
      <c r="D21" s="4" t="s">
        <v>186</v>
      </c>
      <c r="E21" s="4" t="s">
        <v>187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60"/>
  </cols>
  <sheetData>
    <row r="1" customFormat="false" ht="36" hidden="false" customHeight="true" outlineLevel="0" collapsed="false">
      <c r="A1" s="1" t="s">
        <v>188</v>
      </c>
      <c r="B1" s="1"/>
      <c r="C1" s="1"/>
    </row>
    <row r="2" customFormat="false" ht="21.75" hidden="false" customHeight="true" outlineLevel="0" collapsed="false">
      <c r="A2" s="2" t="s">
        <v>189</v>
      </c>
      <c r="B2" s="2"/>
      <c r="C2" s="2"/>
    </row>
    <row r="4" customFormat="false" ht="30" hidden="false" customHeight="true" outlineLevel="0" collapsed="false">
      <c r="A4" s="5" t="s">
        <v>190</v>
      </c>
      <c r="B4" s="5" t="s">
        <v>191</v>
      </c>
      <c r="C4" s="5" t="s">
        <v>192</v>
      </c>
    </row>
    <row r="5" customFormat="false" ht="79.5" hidden="false" customHeight="true" outlineLevel="0" collapsed="false">
      <c r="A5" s="4" t="s">
        <v>89</v>
      </c>
      <c r="B5" s="4" t="s">
        <v>193</v>
      </c>
      <c r="C5" s="4" t="s">
        <v>194</v>
      </c>
    </row>
    <row r="6" customFormat="false" ht="79.5" hidden="false" customHeight="true" outlineLevel="0" collapsed="false">
      <c r="A6" s="6" t="s">
        <v>96</v>
      </c>
      <c r="B6" s="6" t="s">
        <v>195</v>
      </c>
      <c r="C6" s="6" t="s">
        <v>196</v>
      </c>
    </row>
    <row r="7" customFormat="false" ht="79.5" hidden="false" customHeight="true" outlineLevel="0" collapsed="false">
      <c r="A7" s="4" t="s">
        <v>197</v>
      </c>
      <c r="B7" s="4" t="s">
        <v>198</v>
      </c>
      <c r="C7" s="4" t="s">
        <v>199</v>
      </c>
    </row>
    <row r="8" customFormat="false" ht="79.5" hidden="false" customHeight="true" outlineLevel="0" collapsed="false">
      <c r="A8" s="6" t="s">
        <v>117</v>
      </c>
      <c r="B8" s="6" t="s">
        <v>200</v>
      </c>
      <c r="C8" s="6" t="s">
        <v>201</v>
      </c>
    </row>
    <row r="9" customFormat="false" ht="79.5" hidden="false" customHeight="true" outlineLevel="0" collapsed="false">
      <c r="A9" s="4" t="s">
        <v>202</v>
      </c>
      <c r="B9" s="4" t="s">
        <v>203</v>
      </c>
      <c r="C9" s="4" t="s">
        <v>204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36" hidden="false" customHeight="true" outlineLevel="0" collapsed="false">
      <c r="A1" s="1" t="s">
        <v>205</v>
      </c>
      <c r="B1" s="1"/>
    </row>
    <row r="2" customFormat="false" ht="21.75" hidden="false" customHeight="true" outlineLevel="0" collapsed="false">
      <c r="A2" s="2" t="s">
        <v>206</v>
      </c>
      <c r="B2" s="2"/>
    </row>
    <row r="4" customFormat="false" ht="42" hidden="false" customHeight="true" outlineLevel="0" collapsed="false">
      <c r="A4" s="3" t="s">
        <v>207</v>
      </c>
      <c r="B4" s="4" t="s">
        <v>208</v>
      </c>
    </row>
    <row r="5" customFormat="false" ht="39.75" hidden="false" customHeight="true" outlineLevel="0" collapsed="false">
      <c r="A5" s="3" t="s">
        <v>209</v>
      </c>
      <c r="B5" s="4" t="s">
        <v>210</v>
      </c>
    </row>
    <row r="6" customFormat="false" ht="42" hidden="false" customHeight="true" outlineLevel="0" collapsed="false">
      <c r="A6" s="3" t="s">
        <v>211</v>
      </c>
      <c r="B6" s="4" t="s">
        <v>212</v>
      </c>
    </row>
    <row r="7" customFormat="false" ht="42" hidden="false" customHeight="true" outlineLevel="0" collapsed="false">
      <c r="A7" s="3" t="s">
        <v>213</v>
      </c>
      <c r="B7" s="4" t="s">
        <v>214</v>
      </c>
    </row>
    <row r="8" customFormat="false" ht="42" hidden="false" customHeight="true" outlineLevel="0" collapsed="false">
      <c r="A8" s="3" t="s">
        <v>215</v>
      </c>
      <c r="B8" s="4" t="s">
        <v>216</v>
      </c>
    </row>
    <row r="9" customFormat="false" ht="42" hidden="false" customHeight="true" outlineLevel="0" collapsed="false">
      <c r="A9" s="3" t="s">
        <v>217</v>
      </c>
      <c r="B9" s="4" t="s">
        <v>218</v>
      </c>
    </row>
    <row r="10" customFormat="false" ht="39.75" hidden="false" customHeight="true" outlineLevel="0" collapsed="false">
      <c r="A10" s="3" t="s">
        <v>219</v>
      </c>
      <c r="B10" s="4" t="s">
        <v>220</v>
      </c>
    </row>
    <row r="11" customFormat="false" ht="42" hidden="false" customHeight="true" outlineLevel="0" collapsed="false">
      <c r="A11" s="3" t="s">
        <v>221</v>
      </c>
      <c r="B11" s="4" t="s">
        <v>222</v>
      </c>
    </row>
    <row r="12" customFormat="false" ht="39.75" hidden="false" customHeight="true" outlineLevel="0" collapsed="false">
      <c r="A12" s="3" t="s">
        <v>223</v>
      </c>
      <c r="B12" s="4" t="s">
        <v>224</v>
      </c>
    </row>
    <row r="13" customFormat="false" ht="39.75" hidden="false" customHeight="true" outlineLevel="0" collapsed="false">
      <c r="A13" s="3" t="s">
        <v>225</v>
      </c>
      <c r="B13" s="4" t="s">
        <v>226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2026-04-25T15:33:15Z</dcterms:created>
  <dc:creator>openpyxl</dc:creator>
  <dc:description/>
  <dc:language>fr-FR</dc:language>
  <cp:lastModifiedBy/>
  <dcterms:modified xsi:type="dcterms:W3CDTF">2026-04-25T15:33:15Z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