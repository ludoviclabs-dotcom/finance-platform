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do\Desktop\IA projet entreprises\"/>
    </mc:Choice>
  </mc:AlternateContent>
  <xr:revisionPtr revIDLastSave="0" documentId="8_{054A24BC-5177-491D-B562-B4EB284FA1D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01_PARAMETRES" sheetId="1" r:id="rId1"/>
    <sheet name="02_GRILLE_REMUNERATION" sheetId="2" r:id="rId2"/>
    <sheet name="03_BENCHMARK_MARCHE" sheetId="3" r:id="rId3"/>
    <sheet name="04_AVANTAGES_NATURE" sheetId="4" r:id="rId4"/>
    <sheet name="05_PACKAGE_SIMULATION" sheetId="5" r:id="rId5"/>
    <sheet name="06_EXPAT_CALCULATOR" sheetId="6" r:id="rId6"/>
    <sheet name="07_EQUITE_INTERNE" sheetId="7" r:id="rId7"/>
    <sheet name="08_COST_EMPLOYEUR" sheetId="8" r:id="rId8"/>
    <sheet name="09_HISTORIQUE" sheetId="9" r:id="rId9"/>
    <sheet name="10_DASHBOARD" sheetId="10" r:id="rId10"/>
  </sheets>
  <definedNames>
    <definedName name="_xlnm._FilterDatabase" localSheetId="1" hidden="1">'02_GRILLE_REMUNERATION'!$B$7:$K$58</definedName>
    <definedName name="_xlnm._FilterDatabase" localSheetId="2" hidden="1">'03_BENCHMARK_MARCHE'!$B$7:$K$58</definedName>
    <definedName name="_xlnm._FilterDatabase" localSheetId="6" hidden="1">'07_EQUITE_INTERNE'!$B$9:$L$39</definedName>
    <definedName name="_xlnm._FilterDatabase" localSheetId="8" hidden="1">'09_HISTORIQUE'!$B$12:$J$27</definedName>
    <definedName name="ANNEE_REF">'01_PARAMETRES'!$C$8</definedName>
    <definedName name="DEVISE_REF">'01_PARAMETRES'!$C$7</definedName>
    <definedName name="TX_CHF">'01_PARAMETRES'!$C$34</definedName>
    <definedName name="TX_GBP">'01_PARAMETRES'!$C$35</definedName>
    <definedName name="TX_JPY">'01_PARAMETRES'!$C$36</definedName>
    <definedName name="TX_USD">'01_PARAMETRES'!$C$33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8" i="10" l="1"/>
  <c r="I28" i="10"/>
  <c r="D28" i="10"/>
  <c r="I27" i="10"/>
  <c r="J27" i="10" s="1"/>
  <c r="D27" i="10"/>
  <c r="I26" i="10"/>
  <c r="D26" i="10"/>
  <c r="I25" i="10"/>
  <c r="D25" i="10"/>
  <c r="J24" i="10"/>
  <c r="I24" i="10"/>
  <c r="D24" i="10"/>
  <c r="E20" i="10"/>
  <c r="D20" i="10"/>
  <c r="C20" i="10"/>
  <c r="E19" i="10"/>
  <c r="D19" i="10"/>
  <c r="C19" i="10"/>
  <c r="E18" i="10"/>
  <c r="D18" i="10"/>
  <c r="C18" i="10"/>
  <c r="E17" i="10"/>
  <c r="D17" i="10"/>
  <c r="C17" i="10"/>
  <c r="E16" i="10"/>
  <c r="D16" i="10"/>
  <c r="C16" i="10"/>
  <c r="E15" i="10"/>
  <c r="D15" i="10"/>
  <c r="J14" i="10"/>
  <c r="H14" i="10"/>
  <c r="E14" i="10"/>
  <c r="D14" i="10"/>
  <c r="J13" i="10"/>
  <c r="H13" i="10"/>
  <c r="E13" i="10"/>
  <c r="D13" i="10"/>
  <c r="H12" i="10"/>
  <c r="J12" i="10" s="1"/>
  <c r="E12" i="10"/>
  <c r="D12" i="10"/>
  <c r="E11" i="10"/>
  <c r="D11" i="10"/>
  <c r="C11" i="10"/>
  <c r="E10" i="10"/>
  <c r="D10" i="10"/>
  <c r="C10" i="10"/>
  <c r="F5" i="10"/>
  <c r="F2" i="10"/>
  <c r="B1" i="10"/>
  <c r="I28" i="9"/>
  <c r="H28" i="9"/>
  <c r="G28" i="9"/>
  <c r="F28" i="9"/>
  <c r="E28" i="9"/>
  <c r="D28" i="9"/>
  <c r="I27" i="9"/>
  <c r="J27" i="9" s="1"/>
  <c r="I26" i="9"/>
  <c r="I25" i="9"/>
  <c r="J25" i="9" s="1"/>
  <c r="I24" i="9"/>
  <c r="I23" i="9"/>
  <c r="J23" i="9" s="1"/>
  <c r="I22" i="9"/>
  <c r="I21" i="9"/>
  <c r="J21" i="9" s="1"/>
  <c r="I20" i="9"/>
  <c r="I19" i="9"/>
  <c r="J19" i="9" s="1"/>
  <c r="I18" i="9"/>
  <c r="I17" i="9"/>
  <c r="J17" i="9" s="1"/>
  <c r="I16" i="9"/>
  <c r="I15" i="9"/>
  <c r="J15" i="9" s="1"/>
  <c r="I14" i="9"/>
  <c r="I13" i="9"/>
  <c r="H5" i="10" s="1"/>
  <c r="J9" i="9"/>
  <c r="J25" i="10" s="1"/>
  <c r="I9" i="9"/>
  <c r="J8" i="9"/>
  <c r="I8" i="9"/>
  <c r="J7" i="9"/>
  <c r="I7" i="9"/>
  <c r="E3" i="9"/>
  <c r="H43" i="8"/>
  <c r="G43" i="8"/>
  <c r="F43" i="8"/>
  <c r="E43" i="8"/>
  <c r="D43" i="8"/>
  <c r="H36" i="8"/>
  <c r="G36" i="8"/>
  <c r="F36" i="8"/>
  <c r="E36" i="8"/>
  <c r="I36" i="8" s="1"/>
  <c r="D36" i="8"/>
  <c r="I35" i="8"/>
  <c r="H33" i="8"/>
  <c r="G33" i="8"/>
  <c r="G37" i="8" s="1"/>
  <c r="F33" i="8"/>
  <c r="E33" i="8"/>
  <c r="I33" i="8" s="1"/>
  <c r="D33" i="8"/>
  <c r="I32" i="8"/>
  <c r="H30" i="8"/>
  <c r="G30" i="8"/>
  <c r="F30" i="8"/>
  <c r="E30" i="8"/>
  <c r="D30" i="8"/>
  <c r="I30" i="8" s="1"/>
  <c r="I29" i="8"/>
  <c r="H27" i="8"/>
  <c r="G27" i="8"/>
  <c r="F27" i="8"/>
  <c r="E27" i="8"/>
  <c r="I27" i="8" s="1"/>
  <c r="D27" i="8"/>
  <c r="I26" i="8"/>
  <c r="I25" i="8"/>
  <c r="I24" i="8"/>
  <c r="H22" i="8"/>
  <c r="G22" i="8"/>
  <c r="F22" i="8"/>
  <c r="F37" i="8" s="1"/>
  <c r="G3" i="8" s="1"/>
  <c r="E22" i="8"/>
  <c r="I22" i="8" s="1"/>
  <c r="D22" i="8"/>
  <c r="I21" i="8"/>
  <c r="I20" i="8"/>
  <c r="H18" i="8"/>
  <c r="G18" i="8"/>
  <c r="F18" i="8"/>
  <c r="E18" i="8"/>
  <c r="I18" i="8" s="1"/>
  <c r="D18" i="8"/>
  <c r="I17" i="8"/>
  <c r="I16" i="8"/>
  <c r="I15" i="8"/>
  <c r="I14" i="8"/>
  <c r="H12" i="8"/>
  <c r="H37" i="8" s="1"/>
  <c r="G12" i="8"/>
  <c r="F12" i="8"/>
  <c r="E12" i="8"/>
  <c r="D12" i="8"/>
  <c r="I11" i="8"/>
  <c r="I10" i="8"/>
  <c r="I9" i="8"/>
  <c r="G54" i="7"/>
  <c r="F54" i="7"/>
  <c r="D54" i="7"/>
  <c r="C54" i="7"/>
  <c r="E54" i="7" s="1"/>
  <c r="H54" i="7" s="1"/>
  <c r="G53" i="7"/>
  <c r="F53" i="7"/>
  <c r="E53" i="7"/>
  <c r="H53" i="7" s="1"/>
  <c r="D53" i="7"/>
  <c r="C53" i="7"/>
  <c r="G52" i="7"/>
  <c r="F52" i="7"/>
  <c r="D52" i="7"/>
  <c r="C52" i="7"/>
  <c r="E52" i="7" s="1"/>
  <c r="H52" i="7" s="1"/>
  <c r="G51" i="7"/>
  <c r="F51" i="7"/>
  <c r="E51" i="7"/>
  <c r="H51" i="7" s="1"/>
  <c r="D51" i="7"/>
  <c r="C51" i="7"/>
  <c r="G50" i="7"/>
  <c r="F50" i="7"/>
  <c r="D50" i="7"/>
  <c r="C50" i="7"/>
  <c r="E50" i="7" s="1"/>
  <c r="H50" i="7" s="1"/>
  <c r="G49" i="7"/>
  <c r="F49" i="7"/>
  <c r="E49" i="7"/>
  <c r="H49" i="7" s="1"/>
  <c r="D49" i="7"/>
  <c r="C49" i="7"/>
  <c r="G48" i="7"/>
  <c r="F48" i="7"/>
  <c r="D48" i="7"/>
  <c r="C48" i="7"/>
  <c r="E48" i="7" s="1"/>
  <c r="H48" i="7" s="1"/>
  <c r="G47" i="7"/>
  <c r="F47" i="7"/>
  <c r="E47" i="7"/>
  <c r="H47" i="7" s="1"/>
  <c r="D47" i="7"/>
  <c r="C47" i="7"/>
  <c r="G46" i="7"/>
  <c r="F46" i="7"/>
  <c r="D46" i="7"/>
  <c r="C46" i="7"/>
  <c r="E46" i="7" s="1"/>
  <c r="H46" i="7" s="1"/>
  <c r="G45" i="7"/>
  <c r="F45" i="7"/>
  <c r="E45" i="7"/>
  <c r="H45" i="7" s="1"/>
  <c r="D45" i="7"/>
  <c r="C45" i="7"/>
  <c r="G44" i="7"/>
  <c r="F44" i="7"/>
  <c r="D44" i="7"/>
  <c r="C44" i="7"/>
  <c r="E44" i="7" s="1"/>
  <c r="H44" i="7" s="1"/>
  <c r="J39" i="7"/>
  <c r="H39" i="7"/>
  <c r="H38" i="7"/>
  <c r="J38" i="7" s="1"/>
  <c r="J37" i="7"/>
  <c r="H37" i="7"/>
  <c r="J36" i="7"/>
  <c r="J35" i="7"/>
  <c r="H35" i="7"/>
  <c r="J34" i="7"/>
  <c r="H34" i="7"/>
  <c r="J33" i="7"/>
  <c r="H33" i="7"/>
  <c r="J32" i="7"/>
  <c r="H32" i="7"/>
  <c r="J31" i="7"/>
  <c r="J30" i="7"/>
  <c r="H30" i="7"/>
  <c r="H29" i="7"/>
  <c r="J29" i="7" s="1"/>
  <c r="J28" i="7"/>
  <c r="J27" i="7"/>
  <c r="H27" i="7"/>
  <c r="J26" i="7"/>
  <c r="H26" i="7"/>
  <c r="J25" i="7"/>
  <c r="H25" i="7"/>
  <c r="J24" i="7"/>
  <c r="J23" i="7"/>
  <c r="J22" i="7"/>
  <c r="H22" i="7"/>
  <c r="J21" i="7"/>
  <c r="J20" i="7"/>
  <c r="H20" i="7"/>
  <c r="C13" i="10" s="1"/>
  <c r="H19" i="7"/>
  <c r="D5" i="10" s="1"/>
  <c r="J18" i="7"/>
  <c r="J17" i="7"/>
  <c r="H17" i="7"/>
  <c r="J16" i="7"/>
  <c r="H16" i="7"/>
  <c r="C12" i="10" s="1"/>
  <c r="J15" i="7"/>
  <c r="H15" i="7"/>
  <c r="J14" i="7"/>
  <c r="H14" i="7"/>
  <c r="J13" i="7"/>
  <c r="H13" i="7"/>
  <c r="J12" i="7"/>
  <c r="H12" i="7"/>
  <c r="C14" i="10" s="1"/>
  <c r="J11" i="7"/>
  <c r="H11" i="7"/>
  <c r="J10" i="7"/>
  <c r="H10" i="7"/>
  <c r="C15" i="10" s="1"/>
  <c r="H5" i="7"/>
  <c r="E5" i="7"/>
  <c r="E35" i="6"/>
  <c r="D35" i="6"/>
  <c r="E34" i="6"/>
  <c r="D34" i="6"/>
  <c r="E33" i="6"/>
  <c r="D33" i="6"/>
  <c r="D31" i="6"/>
  <c r="E30" i="6"/>
  <c r="D30" i="6"/>
  <c r="E28" i="6"/>
  <c r="D28" i="6"/>
  <c r="E27" i="6"/>
  <c r="D27" i="6"/>
  <c r="E24" i="6"/>
  <c r="D24" i="6"/>
  <c r="E23" i="6"/>
  <c r="D23" i="6"/>
  <c r="E18" i="6"/>
  <c r="D18" i="6"/>
  <c r="D17" i="6"/>
  <c r="D16" i="6"/>
  <c r="E16" i="6" s="1"/>
  <c r="E13" i="6"/>
  <c r="D13" i="6"/>
  <c r="D12" i="6"/>
  <c r="D11" i="6"/>
  <c r="K7" i="6"/>
  <c r="K6" i="6"/>
  <c r="D14" i="6" s="1"/>
  <c r="E14" i="6" s="1"/>
  <c r="E6" i="6"/>
  <c r="D26" i="6" s="1"/>
  <c r="D45" i="5"/>
  <c r="F43" i="5"/>
  <c r="F45" i="5" s="1"/>
  <c r="D43" i="5"/>
  <c r="D42" i="5"/>
  <c r="H41" i="5"/>
  <c r="H43" i="5" s="1"/>
  <c r="H45" i="5" s="1"/>
  <c r="F41" i="5"/>
  <c r="F42" i="5" s="1"/>
  <c r="D41" i="5"/>
  <c r="H33" i="5"/>
  <c r="H32" i="5"/>
  <c r="H31" i="5"/>
  <c r="F22" i="5"/>
  <c r="H22" i="5" s="1"/>
  <c r="F12" i="5"/>
  <c r="H12" i="5" s="1"/>
  <c r="J6" i="5"/>
  <c r="I6" i="5"/>
  <c r="F39" i="4"/>
  <c r="E39" i="4"/>
  <c r="D39" i="4"/>
  <c r="C39" i="4"/>
  <c r="F38" i="4"/>
  <c r="E38" i="4"/>
  <c r="D38" i="4"/>
  <c r="C38" i="4"/>
  <c r="F37" i="4"/>
  <c r="E37" i="4"/>
  <c r="D37" i="4"/>
  <c r="C37" i="4"/>
  <c r="F36" i="4"/>
  <c r="E36" i="4"/>
  <c r="D36" i="4"/>
  <c r="C36" i="4"/>
  <c r="F35" i="4"/>
  <c r="E35" i="4"/>
  <c r="D35" i="4"/>
  <c r="C35" i="4"/>
  <c r="F34" i="4"/>
  <c r="E34" i="4"/>
  <c r="D34" i="4"/>
  <c r="C34" i="4"/>
  <c r="G30" i="4"/>
  <c r="F30" i="4"/>
  <c r="E30" i="4"/>
  <c r="D30" i="4"/>
  <c r="C30" i="4"/>
  <c r="L5" i="4"/>
  <c r="E5" i="4"/>
  <c r="I59" i="3"/>
  <c r="H59" i="3"/>
  <c r="G59" i="3"/>
  <c r="F59" i="3"/>
  <c r="F59" i="2"/>
  <c r="J58" i="2"/>
  <c r="K58" i="2" s="1"/>
  <c r="H58" i="2"/>
  <c r="I58" i="2" s="1"/>
  <c r="J57" i="2"/>
  <c r="K57" i="2" s="1"/>
  <c r="H57" i="2"/>
  <c r="I57" i="2" s="1"/>
  <c r="J56" i="2"/>
  <c r="K56" i="2" s="1"/>
  <c r="I56" i="2"/>
  <c r="H56" i="2"/>
  <c r="J55" i="2"/>
  <c r="K55" i="2" s="1"/>
  <c r="H55" i="2"/>
  <c r="I55" i="2" s="1"/>
  <c r="J54" i="2"/>
  <c r="K54" i="2" s="1"/>
  <c r="H54" i="2"/>
  <c r="I54" i="2" s="1"/>
  <c r="J53" i="2"/>
  <c r="K53" i="2" s="1"/>
  <c r="H53" i="2"/>
  <c r="I53" i="2" s="1"/>
  <c r="J52" i="2"/>
  <c r="K52" i="2" s="1"/>
  <c r="I52" i="2"/>
  <c r="H52" i="2"/>
  <c r="J51" i="2"/>
  <c r="K51" i="2" s="1"/>
  <c r="H51" i="2"/>
  <c r="I51" i="2" s="1"/>
  <c r="J50" i="2"/>
  <c r="K50" i="2" s="1"/>
  <c r="H50" i="2"/>
  <c r="I50" i="2" s="1"/>
  <c r="J49" i="2"/>
  <c r="K49" i="2" s="1"/>
  <c r="H49" i="2"/>
  <c r="I49" i="2" s="1"/>
  <c r="J48" i="2"/>
  <c r="K48" i="2" s="1"/>
  <c r="I48" i="2"/>
  <c r="H48" i="2"/>
  <c r="J47" i="2"/>
  <c r="K47" i="2" s="1"/>
  <c r="H47" i="2"/>
  <c r="I47" i="2" s="1"/>
  <c r="J46" i="2"/>
  <c r="K46" i="2" s="1"/>
  <c r="H46" i="2"/>
  <c r="I46" i="2" s="1"/>
  <c r="J45" i="2"/>
  <c r="K45" i="2" s="1"/>
  <c r="H45" i="2"/>
  <c r="I45" i="2" s="1"/>
  <c r="J44" i="2"/>
  <c r="K44" i="2" s="1"/>
  <c r="I44" i="2"/>
  <c r="H44" i="2"/>
  <c r="J43" i="2"/>
  <c r="K43" i="2" s="1"/>
  <c r="H43" i="2"/>
  <c r="I43" i="2" s="1"/>
  <c r="J42" i="2"/>
  <c r="K42" i="2" s="1"/>
  <c r="H42" i="2"/>
  <c r="I42" i="2" s="1"/>
  <c r="J41" i="2"/>
  <c r="K41" i="2" s="1"/>
  <c r="H41" i="2"/>
  <c r="I41" i="2" s="1"/>
  <c r="J40" i="2"/>
  <c r="K40" i="2" s="1"/>
  <c r="I40" i="2"/>
  <c r="H40" i="2"/>
  <c r="J39" i="2"/>
  <c r="K39" i="2" s="1"/>
  <c r="H39" i="2"/>
  <c r="I39" i="2" s="1"/>
  <c r="J38" i="2"/>
  <c r="K38" i="2" s="1"/>
  <c r="H38" i="2"/>
  <c r="I38" i="2" s="1"/>
  <c r="J37" i="2"/>
  <c r="K37" i="2" s="1"/>
  <c r="H37" i="2"/>
  <c r="I37" i="2" s="1"/>
  <c r="J36" i="2"/>
  <c r="K36" i="2" s="1"/>
  <c r="I36" i="2"/>
  <c r="H36" i="2"/>
  <c r="J35" i="2"/>
  <c r="K35" i="2" s="1"/>
  <c r="H35" i="2"/>
  <c r="I35" i="2" s="1"/>
  <c r="J34" i="2"/>
  <c r="K34" i="2" s="1"/>
  <c r="H34" i="2"/>
  <c r="I34" i="2" s="1"/>
  <c r="J33" i="2"/>
  <c r="K33" i="2" s="1"/>
  <c r="H33" i="2"/>
  <c r="I33" i="2" s="1"/>
  <c r="J32" i="2"/>
  <c r="K32" i="2" s="1"/>
  <c r="I32" i="2"/>
  <c r="H32" i="2"/>
  <c r="J31" i="2"/>
  <c r="K31" i="2" s="1"/>
  <c r="H31" i="2"/>
  <c r="I31" i="2" s="1"/>
  <c r="J30" i="2"/>
  <c r="K30" i="2" s="1"/>
  <c r="H30" i="2"/>
  <c r="I30" i="2" s="1"/>
  <c r="J29" i="2"/>
  <c r="K29" i="2" s="1"/>
  <c r="H29" i="2"/>
  <c r="I29" i="2" s="1"/>
  <c r="J28" i="2"/>
  <c r="K28" i="2" s="1"/>
  <c r="I28" i="2"/>
  <c r="H28" i="2"/>
  <c r="J27" i="2"/>
  <c r="K27" i="2" s="1"/>
  <c r="H27" i="2"/>
  <c r="I27" i="2" s="1"/>
  <c r="J26" i="2"/>
  <c r="K26" i="2" s="1"/>
  <c r="H26" i="2"/>
  <c r="I26" i="2" s="1"/>
  <c r="J25" i="2"/>
  <c r="K25" i="2" s="1"/>
  <c r="H25" i="2"/>
  <c r="I25" i="2" s="1"/>
  <c r="J24" i="2"/>
  <c r="K24" i="2" s="1"/>
  <c r="I24" i="2"/>
  <c r="H24" i="2"/>
  <c r="J23" i="2"/>
  <c r="K23" i="2" s="1"/>
  <c r="H23" i="2"/>
  <c r="I23" i="2" s="1"/>
  <c r="J22" i="2"/>
  <c r="K22" i="2" s="1"/>
  <c r="H22" i="2"/>
  <c r="I22" i="2" s="1"/>
  <c r="J21" i="2"/>
  <c r="K21" i="2" s="1"/>
  <c r="H21" i="2"/>
  <c r="I21" i="2" s="1"/>
  <c r="J20" i="2"/>
  <c r="K20" i="2" s="1"/>
  <c r="I20" i="2"/>
  <c r="H20" i="2"/>
  <c r="J19" i="2"/>
  <c r="K19" i="2" s="1"/>
  <c r="H19" i="2"/>
  <c r="I19" i="2" s="1"/>
  <c r="J18" i="2"/>
  <c r="K18" i="2" s="1"/>
  <c r="H18" i="2"/>
  <c r="I18" i="2" s="1"/>
  <c r="J17" i="2"/>
  <c r="K17" i="2" s="1"/>
  <c r="H17" i="2"/>
  <c r="I17" i="2" s="1"/>
  <c r="J16" i="2"/>
  <c r="K16" i="2" s="1"/>
  <c r="I16" i="2"/>
  <c r="H16" i="2"/>
  <c r="J15" i="2"/>
  <c r="K15" i="2" s="1"/>
  <c r="H15" i="2"/>
  <c r="I15" i="2" s="1"/>
  <c r="J14" i="2"/>
  <c r="K14" i="2" s="1"/>
  <c r="H14" i="2"/>
  <c r="I14" i="2" s="1"/>
  <c r="J13" i="2"/>
  <c r="K13" i="2" s="1"/>
  <c r="H13" i="2"/>
  <c r="I13" i="2" s="1"/>
  <c r="J12" i="2"/>
  <c r="K12" i="2" s="1"/>
  <c r="I12" i="2"/>
  <c r="H12" i="2"/>
  <c r="J11" i="2"/>
  <c r="K11" i="2" s="1"/>
  <c r="H11" i="2"/>
  <c r="I11" i="2" s="1"/>
  <c r="J10" i="2"/>
  <c r="K10" i="2" s="1"/>
  <c r="H10" i="2"/>
  <c r="I10" i="2" s="1"/>
  <c r="J9" i="2"/>
  <c r="K9" i="2" s="1"/>
  <c r="H9" i="2"/>
  <c r="I9" i="2" s="1"/>
  <c r="J8" i="2"/>
  <c r="K8" i="2" s="1"/>
  <c r="H8" i="2"/>
  <c r="I8" i="2" s="1"/>
  <c r="D39" i="1"/>
  <c r="D38" i="1"/>
  <c r="D37" i="1"/>
  <c r="D36" i="1"/>
  <c r="D35" i="1"/>
  <c r="D34" i="1"/>
  <c r="D33" i="1"/>
  <c r="C12" i="1"/>
  <c r="B2" i="10" s="1"/>
  <c r="F28" i="5" l="1"/>
  <c r="H28" i="5" s="1"/>
  <c r="F26" i="5"/>
  <c r="H26" i="5" s="1"/>
  <c r="F18" i="5"/>
  <c r="H18" i="5" s="1"/>
  <c r="F16" i="5"/>
  <c r="F13" i="5"/>
  <c r="H13" i="5" s="1"/>
  <c r="F11" i="5"/>
  <c r="E12" i="6"/>
  <c r="F17" i="5"/>
  <c r="H17" i="5" s="1"/>
  <c r="F27" i="5"/>
  <c r="H27" i="5" s="1"/>
  <c r="H42" i="5"/>
  <c r="E26" i="6"/>
  <c r="J59" i="2"/>
  <c r="F19" i="5"/>
  <c r="H19" i="5" s="1"/>
  <c r="F25" i="5"/>
  <c r="E11" i="6"/>
  <c r="E31" i="6"/>
  <c r="J19" i="7"/>
  <c r="I12" i="8"/>
  <c r="D37" i="8"/>
  <c r="J13" i="9"/>
  <c r="K5" i="7"/>
  <c r="E37" i="8"/>
  <c r="H10" i="10"/>
  <c r="J10" i="10" s="1"/>
  <c r="J26" i="10"/>
  <c r="E17" i="6"/>
  <c r="D22" i="6"/>
  <c r="B5" i="7"/>
  <c r="J14" i="9"/>
  <c r="J16" i="9"/>
  <c r="J18" i="9"/>
  <c r="J20" i="9"/>
  <c r="J22" i="9"/>
  <c r="J24" i="9"/>
  <c r="J26" i="9"/>
  <c r="H11" i="10"/>
  <c r="J11" i="10" s="1"/>
  <c r="D20" i="6"/>
  <c r="B3" i="9" l="1"/>
  <c r="E22" i="6"/>
  <c r="F22" i="6"/>
  <c r="I37" i="8"/>
  <c r="F20" i="5"/>
  <c r="H20" i="5" s="1"/>
  <c r="H16" i="5"/>
  <c r="B3" i="8"/>
  <c r="J12" i="8"/>
  <c r="E3" i="8"/>
  <c r="I3" i="8" s="1"/>
  <c r="D36" i="6"/>
  <c r="F20" i="6"/>
  <c r="E20" i="6"/>
  <c r="H25" i="5"/>
  <c r="F29" i="5"/>
  <c r="F14" i="5"/>
  <c r="H11" i="5"/>
  <c r="J32" i="8" l="1"/>
  <c r="J25" i="8"/>
  <c r="J16" i="8"/>
  <c r="J14" i="8"/>
  <c r="B5" i="10"/>
  <c r="J29" i="8"/>
  <c r="J20" i="8"/>
  <c r="J11" i="8"/>
  <c r="J9" i="8"/>
  <c r="J26" i="8"/>
  <c r="J24" i="8"/>
  <c r="J17" i="8"/>
  <c r="J15" i="8"/>
  <c r="J22" i="8"/>
  <c r="J30" i="8"/>
  <c r="J33" i="8"/>
  <c r="J21" i="8"/>
  <c r="J27" i="8"/>
  <c r="J10" i="8"/>
  <c r="J36" i="8"/>
  <c r="J35" i="8"/>
  <c r="J18" i="8"/>
  <c r="H29" i="5"/>
  <c r="F34" i="6"/>
  <c r="F28" i="6"/>
  <c r="F23" i="6"/>
  <c r="F35" i="6"/>
  <c r="F30" i="6"/>
  <c r="F24" i="6"/>
  <c r="F18" i="6"/>
  <c r="E36" i="6"/>
  <c r="F13" i="6"/>
  <c r="F12" i="6"/>
  <c r="F33" i="6"/>
  <c r="F31" i="6"/>
  <c r="F26" i="6"/>
  <c r="F17" i="6"/>
  <c r="F27" i="6"/>
  <c r="F14" i="6"/>
  <c r="F16" i="6"/>
  <c r="F11" i="6"/>
  <c r="F23" i="5"/>
  <c r="H14" i="5"/>
  <c r="F34" i="5" l="1"/>
  <c r="H23" i="5"/>
  <c r="H34" i="5" l="1"/>
  <c r="F35" i="5"/>
  <c r="F36" i="5"/>
  <c r="D37" i="6"/>
  <c r="F37" i="5"/>
</calcChain>
</file>

<file path=xl/sharedStrings.xml><?xml version="1.0" encoding="utf-8"?>
<sst xmlns="http://schemas.openxmlformats.org/spreadsheetml/2006/main" count="1460" uniqueCount="618">
  <si>
    <t>⚙️  NEURAL — LuxeCompBenchmark · Paramètres Généraux</t>
  </si>
  <si>
    <t>Configuration globale · Devises · Niveaux · Conventions collectives</t>
  </si>
  <si>
    <t>▌ SECTION A — CONFIGURATION GÉNÉRALE</t>
  </si>
  <si>
    <t>Paramètre</t>
  </si>
  <si>
    <t>Valeur (saisie)</t>
  </si>
  <si>
    <t>Info</t>
  </si>
  <si>
    <t>Maison / Groupe</t>
  </si>
  <si>
    <t>Hermès / LVMH / Kering / Richemont / Chanel / Cartier / Boucheron / Van Cleef / Dior / Berluti / Personnalisé</t>
  </si>
  <si>
    <t>Devise de référence</t>
  </si>
  <si>
    <t>EUR / USD / CHF / GBP / JPY / CNY</t>
  </si>
  <si>
    <t>Année de référence</t>
  </si>
  <si>
    <t>Année N pour les projections</t>
  </si>
  <si>
    <t>Convention collective</t>
  </si>
  <si>
    <t>Bijouterie-Joaillerie / Couture / Maroquinerie / Horlogerie / Commerce détail</t>
  </si>
  <si>
    <t>Pays siège</t>
  </si>
  <si>
    <t>FR / IT / CH / GB / US / JP / HK</t>
  </si>
  <si>
    <t>Périmètre analyse</t>
  </si>
  <si>
    <t>France seul / Multi-pays / Global</t>
  </si>
  <si>
    <t>Date d'analyse</t>
  </si>
  <si>
    <t>Analyste NEURAL</t>
  </si>
  <si>
    <t>▌ SECTION B — GRILLE DE NIVEAUX HIÉRARCHIQUES</t>
  </si>
  <si>
    <t>Code Niveau</t>
  </si>
  <si>
    <t>Intitulé</t>
  </si>
  <si>
    <t>Expérience type</t>
  </si>
  <si>
    <t>Grade HRIS</t>
  </si>
  <si>
    <t>N1</t>
  </si>
  <si>
    <t>Apprenti / Stagiaire</t>
  </si>
  <si>
    <t>0-1 an</t>
  </si>
  <si>
    <t>Grade 1</t>
  </si>
  <si>
    <t>N2</t>
  </si>
  <si>
    <t>Artisan Junior</t>
  </si>
  <si>
    <t>&lt; 3 ans</t>
  </si>
  <si>
    <t>Grade 2</t>
  </si>
  <si>
    <t>N3</t>
  </si>
  <si>
    <t>Artisan Confirmé</t>
  </si>
  <si>
    <t>3-7 ans</t>
  </si>
  <si>
    <t>Grade 3</t>
  </si>
  <si>
    <t>N4</t>
  </si>
  <si>
    <t>Artisan Senior / Chef adj.</t>
  </si>
  <si>
    <t>7-12 ans</t>
  </si>
  <si>
    <t>Grade 4</t>
  </si>
  <si>
    <t>N5</t>
  </si>
  <si>
    <t>Maître Artisan / Chef atelier</t>
  </si>
  <si>
    <t>12-20 ans</t>
  </si>
  <si>
    <t>Grade 5</t>
  </si>
  <si>
    <t>N6</t>
  </si>
  <si>
    <t>Directeur atelier / Maître d'Art</t>
  </si>
  <si>
    <t>20+ ans</t>
  </si>
  <si>
    <t>Grade 6</t>
  </si>
  <si>
    <t>N7</t>
  </si>
  <si>
    <t>Directeur création artisanale</t>
  </si>
  <si>
    <t>Expert total</t>
  </si>
  <si>
    <t>Grade 7</t>
  </si>
  <si>
    <t>M1</t>
  </si>
  <si>
    <t>Manager opérationnel</t>
  </si>
  <si>
    <t>5-10 ans</t>
  </si>
  <si>
    <t>M-Grade 1</t>
  </si>
  <si>
    <t>M2</t>
  </si>
  <si>
    <t>Directeur de département</t>
  </si>
  <si>
    <t>10-15 ans</t>
  </si>
  <si>
    <t>M-Grade 2</t>
  </si>
  <si>
    <t>M3</t>
  </si>
  <si>
    <t>VP / Directeur régional</t>
  </si>
  <si>
    <t>15+ ans</t>
  </si>
  <si>
    <t>M-Grade 3</t>
  </si>
  <si>
    <t>M4</t>
  </si>
  <si>
    <t>C-Level / Comex</t>
  </si>
  <si>
    <t>M-Grade 4</t>
  </si>
  <si>
    <t>▌ SECTION C — TAUX DE CHANGE (vers EUR)</t>
  </si>
  <si>
    <t>Paire</t>
  </si>
  <si>
    <t>Taux (saisie)</t>
  </si>
  <si>
    <t>Inverse</t>
  </si>
  <si>
    <t>Source / Date</t>
  </si>
  <si>
    <t>EUR/USD</t>
  </si>
  <si>
    <t>BCE / Banque Nationale Suisse — Source: simul. NEURAL</t>
  </si>
  <si>
    <t>EUR/CHF</t>
  </si>
  <si>
    <t>EUR/GBP</t>
  </si>
  <si>
    <t>EUR/JPY</t>
  </si>
  <si>
    <t>EUR/CNY</t>
  </si>
  <si>
    <t>EUR/HKD</t>
  </si>
  <si>
    <t>EUR/AED</t>
  </si>
  <si>
    <t>▌ SECTION D — PAYS ANALYSÉS &amp; CONTEXTE LÉGAL</t>
  </si>
  <si>
    <t>Code pays</t>
  </si>
  <si>
    <t>Pays</t>
  </si>
  <si>
    <t>Devise locale</t>
  </si>
  <si>
    <t>Charges patron. moy.</t>
  </si>
  <si>
    <t>FR</t>
  </si>
  <si>
    <t>France</t>
  </si>
  <si>
    <t>EUR</t>
  </si>
  <si>
    <t>~45%</t>
  </si>
  <si>
    <t>IT</t>
  </si>
  <si>
    <t>Italie</t>
  </si>
  <si>
    <t>~40%</t>
  </si>
  <si>
    <t>CH</t>
  </si>
  <si>
    <t>Suisse</t>
  </si>
  <si>
    <t>CHF</t>
  </si>
  <si>
    <t>~13%</t>
  </si>
  <si>
    <t>GB</t>
  </si>
  <si>
    <t>Royaume-Uni</t>
  </si>
  <si>
    <t>GBP</t>
  </si>
  <si>
    <t>~15%</t>
  </si>
  <si>
    <t>US</t>
  </si>
  <si>
    <t>États-Unis</t>
  </si>
  <si>
    <t>USD</t>
  </si>
  <si>
    <t>~10%</t>
  </si>
  <si>
    <t>JP</t>
  </si>
  <si>
    <t>Japon</t>
  </si>
  <si>
    <t>JPY</t>
  </si>
  <si>
    <t>HK</t>
  </si>
  <si>
    <t>Hong Kong</t>
  </si>
  <si>
    <t>HKD</t>
  </si>
  <si>
    <t>~5%</t>
  </si>
  <si>
    <t>DE</t>
  </si>
  <si>
    <t>Allemagne</t>
  </si>
  <si>
    <t>~21%</t>
  </si>
  <si>
    <t>NEURAL — Intelligence Augmentée pour l'Entreprise  ·  neural-platform.vercel.app  ·  Données simulées à des fins de démonstration</t>
  </si>
  <si>
    <t>📋  NEURAL — GRILLE_REMUNERATION · Salaires par Métier × Niveau × Pays</t>
  </si>
  <si>
    <t>Grille salariale de référence · Compa-ratio automatique · Conversion multi-devises</t>
  </si>
  <si>
    <t>▌ FILTRES ACTIFS — Pays / Famille Métier / Niveau</t>
  </si>
  <si>
    <t>Tous</t>
  </si>
  <si>
    <t>Famille métier</t>
  </si>
  <si>
    <t>Niveau</t>
  </si>
  <si>
    <t>ID
Métier</t>
  </si>
  <si>
    <t>Famille</t>
  </si>
  <si>
    <t>Niv.</t>
  </si>
  <si>
    <t>Base brut
annuel</t>
  </si>
  <si>
    <t>Variable
cible %</t>
  </si>
  <si>
    <t>Base +
Variable</t>
  </si>
  <si>
    <t>Total
cash</t>
  </si>
  <si>
    <t>Compa-
ratio</t>
  </si>
  <si>
    <t>Statut
marché</t>
  </si>
  <si>
    <t>M01</t>
  </si>
  <si>
    <t>Maroquinerie</t>
  </si>
  <si>
    <t>M05</t>
  </si>
  <si>
    <t>Joaillerie</t>
  </si>
  <si>
    <t>M07</t>
  </si>
  <si>
    <t>M09</t>
  </si>
  <si>
    <t>M10</t>
  </si>
  <si>
    <t>Horlogerie</t>
  </si>
  <si>
    <t>M12</t>
  </si>
  <si>
    <t>M13</t>
  </si>
  <si>
    <t>Couture</t>
  </si>
  <si>
    <t>M14</t>
  </si>
  <si>
    <t>M15</t>
  </si>
  <si>
    <t>M17</t>
  </si>
  <si>
    <t>Parfumerie</t>
  </si>
  <si>
    <t>M20</t>
  </si>
  <si>
    <t>Textile</t>
  </si>
  <si>
    <t>M-MGR</t>
  </si>
  <si>
    <t>Multi</t>
  </si>
  <si>
    <t>TOTAL — 51 postes référencés</t>
  </si>
  <si>
    <t>▌ LÉGENDE — Compa-Ratio (Salaire Réel / Médiane Marché P50)</t>
  </si>
  <si>
    <t>🔴 &gt; 1.10</t>
  </si>
  <si>
    <t>Surpayé vs marché — Révision à la baisse à l'embauche à étudier</t>
  </si>
  <si>
    <t>🟢 0.95–1.10</t>
  </si>
  <si>
    <t>Dans la cible — Positionnement optimal marché luxe</t>
  </si>
  <si>
    <t>🟡 0.85–0.94</t>
  </si>
  <si>
    <t>Légèrement sous-payé — Action correctrice recommandée</t>
  </si>
  <si>
    <t>🔴 &lt; 0.85</t>
  </si>
  <si>
    <t>Risque rétention critique — Action immédiate requise</t>
  </si>
  <si>
    <t>📋  NEURAL — BENCHMARK_MARCHÉ · Données P25 / P50 / P75 / P90 par Métier</t>
  </si>
  <si>
    <t>Sources : Robert Half Luxe · Hays Luxury · Willis Towers Watson · Comité Colbert — Données simulées NEURAL</t>
  </si>
  <si>
    <t>▌ SÉLECTEUR — Métier &amp; Pays pour visualisation Box Plot</t>
  </si>
  <si>
    <t>Métier affiché</t>
  </si>
  <si>
    <t>Année</t>
  </si>
  <si>
    <t>P25
(€)</t>
  </si>
  <si>
    <t>P50
Médiane (€)</t>
  </si>
  <si>
    <t>P75
(€)</t>
  </si>
  <si>
    <t>P90
(€)</t>
  </si>
  <si>
    <t>Trend
YoY</t>
  </si>
  <si>
    <t>Source</t>
  </si>
  <si>
    <t>+2.5%</t>
  </si>
  <si>
    <t>Robert Half Luxe 2025</t>
  </si>
  <si>
    <t>+3.5%</t>
  </si>
  <si>
    <t>+4.0%</t>
  </si>
  <si>
    <t>Hays Luxury 2025</t>
  </si>
  <si>
    <t>+4.5%</t>
  </si>
  <si>
    <t>WTW Luxury Report</t>
  </si>
  <si>
    <t>+5.0%</t>
  </si>
  <si>
    <t>+2.8%</t>
  </si>
  <si>
    <t>Hays Italy 2025</t>
  </si>
  <si>
    <t>+3.2%</t>
  </si>
  <si>
    <t>+3.8%</t>
  </si>
  <si>
    <t>Michael Page IT</t>
  </si>
  <si>
    <t>+4.1%</t>
  </si>
  <si>
    <t>Kienbaum CH 2025</t>
  </si>
  <si>
    <t>WTW Switzerland</t>
  </si>
  <si>
    <t>+4.2%</t>
  </si>
  <si>
    <t>Robert Half Luxe</t>
  </si>
  <si>
    <t>Hays Luxury</t>
  </si>
  <si>
    <t>+5.5%</t>
  </si>
  <si>
    <t>WTW Luxury</t>
  </si>
  <si>
    <t>+6.0%</t>
  </si>
  <si>
    <t>Comité Colbert</t>
  </si>
  <si>
    <t>+5.2%</t>
  </si>
  <si>
    <t>Kienbaum CH</t>
  </si>
  <si>
    <t>+5.8%</t>
  </si>
  <si>
    <t>FHH Report</t>
  </si>
  <si>
    <t>+6.5%</t>
  </si>
  <si>
    <t>Hays CH/FR</t>
  </si>
  <si>
    <t>FHH / WTW CH</t>
  </si>
  <si>
    <t>Robert Half</t>
  </si>
  <si>
    <t>+3.0%</t>
  </si>
  <si>
    <t>+7.0%</t>
  </si>
  <si>
    <t>+6.8%</t>
  </si>
  <si>
    <t>Hays Management</t>
  </si>
  <si>
    <t>WTW Management</t>
  </si>
  <si>
    <t>Korn Ferry</t>
  </si>
  <si>
    <t>+4.8%</t>
  </si>
  <si>
    <t>Korn Ferry CH</t>
  </si>
  <si>
    <t>MOYENNE MARCHÉ — 51 observations</t>
  </si>
  <si>
    <t>▌ LÉGENDE — Percentiles Marché Luxe</t>
  </si>
  <si>
    <t>P25 — Zone basse</t>
  </si>
  <si>
    <t>25% des salaires sont inférieurs à ce seuil</t>
  </si>
  <si>
    <t>P50 — Médiane</t>
  </si>
  <si>
    <t>Référence de marché — Compa-ratio = Salaire / P50</t>
  </si>
  <si>
    <t>P75 — Zone haute</t>
  </si>
  <si>
    <t>Top 25% du marché — Objectif packages compétitifs</t>
  </si>
  <si>
    <t>P90 — Zone premium</t>
  </si>
  <si>
    <t>Top 10% — Réservé aux talents rares et postes critiques</t>
  </si>
  <si>
    <t>📋  NEURAL — AVANTAGES_NATURE · Valorisation des Avantages Secteur Luxe</t>
  </si>
  <si>
    <t>Avantages spécifiques maison · Valorisation annuelle · Calcul dynamique par niveau</t>
  </si>
  <si>
    <t>▌ FILTRE — Niveau sélectionné (détermine les avantages éligibles)</t>
  </si>
  <si>
    <t>Niveau collaborateur :</t>
  </si>
  <si>
    <t>Maison :</t>
  </si>
  <si>
    <t>⚠️ Les cellules or sont modifiables — Les valeurs s'adaptent au niveau sélectionné</t>
  </si>
  <si>
    <t>Avantage</t>
  </si>
  <si>
    <t>Niveau
min. éligible</t>
  </si>
  <si>
    <t>Valeur / an
estimée (€)</t>
  </si>
  <si>
    <t>Valeur perçue
salarié (€)</t>
  </si>
  <si>
    <t>Charge
patronale (€)</t>
  </si>
  <si>
    <t>Inclus dans
simulateur</t>
  </si>
  <si>
    <t>Catégorie</t>
  </si>
  <si>
    <t>Remise sur produits maison (30-50%)</t>
  </si>
  <si>
    <t>✅</t>
  </si>
  <si>
    <t>🎁 Remise employé</t>
  </si>
  <si>
    <t>Ventes privées exclusives</t>
  </si>
  <si>
    <t>Attribution produits iconiques (coût)</t>
  </si>
  <si>
    <t>Défilés &amp; vernissages (invitations)</t>
  </si>
  <si>
    <t>—</t>
  </si>
  <si>
    <t>🎫 Événements</t>
  </si>
  <si>
    <t>Events clients VIP</t>
  </si>
  <si>
    <t>Soirées Comité Colbert / ambassadeurs</t>
  </si>
  <si>
    <t>MOF / EPV préparation &amp; accompagnement</t>
  </si>
  <si>
    <t>📚 Formation</t>
  </si>
  <si>
    <t>Voyages savoir-faire (IT, JP, etc.)</t>
  </si>
  <si>
    <t>Masterclass maîtres artisans</t>
  </si>
  <si>
    <t>Executive Education (HEC, INSEAD)</t>
  </si>
  <si>
    <t>Mutuelle premium (famille)</t>
  </si>
  <si>
    <t>🏥 Protection soc.</t>
  </si>
  <si>
    <t>Prévoyance renforcée</t>
  </si>
  <si>
    <t>Retraite supplémentaire article 83</t>
  </si>
  <si>
    <t>Assurance vie abondée maison</t>
  </si>
  <si>
    <t>Restaurant d'entreprise / tickets resto</t>
  </si>
  <si>
    <t>🏠 Vie quotidienne</t>
  </si>
  <si>
    <t>CE — activités culturelles &amp; loisirs</t>
  </si>
  <si>
    <t>Transport (pass navigo / voiture)</t>
  </si>
  <si>
    <t>Crèche d'entreprise / CESU garde enfants</t>
  </si>
  <si>
    <t>Intéressement / participation</t>
  </si>
  <si>
    <t>📈 LTI / Intéressement</t>
  </si>
  <si>
    <t>Plan d'épargne entreprise (abondement)</t>
  </si>
  <si>
    <t>Stock-options / RSU (valorisation moy.)</t>
  </si>
  <si>
    <t>LTI — incentive pluriannuel</t>
  </si>
  <si>
    <t>TOTAL AVANTAGES (niveau sélectionné)</t>
  </si>
  <si>
    <t>▌ RÉCAPITULATIF PAR CATÉGORIE — Valorisation totale</t>
  </si>
  <si>
    <t>Nb avantages</t>
  </si>
  <si>
    <t>Valeur totale / an</t>
  </si>
  <si>
    <t>Valeur perçue</t>
  </si>
  <si>
    <t>Charge patron.</t>
  </si>
  <si>
    <t>💎  NEURAL — PACKAGE_SIMULATION · Coût Complet Artisan Luxe</t>
  </si>
  <si>
    <t>Simulateur temps réel · Rémunération fixe + variable + avantages + charges · Comparaison multi-pays</t>
  </si>
  <si>
    <t>▌ PARAMÈTRES DE SIMULATION — Sélectionnez le profil</t>
  </si>
  <si>
    <t>Métier ▼</t>
  </si>
  <si>
    <t>Niveau ▼</t>
  </si>
  <si>
    <t>Pays ▼</t>
  </si>
  <si>
    <t>Ancienneté
(années)</t>
  </si>
  <si>
    <t>Convention
13e mois</t>
  </si>
  <si>
    <t>Oui</t>
  </si>
  <si>
    <t>Nb enfants
(scolarité)</t>
  </si>
  <si>
    <t>▌ DÉCOMPOSITION DU PACKAGE — Toutes composantes</t>
  </si>
  <si>
    <t>COMPOSANTE DU PACKAGE</t>
  </si>
  <si>
    <t>MONTANT (€/an)</t>
  </si>
  <si>
    <t>% package
perçu</t>
  </si>
  <si>
    <t>Mensuel
(€)</t>
  </si>
  <si>
    <t>Note</t>
  </si>
  <si>
    <t xml:space="preserve">  💰  RÉMUNÉRATION FIXE</t>
  </si>
  <si>
    <t>Salaire de base brut annuel</t>
  </si>
  <si>
    <t>Lié à 02_GRILLE_REMUNERATION</t>
  </si>
  <si>
    <t>13ème mois (si convention collective)</t>
  </si>
  <si>
    <t>CC applicable</t>
  </si>
  <si>
    <t>Prime d'ancienneté</t>
  </si>
  <si>
    <t>0.3% / an, plafond 15%</t>
  </si>
  <si>
    <t>SOUS-TOTAL FIXE</t>
  </si>
  <si>
    <t xml:space="preserve">  📈  RÉMUNÉRATION VARIABLE</t>
  </si>
  <si>
    <t>Bonus annuel (base × % cible convention)</t>
  </si>
  <si>
    <t>Lié à 02_GRILLE (var. cible)</t>
  </si>
  <si>
    <t>Prime qualité / productivité artisanale</t>
  </si>
  <si>
    <t>Estimation 4% base — ajustable</t>
  </si>
  <si>
    <t>Intéressement (estimation légale)</t>
  </si>
  <si>
    <t>~5.5% base — données secteur</t>
  </si>
  <si>
    <t>Participation (estimation légale)</t>
  </si>
  <si>
    <t>~4.5% base — données secteur</t>
  </si>
  <si>
    <t>SOUS-TOTAL VARIABLE</t>
  </si>
  <si>
    <t xml:space="preserve">  🎁  AVANTAGES EN NATURE (lien → 04_AVANTAGES_NATURE)</t>
  </si>
  <si>
    <t>Total avantages pour le niveau sélectionné</t>
  </si>
  <si>
    <t>Remise + Événements + Formation + Protection + Vie + LTI</t>
  </si>
  <si>
    <t>💎  TOTAL PACKAGE PERÇU SALARIÉ</t>
  </si>
  <si>
    <t xml:space="preserve">  🏢  CHARGES PATRONALES (taux pays)</t>
  </si>
  <si>
    <t>Cotisations sociales patronales</t>
  </si>
  <si>
    <t>Taux de 01_PARAMETRES selon pays</t>
  </si>
  <si>
    <t>Taxe d'apprentissage (0.68%)</t>
  </si>
  <si>
    <t>France uniquement</t>
  </si>
  <si>
    <t>Formation professionnelle (1%)</t>
  </si>
  <si>
    <t>OPCO — France</t>
  </si>
  <si>
    <t>Effort construction (0.45%)</t>
  </si>
  <si>
    <t>&gt; 50 salariés</t>
  </si>
  <si>
    <t>SOUS-TOTAL CHARGES PATRONALES</t>
  </si>
  <si>
    <t xml:space="preserve">  📊  COÛTS ANNEXES (atelier, matériel, formation)</t>
  </si>
  <si>
    <t>Poste de travail atelier / outillage spécifique</t>
  </si>
  <si>
    <t>Amortissement équipements</t>
  </si>
  <si>
    <t>EPI / matériel de protection &amp; consommables</t>
  </si>
  <si>
    <t>Coût annuel moyen</t>
  </si>
  <si>
    <t>Formation continue artisanale (plan de dev.)</t>
  </si>
  <si>
    <t>CPF + plan entreprise</t>
  </si>
  <si>
    <t>🏛️  TOTAL COÛT EMPLOYEUR COMPLET</t>
  </si>
  <si>
    <t>📐 Ratio Coût / Package Perçu</t>
  </si>
  <si>
    <t>💰 Part fixe / Coût total</t>
  </si>
  <si>
    <t>🏢 Part charges / Coût total</t>
  </si>
  <si>
    <t>▌ COMPARAISON MULTI-PAYS — Même métier et niveau / 3 pays</t>
  </si>
  <si>
    <t>Indicateur</t>
  </si>
  <si>
    <t>🇫🇷 France (FR)</t>
  </si>
  <si>
    <t>🇮🇹 Italie (IT)</t>
  </si>
  <si>
    <t>🇨🇭 Suisse (CH)</t>
  </si>
  <si>
    <t>Base brut annuel (€)</t>
  </si>
  <si>
    <t>Coût employeur total (estimé €)</t>
  </si>
  <si>
    <t>Net estimé (après IR ~25%)</t>
  </si>
  <si>
    <t>Taux charges patronales</t>
  </si>
  <si>
    <t>45%</t>
  </si>
  <si>
    <t>40%</t>
  </si>
  <si>
    <t>13%</t>
  </si>
  <si>
    <t>Index pouvoir d'achat PPP</t>
  </si>
  <si>
    <t>NEURAL — Intelligence Augmentée pour l'Entreprise  ·  neural-platform.vercel.app  ·  Données simulées</t>
  </si>
  <si>
    <t>✈️  NEURAL — EXPAT_CALCULATOR · Coût Complet Expatriation Artisan Luxe</t>
  </si>
  <si>
    <t>Simulateur mobilité internationale · COLA · Tax equalization · Logement · Scolarité</t>
  </si>
  <si>
    <t>▌ PARAMÈTRES DE L'EXPATRIATION</t>
  </si>
  <si>
    <t>Pays d'origine ▼</t>
  </si>
  <si>
    <t>Pays destination ▼</t>
  </si>
  <si>
    <t>Durée mission ▼</t>
  </si>
  <si>
    <t>3 ans</t>
  </si>
  <si>
    <t>Situation familiale ▼</t>
  </si>
  <si>
    <t>Couple + 2 enfants</t>
  </si>
  <si>
    <t>Nb enfants</t>
  </si>
  <si>
    <t>Salaire d'origine (€)</t>
  </si>
  <si>
    <t>POSTE DE COÛT</t>
  </si>
  <si>
    <t>Annuel (€)</t>
  </si>
  <si>
    <t>Mensuel (€)</t>
  </si>
  <si>
    <t>% Total</t>
  </si>
  <si>
    <t xml:space="preserve">  📋  RÉMUNÉRATION</t>
  </si>
  <si>
    <t>Salaire maintenu (pays d'origine)</t>
  </si>
  <si>
    <t>Base inchangée</t>
  </si>
  <si>
    <t>Prime expatriation (20% base)</t>
  </si>
  <si>
    <t>15-25% selon destination</t>
  </si>
  <si>
    <t>SG</t>
  </si>
  <si>
    <t>Hardship allowance (si applicable)</t>
  </si>
  <si>
    <t>Zones difficiles</t>
  </si>
  <si>
    <t>CN</t>
  </si>
  <si>
    <t>COLA — Ajustement coût de la vie</t>
  </si>
  <si>
    <t>Index BCE / ECA International</t>
  </si>
  <si>
    <t>AE</t>
  </si>
  <si>
    <t xml:space="preserve">  🏠  LOGEMENT</t>
  </si>
  <si>
    <t>Loyer destination (marché expatriés)</t>
  </si>
  <si>
    <t>Logement standard expat</t>
  </si>
  <si>
    <t>Charges logement (15%)</t>
  </si>
  <si>
    <t>Charges + assurances</t>
  </si>
  <si>
    <t>Ameublement / installation (1x)</t>
  </si>
  <si>
    <t>Amorti sur durée mission</t>
  </si>
  <si>
    <t xml:space="preserve">  🎓  SCOLARITÉ (selon nb enfants)</t>
  </si>
  <si>
    <t>Frais scolaires enfant(s) / an</t>
  </si>
  <si>
    <t>École internationale</t>
  </si>
  <si>
    <t xml:space="preserve">  ✈️  MOBILITÉ</t>
  </si>
  <si>
    <t>Billets aller-retour (2 × famille/an)</t>
  </si>
  <si>
    <t>Estimation marché</t>
  </si>
  <si>
    <t>Déménagement aller + retour (amorti)</t>
  </si>
  <si>
    <t>Sur durée mission</t>
  </si>
  <si>
    <t>Véhicule / transport local</t>
  </si>
  <si>
    <t>Selon ville</t>
  </si>
  <si>
    <t xml:space="preserve">  🏥  PROTECTION SOCIALE</t>
  </si>
  <si>
    <t>Assurance santé internationale (famille)</t>
  </si>
  <si>
    <t>AMC + hospitalisation</t>
  </si>
  <si>
    <t>Prévoyance internationale</t>
  </si>
  <si>
    <t>Décès / invalidité</t>
  </si>
  <si>
    <t>Assistance rapatriement</t>
  </si>
  <si>
    <t>Coût annuel</t>
  </si>
  <si>
    <t xml:space="preserve">  💼  FISCAL</t>
  </si>
  <si>
    <t>Tax equalization (estimation)</t>
  </si>
  <si>
    <t>Différentiel fiscal</t>
  </si>
  <si>
    <t>Conseil fiscal expat (amorti)</t>
  </si>
  <si>
    <t>Honoraires expert</t>
  </si>
  <si>
    <t xml:space="preserve">  📊  SERVICES &amp; ACCOMPAGNEMENT</t>
  </si>
  <si>
    <t>Cours de langue (collaborateur + conjoint)</t>
  </si>
  <si>
    <t>Immersion linguistique</t>
  </si>
  <si>
    <t>Accompagnement conjoint</t>
  </si>
  <si>
    <t>Outplacement / bilan</t>
  </si>
  <si>
    <t>Relocation / recherche logement (amorti)</t>
  </si>
  <si>
    <t>Agence spécialisée</t>
  </si>
  <si>
    <t>🔷  COÛT TOTAL ANNUEL EXPATRIATION</t>
  </si>
  <si>
    <t>🔷  MULTIPLICATEUR vs. COÛT LOCAL</t>
  </si>
  <si>
    <t>Ratio coût expatriation / coût équivalent local (05_PACKAGE_SIM)</t>
  </si>
  <si>
    <t>📊  NEURAL — EQUITE_INTERNE · Analyse Compa-ratio &amp; Alertes Équité</t>
  </si>
  <si>
    <t>Équité salariale interne · Compa-ratio vs marché · Écart H/F · Alertes automatiques</t>
  </si>
  <si>
    <t>▌ ALERTES AUTOMATIQUES D'ÉQUITÉ — Indicateurs clés</t>
  </si>
  <si>
    <t>⚠️ SOUS 0.85
COMPA-RATIO</t>
  </si>
  <si>
    <t>⚠️ ÉCART H/F
MOY. TOUS NIV.</t>
  </si>
  <si>
    <t>⚠️ SANS AUGM.
&gt; 2 ANS</t>
  </si>
  <si>
    <t>✅ DANS CIBLE
0.95–1.10</t>
  </si>
  <si>
    <t>▌ MATRICE D'ÉQUITÉ INDIVIDUELLE — Collaborateurs en poste</t>
  </si>
  <si>
    <t>Collaborateur</t>
  </si>
  <si>
    <t>Métier</t>
  </si>
  <si>
    <t>Genre</t>
  </si>
  <si>
    <t>Base
réel (€)</t>
  </si>
  <si>
    <t>Médiane
marché P50</t>
  </si>
  <si>
    <t>Alerte
équité</t>
  </si>
  <si>
    <t>Ancienneté
(ans)</t>
  </si>
  <si>
    <t>Dernière
augmentation</t>
  </si>
  <si>
    <t>Robert M.</t>
  </si>
  <si>
    <t>H</t>
  </si>
  <si>
    <t>2024-01-15</t>
  </si>
  <si>
    <t>Yuki H.</t>
  </si>
  <si>
    <t>F</t>
  </si>
  <si>
    <t>2023-06-01</t>
  </si>
  <si>
    <t>Antoine G.</t>
  </si>
  <si>
    <t>2022-03-10</t>
  </si>
  <si>
    <t>Isabelle F.</t>
  </si>
  <si>
    <t>2024-04-01</t>
  </si>
  <si>
    <t>Léa P.</t>
  </si>
  <si>
    <t>2025-01-01</t>
  </si>
  <si>
    <t>Pierre M.</t>
  </si>
  <si>
    <t>2023-11-01</t>
  </si>
  <si>
    <t>Clara D.</t>
  </si>
  <si>
    <t>2023-07-15</t>
  </si>
  <si>
    <t>Hiromi T.</t>
  </si>
  <si>
    <t>2024-02-01</t>
  </si>
  <si>
    <t>Jean-Louis B.</t>
  </si>
  <si>
    <t>M08</t>
  </si>
  <si>
    <t>N/D</t>
  </si>
  <si>
    <t>2022-01-01</t>
  </si>
  <si>
    <t>Sarah K.</t>
  </si>
  <si>
    <t>2024-09-01</t>
  </si>
  <si>
    <t>Michel V.</t>
  </si>
  <si>
    <t>2023-03-01</t>
  </si>
  <si>
    <t>Nathalie B.</t>
  </si>
  <si>
    <t>M16</t>
  </si>
  <si>
    <t>2023-12-01</t>
  </si>
  <si>
    <t>Fabrice C.</t>
  </si>
  <si>
    <t>2022-06-01</t>
  </si>
  <si>
    <t>Emilie R.</t>
  </si>
  <si>
    <t>2024-12-01</t>
  </si>
  <si>
    <t>Nicolas L.</t>
  </si>
  <si>
    <t>M02</t>
  </si>
  <si>
    <t>2021-09-01</t>
  </si>
  <si>
    <t>Aiko S.</t>
  </si>
  <si>
    <t>2023-08-01</t>
  </si>
  <si>
    <t>Bernard F.</t>
  </si>
  <si>
    <t>2021-04-01</t>
  </si>
  <si>
    <t>Julie P.</t>
  </si>
  <si>
    <t>2024-05-01</t>
  </si>
  <si>
    <t>Louis G.</t>
  </si>
  <si>
    <t>2023-01-01</t>
  </si>
  <si>
    <t>Carmen A.</t>
  </si>
  <si>
    <t>2024-03-01</t>
  </si>
  <si>
    <t>Philippe T.</t>
  </si>
  <si>
    <t>2022-10-01</t>
  </si>
  <si>
    <t>Aurelie M.</t>
  </si>
  <si>
    <t>2024-08-01</t>
  </si>
  <si>
    <t>Gustav K.</t>
  </si>
  <si>
    <t>2023-05-01</t>
  </si>
  <si>
    <t>Sakura Y.</t>
  </si>
  <si>
    <t>2023-09-01</t>
  </si>
  <si>
    <t>Henri B.</t>
  </si>
  <si>
    <t>2022-11-01</t>
  </si>
  <si>
    <t>Martine C.</t>
  </si>
  <si>
    <t>2024-01-01</t>
  </si>
  <si>
    <t>Kevin L.</t>
  </si>
  <si>
    <t>2024-11-01</t>
  </si>
  <si>
    <t>Pascale R.</t>
  </si>
  <si>
    <t>2023-04-01</t>
  </si>
  <si>
    <t>Tomas V.</t>
  </si>
  <si>
    <t>2021-06-01</t>
  </si>
  <si>
    <t>Colette D.</t>
  </si>
  <si>
    <t>2023-02-01</t>
  </si>
  <si>
    <t>▌ ANALYSE ÉCART H/F PAR NIVEAU — Index d'équité</t>
  </si>
  <si>
    <t>Moy. H</t>
  </si>
  <si>
    <t>Moy. F</t>
  </si>
  <si>
    <t>Écart H/F</t>
  </si>
  <si>
    <t>Nb H</t>
  </si>
  <si>
    <t>Nb F</t>
  </si>
  <si>
    <t>Alerte</t>
  </si>
  <si>
    <t>🏛️  NEURAL — COST_EMPLOYEUR · Coût Total par Métier × Pays</t>
  </si>
  <si>
    <t>Tableau croisé Métier × Pays · Charges patronales incluses · Sous-totaux par famille · % masse salariale</t>
  </si>
  <si>
    <t>💰 MASSE SALARIALE
TOTALE RÉFÉRENCÉE</t>
  </si>
  <si>
    <t>🌍 COÛT MOY.
FRANCE (FR)</t>
  </si>
  <si>
    <t>🇨🇭 COÛT MOY.
SUIS SE (CH)</t>
  </si>
  <si>
    <t>📊 RATIO
CH / FR</t>
  </si>
  <si>
    <t>▌ TABLEAU CROISÉ DYNAMIQUE — Coût Employeur Total (€ brut annuel)</t>
  </si>
  <si>
    <t>ID</t>
  </si>
  <si>
    <t>Métier / Famille</t>
  </si>
  <si>
    <t>🇫🇷 FR</t>
  </si>
  <si>
    <t>🇮🇹 IT</t>
  </si>
  <si>
    <t>🇨🇭 CH</t>
  </si>
  <si>
    <t>🇬🇧 GB</t>
  </si>
  <si>
    <t>🇺🇸 US</t>
  </si>
  <si>
    <t>TOTAL
Mondial</t>
  </si>
  <si>
    <t>% Masse
salariale</t>
  </si>
  <si>
    <t>▌ MAROQUINERIE</t>
  </si>
  <si>
    <t>Sellier-maroquinier</t>
  </si>
  <si>
    <t>Coupeur cuir</t>
  </si>
  <si>
    <t>M03</t>
  </si>
  <si>
    <t>Piqueur main</t>
  </si>
  <si>
    <t>SOUS-TOTAL Maroquinerie</t>
  </si>
  <si>
    <t>▌ JOAILLERIE</t>
  </si>
  <si>
    <t>Sertisseur</t>
  </si>
  <si>
    <t>Lapidaire</t>
  </si>
  <si>
    <t>Orfèvre</t>
  </si>
  <si>
    <t>Guillocheur</t>
  </si>
  <si>
    <t>SOUS-TOTAL Joaillerie</t>
  </si>
  <si>
    <t>▌ HORLOGERIE</t>
  </si>
  <si>
    <t>Horloger</t>
  </si>
  <si>
    <t>Émailleur</t>
  </si>
  <si>
    <t>SOUS-TOTAL Horlogerie</t>
  </si>
  <si>
    <t>▌ COUTURE</t>
  </si>
  <si>
    <t>Première main couture</t>
  </si>
  <si>
    <t>Plumassier</t>
  </si>
  <si>
    <t>Brodeur</t>
  </si>
  <si>
    <t>SOUS-TOTAL Couture</t>
  </si>
  <si>
    <t>▌ PARFUMERIE</t>
  </si>
  <si>
    <t>Nez (parfumeur)</t>
  </si>
  <si>
    <t>SOUS-TOTAL Parfumerie</t>
  </si>
  <si>
    <t>▌ TEXTILE</t>
  </si>
  <si>
    <t>Tisserand soie</t>
  </si>
  <si>
    <t>SOUS-TOTAL Textile</t>
  </si>
  <si>
    <t>▌ MANAGEMENT</t>
  </si>
  <si>
    <t>Manager/Directeur</t>
  </si>
  <si>
    <t>SOUS-TOTAL Management</t>
  </si>
  <si>
    <t>🏛️  GRAND TOTAL MONDIAL</t>
  </si>
  <si>
    <t>100%</t>
  </si>
  <si>
    <t>▌ SYNTHÈSE — Coût moyen par pays &amp; ratio vs FR</t>
  </si>
  <si>
    <t>Coût moyen (€)</t>
  </si>
  <si>
    <t>Ratio vs. FR</t>
  </si>
  <si>
    <t>Taux charges patron.</t>
  </si>
  <si>
    <t>Nb postes référencés</t>
  </si>
  <si>
    <t>📈  NEURAL — HISTORIQUE · Évolution Rémunérations 2022–2026</t>
  </si>
  <si>
    <t>Tendances salariales · CAGR par métier · Comparaison inflation INSEE · Données secteur luxe</t>
  </si>
  <si>
    <t>"Guillocheur +8.2%"</t>
  </si>
  <si>
    <t>"Coupeur cuir +1.9%"</t>
  </si>
  <si>
    <t>📈 CAGR MOYEN
SECTEUR LUXE (2022-26)</t>
  </si>
  <si>
    <t>🏛️ INFLATION
FRANCE CUMULÉE</t>
  </si>
  <si>
    <t>💎 MÉTIER LE PLUS
EN HAUSSE</t>
  </si>
  <si>
    <t>🔴 MÉTIER LE MOINS
REVALORISÉ</t>
  </si>
  <si>
    <t>▌ DONNÉES MACRO — Inflation France INSEE (glissement annuel)</t>
  </si>
  <si>
    <t>2022</t>
  </si>
  <si>
    <t>2023</t>
  </si>
  <si>
    <t>2024</t>
  </si>
  <si>
    <t>2025</t>
  </si>
  <si>
    <t>2026e</t>
  </si>
  <si>
    <t>Cum. 4 ans</t>
  </si>
  <si>
    <t>Moy. ann.</t>
  </si>
  <si>
    <t>Inflation FR (INSEE)</t>
  </si>
  <si>
    <t>Augm. min. sectorielle</t>
  </si>
  <si>
    <t>Augm. moy. luxe (secteur)</t>
  </si>
  <si>
    <t>▌ ÉVOLUTION PAR MÉTIER — Salaire de base médian (N3 / FR) en €</t>
  </si>
  <si>
    <t>2026</t>
  </si>
  <si>
    <t>CAGR
4 ans</t>
  </si>
  <si>
    <t>vs Inflation
2022-26</t>
  </si>
  <si>
    <t>MOYENNE SECTORIELLE LUXE</t>
  </si>
  <si>
    <t>📊 COMPA-RATIO
MÉDIAN ÉQUIPE</t>
  </si>
  <si>
    <t>⚖️ ÉCART H/F
GLOBAL MOYEN</t>
  </si>
  <si>
    <t>📈 CAGR MOYEN
SECTEUR 2022–26</t>
  </si>
  <si>
    <t>lien → 08_COST_EMPLOYEUR</t>
  </si>
  <si>
    <t>lien → 07_EQUITE</t>
  </si>
  <si>
    <t>lien → 09_HISTORIQUE</t>
  </si>
  <si>
    <t>📊  COMPA-RATIO MOYEN PAR NIVEAU (lien → 07)</t>
  </si>
  <si>
    <t>⚠️  ALERTES PRIORITAIRES (lien → 07_EQUITE)</t>
  </si>
  <si>
    <t>Moy. CR</t>
  </si>
  <si>
    <t>Min</t>
  </si>
  <si>
    <t>Max</t>
  </si>
  <si>
    <t>Valeur</t>
  </si>
  <si>
    <t>Seuil</t>
  </si>
  <si>
    <t>Statut</t>
  </si>
  <si>
    <t>Collaborateurs &lt; 0.85 CR</t>
  </si>
  <si>
    <t>Collaborateurs &gt; 1.15 CR</t>
  </si>
  <si>
    <t>Augmentation &gt; 2 ans</t>
  </si>
  <si>
    <t>Écart H/F global</t>
  </si>
  <si>
    <t>5%</t>
  </si>
  <si>
    <t>Postes sans P50 marché</t>
  </si>
  <si>
    <t>🌍  COÛT MOYEN PAR PAYS (lien → 08)</t>
  </si>
  <si>
    <t>📈  TENDANCES SALARIALES TOP MÉTIERS (lien → 09)</t>
  </si>
  <si>
    <t>Coût moy. (€)</t>
  </si>
  <si>
    <t>Ratio vs FR</t>
  </si>
  <si>
    <t>Nb postes</t>
  </si>
  <si>
    <t>Salaire 2022</t>
  </si>
  <si>
    <t>Salaire 2026</t>
  </si>
  <si>
    <t>CAGR</t>
  </si>
  <si>
    <t>vs Inflation</t>
  </si>
  <si>
    <t>🇫🇷 France</t>
  </si>
  <si>
    <t>M09 Guillocheur</t>
  </si>
  <si>
    <t>🇮🇹 Italie</t>
  </si>
  <si>
    <t>M12 Émailleur</t>
  </si>
  <si>
    <t>🇨🇭 Suisse</t>
  </si>
  <si>
    <t>M17 Nez</t>
  </si>
  <si>
    <t>🇬🇧 Royaume-Uni</t>
  </si>
  <si>
    <t>M07 Lapidaire</t>
  </si>
  <si>
    <t>🇺🇸 États-Unis</t>
  </si>
  <si>
    <t>M14 Plumassier</t>
  </si>
  <si>
    <t>▌ LÉGENDE — Compa-Ratio &amp; Code Couleur</t>
  </si>
  <si>
    <t>Risque rétention critique — Action immédiate</t>
  </si>
  <si>
    <t>Légèrement sous-payé — Action correctrice</t>
  </si>
  <si>
    <t>Dans la cible marché luxe — Positionnement optimal</t>
  </si>
  <si>
    <t>Surpayé vs médiane — Vigilance à l'embauche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</si>
</sst>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/dd/yy"/>
    <numFmt numFmtId="165" formatCode="0.0000"/>
    <numFmt numFmtId="166" formatCode="#,##0&quot; €&quot;"/>
    <numFmt numFmtId="167" formatCode="0.00\x"/>
    <numFmt numFmtId="168" formatCode="\+0.0%;\-0.0%;\—"/>
    <numFmt numFmtId="169" formatCode="0.0%"/>
    <numFmt numFmtId="170" formatCode="\+0.0%"/>
    <numFmt numFmtId="171" formatCode="\+0.0%;\-0.0%"/>
  </numFmts>
  <fonts count="76" x14ac:knownFonts="1">
    <font>
      <sz val="11"/>
      <color theme="1"/>
      <name val="Calibri"/>
      <family val="2"/>
      <charset val="1"/>
    </font>
    <font>
      <b/>
      <sz val="14"/>
      <color rgb="FFD4AF37"/>
      <name val="Arial"/>
      <charset val="1"/>
    </font>
    <font>
      <i/>
      <sz val="9"/>
      <color rgb="FFCCCCCC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D4AF37"/>
      <name val="Arial"/>
      <charset val="1"/>
    </font>
    <font>
      <sz val="10"/>
      <color rgb="FF1B2A4A"/>
      <name val="Arial"/>
      <charset val="1"/>
    </font>
    <font>
      <b/>
      <sz val="11"/>
      <color rgb="FFFFFFFF"/>
      <name val="Arial"/>
      <charset val="1"/>
    </font>
    <font>
      <b/>
      <sz val="10"/>
      <color rgb="FF1B2A4A"/>
      <name val="Arial"/>
      <charset val="1"/>
    </font>
    <font>
      <sz val="10"/>
      <color rgb="FFCCCCCC"/>
      <name val="Arial"/>
      <charset val="1"/>
    </font>
    <font>
      <b/>
      <sz val="10"/>
      <color rgb="FF4A235A"/>
      <name val="Arial"/>
      <charset val="1"/>
    </font>
    <font>
      <sz val="10"/>
      <color rgb="FF2E7D32"/>
      <name val="Arial"/>
      <charset val="1"/>
    </font>
    <font>
      <i/>
      <sz val="8"/>
      <color rgb="FFCCCCCC"/>
      <name val="Arial"/>
      <charset val="1"/>
    </font>
    <font>
      <b/>
      <sz val="10"/>
      <color rgb="FFF57F17"/>
      <name val="Arial"/>
      <charset val="1"/>
    </font>
    <font>
      <i/>
      <sz val="9"/>
      <color rgb="FFD4AF37"/>
      <name val="Arial"/>
      <charset val="1"/>
    </font>
    <font>
      <b/>
      <sz val="9"/>
      <color rgb="FFD4AF37"/>
      <name val="Arial"/>
      <charset val="1"/>
    </font>
    <font>
      <b/>
      <sz val="10"/>
      <color rgb="FF2C3E50"/>
      <name val="Arial"/>
      <charset val="1"/>
    </font>
    <font>
      <b/>
      <sz val="10"/>
      <color rgb="FF0A0A0A"/>
      <name val="Arial"/>
      <charset val="1"/>
    </font>
    <font>
      <b/>
      <sz val="9"/>
      <color rgb="FF0A0A0A"/>
      <name val="Arial"/>
      <charset val="1"/>
    </font>
    <font>
      <b/>
      <sz val="10"/>
      <color rgb="FF1A5276"/>
      <name val="Arial"/>
      <charset val="1"/>
    </font>
    <font>
      <b/>
      <sz val="10"/>
      <color rgb="FF78281F"/>
      <name val="Arial"/>
      <charset val="1"/>
    </font>
    <font>
      <b/>
      <sz val="10"/>
      <color rgb="FF145A32"/>
      <name val="Arial"/>
      <charset val="1"/>
    </font>
    <font>
      <b/>
      <sz val="10"/>
      <color rgb="FF4D5656"/>
      <name val="Arial"/>
      <charset val="1"/>
    </font>
    <font>
      <b/>
      <sz val="9"/>
      <color rgb="FFC62828"/>
      <name val="Arial"/>
      <charset val="1"/>
    </font>
    <font>
      <i/>
      <sz val="9"/>
      <color rgb="FF1B2A4A"/>
      <name val="Arial"/>
      <charset val="1"/>
    </font>
    <font>
      <b/>
      <sz val="9"/>
      <color rgb="FF2E7D32"/>
      <name val="Arial"/>
      <charset val="1"/>
    </font>
    <font>
      <b/>
      <sz val="9"/>
      <color rgb="FFF57F17"/>
      <name val="Arial"/>
      <charset val="1"/>
    </font>
    <font>
      <b/>
      <sz val="10"/>
      <color rgb="FF2E7D32"/>
      <name val="Arial"/>
      <charset val="1"/>
    </font>
    <font>
      <b/>
      <sz val="9"/>
      <color rgb="FF1B2A4A"/>
      <name val="Arial"/>
      <charset val="1"/>
    </font>
    <font>
      <i/>
      <sz val="9"/>
      <color rgb="FFF57F17"/>
      <name val="Arial"/>
      <charset val="1"/>
    </font>
    <font>
      <sz val="10"/>
      <color rgb="FFC62828"/>
      <name val="Arial"/>
      <charset val="1"/>
    </font>
    <font>
      <b/>
      <sz val="10"/>
      <color rgb="FFCCCCCC"/>
      <name val="Arial"/>
      <charset val="1"/>
    </font>
    <font>
      <b/>
      <sz val="9"/>
      <color rgb="FF4A235A"/>
      <name val="Arial"/>
      <charset val="1"/>
    </font>
    <font>
      <b/>
      <sz val="10"/>
      <color rgb="FF00695C"/>
      <name val="Arial"/>
      <charset val="1"/>
    </font>
    <font>
      <b/>
      <sz val="9"/>
      <color rgb="FF00695C"/>
      <name val="Arial"/>
      <charset val="1"/>
    </font>
    <font>
      <b/>
      <sz val="10"/>
      <color rgb="FFC62828"/>
      <name val="Arial"/>
      <charset val="1"/>
    </font>
    <font>
      <b/>
      <sz val="11"/>
      <color rgb="FFD4AF37"/>
      <name val="Arial"/>
      <charset val="1"/>
    </font>
    <font>
      <b/>
      <sz val="13"/>
      <color rgb="FFD4AF37"/>
      <name val="Arial"/>
      <charset val="1"/>
    </font>
    <font>
      <b/>
      <sz val="8"/>
      <color rgb="FFD4AF37"/>
      <name val="Arial"/>
      <charset val="1"/>
    </font>
    <font>
      <sz val="8"/>
      <color rgb="FFCCCCCC"/>
      <name val="Arial"/>
      <charset val="1"/>
    </font>
    <font>
      <b/>
      <sz val="8"/>
      <color rgb="FFFFFFFF"/>
      <name val="Arial"/>
      <charset val="1"/>
    </font>
    <font>
      <sz val="9"/>
      <color rgb="FF1B2A4A"/>
      <name val="Arial"/>
      <charset val="1"/>
    </font>
    <font>
      <b/>
      <sz val="12"/>
      <color rgb="FFD4AF37"/>
      <name val="Arial"/>
      <charset val="1"/>
    </font>
    <font>
      <sz val="9"/>
      <color rgb="FFC62828"/>
      <name val="Arial"/>
      <charset val="1"/>
    </font>
    <font>
      <b/>
      <sz val="12"/>
      <color rgb="FFFFFFFF"/>
      <name val="Arial"/>
      <charset val="1"/>
    </font>
    <font>
      <b/>
      <sz val="14"/>
      <color rgb="FFFFFFFF"/>
      <name val="Arial"/>
      <charset val="1"/>
    </font>
    <font>
      <b/>
      <sz val="12"/>
      <color rgb="FFF57F17"/>
      <name val="Arial"/>
      <charset val="1"/>
    </font>
    <font>
      <b/>
      <sz val="12"/>
      <color rgb="FF1B2A4A"/>
      <name val="Arial"/>
      <charset val="1"/>
    </font>
    <font>
      <b/>
      <sz val="12"/>
      <color rgb="FFC62828"/>
      <name val="Arial"/>
      <charset val="1"/>
    </font>
    <font>
      <b/>
      <sz val="11"/>
      <color rgb="FF1B2A4A"/>
      <name val="Arial"/>
      <charset val="1"/>
    </font>
    <font>
      <b/>
      <sz val="18"/>
      <color rgb="FFC62828"/>
      <name val="Arial"/>
      <charset val="1"/>
    </font>
    <font>
      <b/>
      <sz val="18"/>
      <color rgb="FFF57F17"/>
      <name val="Arial"/>
      <charset val="1"/>
    </font>
    <font>
      <b/>
      <sz val="18"/>
      <color rgb="FF2E7D32"/>
      <name val="Arial"/>
      <charset val="1"/>
    </font>
    <font>
      <b/>
      <sz val="14"/>
      <color rgb="FF1B2A4A"/>
      <name val="Arial"/>
      <charset val="1"/>
    </font>
    <font>
      <b/>
      <sz val="14"/>
      <color rgb="FF2E7D32"/>
      <name val="Arial"/>
      <charset val="1"/>
    </font>
    <font>
      <b/>
      <sz val="14"/>
      <color rgb="FFF57F17"/>
      <name val="Arial"/>
      <charset val="1"/>
    </font>
    <font>
      <sz val="10"/>
      <color rgb="FF2C3E50"/>
      <name val="Arial"/>
      <charset val="1"/>
    </font>
    <font>
      <sz val="9"/>
      <color rgb="FFCCCCCC"/>
      <name val="Arial"/>
      <charset val="1"/>
    </font>
    <font>
      <sz val="10"/>
      <color rgb="FF4A235A"/>
      <name val="Arial"/>
      <charset val="1"/>
    </font>
    <font>
      <sz val="10"/>
      <color rgb="FF1A5276"/>
      <name val="Arial"/>
      <charset val="1"/>
    </font>
    <font>
      <sz val="10"/>
      <color rgb="FF78281F"/>
      <name val="Arial"/>
      <charset val="1"/>
    </font>
    <font>
      <sz val="10"/>
      <color rgb="FF145A32"/>
      <name val="Arial"/>
      <charset val="1"/>
    </font>
    <font>
      <sz val="10"/>
      <color rgb="FF4D5656"/>
      <name val="Arial"/>
      <charset val="1"/>
    </font>
    <font>
      <b/>
      <sz val="16"/>
      <color rgb="FF1B2A4A"/>
      <name val="Arial"/>
      <charset val="1"/>
    </font>
    <font>
      <b/>
      <sz val="16"/>
      <color rgb="FFF57F17"/>
      <name val="Arial"/>
      <charset val="1"/>
    </font>
    <font>
      <b/>
      <sz val="14"/>
      <color rgb="FFC62828"/>
      <name val="Arial"/>
      <charset val="1"/>
    </font>
    <font>
      <sz val="10"/>
      <color rgb="FFF57F17"/>
      <name val="Arial"/>
      <charset val="1"/>
    </font>
    <font>
      <b/>
      <sz val="18"/>
      <color rgb="FFD4AF37"/>
      <name val="Arial"/>
      <charset val="1"/>
    </font>
    <font>
      <b/>
      <sz val="28"/>
      <color rgb="FF1B2A4A"/>
      <name val="Arial"/>
      <charset val="1"/>
    </font>
    <font>
      <b/>
      <sz val="28"/>
      <color rgb="FF2E7D32"/>
      <name val="Arial"/>
      <charset val="1"/>
    </font>
    <font>
      <b/>
      <sz val="28"/>
      <color rgb="FFF57F17"/>
      <name val="Arial"/>
      <charset val="1"/>
    </font>
    <font>
      <b/>
      <sz val="28"/>
      <color rgb="FF00695C"/>
      <name val="Arial"/>
      <charset val="1"/>
    </font>
    <font>
      <i/>
      <sz val="8"/>
      <color rgb="FF1B2A4A"/>
      <name val="Arial"/>
      <charset val="1"/>
    </font>
    <font>
      <i/>
      <sz val="8"/>
      <color rgb="FF2E7D32"/>
      <name val="Arial"/>
      <charset val="1"/>
    </font>
    <font>
      <i/>
      <sz val="8"/>
      <color rgb="FFF57F17"/>
      <name val="Arial"/>
      <charset val="1"/>
    </font>
    <font>
      <i/>
      <sz val="8"/>
      <color rgb="FF00695C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1B2A4A"/>
        <bgColor rgb="FF2C3E50"/>
      </patternFill>
    </fill>
    <fill>
      <patternFill patternType="solid">
        <fgColor rgb="FFFFFDE7"/>
        <bgColor rgb="FFFFFFFF"/>
      </patternFill>
    </fill>
    <fill>
      <patternFill patternType="solid">
        <fgColor rgb="FFF2F2F2"/>
        <bgColor rgb="FFF2F3F4"/>
      </patternFill>
    </fill>
    <fill>
      <patternFill patternType="solid">
        <fgColor rgb="FFDBEAFE"/>
        <bgColor rgb="FFE0F2F1"/>
      </patternFill>
    </fill>
    <fill>
      <patternFill patternType="solid">
        <fgColor rgb="FF4A235A"/>
        <bgColor rgb="FF2C3E50"/>
      </patternFill>
    </fill>
    <fill>
      <patternFill patternType="solid">
        <fgColor rgb="FFF5EEF8"/>
        <bgColor rgb="FFF2F2F2"/>
      </patternFill>
    </fill>
    <fill>
      <patternFill patternType="solid">
        <fgColor rgb="FFFFFFFF"/>
        <bgColor rgb="FFFFFDE7"/>
      </patternFill>
    </fill>
    <fill>
      <patternFill patternType="solid">
        <fgColor rgb="FFFFF3CD"/>
        <bgColor rgb="FFFDEDEC"/>
      </patternFill>
    </fill>
    <fill>
      <patternFill patternType="solid">
        <fgColor rgb="FFEBF5FB"/>
        <bgColor rgb="FFEAF2FF"/>
      </patternFill>
    </fill>
    <fill>
      <patternFill patternType="solid">
        <fgColor rgb="FFF5E6A3"/>
        <bgColor rgb="FFFFF3CD"/>
      </patternFill>
    </fill>
    <fill>
      <patternFill patternType="solid">
        <fgColor rgb="FFEAF2FF"/>
        <bgColor rgb="FFEBF5FB"/>
      </patternFill>
    </fill>
    <fill>
      <patternFill patternType="solid">
        <fgColor rgb="FFFDEDEC"/>
        <bgColor rgb="FFF5EEF8"/>
      </patternFill>
    </fill>
    <fill>
      <patternFill patternType="solid">
        <fgColor rgb="FFEAFAF1"/>
        <bgColor rgb="FFEBF5FB"/>
      </patternFill>
    </fill>
    <fill>
      <patternFill patternType="solid">
        <fgColor rgb="FFF2F3F4"/>
        <bgColor rgb="FFF2F2F2"/>
      </patternFill>
    </fill>
    <fill>
      <patternFill patternType="solid">
        <fgColor rgb="FFFFE0E0"/>
        <bgColor rgb="FFFDEDEC"/>
      </patternFill>
    </fill>
    <fill>
      <patternFill patternType="solid">
        <fgColor rgb="FFD4EDDA"/>
        <bgColor rgb="FFE0F2F1"/>
      </patternFill>
    </fill>
    <fill>
      <patternFill patternType="solid">
        <fgColor rgb="FFE0F2F1"/>
        <bgColor rgb="FFEAF2FF"/>
      </patternFill>
    </fill>
    <fill>
      <patternFill patternType="solid">
        <fgColor rgb="FFC62828"/>
        <bgColor rgb="FFC0504D"/>
      </patternFill>
    </fill>
    <fill>
      <patternFill patternType="solid">
        <fgColor rgb="FFD4AF37"/>
        <bgColor rgb="FF9BBB59"/>
      </patternFill>
    </fill>
  </fills>
  <borders count="5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B2A4A"/>
      </left>
      <right/>
      <top style="medium">
        <color rgb="FF1B2A4A"/>
      </top>
      <bottom style="medium">
        <color rgb="FF1B2A4A"/>
      </bottom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5" fillId="3" borderId="3" xfId="0" applyFont="1" applyFill="1" applyBorder="1" applyAlignment="1">
      <alignment horizontal="left" vertical="center"/>
    </xf>
    <xf numFmtId="0" fontId="40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right" vertical="center"/>
    </xf>
    <xf numFmtId="0" fontId="37" fillId="2" borderId="0" xfId="0" applyFont="1" applyFill="1" applyAlignment="1">
      <alignment horizontal="center" vertical="center"/>
    </xf>
    <xf numFmtId="0" fontId="0" fillId="9" borderId="1" xfId="0" applyFill="1" applyBorder="1"/>
    <xf numFmtId="0" fontId="29" fillId="10" borderId="1" xfId="0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165" fontId="11" fillId="5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9" fontId="6" fillId="4" borderId="2" xfId="0" applyNumberFormat="1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horizontal="center" vertical="center"/>
    </xf>
    <xf numFmtId="3" fontId="8" fillId="12" borderId="2" xfId="0" applyNumberFormat="1" applyFont="1" applyFill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13" borderId="2" xfId="0" applyFont="1" applyFill="1" applyBorder="1" applyAlignment="1">
      <alignment horizontal="left" vertical="center"/>
    </xf>
    <xf numFmtId="0" fontId="20" fillId="14" borderId="2" xfId="0" applyFont="1" applyFill="1" applyBorder="1" applyAlignment="1">
      <alignment horizontal="left" vertical="center"/>
    </xf>
    <xf numFmtId="0" fontId="21" fillId="15" borderId="2" xfId="0" applyFont="1" applyFill="1" applyBorder="1" applyAlignment="1">
      <alignment horizontal="left" vertical="center"/>
    </xf>
    <xf numFmtId="0" fontId="22" fillId="16" borderId="2" xfId="0" applyFont="1" applyFill="1" applyBorder="1" applyAlignment="1">
      <alignment horizontal="left" vertical="center"/>
    </xf>
    <xf numFmtId="3" fontId="5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/>
    <xf numFmtId="2" fontId="5" fillId="3" borderId="2" xfId="0" applyNumberFormat="1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center" vertical="center"/>
    </xf>
    <xf numFmtId="0" fontId="25" fillId="18" borderId="2" xfId="0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/>
    </xf>
    <xf numFmtId="3" fontId="6" fillId="10" borderId="2" xfId="0" applyNumberFormat="1" applyFont="1" applyFill="1" applyBorder="1" applyAlignment="1">
      <alignment horizontal="center" vertical="center"/>
    </xf>
    <xf numFmtId="3" fontId="8" fillId="18" borderId="2" xfId="0" applyNumberFormat="1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3" fontId="6" fillId="12" borderId="2" xfId="0" applyNumberFormat="1" applyFont="1" applyFill="1" applyBorder="1" applyAlignment="1">
      <alignment horizontal="center" vertical="center"/>
    </xf>
    <xf numFmtId="0" fontId="27" fillId="18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center" vertical="center"/>
    </xf>
    <xf numFmtId="0" fontId="28" fillId="18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right" vertical="center"/>
    </xf>
    <xf numFmtId="0" fontId="5" fillId="12" borderId="2" xfId="0" applyFont="1" applyFill="1" applyBorder="1" applyAlignment="1">
      <alignment horizontal="left" vertical="center" wrapText="1"/>
    </xf>
    <xf numFmtId="166" fontId="6" fillId="4" borderId="2" xfId="0" applyNumberFormat="1" applyFont="1" applyFill="1" applyBorder="1" applyAlignment="1">
      <alignment horizontal="center" vertical="center"/>
    </xf>
    <xf numFmtId="166" fontId="8" fillId="5" borderId="2" xfId="0" applyNumberFormat="1" applyFont="1" applyFill="1" applyBorder="1" applyAlignment="1">
      <alignment horizontal="center" vertical="center"/>
    </xf>
    <xf numFmtId="166" fontId="30" fillId="17" borderId="2" xfId="0" applyNumberFormat="1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left" vertical="center"/>
    </xf>
    <xf numFmtId="166" fontId="30" fillId="9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 wrapText="1"/>
    </xf>
    <xf numFmtId="0" fontId="31" fillId="9" borderId="2" xfId="0" applyFont="1" applyFill="1" applyBorder="1" applyAlignment="1">
      <alignment horizontal="center" vertical="center"/>
    </xf>
    <xf numFmtId="0" fontId="32" fillId="8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 wrapText="1"/>
    </xf>
    <xf numFmtId="0" fontId="28" fillId="6" borderId="2" xfId="0" applyFont="1" applyFill="1" applyBorder="1" applyAlignment="1">
      <alignment horizontal="left" vertical="center"/>
    </xf>
    <xf numFmtId="0" fontId="33" fillId="19" borderId="2" xfId="0" applyFont="1" applyFill="1" applyBorder="1" applyAlignment="1">
      <alignment horizontal="left" vertical="center" wrapText="1"/>
    </xf>
    <xf numFmtId="0" fontId="34" fillId="19" borderId="2" xfId="0" applyFont="1" applyFill="1" applyBorder="1" applyAlignment="1">
      <alignment horizontal="left" vertical="center"/>
    </xf>
    <xf numFmtId="0" fontId="27" fillId="18" borderId="2" xfId="0" applyFont="1" applyFill="1" applyBorder="1" applyAlignment="1">
      <alignment horizontal="left" vertical="center" wrapText="1"/>
    </xf>
    <xf numFmtId="0" fontId="25" fillId="18" borderId="2" xfId="0" applyFont="1" applyFill="1" applyBorder="1" applyAlignment="1">
      <alignment horizontal="left" vertical="center"/>
    </xf>
    <xf numFmtId="0" fontId="35" fillId="17" borderId="2" xfId="0" applyFont="1" applyFill="1" applyBorder="1" applyAlignment="1">
      <alignment horizontal="left" vertical="center" wrapText="1"/>
    </xf>
    <xf numFmtId="0" fontId="23" fillId="17" borderId="2" xfId="0" applyFont="1" applyFill="1" applyBorder="1" applyAlignment="1">
      <alignment horizontal="left" vertical="center"/>
    </xf>
    <xf numFmtId="166" fontId="36" fillId="3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33" fillId="19" borderId="2" xfId="0" applyFont="1" applyFill="1" applyBorder="1" applyAlignment="1">
      <alignment horizontal="left" vertical="center"/>
    </xf>
    <xf numFmtId="0" fontId="27" fillId="18" borderId="2" xfId="0" applyFont="1" applyFill="1" applyBorder="1" applyAlignment="1">
      <alignment horizontal="left" vertical="center"/>
    </xf>
    <xf numFmtId="0" fontId="35" fillId="17" borderId="2" xfId="0" applyFont="1" applyFill="1" applyBorder="1" applyAlignment="1">
      <alignment horizontal="left" vertical="center"/>
    </xf>
    <xf numFmtId="0" fontId="38" fillId="3" borderId="2" xfId="0" applyFont="1" applyFill="1" applyBorder="1" applyAlignment="1">
      <alignment horizontal="center" vertical="center" wrapText="1"/>
    </xf>
    <xf numFmtId="1" fontId="6" fillId="4" borderId="2" xfId="0" applyNumberFormat="1" applyFont="1" applyFill="1" applyBorder="1" applyAlignment="1">
      <alignment horizontal="center" vertical="center"/>
    </xf>
    <xf numFmtId="3" fontId="39" fillId="0" borderId="0" xfId="0" applyNumberFormat="1" applyFont="1"/>
    <xf numFmtId="9" fontId="39" fillId="0" borderId="0" xfId="0" applyNumberFormat="1" applyFont="1"/>
    <xf numFmtId="0" fontId="40" fillId="3" borderId="2" xfId="0" applyFont="1" applyFill="1" applyBorder="1" applyAlignment="1">
      <alignment horizontal="center" vertical="center" wrapText="1"/>
    </xf>
    <xf numFmtId="166" fontId="8" fillId="12" borderId="2" xfId="0" applyNumberFormat="1" applyFont="1" applyFill="1" applyBorder="1" applyAlignment="1">
      <alignment horizontal="center" vertical="center"/>
    </xf>
    <xf numFmtId="0" fontId="0" fillId="5" borderId="2" xfId="0" applyFill="1" applyBorder="1"/>
    <xf numFmtId="166" fontId="41" fillId="5" borderId="2" xfId="0" applyNumberFormat="1" applyFont="1" applyFill="1" applyBorder="1" applyAlignment="1">
      <alignment horizontal="center" vertical="center"/>
    </xf>
    <xf numFmtId="166" fontId="6" fillId="5" borderId="2" xfId="0" applyNumberFormat="1" applyFont="1" applyFill="1" applyBorder="1" applyAlignment="1">
      <alignment horizontal="center" vertical="center"/>
    </xf>
    <xf numFmtId="166" fontId="5" fillId="3" borderId="2" xfId="0" applyNumberFormat="1" applyFont="1" applyFill="1" applyBorder="1" applyAlignment="1">
      <alignment horizontal="center" vertical="center"/>
    </xf>
    <xf numFmtId="166" fontId="33" fillId="19" borderId="2" xfId="0" applyNumberFormat="1" applyFont="1" applyFill="1" applyBorder="1" applyAlignment="1">
      <alignment horizontal="center" vertical="center"/>
    </xf>
    <xf numFmtId="166" fontId="1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/>
    <xf numFmtId="166" fontId="5" fillId="2" borderId="4" xfId="0" applyNumberFormat="1" applyFont="1" applyFill="1" applyBorder="1" applyAlignment="1">
      <alignment horizontal="center" vertical="center"/>
    </xf>
    <xf numFmtId="166" fontId="35" fillId="17" borderId="2" xfId="0" applyNumberFormat="1" applyFont="1" applyFill="1" applyBorder="1" applyAlignment="1">
      <alignment horizontal="center" vertical="center"/>
    </xf>
    <xf numFmtId="166" fontId="43" fillId="17" borderId="2" xfId="0" applyNumberFormat="1" applyFont="1" applyFill="1" applyBorder="1" applyAlignment="1">
      <alignment horizontal="center" vertical="center"/>
    </xf>
    <xf numFmtId="166" fontId="3" fillId="20" borderId="2" xfId="0" applyNumberFormat="1" applyFont="1" applyFill="1" applyBorder="1" applyAlignment="1">
      <alignment horizontal="center" vertical="center"/>
    </xf>
    <xf numFmtId="0" fontId="0" fillId="20" borderId="2" xfId="0" applyFill="1" applyBorder="1"/>
    <xf numFmtId="166" fontId="45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/>
    <xf numFmtId="166" fontId="3" fillId="3" borderId="4" xfId="0" applyNumberFormat="1" applyFont="1" applyFill="1" applyBorder="1" applyAlignment="1">
      <alignment horizontal="center" vertical="center"/>
    </xf>
    <xf numFmtId="2" fontId="46" fillId="10" borderId="2" xfId="0" applyNumberFormat="1" applyFont="1" applyFill="1" applyBorder="1" applyAlignment="1">
      <alignment horizontal="center" vertical="center"/>
    </xf>
    <xf numFmtId="0" fontId="0" fillId="10" borderId="2" xfId="0" applyFill="1" applyBorder="1"/>
    <xf numFmtId="9" fontId="47" fillId="6" borderId="2" xfId="0" applyNumberFormat="1" applyFont="1" applyFill="1" applyBorder="1" applyAlignment="1">
      <alignment horizontal="center" vertical="center"/>
    </xf>
    <xf numFmtId="0" fontId="0" fillId="6" borderId="2" xfId="0" applyFill="1" applyBorder="1"/>
    <xf numFmtId="9" fontId="48" fillId="17" borderId="2" xfId="0" applyNumberFormat="1" applyFont="1" applyFill="1" applyBorder="1" applyAlignment="1">
      <alignment horizontal="center" vertical="center"/>
    </xf>
    <xf numFmtId="0" fontId="0" fillId="17" borderId="2" xfId="0" applyFill="1" applyBorder="1"/>
    <xf numFmtId="3" fontId="6" fillId="5" borderId="2" xfId="0" applyNumberFormat="1" applyFont="1" applyFill="1" applyBorder="1" applyAlignment="1">
      <alignment horizontal="center" vertical="center"/>
    </xf>
    <xf numFmtId="0" fontId="0" fillId="9" borderId="2" xfId="0" applyFill="1" applyBorder="1"/>
    <xf numFmtId="0" fontId="6" fillId="9" borderId="2" xfId="0" applyFont="1" applyFill="1" applyBorder="1" applyAlignment="1">
      <alignment horizontal="left" vertical="center"/>
    </xf>
    <xf numFmtId="9" fontId="41" fillId="5" borderId="2" xfId="0" applyNumberFormat="1" applyFont="1" applyFill="1" applyBorder="1" applyAlignment="1">
      <alignment horizontal="center" vertical="center"/>
    </xf>
    <xf numFmtId="167" fontId="1" fillId="3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1" fontId="6" fillId="5" borderId="2" xfId="0" applyNumberFormat="1" applyFont="1" applyFill="1" applyBorder="1" applyAlignment="1">
      <alignment horizontal="center" vertical="center"/>
    </xf>
    <xf numFmtId="14" fontId="41" fillId="5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166" fontId="6" fillId="6" borderId="2" xfId="0" applyNumberFormat="1" applyFont="1" applyFill="1" applyBorder="1" applyAlignment="1">
      <alignment horizontal="center" vertical="center"/>
    </xf>
    <xf numFmtId="166" fontId="6" fillId="8" borderId="2" xfId="0" applyNumberFormat="1" applyFont="1" applyFill="1" applyBorder="1" applyAlignment="1">
      <alignment horizontal="center" vertical="center"/>
    </xf>
    <xf numFmtId="168" fontId="6" fillId="5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6" fillId="11" borderId="2" xfId="0" applyFont="1" applyFill="1" applyBorder="1" applyAlignment="1">
      <alignment horizontal="left" vertical="center"/>
    </xf>
    <xf numFmtId="169" fontId="41" fillId="5" borderId="2" xfId="0" applyNumberFormat="1" applyFont="1" applyFill="1" applyBorder="1" applyAlignment="1">
      <alignment horizontal="center" vertical="center"/>
    </xf>
    <xf numFmtId="0" fontId="57" fillId="9" borderId="2" xfId="0" applyFont="1" applyFill="1" applyBorder="1" applyAlignment="1">
      <alignment horizontal="center" vertical="center"/>
    </xf>
    <xf numFmtId="0" fontId="58" fillId="8" borderId="2" xfId="0" applyFont="1" applyFill="1" applyBorder="1" applyAlignment="1">
      <alignment horizontal="left" vertical="center"/>
    </xf>
    <xf numFmtId="0" fontId="59" fillId="13" borderId="2" xfId="0" applyFont="1" applyFill="1" applyBorder="1" applyAlignment="1">
      <alignment horizontal="left" vertical="center"/>
    </xf>
    <xf numFmtId="0" fontId="60" fillId="14" borderId="2" xfId="0" applyFont="1" applyFill="1" applyBorder="1" applyAlignment="1">
      <alignment horizontal="left" vertical="center"/>
    </xf>
    <xf numFmtId="0" fontId="61" fillId="15" borderId="2" xfId="0" applyFont="1" applyFill="1" applyBorder="1" applyAlignment="1">
      <alignment horizontal="left" vertical="center"/>
    </xf>
    <xf numFmtId="0" fontId="62" fillId="1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166" fontId="42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6" fontId="8" fillId="18" borderId="2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7" fontId="6" fillId="18" borderId="2" xfId="0" applyNumberFormat="1" applyFont="1" applyFill="1" applyBorder="1" applyAlignment="1">
      <alignment horizontal="center" vertical="center"/>
    </xf>
    <xf numFmtId="167" fontId="6" fillId="5" borderId="2" xfId="0" applyNumberFormat="1" applyFont="1" applyFill="1" applyBorder="1" applyAlignment="1">
      <alignment horizontal="center" vertical="center"/>
    </xf>
    <xf numFmtId="167" fontId="6" fillId="6" borderId="2" xfId="0" applyNumberFormat="1" applyFont="1" applyFill="1" applyBorder="1" applyAlignment="1">
      <alignment horizontal="center" vertical="center"/>
    </xf>
    <xf numFmtId="9" fontId="6" fillId="18" borderId="2" xfId="0" applyNumberFormat="1" applyFont="1" applyFill="1" applyBorder="1" applyAlignment="1">
      <alignment horizontal="center" vertical="center"/>
    </xf>
    <xf numFmtId="9" fontId="6" fillId="5" borderId="2" xfId="0" applyNumberFormat="1" applyFont="1" applyFill="1" applyBorder="1" applyAlignment="1">
      <alignment horizontal="center" vertical="center"/>
    </xf>
    <xf numFmtId="9" fontId="6" fillId="6" borderId="2" xfId="0" applyNumberFormat="1" applyFont="1" applyFill="1" applyBorder="1" applyAlignment="1">
      <alignment horizontal="center" vertical="center"/>
    </xf>
    <xf numFmtId="1" fontId="6" fillId="18" borderId="2" xfId="0" applyNumberFormat="1" applyFont="1" applyFill="1" applyBorder="1" applyAlignment="1">
      <alignment horizontal="center" vertical="center"/>
    </xf>
    <xf numFmtId="1" fontId="6" fillId="6" borderId="2" xfId="0" applyNumberFormat="1" applyFont="1" applyFill="1" applyBorder="1" applyAlignment="1">
      <alignment horizontal="center" vertical="center"/>
    </xf>
    <xf numFmtId="169" fontId="66" fillId="10" borderId="2" xfId="0" applyNumberFormat="1" applyFont="1" applyFill="1" applyBorder="1" applyAlignment="1">
      <alignment horizontal="center" vertical="center"/>
    </xf>
    <xf numFmtId="169" fontId="13" fillId="10" borderId="2" xfId="0" applyNumberFormat="1" applyFont="1" applyFill="1" applyBorder="1" applyAlignment="1">
      <alignment horizontal="center" vertical="center"/>
    </xf>
    <xf numFmtId="169" fontId="6" fillId="5" borderId="2" xfId="0" applyNumberFormat="1" applyFont="1" applyFill="1" applyBorder="1" applyAlignment="1">
      <alignment horizontal="center" vertical="center"/>
    </xf>
    <xf numFmtId="169" fontId="8" fillId="5" borderId="2" xfId="0" applyNumberFormat="1" applyFont="1" applyFill="1" applyBorder="1" applyAlignment="1">
      <alignment horizontal="center" vertical="center"/>
    </xf>
    <xf numFmtId="169" fontId="11" fillId="18" borderId="2" xfId="0" applyNumberFormat="1" applyFont="1" applyFill="1" applyBorder="1" applyAlignment="1">
      <alignment horizontal="center" vertical="center"/>
    </xf>
    <xf numFmtId="169" fontId="27" fillId="18" borderId="2" xfId="0" applyNumberFormat="1" applyFont="1" applyFill="1" applyBorder="1" applyAlignment="1">
      <alignment horizontal="center" vertical="center"/>
    </xf>
    <xf numFmtId="168" fontId="17" fillId="0" borderId="2" xfId="0" applyNumberFormat="1" applyFont="1" applyBorder="1" applyAlignment="1">
      <alignment horizontal="center" vertical="center"/>
    </xf>
    <xf numFmtId="170" fontId="5" fillId="3" borderId="2" xfId="0" applyNumberFormat="1" applyFont="1" applyFill="1" applyBorder="1" applyAlignment="1">
      <alignment horizontal="center" vertical="center"/>
    </xf>
    <xf numFmtId="2" fontId="8" fillId="12" borderId="2" xfId="0" applyNumberFormat="1" applyFont="1" applyFill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center" vertical="center"/>
    </xf>
    <xf numFmtId="1" fontId="47" fillId="12" borderId="2" xfId="0" applyNumberFormat="1" applyFont="1" applyFill="1" applyBorder="1" applyAlignment="1">
      <alignment horizontal="center" vertical="center"/>
    </xf>
    <xf numFmtId="0" fontId="57" fillId="5" borderId="2" xfId="0" applyFont="1" applyFill="1" applyBorder="1" applyAlignment="1">
      <alignment horizontal="center" vertical="center"/>
    </xf>
    <xf numFmtId="9" fontId="47" fillId="12" borderId="2" xfId="0" applyNumberFormat="1" applyFont="1" applyFill="1" applyBorder="1" applyAlignment="1">
      <alignment horizontal="center" vertical="center"/>
    </xf>
    <xf numFmtId="166" fontId="49" fillId="18" borderId="2" xfId="0" applyNumberFormat="1" applyFont="1" applyFill="1" applyBorder="1" applyAlignment="1">
      <alignment horizontal="center" vertical="center"/>
    </xf>
    <xf numFmtId="170" fontId="27" fillId="18" borderId="2" xfId="0" applyNumberFormat="1" applyFont="1" applyFill="1" applyBorder="1" applyAlignment="1">
      <alignment horizontal="center" vertical="center"/>
    </xf>
    <xf numFmtId="170" fontId="8" fillId="5" borderId="2" xfId="0" applyNumberFormat="1" applyFont="1" applyFill="1" applyBorder="1" applyAlignment="1">
      <alignment horizontal="center" vertical="center"/>
    </xf>
    <xf numFmtId="166" fontId="49" fillId="5" borderId="2" xfId="0" applyNumberFormat="1" applyFont="1" applyFill="1" applyBorder="1" applyAlignment="1">
      <alignment horizontal="center" vertical="center"/>
    </xf>
    <xf numFmtId="167" fontId="6" fillId="10" borderId="2" xfId="0" applyNumberFormat="1" applyFont="1" applyFill="1" applyBorder="1" applyAlignment="1">
      <alignment horizontal="center" vertical="center"/>
    </xf>
    <xf numFmtId="166" fontId="49" fillId="6" borderId="2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42" fillId="2" borderId="3" xfId="0" applyFont="1" applyFill="1" applyBorder="1" applyAlignment="1">
      <alignment horizontal="left" vertical="center"/>
    </xf>
    <xf numFmtId="0" fontId="30" fillId="17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44" fillId="3" borderId="3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35" fillId="17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166" fontId="49" fillId="18" borderId="1" xfId="0" applyNumberFormat="1" applyFont="1" applyFill="1" applyBorder="1" applyAlignment="1">
      <alignment horizontal="center" vertical="center"/>
    </xf>
    <xf numFmtId="166" fontId="49" fillId="10" borderId="1" xfId="0" applyNumberFormat="1" applyFont="1" applyFill="1" applyBorder="1" applyAlignment="1">
      <alignment horizontal="center" vertical="center"/>
    </xf>
    <xf numFmtId="166" fontId="49" fillId="6" borderId="1" xfId="0" applyNumberFormat="1" applyFont="1" applyFill="1" applyBorder="1" applyAlignment="1">
      <alignment horizontal="center" vertical="center"/>
    </xf>
    <xf numFmtId="0" fontId="49" fillId="18" borderId="1" xfId="0" applyFont="1" applyFill="1" applyBorder="1" applyAlignment="1">
      <alignment horizontal="center" vertical="center"/>
    </xf>
    <xf numFmtId="0" fontId="49" fillId="10" borderId="1" xfId="0" applyFont="1" applyFill="1" applyBorder="1" applyAlignment="1">
      <alignment horizontal="center" vertical="center"/>
    </xf>
    <xf numFmtId="0" fontId="49" fillId="6" borderId="1" xfId="0" applyFont="1" applyFill="1" applyBorder="1" applyAlignment="1">
      <alignment horizontal="center" vertical="center"/>
    </xf>
    <xf numFmtId="1" fontId="49" fillId="18" borderId="1" xfId="0" applyNumberFormat="1" applyFont="1" applyFill="1" applyBorder="1" applyAlignment="1">
      <alignment horizontal="center" vertical="center"/>
    </xf>
    <xf numFmtId="1" fontId="49" fillId="10" borderId="1" xfId="0" applyNumberFormat="1" applyFont="1" applyFill="1" applyBorder="1" applyAlignment="1">
      <alignment horizontal="center" vertical="center"/>
    </xf>
    <xf numFmtId="1" fontId="49" fillId="6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50" fillId="17" borderId="1" xfId="0" applyFont="1" applyFill="1" applyBorder="1" applyAlignment="1">
      <alignment horizontal="center" vertical="center"/>
    </xf>
    <xf numFmtId="9" fontId="51" fillId="10" borderId="1" xfId="0" applyNumberFormat="1" applyFont="1" applyFill="1" applyBorder="1" applyAlignment="1">
      <alignment horizontal="center" vertical="center"/>
    </xf>
    <xf numFmtId="0" fontId="52" fillId="18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166" fontId="53" fillId="12" borderId="1" xfId="0" applyNumberFormat="1" applyFont="1" applyFill="1" applyBorder="1" applyAlignment="1">
      <alignment horizontal="center" vertical="center"/>
    </xf>
    <xf numFmtId="166" fontId="54" fillId="18" borderId="1" xfId="0" applyNumberFormat="1" applyFont="1" applyFill="1" applyBorder="1" applyAlignment="1">
      <alignment horizontal="center" vertical="center"/>
    </xf>
    <xf numFmtId="166" fontId="53" fillId="6" borderId="1" xfId="0" applyNumberFormat="1" applyFont="1" applyFill="1" applyBorder="1" applyAlignment="1">
      <alignment horizontal="center" vertical="center"/>
    </xf>
    <xf numFmtId="167" fontId="55" fillId="10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9" fillId="13" borderId="1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left" vertical="center"/>
    </xf>
    <xf numFmtId="0" fontId="21" fillId="15" borderId="1" xfId="0" applyFont="1" applyFill="1" applyBorder="1" applyAlignment="1">
      <alignment horizontal="left" vertical="center"/>
    </xf>
    <xf numFmtId="0" fontId="22" fillId="16" borderId="1" xfId="0" applyFont="1" applyFill="1" applyBorder="1" applyAlignment="1">
      <alignment horizontal="left" vertical="center"/>
    </xf>
    <xf numFmtId="169" fontId="63" fillId="12" borderId="1" xfId="0" applyNumberFormat="1" applyFont="1" applyFill="1" applyBorder="1" applyAlignment="1">
      <alignment horizontal="center" vertical="center"/>
    </xf>
    <xf numFmtId="169" fontId="64" fillId="10" borderId="1" xfId="0" applyNumberFormat="1" applyFont="1" applyFill="1" applyBorder="1" applyAlignment="1">
      <alignment horizontal="center" vertical="center"/>
    </xf>
    <xf numFmtId="0" fontId="54" fillId="18" borderId="1" xfId="0" applyFont="1" applyFill="1" applyBorder="1" applyAlignment="1">
      <alignment horizontal="center" vertical="center"/>
    </xf>
    <xf numFmtId="0" fontId="65" fillId="1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7" fillId="2" borderId="0" xfId="0" applyFont="1" applyFill="1" applyAlignment="1">
      <alignment horizontal="center" vertical="center"/>
    </xf>
    <xf numFmtId="0" fontId="57" fillId="3" borderId="0" xfId="0" applyFont="1" applyFill="1" applyAlignment="1">
      <alignment horizontal="left" vertical="center"/>
    </xf>
    <xf numFmtId="0" fontId="57" fillId="3" borderId="0" xfId="0" applyFont="1" applyFill="1" applyAlignment="1">
      <alignment horizontal="right" vertical="center"/>
    </xf>
    <xf numFmtId="0" fontId="0" fillId="21" borderId="0" xfId="0" applyFill="1"/>
    <xf numFmtId="166" fontId="68" fillId="12" borderId="1" xfId="0" applyNumberFormat="1" applyFont="1" applyFill="1" applyBorder="1" applyAlignment="1">
      <alignment horizontal="center" vertical="center"/>
    </xf>
    <xf numFmtId="2" fontId="69" fillId="18" borderId="1" xfId="0" applyNumberFormat="1" applyFont="1" applyFill="1" applyBorder="1" applyAlignment="1">
      <alignment horizontal="center" vertical="center"/>
    </xf>
    <xf numFmtId="171" fontId="70" fillId="10" borderId="1" xfId="0" applyNumberFormat="1" applyFont="1" applyFill="1" applyBorder="1" applyAlignment="1">
      <alignment horizontal="center" vertical="center"/>
    </xf>
    <xf numFmtId="170" fontId="71" fillId="19" borderId="1" xfId="0" applyNumberFormat="1" applyFont="1" applyFill="1" applyBorder="1" applyAlignment="1">
      <alignment horizontal="center" vertical="center"/>
    </xf>
    <xf numFmtId="0" fontId="72" fillId="12" borderId="1" xfId="0" applyFont="1" applyFill="1" applyBorder="1" applyAlignment="1">
      <alignment horizontal="center" vertical="center"/>
    </xf>
    <xf numFmtId="0" fontId="73" fillId="18" borderId="1" xfId="0" applyFont="1" applyFill="1" applyBorder="1" applyAlignment="1">
      <alignment horizontal="center" vertical="center"/>
    </xf>
    <xf numFmtId="0" fontId="74" fillId="10" borderId="1" xfId="0" applyFont="1" applyFill="1" applyBorder="1" applyAlignment="1">
      <alignment horizontal="center" vertical="center"/>
    </xf>
    <xf numFmtId="0" fontId="75" fillId="19" borderId="1" xfId="0" applyFont="1" applyFill="1" applyBorder="1" applyAlignment="1">
      <alignment horizontal="center" vertical="center"/>
    </xf>
    <xf numFmtId="0" fontId="0" fillId="3" borderId="0" xfId="0" applyFill="1"/>
    <xf numFmtId="0" fontId="41" fillId="5" borderId="1" xfId="0" applyFont="1" applyFill="1" applyBorder="1" applyAlignment="1">
      <alignment horizontal="left" vertical="center"/>
    </xf>
    <xf numFmtId="0" fontId="23" fillId="17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5" fillId="18" borderId="1" xfId="0" applyFont="1" applyFill="1" applyBorder="1" applyAlignment="1">
      <alignment horizontal="center" vertical="center"/>
    </xf>
  </cellXfs>
  <cellStyles count="1">
    <cellStyle name="Normal" xfId="0" builtinId="0"/>
  </cellStyles>
  <dxfs count="34">
    <dxf>
      <font>
        <b/>
        <color rgb="FF2E7D32"/>
      </font>
      <fill>
        <patternFill>
          <bgColor rgb="FFD4EDDA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F57F17"/>
      </font>
      <fill>
        <patternFill>
          <bgColor rgb="FFFFF3CD"/>
        </patternFill>
      </fill>
    </dxf>
    <dxf>
      <font>
        <b/>
        <color rgb="FF2E7D32"/>
      </font>
      <fill>
        <patternFill>
          <bgColor rgb="FFD4EDDA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2E7D32"/>
      </font>
      <fill>
        <patternFill>
          <bgColor rgb="FFD4EDDA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F57F17"/>
      </font>
      <fill>
        <patternFill>
          <bgColor rgb="FFFFF3CD"/>
        </patternFill>
      </fill>
    </dxf>
    <dxf>
      <font>
        <b/>
        <color rgb="FF2E7D32"/>
      </font>
      <fill>
        <patternFill>
          <bgColor rgb="FFD4EDDA"/>
        </patternFill>
      </fill>
    </dxf>
    <dxf>
      <font>
        <b/>
        <color rgb="FF00695C"/>
      </font>
      <fill>
        <patternFill>
          <bgColor rgb="FFE0F2F1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F57F17"/>
      </font>
      <fill>
        <patternFill>
          <bgColor rgb="FFFFF3CD"/>
        </patternFill>
      </fill>
    </dxf>
    <dxf>
      <font>
        <b/>
        <color rgb="FF2E7D32"/>
      </font>
      <fill>
        <patternFill>
          <bgColor rgb="FFD4EDDA"/>
        </patternFill>
      </fill>
    </dxf>
    <dxf>
      <font>
        <b/>
        <color rgb="FF2E7D32"/>
      </font>
      <fill>
        <patternFill>
          <bgColor rgb="FFD4EDDA"/>
        </patternFill>
      </fill>
    </dxf>
    <dxf>
      <font>
        <b/>
        <color rgb="FFF57F17"/>
      </font>
      <fill>
        <patternFill>
          <bgColor rgb="FFFFF3CD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F57F17"/>
      </font>
      <fill>
        <patternFill>
          <bgColor rgb="FFFFF3CD"/>
        </patternFill>
      </fill>
    </dxf>
    <dxf>
      <font>
        <b/>
        <color rgb="FF2E7D32"/>
      </font>
      <fill>
        <patternFill>
          <bgColor rgb="FFD4EDDA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color rgb="FFC62828"/>
      </font>
      <fill>
        <patternFill>
          <bgColor rgb="FFFFE0E0"/>
        </patternFill>
      </fill>
    </dxf>
    <dxf>
      <font>
        <color rgb="FF2E7D32"/>
      </font>
      <fill>
        <patternFill>
          <bgColor rgb="FFD4EDDA"/>
        </patternFill>
      </fill>
    </dxf>
    <dxf>
      <font>
        <color rgb="FF00695C"/>
      </font>
      <fill>
        <patternFill>
          <bgColor rgb="FFE0F2F1"/>
        </patternFill>
      </fill>
    </dxf>
    <dxf>
      <font>
        <color rgb="FF1B2A4A"/>
      </font>
      <fill>
        <patternFill>
          <bgColor rgb="FFDBEAFE"/>
        </patternFill>
      </fill>
    </dxf>
    <dxf>
      <font>
        <color rgb="FF4A235A"/>
      </font>
      <fill>
        <patternFill>
          <bgColor rgb="FFF5EEF8"/>
        </patternFill>
      </fill>
    </dxf>
    <dxf>
      <font>
        <color rgb="FFD4AF37"/>
      </font>
      <fill>
        <patternFill>
          <bgColor rgb="FFF5E6A3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F57F17"/>
      </font>
      <fill>
        <patternFill>
          <bgColor rgb="FFFFF3CD"/>
        </patternFill>
      </fill>
    </dxf>
    <dxf>
      <font>
        <b/>
        <color rgb="FF2E7D32"/>
      </font>
      <fill>
        <patternFill>
          <bgColor rgb="FFD4EDDA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F57F17"/>
      </font>
      <fill>
        <patternFill>
          <bgColor rgb="FFFFF3CD"/>
        </patternFill>
      </fill>
    </dxf>
    <dxf>
      <font>
        <b/>
        <color rgb="FF2E7D32"/>
      </font>
      <fill>
        <patternFill>
          <bgColor rgb="FFD4EDDA"/>
        </patternFill>
      </fill>
    </dxf>
    <dxf>
      <font>
        <b/>
        <color rgb="FFC62828"/>
      </font>
      <fill>
        <patternFill>
          <bgColor rgb="FFFFE0E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EDEC"/>
      <rgbColor rgb="FFFF00FF"/>
      <rgbColor rgb="FF00FFFF"/>
      <rgbColor rgb="FF800000"/>
      <rgbColor rgb="FF145A32"/>
      <rgbColor rgb="FF000080"/>
      <rgbColor rgb="FF808000"/>
      <rgbColor rgb="FF800080"/>
      <rgbColor rgb="FF00695C"/>
      <rgbColor rgb="FFCCCCCC"/>
      <rgbColor rgb="FF4F81BD"/>
      <rgbColor rgb="FFEAF2FF"/>
      <rgbColor rgb="FFC0504D"/>
      <rgbColor rgb="FFFFFDE7"/>
      <rgbColor rgb="FFE0F2F1"/>
      <rgbColor rgb="FF660066"/>
      <rgbColor rgb="FFEBF5FB"/>
      <rgbColor rgb="FF1A5276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AFAF1"/>
      <rgbColor rgb="FFD4EDDA"/>
      <rgbColor rgb="FFFFF3CD"/>
      <rgbColor rgb="FFDBEAFE"/>
      <rgbColor rgb="FFFFE0E0"/>
      <rgbColor rgb="FFF5EEF8"/>
      <rgbColor rgb="FFF5E6A3"/>
      <rgbColor rgb="FF3366FF"/>
      <rgbColor rgb="FF4BACC6"/>
      <rgbColor rgb="FF9BBB59"/>
      <rgbColor rgb="FFF2F3F4"/>
      <rgbColor rgb="FFD4AF37"/>
      <rgbColor rgb="FFF57F17"/>
      <rgbColor rgb="FF8064A2"/>
      <rgbColor rgb="FFB3B3B3"/>
      <rgbColor rgb="FF1B2A4A"/>
      <rgbColor rgb="FF2E7D32"/>
      <rgbColor rgb="FF0A0A0A"/>
      <rgbColor rgb="FF4D5656"/>
      <rgbColor rgb="FF78281F"/>
      <rgbColor rgb="FFC62828"/>
      <rgbColor rgb="FF4A235A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Coût Employeur Moyen par Pays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'08_COST_EMPLOYEUR'!$D$41:$H$41</c:f>
              <c:strCache>
                <c:ptCount val="5"/>
                <c:pt idx="0">
                  <c:v>🇫🇷 FR</c:v>
                </c:pt>
                <c:pt idx="1">
                  <c:v>🇮🇹 IT</c:v>
                </c:pt>
                <c:pt idx="2">
                  <c:v>🇨🇭 CH</c:v>
                </c:pt>
                <c:pt idx="3">
                  <c:v>🇬🇧 GB</c:v>
                </c:pt>
                <c:pt idx="4">
                  <c:v>🇺🇸 US</c:v>
                </c:pt>
              </c:strCache>
            </c:strRef>
          </c:cat>
          <c:val>
            <c:numRef>
              <c:f>'08_COST_EMPLOYEUR'!$D$42</c:f>
              <c:numCache>
                <c:formatCode>#\ ##0" €"</c:formatCode>
                <c:ptCount val="1"/>
                <c:pt idx="0">
                  <c:v>95538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2-4222-BEB1-D57699E1C041}"/>
            </c:ext>
          </c:extLst>
        </c:ser>
        <c:ser>
          <c:idx val="1"/>
          <c:order val="1"/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'08_COST_EMPLOYEUR'!$D$41:$H$41</c:f>
              <c:strCache>
                <c:ptCount val="5"/>
                <c:pt idx="0">
                  <c:v>🇫🇷 FR</c:v>
                </c:pt>
                <c:pt idx="1">
                  <c:v>🇮🇹 IT</c:v>
                </c:pt>
                <c:pt idx="2">
                  <c:v>🇨🇭 CH</c:v>
                </c:pt>
                <c:pt idx="3">
                  <c:v>🇬🇧 GB</c:v>
                </c:pt>
                <c:pt idx="4">
                  <c:v>🇺🇸 US</c:v>
                </c:pt>
              </c:strCache>
            </c:strRef>
          </c:cat>
          <c:val>
            <c:numRef>
              <c:f>'08_COST_EMPLOYEUR'!$E$42</c:f>
              <c:numCache>
                <c:formatCode>#\ ##0" €"</c:formatCode>
                <c:ptCount val="1"/>
                <c:pt idx="0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2-4222-BEB1-D57699E1C041}"/>
            </c:ext>
          </c:extLst>
        </c:ser>
        <c:ser>
          <c:idx val="2"/>
          <c:order val="2"/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'08_COST_EMPLOYEUR'!$D$41:$H$41</c:f>
              <c:strCache>
                <c:ptCount val="5"/>
                <c:pt idx="0">
                  <c:v>🇫🇷 FR</c:v>
                </c:pt>
                <c:pt idx="1">
                  <c:v>🇮🇹 IT</c:v>
                </c:pt>
                <c:pt idx="2">
                  <c:v>🇨🇭 CH</c:v>
                </c:pt>
                <c:pt idx="3">
                  <c:v>🇬🇧 GB</c:v>
                </c:pt>
                <c:pt idx="4">
                  <c:v>🇺🇸 US</c:v>
                </c:pt>
              </c:strCache>
            </c:strRef>
          </c:cat>
          <c:val>
            <c:numRef>
              <c:f>'08_COST_EMPLOYEUR'!$F$42</c:f>
              <c:numCache>
                <c:formatCode>#\ ##0" €"</c:formatCode>
                <c:ptCount val="1"/>
                <c:pt idx="0">
                  <c:v>185125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2-4222-BEB1-D57699E1C041}"/>
            </c:ext>
          </c:extLst>
        </c:ser>
        <c:ser>
          <c:idx val="3"/>
          <c:order val="3"/>
          <c:spPr>
            <a:solidFill>
              <a:srgbClr val="8064A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'08_COST_EMPLOYEUR'!$D$41:$H$41</c:f>
              <c:strCache>
                <c:ptCount val="5"/>
                <c:pt idx="0">
                  <c:v>🇫🇷 FR</c:v>
                </c:pt>
                <c:pt idx="1">
                  <c:v>🇮🇹 IT</c:v>
                </c:pt>
                <c:pt idx="2">
                  <c:v>🇨🇭 CH</c:v>
                </c:pt>
                <c:pt idx="3">
                  <c:v>🇬🇧 GB</c:v>
                </c:pt>
                <c:pt idx="4">
                  <c:v>🇺🇸 US</c:v>
                </c:pt>
              </c:strCache>
            </c:strRef>
          </c:cat>
          <c:val>
            <c:numRef>
              <c:f>'08_COST_EMPLOYEUR'!$G$42</c:f>
              <c:numCache>
                <c:formatCode>#\ ##0" €"</c:formatCode>
                <c:ptCount val="1"/>
                <c:pt idx="0">
                  <c:v>107500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2-4222-BEB1-D57699E1C041}"/>
            </c:ext>
          </c:extLst>
        </c:ser>
        <c:ser>
          <c:idx val="4"/>
          <c:order val="4"/>
          <c:spPr>
            <a:solidFill>
              <a:srgbClr val="4BACC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'08_COST_EMPLOYEUR'!$D$41:$H$41</c:f>
              <c:strCache>
                <c:ptCount val="5"/>
                <c:pt idx="0">
                  <c:v>🇫🇷 FR</c:v>
                </c:pt>
                <c:pt idx="1">
                  <c:v>🇮🇹 IT</c:v>
                </c:pt>
                <c:pt idx="2">
                  <c:v>🇨🇭 CH</c:v>
                </c:pt>
                <c:pt idx="3">
                  <c:v>🇬🇧 GB</c:v>
                </c:pt>
                <c:pt idx="4">
                  <c:v>🇺🇸 US</c:v>
                </c:pt>
              </c:strCache>
            </c:strRef>
          </c:cat>
          <c:val>
            <c:numRef>
              <c:f>'08_COST_EMPLOYEUR'!$H$42</c:f>
              <c:numCache>
                <c:formatCode>#\ ##0" €"</c:formatCode>
                <c:ptCount val="1"/>
                <c:pt idx="0">
                  <c:v>131200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D2-4222-BEB1-D57699E1C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820057"/>
        <c:axId val="50356448"/>
      </c:barChart>
      <c:catAx>
        <c:axId val="988200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0356448"/>
        <c:crosses val="autoZero"/>
        <c:auto val="1"/>
        <c:lblAlgn val="ctr"/>
        <c:lblOffset val="100"/>
        <c:noMultiLvlLbl val="0"/>
      </c:catAx>
      <c:valAx>
        <c:axId val="503564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Coût employeur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\ ##0&quot; €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88200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Évolution Salaires Médians 2022–2026 (Sélection métiers clés)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M01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'09_HISTORIQUE'!$D$12:$H$12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'09_HISTORIQUE'!$D$13:$H$13</c:f>
              <c:numCache>
                <c:formatCode>#\ ##0" €"</c:formatCode>
                <c:ptCount val="5"/>
                <c:pt idx="0">
                  <c:v>35000</c:v>
                </c:pt>
                <c:pt idx="1">
                  <c:v>36200</c:v>
                </c:pt>
                <c:pt idx="2">
                  <c:v>37500</c:v>
                </c:pt>
                <c:pt idx="3">
                  <c:v>38000</c:v>
                </c:pt>
                <c:pt idx="4">
                  <c:v>39500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70-4CF8-8A9D-810999CF71C8}"/>
            </c:ext>
          </c:extLst>
        </c:ser>
        <c:ser>
          <c:idx val="1"/>
          <c:order val="1"/>
          <c:tx>
            <c:v>M05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'09_HISTORIQUE'!$D$12:$H$12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'09_HISTORIQUE'!$D$15:$H$15</c:f>
              <c:numCache>
                <c:formatCode>#\ ##0" €"</c:formatCode>
                <c:ptCount val="5"/>
                <c:pt idx="0">
                  <c:v>30000</c:v>
                </c:pt>
                <c:pt idx="1">
                  <c:v>31000</c:v>
                </c:pt>
                <c:pt idx="2">
                  <c:v>32000</c:v>
                </c:pt>
                <c:pt idx="3">
                  <c:v>33000</c:v>
                </c:pt>
                <c:pt idx="4">
                  <c:v>34000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70-4CF8-8A9D-810999CF71C8}"/>
            </c:ext>
          </c:extLst>
        </c:ser>
        <c:ser>
          <c:idx val="2"/>
          <c:order val="2"/>
          <c:tx>
            <c:v>M09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'09_HISTORIQUE'!$D$12:$H$12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'09_HISTORIQUE'!$D$17:$H$17</c:f>
              <c:numCache>
                <c:formatCode>#\ ##0" €"</c:formatCode>
                <c:ptCount val="5"/>
                <c:pt idx="0">
                  <c:v>72000</c:v>
                </c:pt>
                <c:pt idx="1">
                  <c:v>76000</c:v>
                </c:pt>
                <c:pt idx="2">
                  <c:v>80000</c:v>
                </c:pt>
                <c:pt idx="3">
                  <c:v>83000</c:v>
                </c:pt>
                <c:pt idx="4">
                  <c:v>87000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770-4CF8-8A9D-810999CF71C8}"/>
            </c:ext>
          </c:extLst>
        </c:ser>
        <c:ser>
          <c:idx val="3"/>
          <c:order val="3"/>
          <c:tx>
            <c:v>M17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'09_HISTORIQUE'!$D$12:$H$12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'09_HISTORIQUE'!$D$21:$H$21</c:f>
              <c:numCache>
                <c:formatCode>#\ ##0" €"</c:formatCode>
                <c:ptCount val="5"/>
                <c:pt idx="0">
                  <c:v>95000</c:v>
                </c:pt>
                <c:pt idx="1">
                  <c:v>102000</c:v>
                </c:pt>
                <c:pt idx="2">
                  <c:v>110000</c:v>
                </c:pt>
                <c:pt idx="3">
                  <c:v>118000</c:v>
                </c:pt>
                <c:pt idx="4">
                  <c:v>128000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770-4CF8-8A9D-810999CF7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092021"/>
        <c:axId val="54907166"/>
      </c:lineChart>
      <c:catAx>
        <c:axId val="950920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4907166"/>
        <c:crosses val="autoZero"/>
        <c:auto val="1"/>
        <c:lblAlgn val="ctr"/>
        <c:lblOffset val="100"/>
        <c:noMultiLvlLbl val="0"/>
      </c:catAx>
      <c:valAx>
        <c:axId val="549071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Salaire de base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\ ##0&quot; €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5092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8</xdr:col>
      <xdr:colOff>292320</xdr:colOff>
      <xdr:row>68</xdr:row>
      <xdr:rowOff>42840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10</xdr:col>
      <xdr:colOff>166320</xdr:colOff>
      <xdr:row>56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AF37"/>
  </sheetPr>
  <dimension ref="B1:E55"/>
  <sheetViews>
    <sheetView showGridLines="0" tabSelected="1" zoomScaleNormal="100" workbookViewId="0">
      <selection activeCell="D9" sqref="D9:E9"/>
    </sheetView>
  </sheetViews>
  <sheetFormatPr baseColWidth="10" defaultColWidth="8.7109375" defaultRowHeight="15" x14ac:dyDescent="0.25"/>
  <cols>
    <col min="1" max="1" width="3" customWidth="1"/>
    <col min="2" max="2" width="30" customWidth="1"/>
    <col min="3" max="3" width="28" customWidth="1"/>
    <col min="4" max="4" width="22" customWidth="1"/>
    <col min="5" max="5" width="20" customWidth="1"/>
  </cols>
  <sheetData>
    <row r="1" spans="2:5" ht="31.5" customHeight="1" x14ac:dyDescent="0.25">
      <c r="B1" s="14" t="s">
        <v>0</v>
      </c>
      <c r="C1" s="14"/>
      <c r="D1" s="14"/>
      <c r="E1" s="14"/>
    </row>
    <row r="2" spans="2:5" ht="15.75" customHeight="1" x14ac:dyDescent="0.25">
      <c r="B2" s="13" t="s">
        <v>1</v>
      </c>
      <c r="C2" s="13"/>
      <c r="D2" s="13"/>
      <c r="E2" s="13"/>
    </row>
    <row r="4" spans="2:5" ht="21.75" customHeight="1" x14ac:dyDescent="0.25">
      <c r="B4" s="12" t="s">
        <v>2</v>
      </c>
      <c r="C4" s="12"/>
      <c r="D4" s="12"/>
      <c r="E4" s="12"/>
    </row>
    <row r="5" spans="2:5" ht="19.5" customHeight="1" x14ac:dyDescent="0.25">
      <c r="B5" s="15" t="s">
        <v>3</v>
      </c>
      <c r="C5" s="15" t="s">
        <v>4</v>
      </c>
      <c r="D5" s="15" t="s">
        <v>5</v>
      </c>
      <c r="E5" s="15"/>
    </row>
    <row r="6" spans="2:5" ht="19.5" customHeight="1" x14ac:dyDescent="0.25">
      <c r="B6" s="16" t="s">
        <v>6</v>
      </c>
      <c r="C6" s="17"/>
      <c r="D6" s="11" t="s">
        <v>7</v>
      </c>
      <c r="E6" s="11"/>
    </row>
    <row r="7" spans="2:5" ht="19.5" customHeight="1" x14ac:dyDescent="0.25">
      <c r="B7" s="16" t="s">
        <v>8</v>
      </c>
      <c r="C7" s="17"/>
      <c r="D7" s="11" t="s">
        <v>9</v>
      </c>
      <c r="E7" s="11"/>
    </row>
    <row r="8" spans="2:5" ht="19.5" customHeight="1" x14ac:dyDescent="0.25">
      <c r="B8" s="16" t="s">
        <v>10</v>
      </c>
      <c r="C8" s="17">
        <v>2026</v>
      </c>
      <c r="D8" s="11" t="s">
        <v>11</v>
      </c>
      <c r="E8" s="11"/>
    </row>
    <row r="9" spans="2:5" ht="30.75" customHeight="1" x14ac:dyDescent="0.25">
      <c r="B9" s="16" t="s">
        <v>12</v>
      </c>
      <c r="C9" s="17"/>
      <c r="D9" s="11" t="s">
        <v>13</v>
      </c>
      <c r="E9" s="11"/>
    </row>
    <row r="10" spans="2:5" ht="19.5" customHeight="1" x14ac:dyDescent="0.25">
      <c r="B10" s="16" t="s">
        <v>14</v>
      </c>
      <c r="C10" s="17"/>
      <c r="D10" s="11" t="s">
        <v>15</v>
      </c>
      <c r="E10" s="11"/>
    </row>
    <row r="11" spans="2:5" ht="19.5" customHeight="1" x14ac:dyDescent="0.25">
      <c r="B11" s="16" t="s">
        <v>16</v>
      </c>
      <c r="C11" s="17"/>
      <c r="D11" s="11" t="s">
        <v>17</v>
      </c>
      <c r="E11" s="11"/>
    </row>
    <row r="12" spans="2:5" ht="19.5" customHeight="1" x14ac:dyDescent="0.25">
      <c r="B12" s="16" t="s">
        <v>18</v>
      </c>
      <c r="C12" s="18">
        <f ca="1">TODAY()</f>
        <v>46113</v>
      </c>
      <c r="D12" s="11"/>
      <c r="E12" s="11"/>
    </row>
    <row r="13" spans="2:5" ht="19.5" customHeight="1" x14ac:dyDescent="0.25">
      <c r="B13" s="16" t="s">
        <v>19</v>
      </c>
      <c r="C13" s="19"/>
      <c r="D13" s="11"/>
      <c r="E13" s="11"/>
    </row>
    <row r="16" spans="2:5" ht="21.75" customHeight="1" x14ac:dyDescent="0.25">
      <c r="B16" s="12" t="s">
        <v>20</v>
      </c>
      <c r="C16" s="12"/>
      <c r="D16" s="12"/>
      <c r="E16" s="12"/>
    </row>
    <row r="17" spans="2:5" ht="19.5" customHeight="1" x14ac:dyDescent="0.25">
      <c r="B17" s="15" t="s">
        <v>21</v>
      </c>
      <c r="C17" s="15" t="s">
        <v>22</v>
      </c>
      <c r="D17" s="15" t="s">
        <v>23</v>
      </c>
      <c r="E17" s="15" t="s">
        <v>24</v>
      </c>
    </row>
    <row r="18" spans="2:5" ht="19.5" customHeight="1" x14ac:dyDescent="0.25">
      <c r="B18" s="20" t="s">
        <v>25</v>
      </c>
      <c r="C18" s="21" t="s">
        <v>26</v>
      </c>
      <c r="D18" s="22" t="s">
        <v>27</v>
      </c>
      <c r="E18" s="23" t="s">
        <v>28</v>
      </c>
    </row>
    <row r="19" spans="2:5" ht="19.5" customHeight="1" x14ac:dyDescent="0.25">
      <c r="B19" s="20" t="s">
        <v>29</v>
      </c>
      <c r="C19" s="21" t="s">
        <v>30</v>
      </c>
      <c r="D19" s="22" t="s">
        <v>31</v>
      </c>
      <c r="E19" s="23" t="s">
        <v>32</v>
      </c>
    </row>
    <row r="20" spans="2:5" ht="19.5" customHeight="1" x14ac:dyDescent="0.25">
      <c r="B20" s="20" t="s">
        <v>33</v>
      </c>
      <c r="C20" s="21" t="s">
        <v>34</v>
      </c>
      <c r="D20" s="22" t="s">
        <v>35</v>
      </c>
      <c r="E20" s="23" t="s">
        <v>36</v>
      </c>
    </row>
    <row r="21" spans="2:5" ht="19.5" customHeight="1" x14ac:dyDescent="0.25">
      <c r="B21" s="20" t="s">
        <v>37</v>
      </c>
      <c r="C21" s="21" t="s">
        <v>38</v>
      </c>
      <c r="D21" s="22" t="s">
        <v>39</v>
      </c>
      <c r="E21" s="23" t="s">
        <v>40</v>
      </c>
    </row>
    <row r="22" spans="2:5" ht="19.5" customHeight="1" x14ac:dyDescent="0.25">
      <c r="B22" s="20" t="s">
        <v>41</v>
      </c>
      <c r="C22" s="21" t="s">
        <v>42</v>
      </c>
      <c r="D22" s="22" t="s">
        <v>43</v>
      </c>
      <c r="E22" s="23" t="s">
        <v>44</v>
      </c>
    </row>
    <row r="23" spans="2:5" ht="19.5" customHeight="1" x14ac:dyDescent="0.25">
      <c r="B23" s="20" t="s">
        <v>45</v>
      </c>
      <c r="C23" s="21" t="s">
        <v>46</v>
      </c>
      <c r="D23" s="22" t="s">
        <v>47</v>
      </c>
      <c r="E23" s="23" t="s">
        <v>48</v>
      </c>
    </row>
    <row r="24" spans="2:5" ht="19.5" customHeight="1" x14ac:dyDescent="0.25">
      <c r="B24" s="20" t="s">
        <v>49</v>
      </c>
      <c r="C24" s="21" t="s">
        <v>50</v>
      </c>
      <c r="D24" s="22" t="s">
        <v>51</v>
      </c>
      <c r="E24" s="23" t="s">
        <v>52</v>
      </c>
    </row>
    <row r="25" spans="2:5" ht="19.5" customHeight="1" x14ac:dyDescent="0.25">
      <c r="B25" s="24" t="s">
        <v>53</v>
      </c>
      <c r="C25" s="25" t="s">
        <v>54</v>
      </c>
      <c r="D25" s="22" t="s">
        <v>55</v>
      </c>
      <c r="E25" s="23" t="s">
        <v>56</v>
      </c>
    </row>
    <row r="26" spans="2:5" ht="19.5" customHeight="1" x14ac:dyDescent="0.25">
      <c r="B26" s="24" t="s">
        <v>57</v>
      </c>
      <c r="C26" s="25" t="s">
        <v>58</v>
      </c>
      <c r="D26" s="22" t="s">
        <v>59</v>
      </c>
      <c r="E26" s="23" t="s">
        <v>60</v>
      </c>
    </row>
    <row r="27" spans="2:5" ht="19.5" customHeight="1" x14ac:dyDescent="0.25">
      <c r="B27" s="24" t="s">
        <v>61</v>
      </c>
      <c r="C27" s="25" t="s">
        <v>62</v>
      </c>
      <c r="D27" s="22" t="s">
        <v>63</v>
      </c>
      <c r="E27" s="23" t="s">
        <v>64</v>
      </c>
    </row>
    <row r="28" spans="2:5" ht="19.5" customHeight="1" x14ac:dyDescent="0.25">
      <c r="B28" s="24" t="s">
        <v>65</v>
      </c>
      <c r="C28" s="25" t="s">
        <v>66</v>
      </c>
      <c r="D28" s="22" t="s">
        <v>47</v>
      </c>
      <c r="E28" s="23" t="s">
        <v>67</v>
      </c>
    </row>
    <row r="31" spans="2:5" ht="21.75" customHeight="1" x14ac:dyDescent="0.25">
      <c r="B31" s="12" t="s">
        <v>68</v>
      </c>
      <c r="C31" s="12"/>
      <c r="D31" s="12"/>
      <c r="E31" s="12"/>
    </row>
    <row r="32" spans="2:5" ht="19.5" customHeight="1" x14ac:dyDescent="0.25">
      <c r="B32" s="15" t="s">
        <v>69</v>
      </c>
      <c r="C32" s="15" t="s">
        <v>70</v>
      </c>
      <c r="D32" s="15" t="s">
        <v>71</v>
      </c>
      <c r="E32" s="15" t="s">
        <v>72</v>
      </c>
    </row>
    <row r="33" spans="2:5" ht="19.5" customHeight="1" x14ac:dyDescent="0.25">
      <c r="B33" s="26" t="s">
        <v>73</v>
      </c>
      <c r="C33" s="27">
        <v>1.085</v>
      </c>
      <c r="D33" s="28">
        <f t="shared" ref="D33:D39" si="0">IFERROR(1/C33,"—")</f>
        <v>0.92165898617511521</v>
      </c>
      <c r="E33" s="29" t="s">
        <v>74</v>
      </c>
    </row>
    <row r="34" spans="2:5" ht="19.5" customHeight="1" x14ac:dyDescent="0.25">
      <c r="B34" s="26" t="s">
        <v>75</v>
      </c>
      <c r="C34" s="27">
        <v>0.94199999999999995</v>
      </c>
      <c r="D34" s="28">
        <f t="shared" si="0"/>
        <v>1.0615711252653928</v>
      </c>
      <c r="E34" s="29" t="s">
        <v>74</v>
      </c>
    </row>
    <row r="35" spans="2:5" ht="19.5" customHeight="1" x14ac:dyDescent="0.25">
      <c r="B35" s="26" t="s">
        <v>76</v>
      </c>
      <c r="C35" s="27">
        <v>0.85599999999999998</v>
      </c>
      <c r="D35" s="28">
        <f t="shared" si="0"/>
        <v>1.1682242990654206</v>
      </c>
      <c r="E35" s="29" t="s">
        <v>74</v>
      </c>
    </row>
    <row r="36" spans="2:5" ht="19.5" customHeight="1" x14ac:dyDescent="0.25">
      <c r="B36" s="26" t="s">
        <v>77</v>
      </c>
      <c r="C36" s="27">
        <v>163.5</v>
      </c>
      <c r="D36" s="28">
        <f t="shared" si="0"/>
        <v>6.1162079510703364E-3</v>
      </c>
      <c r="E36" s="29" t="s">
        <v>74</v>
      </c>
    </row>
    <row r="37" spans="2:5" ht="19.5" customHeight="1" x14ac:dyDescent="0.25">
      <c r="B37" s="26" t="s">
        <v>78</v>
      </c>
      <c r="C37" s="27">
        <v>7.82</v>
      </c>
      <c r="D37" s="28">
        <f t="shared" si="0"/>
        <v>0.12787723785166241</v>
      </c>
      <c r="E37" s="29" t="s">
        <v>74</v>
      </c>
    </row>
    <row r="38" spans="2:5" ht="19.5" customHeight="1" x14ac:dyDescent="0.25">
      <c r="B38" s="26" t="s">
        <v>79</v>
      </c>
      <c r="C38" s="27">
        <v>8.4700000000000006</v>
      </c>
      <c r="D38" s="28">
        <f t="shared" si="0"/>
        <v>0.11806375442739078</v>
      </c>
      <c r="E38" s="29" t="s">
        <v>74</v>
      </c>
    </row>
    <row r="39" spans="2:5" ht="19.5" customHeight="1" x14ac:dyDescent="0.25">
      <c r="B39" s="26" t="s">
        <v>80</v>
      </c>
      <c r="C39" s="27">
        <v>3.9849999999999999</v>
      </c>
      <c r="D39" s="28">
        <f t="shared" si="0"/>
        <v>0.25094102885821834</v>
      </c>
      <c r="E39" s="29" t="s">
        <v>74</v>
      </c>
    </row>
    <row r="42" spans="2:5" ht="21.75" customHeight="1" x14ac:dyDescent="0.25">
      <c r="B42" s="12" t="s">
        <v>81</v>
      </c>
      <c r="C42" s="12"/>
      <c r="D42" s="12"/>
      <c r="E42" s="12"/>
    </row>
    <row r="43" spans="2:5" ht="19.5" customHeight="1" x14ac:dyDescent="0.25">
      <c r="B43" s="15" t="s">
        <v>82</v>
      </c>
      <c r="C43" s="15" t="s">
        <v>83</v>
      </c>
      <c r="D43" s="15" t="s">
        <v>84</v>
      </c>
      <c r="E43" s="15" t="s">
        <v>85</v>
      </c>
    </row>
    <row r="44" spans="2:5" ht="18" customHeight="1" x14ac:dyDescent="0.25">
      <c r="B44" s="26" t="s">
        <v>86</v>
      </c>
      <c r="C44" s="30" t="s">
        <v>87</v>
      </c>
      <c r="D44" s="22" t="s">
        <v>88</v>
      </c>
      <c r="E44" s="31" t="s">
        <v>89</v>
      </c>
    </row>
    <row r="45" spans="2:5" ht="18" customHeight="1" x14ac:dyDescent="0.25">
      <c r="B45" s="26" t="s">
        <v>90</v>
      </c>
      <c r="C45" s="30" t="s">
        <v>91</v>
      </c>
      <c r="D45" s="22" t="s">
        <v>88</v>
      </c>
      <c r="E45" s="31" t="s">
        <v>92</v>
      </c>
    </row>
    <row r="46" spans="2:5" ht="18" customHeight="1" x14ac:dyDescent="0.25">
      <c r="B46" s="26" t="s">
        <v>93</v>
      </c>
      <c r="C46" s="30" t="s">
        <v>94</v>
      </c>
      <c r="D46" s="22" t="s">
        <v>95</v>
      </c>
      <c r="E46" s="31" t="s">
        <v>96</v>
      </c>
    </row>
    <row r="47" spans="2:5" ht="18" customHeight="1" x14ac:dyDescent="0.25">
      <c r="B47" s="26" t="s">
        <v>97</v>
      </c>
      <c r="C47" s="30" t="s">
        <v>98</v>
      </c>
      <c r="D47" s="22" t="s">
        <v>99</v>
      </c>
      <c r="E47" s="31" t="s">
        <v>100</v>
      </c>
    </row>
    <row r="48" spans="2:5" ht="18" customHeight="1" x14ac:dyDescent="0.25">
      <c r="B48" s="26" t="s">
        <v>101</v>
      </c>
      <c r="C48" s="30" t="s">
        <v>102</v>
      </c>
      <c r="D48" s="22" t="s">
        <v>103</v>
      </c>
      <c r="E48" s="31" t="s">
        <v>104</v>
      </c>
    </row>
    <row r="49" spans="2:5" ht="18" customHeight="1" x14ac:dyDescent="0.25">
      <c r="B49" s="26" t="s">
        <v>105</v>
      </c>
      <c r="C49" s="30" t="s">
        <v>106</v>
      </c>
      <c r="D49" s="22" t="s">
        <v>107</v>
      </c>
      <c r="E49" s="31" t="s">
        <v>100</v>
      </c>
    </row>
    <row r="50" spans="2:5" ht="18" customHeight="1" x14ac:dyDescent="0.25">
      <c r="B50" s="26" t="s">
        <v>108</v>
      </c>
      <c r="C50" s="30" t="s">
        <v>109</v>
      </c>
      <c r="D50" s="22" t="s">
        <v>110</v>
      </c>
      <c r="E50" s="31" t="s">
        <v>111</v>
      </c>
    </row>
    <row r="51" spans="2:5" ht="18" customHeight="1" x14ac:dyDescent="0.25">
      <c r="B51" s="26" t="s">
        <v>112</v>
      </c>
      <c r="C51" s="30" t="s">
        <v>113</v>
      </c>
      <c r="D51" s="22" t="s">
        <v>88</v>
      </c>
      <c r="E51" s="31" t="s">
        <v>114</v>
      </c>
    </row>
    <row r="55" spans="2:5" ht="21.75" customHeight="1" x14ac:dyDescent="0.25">
      <c r="B55" s="10" t="s">
        <v>115</v>
      </c>
      <c r="C55" s="10"/>
      <c r="D55" s="10"/>
      <c r="E55" s="10"/>
    </row>
  </sheetData>
  <mergeCells count="15">
    <mergeCell ref="D13:E13"/>
    <mergeCell ref="B16:E16"/>
    <mergeCell ref="B31:E31"/>
    <mergeCell ref="B42:E42"/>
    <mergeCell ref="B55:E55"/>
    <mergeCell ref="D8:E8"/>
    <mergeCell ref="D9:E9"/>
    <mergeCell ref="D10:E10"/>
    <mergeCell ref="D11:E11"/>
    <mergeCell ref="D12:E12"/>
    <mergeCell ref="B1:E1"/>
    <mergeCell ref="B2:E2"/>
    <mergeCell ref="B4:E4"/>
    <mergeCell ref="D6:E6"/>
    <mergeCell ref="D7:E7"/>
  </mergeCells>
  <dataValidations count="5">
    <dataValidation type="list" allowBlank="1" sqref="C6" xr:uid="{00000000-0002-0000-0000-000000000000}">
      <formula1>"Hermès,Louis Vuitton,Chanel,Dior,Cartier,Boucheron,Van Cleef &amp; Arpels,Berluti,Loro Piana,Kering,Richemont,LVMH,Personnalisé"</formula1>
      <formula2>0</formula2>
    </dataValidation>
    <dataValidation type="list" allowBlank="1" sqref="C7" xr:uid="{00000000-0002-0000-0000-000001000000}">
      <formula1>"EUR,USD,CHF,GBP,JPY,CNY,HKD"</formula1>
      <formula2>0</formula2>
    </dataValidation>
    <dataValidation type="list" allowBlank="1" sqref="C9" xr:uid="{00000000-0002-0000-0000-000002000000}">
      <formula1>"Bijouterie-Joaillerie,Couture Parisienne,Maroquinerie,Horlogerie,Commerce de détail Luxe"</formula1>
      <formula2>0</formula2>
    </dataValidation>
    <dataValidation type="list" allowBlank="1" sqref="C10" xr:uid="{00000000-0002-0000-0000-000003000000}">
      <formula1>"FR,IT,CH,GB,US,JP,HK,DE,ES"</formula1>
      <formula2>0</formula2>
    </dataValidation>
    <dataValidation type="list" allowBlank="1" sqref="C11" xr:uid="{00000000-0002-0000-0000-000004000000}">
      <formula1>"France seul,Multi-pays Europe,Global"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B1:K67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8" customWidth="1"/>
    <col min="3" max="3" width="16" customWidth="1"/>
    <col min="4" max="4" width="6" customWidth="1"/>
    <col min="5" max="5" width="14" customWidth="1"/>
    <col min="6" max="6" width="10" customWidth="1"/>
    <col min="7" max="8" width="14" customWidth="1"/>
    <col min="9" max="9" width="12" customWidth="1"/>
    <col min="10" max="10" width="14" customWidth="1"/>
    <col min="11" max="11" width="8" customWidth="1"/>
  </cols>
  <sheetData>
    <row r="1" spans="2:11" ht="31.5" customHeight="1" x14ac:dyDescent="0.25">
      <c r="B1" s="14" t="s">
        <v>116</v>
      </c>
      <c r="C1" s="14"/>
      <c r="D1" s="14"/>
      <c r="E1" s="14"/>
      <c r="F1" s="14"/>
      <c r="G1" s="14"/>
      <c r="H1" s="14"/>
      <c r="I1" s="14"/>
      <c r="J1" s="14"/>
      <c r="K1" s="14"/>
    </row>
    <row r="2" spans="2:11" ht="15.75" customHeight="1" x14ac:dyDescent="0.25">
      <c r="B2" s="13" t="s">
        <v>117</v>
      </c>
      <c r="C2" s="13"/>
      <c r="D2" s="13"/>
      <c r="E2" s="13"/>
      <c r="F2" s="13"/>
      <c r="G2" s="13"/>
      <c r="H2" s="13"/>
      <c r="I2" s="13"/>
      <c r="J2" s="13"/>
      <c r="K2" s="13"/>
    </row>
    <row r="4" spans="2:11" ht="21.75" customHeight="1" x14ac:dyDescent="0.25">
      <c r="B4" s="12" t="s">
        <v>118</v>
      </c>
      <c r="C4" s="12"/>
      <c r="D4" s="12"/>
      <c r="E4" s="12"/>
      <c r="F4" s="12"/>
      <c r="G4" s="12"/>
      <c r="H4" s="12"/>
      <c r="I4" s="12"/>
      <c r="J4" s="12"/>
      <c r="K4" s="12"/>
    </row>
    <row r="5" spans="2:11" ht="19.5" customHeight="1" x14ac:dyDescent="0.25">
      <c r="B5" s="32" t="s">
        <v>83</v>
      </c>
      <c r="C5" s="17" t="s">
        <v>119</v>
      </c>
      <c r="D5" s="32" t="s">
        <v>120</v>
      </c>
      <c r="E5" s="17" t="s">
        <v>119</v>
      </c>
      <c r="F5" s="32" t="s">
        <v>121</v>
      </c>
      <c r="G5" s="17" t="s">
        <v>119</v>
      </c>
    </row>
    <row r="7" spans="2:11" ht="36" customHeight="1" x14ac:dyDescent="0.25">
      <c r="B7" s="15" t="s">
        <v>122</v>
      </c>
      <c r="C7" s="15" t="s">
        <v>123</v>
      </c>
      <c r="D7" s="15" t="s">
        <v>124</v>
      </c>
      <c r="E7" s="15" t="s">
        <v>83</v>
      </c>
      <c r="F7" s="15" t="s">
        <v>125</v>
      </c>
      <c r="G7" s="15" t="s">
        <v>126</v>
      </c>
      <c r="H7" s="15" t="s">
        <v>127</v>
      </c>
      <c r="I7" s="15" t="s">
        <v>128</v>
      </c>
      <c r="J7" s="15" t="s">
        <v>129</v>
      </c>
      <c r="K7" s="15" t="s">
        <v>130</v>
      </c>
    </row>
    <row r="8" spans="2:11" ht="19.5" customHeight="1" x14ac:dyDescent="0.25">
      <c r="B8" s="33" t="s">
        <v>131</v>
      </c>
      <c r="C8" s="34" t="s">
        <v>132</v>
      </c>
      <c r="D8" s="35" t="s">
        <v>29</v>
      </c>
      <c r="E8" s="22" t="s">
        <v>86</v>
      </c>
      <c r="F8" s="36">
        <v>28000</v>
      </c>
      <c r="G8" s="37">
        <v>0</v>
      </c>
      <c r="H8" s="38">
        <f t="shared" ref="H8:H39" si="0">F8*(1+G8)</f>
        <v>28000</v>
      </c>
      <c r="I8" s="39">
        <f t="shared" ref="I8:I39" si="1">H8</f>
        <v>28000</v>
      </c>
      <c r="J8" s="40">
        <f>IFERROR(F8/25000,1)</f>
        <v>1.1200000000000001</v>
      </c>
      <c r="K8" s="41" t="str">
        <f t="shared" ref="K8:K39" si="2">IF(J8&gt;1.1,"🔴 Surpayé",IF(J8&gt;=0.95,"🟢 Dans cible",IF(J8&gt;=0.85,"🟡 Sous-payé léger","🔴 Risque rétention")))</f>
        <v>🔴 Surpayé</v>
      </c>
    </row>
    <row r="9" spans="2:11" ht="19.5" customHeight="1" x14ac:dyDescent="0.25">
      <c r="B9" s="33" t="s">
        <v>131</v>
      </c>
      <c r="C9" s="34" t="s">
        <v>132</v>
      </c>
      <c r="D9" s="35" t="s">
        <v>33</v>
      </c>
      <c r="E9" s="22" t="s">
        <v>86</v>
      </c>
      <c r="F9" s="36">
        <v>38000</v>
      </c>
      <c r="G9" s="37">
        <v>0.05</v>
      </c>
      <c r="H9" s="38">
        <f t="shared" si="0"/>
        <v>39900</v>
      </c>
      <c r="I9" s="39">
        <f t="shared" si="1"/>
        <v>39900</v>
      </c>
      <c r="J9" s="40">
        <f>IFERROR(F9/38000,1)</f>
        <v>1</v>
      </c>
      <c r="K9" s="41" t="str">
        <f t="shared" si="2"/>
        <v>🟢 Dans cible</v>
      </c>
    </row>
    <row r="10" spans="2:11" ht="19.5" customHeight="1" x14ac:dyDescent="0.25">
      <c r="B10" s="33" t="s">
        <v>131</v>
      </c>
      <c r="C10" s="34" t="s">
        <v>132</v>
      </c>
      <c r="D10" s="35" t="s">
        <v>37</v>
      </c>
      <c r="E10" s="22" t="s">
        <v>86</v>
      </c>
      <c r="F10" s="36">
        <v>48000</v>
      </c>
      <c r="G10" s="37">
        <v>0.08</v>
      </c>
      <c r="H10" s="38">
        <f t="shared" si="0"/>
        <v>51840</v>
      </c>
      <c r="I10" s="39">
        <f t="shared" si="1"/>
        <v>51840</v>
      </c>
      <c r="J10" s="40">
        <f>IFERROR(F10/50000,1)</f>
        <v>0.96</v>
      </c>
      <c r="K10" s="41" t="str">
        <f t="shared" si="2"/>
        <v>🟢 Dans cible</v>
      </c>
    </row>
    <row r="11" spans="2:11" ht="19.5" customHeight="1" x14ac:dyDescent="0.25">
      <c r="B11" s="33" t="s">
        <v>131</v>
      </c>
      <c r="C11" s="34" t="s">
        <v>132</v>
      </c>
      <c r="D11" s="35" t="s">
        <v>41</v>
      </c>
      <c r="E11" s="22" t="s">
        <v>86</v>
      </c>
      <c r="F11" s="36">
        <v>62000</v>
      </c>
      <c r="G11" s="37">
        <v>0.1</v>
      </c>
      <c r="H11" s="38">
        <f t="shared" si="0"/>
        <v>68200</v>
      </c>
      <c r="I11" s="39">
        <f t="shared" si="1"/>
        <v>68200</v>
      </c>
      <c r="J11" s="40">
        <f>IFERROR(F11/60000,1)</f>
        <v>1.0333333333333334</v>
      </c>
      <c r="K11" s="41" t="str">
        <f t="shared" si="2"/>
        <v>🟢 Dans cible</v>
      </c>
    </row>
    <row r="12" spans="2:11" ht="19.5" customHeight="1" x14ac:dyDescent="0.25">
      <c r="B12" s="33" t="s">
        <v>131</v>
      </c>
      <c r="C12" s="34" t="s">
        <v>132</v>
      </c>
      <c r="D12" s="35" t="s">
        <v>45</v>
      </c>
      <c r="E12" s="22" t="s">
        <v>86</v>
      </c>
      <c r="F12" s="36">
        <v>82000</v>
      </c>
      <c r="G12" s="37">
        <v>0.12</v>
      </c>
      <c r="H12" s="38">
        <f t="shared" si="0"/>
        <v>91840.000000000015</v>
      </c>
      <c r="I12" s="39">
        <f t="shared" si="1"/>
        <v>91840.000000000015</v>
      </c>
      <c r="J12" s="40">
        <f>IFERROR(F12/80000,1)</f>
        <v>1.0249999999999999</v>
      </c>
      <c r="K12" s="41" t="str">
        <f t="shared" si="2"/>
        <v>🟢 Dans cible</v>
      </c>
    </row>
    <row r="13" spans="2:11" ht="19.5" customHeight="1" x14ac:dyDescent="0.25">
      <c r="B13" s="33" t="s">
        <v>131</v>
      </c>
      <c r="C13" s="34" t="s">
        <v>132</v>
      </c>
      <c r="D13" s="35" t="s">
        <v>33</v>
      </c>
      <c r="E13" s="22" t="s">
        <v>90</v>
      </c>
      <c r="F13" s="36">
        <v>34500</v>
      </c>
      <c r="G13" s="37">
        <v>0.05</v>
      </c>
      <c r="H13" s="38">
        <f t="shared" si="0"/>
        <v>36225</v>
      </c>
      <c r="I13" s="39">
        <f t="shared" si="1"/>
        <v>36225</v>
      </c>
      <c r="J13" s="40">
        <f>IFERROR(F13/33000,1)</f>
        <v>1.0454545454545454</v>
      </c>
      <c r="K13" s="41" t="str">
        <f t="shared" si="2"/>
        <v>🟢 Dans cible</v>
      </c>
    </row>
    <row r="14" spans="2:11" ht="19.5" customHeight="1" x14ac:dyDescent="0.25">
      <c r="B14" s="33" t="s">
        <v>131</v>
      </c>
      <c r="C14" s="34" t="s">
        <v>132</v>
      </c>
      <c r="D14" s="35" t="s">
        <v>37</v>
      </c>
      <c r="E14" s="22" t="s">
        <v>90</v>
      </c>
      <c r="F14" s="36">
        <v>44000</v>
      </c>
      <c r="G14" s="37">
        <v>0.08</v>
      </c>
      <c r="H14" s="38">
        <f t="shared" si="0"/>
        <v>47520</v>
      </c>
      <c r="I14" s="39">
        <f t="shared" si="1"/>
        <v>47520</v>
      </c>
      <c r="J14" s="40">
        <f>IFERROR(F14/44000,1)</f>
        <v>1</v>
      </c>
      <c r="K14" s="41" t="str">
        <f t="shared" si="2"/>
        <v>🟢 Dans cible</v>
      </c>
    </row>
    <row r="15" spans="2:11" ht="19.5" customHeight="1" x14ac:dyDescent="0.25">
      <c r="B15" s="33" t="s">
        <v>131</v>
      </c>
      <c r="C15" s="34" t="s">
        <v>132</v>
      </c>
      <c r="D15" s="35" t="s">
        <v>41</v>
      </c>
      <c r="E15" s="22" t="s">
        <v>90</v>
      </c>
      <c r="F15" s="36">
        <v>56000</v>
      </c>
      <c r="G15" s="37">
        <v>0.1</v>
      </c>
      <c r="H15" s="38">
        <f t="shared" si="0"/>
        <v>61600.000000000007</v>
      </c>
      <c r="I15" s="39">
        <f t="shared" si="1"/>
        <v>61600.000000000007</v>
      </c>
      <c r="J15" s="40">
        <f>IFERROR(F15/56000,1)</f>
        <v>1</v>
      </c>
      <c r="K15" s="41" t="str">
        <f t="shared" si="2"/>
        <v>🟢 Dans cible</v>
      </c>
    </row>
    <row r="16" spans="2:11" ht="19.5" customHeight="1" x14ac:dyDescent="0.25">
      <c r="B16" s="33" t="s">
        <v>131</v>
      </c>
      <c r="C16" s="34" t="s">
        <v>132</v>
      </c>
      <c r="D16" s="35" t="s">
        <v>33</v>
      </c>
      <c r="E16" s="22" t="s">
        <v>93</v>
      </c>
      <c r="F16" s="36">
        <v>62000</v>
      </c>
      <c r="G16" s="37">
        <v>0.08</v>
      </c>
      <c r="H16" s="38">
        <f t="shared" si="0"/>
        <v>66960</v>
      </c>
      <c r="I16" s="39">
        <f t="shared" si="1"/>
        <v>66960</v>
      </c>
      <c r="J16" s="40">
        <f>IFERROR(F16/64000,1)</f>
        <v>0.96875</v>
      </c>
      <c r="K16" s="41" t="str">
        <f t="shared" si="2"/>
        <v>🟢 Dans cible</v>
      </c>
    </row>
    <row r="17" spans="2:11" ht="19.5" customHeight="1" x14ac:dyDescent="0.25">
      <c r="B17" s="33" t="s">
        <v>131</v>
      </c>
      <c r="C17" s="34" t="s">
        <v>132</v>
      </c>
      <c r="D17" s="35" t="s">
        <v>37</v>
      </c>
      <c r="E17" s="22" t="s">
        <v>93</v>
      </c>
      <c r="F17" s="36">
        <v>78000</v>
      </c>
      <c r="G17" s="37">
        <v>0.1</v>
      </c>
      <c r="H17" s="38">
        <f t="shared" si="0"/>
        <v>85800</v>
      </c>
      <c r="I17" s="39">
        <f t="shared" si="1"/>
        <v>85800</v>
      </c>
      <c r="J17" s="40">
        <f>IFERROR(F17/82000,1)</f>
        <v>0.95121951219512191</v>
      </c>
      <c r="K17" s="41" t="str">
        <f t="shared" si="2"/>
        <v>🟢 Dans cible</v>
      </c>
    </row>
    <row r="18" spans="2:11" ht="19.5" customHeight="1" x14ac:dyDescent="0.25">
      <c r="B18" s="33" t="s">
        <v>131</v>
      </c>
      <c r="C18" s="34" t="s">
        <v>132</v>
      </c>
      <c r="D18" s="35" t="s">
        <v>41</v>
      </c>
      <c r="E18" s="22" t="s">
        <v>93</v>
      </c>
      <c r="F18" s="36">
        <v>98000</v>
      </c>
      <c r="G18" s="37">
        <v>0.12</v>
      </c>
      <c r="H18" s="38">
        <f t="shared" si="0"/>
        <v>109760.00000000001</v>
      </c>
      <c r="I18" s="39">
        <f t="shared" si="1"/>
        <v>109760.00000000001</v>
      </c>
      <c r="J18" s="40">
        <f>IFERROR(F18/100000,1)</f>
        <v>0.98</v>
      </c>
      <c r="K18" s="41" t="str">
        <f t="shared" si="2"/>
        <v>🟢 Dans cible</v>
      </c>
    </row>
    <row r="19" spans="2:11" ht="19.5" customHeight="1" x14ac:dyDescent="0.25">
      <c r="B19" s="33" t="s">
        <v>133</v>
      </c>
      <c r="C19" s="25" t="s">
        <v>134</v>
      </c>
      <c r="D19" s="35" t="s">
        <v>33</v>
      </c>
      <c r="E19" s="22" t="s">
        <v>86</v>
      </c>
      <c r="F19" s="36">
        <v>44000</v>
      </c>
      <c r="G19" s="37">
        <v>0.05</v>
      </c>
      <c r="H19" s="38">
        <f t="shared" si="0"/>
        <v>46200</v>
      </c>
      <c r="I19" s="39">
        <f t="shared" si="1"/>
        <v>46200</v>
      </c>
      <c r="J19" s="40">
        <f>IFERROR(F19/44000,1)</f>
        <v>1</v>
      </c>
      <c r="K19" s="41" t="str">
        <f t="shared" si="2"/>
        <v>🟢 Dans cible</v>
      </c>
    </row>
    <row r="20" spans="2:11" ht="19.5" customHeight="1" x14ac:dyDescent="0.25">
      <c r="B20" s="33" t="s">
        <v>133</v>
      </c>
      <c r="C20" s="25" t="s">
        <v>134</v>
      </c>
      <c r="D20" s="35" t="s">
        <v>37</v>
      </c>
      <c r="E20" s="22" t="s">
        <v>86</v>
      </c>
      <c r="F20" s="36">
        <v>56000</v>
      </c>
      <c r="G20" s="37">
        <v>0.08</v>
      </c>
      <c r="H20" s="38">
        <f t="shared" si="0"/>
        <v>60480.000000000007</v>
      </c>
      <c r="I20" s="39">
        <f t="shared" si="1"/>
        <v>60480.000000000007</v>
      </c>
      <c r="J20" s="40">
        <f>IFERROR(F20/58000,1)</f>
        <v>0.96551724137931039</v>
      </c>
      <c r="K20" s="41" t="str">
        <f t="shared" si="2"/>
        <v>🟢 Dans cible</v>
      </c>
    </row>
    <row r="21" spans="2:11" ht="19.5" customHeight="1" x14ac:dyDescent="0.25">
      <c r="B21" s="33" t="s">
        <v>133</v>
      </c>
      <c r="C21" s="25" t="s">
        <v>134</v>
      </c>
      <c r="D21" s="35" t="s">
        <v>41</v>
      </c>
      <c r="E21" s="22" t="s">
        <v>86</v>
      </c>
      <c r="F21" s="36">
        <v>72000</v>
      </c>
      <c r="G21" s="37">
        <v>0.1</v>
      </c>
      <c r="H21" s="38">
        <f t="shared" si="0"/>
        <v>79200</v>
      </c>
      <c r="I21" s="39">
        <f t="shared" si="1"/>
        <v>79200</v>
      </c>
      <c r="J21" s="40">
        <f>IFERROR(F21/74000,1)</f>
        <v>0.97297297297297303</v>
      </c>
      <c r="K21" s="41" t="str">
        <f t="shared" si="2"/>
        <v>🟢 Dans cible</v>
      </c>
    </row>
    <row r="22" spans="2:11" ht="19.5" customHeight="1" x14ac:dyDescent="0.25">
      <c r="B22" s="33" t="s">
        <v>133</v>
      </c>
      <c r="C22" s="25" t="s">
        <v>134</v>
      </c>
      <c r="D22" s="35" t="s">
        <v>45</v>
      </c>
      <c r="E22" s="22" t="s">
        <v>86</v>
      </c>
      <c r="F22" s="36">
        <v>95000</v>
      </c>
      <c r="G22" s="37">
        <v>0.12</v>
      </c>
      <c r="H22" s="38">
        <f t="shared" si="0"/>
        <v>106400.00000000001</v>
      </c>
      <c r="I22" s="39">
        <f t="shared" si="1"/>
        <v>106400.00000000001</v>
      </c>
      <c r="J22" s="40">
        <f>IFERROR(F22/97000,1)</f>
        <v>0.97938144329896903</v>
      </c>
      <c r="K22" s="41" t="str">
        <f t="shared" si="2"/>
        <v>🟢 Dans cible</v>
      </c>
    </row>
    <row r="23" spans="2:11" ht="19.5" customHeight="1" x14ac:dyDescent="0.25">
      <c r="B23" s="33" t="s">
        <v>133</v>
      </c>
      <c r="C23" s="25" t="s">
        <v>134</v>
      </c>
      <c r="D23" s="35" t="s">
        <v>37</v>
      </c>
      <c r="E23" s="22" t="s">
        <v>93</v>
      </c>
      <c r="F23" s="36">
        <v>88000</v>
      </c>
      <c r="G23" s="37">
        <v>0.1</v>
      </c>
      <c r="H23" s="38">
        <f t="shared" si="0"/>
        <v>96800.000000000015</v>
      </c>
      <c r="I23" s="39">
        <f t="shared" si="1"/>
        <v>96800.000000000015</v>
      </c>
      <c r="J23" s="40">
        <f>IFERROR(F23/90000,1)</f>
        <v>0.97777777777777775</v>
      </c>
      <c r="K23" s="41" t="str">
        <f t="shared" si="2"/>
        <v>🟢 Dans cible</v>
      </c>
    </row>
    <row r="24" spans="2:11" ht="19.5" customHeight="1" x14ac:dyDescent="0.25">
      <c r="B24" s="33" t="s">
        <v>133</v>
      </c>
      <c r="C24" s="25" t="s">
        <v>134</v>
      </c>
      <c r="D24" s="35" t="s">
        <v>41</v>
      </c>
      <c r="E24" s="22" t="s">
        <v>93</v>
      </c>
      <c r="F24" s="36">
        <v>115000</v>
      </c>
      <c r="G24" s="37">
        <v>0.12</v>
      </c>
      <c r="H24" s="38">
        <f t="shared" si="0"/>
        <v>128800.00000000001</v>
      </c>
      <c r="I24" s="39">
        <f t="shared" si="1"/>
        <v>128800.00000000001</v>
      </c>
      <c r="J24" s="40">
        <f>IFERROR(F24/118000,1)</f>
        <v>0.97457627118644063</v>
      </c>
      <c r="K24" s="41" t="str">
        <f t="shared" si="2"/>
        <v>🟢 Dans cible</v>
      </c>
    </row>
    <row r="25" spans="2:11" ht="19.5" customHeight="1" x14ac:dyDescent="0.25">
      <c r="B25" s="33" t="s">
        <v>135</v>
      </c>
      <c r="C25" s="25" t="s">
        <v>134</v>
      </c>
      <c r="D25" s="35" t="s">
        <v>41</v>
      </c>
      <c r="E25" s="22" t="s">
        <v>86</v>
      </c>
      <c r="F25" s="36">
        <v>85000</v>
      </c>
      <c r="G25" s="37">
        <v>0.1</v>
      </c>
      <c r="H25" s="38">
        <f t="shared" si="0"/>
        <v>93500.000000000015</v>
      </c>
      <c r="I25" s="39">
        <f t="shared" si="1"/>
        <v>93500.000000000015</v>
      </c>
      <c r="J25" s="40">
        <f>IFERROR(F25/87000,1)</f>
        <v>0.97701149425287359</v>
      </c>
      <c r="K25" s="41" t="str">
        <f t="shared" si="2"/>
        <v>🟢 Dans cible</v>
      </c>
    </row>
    <row r="26" spans="2:11" ht="19.5" customHeight="1" x14ac:dyDescent="0.25">
      <c r="B26" s="33" t="s">
        <v>135</v>
      </c>
      <c r="C26" s="25" t="s">
        <v>134</v>
      </c>
      <c r="D26" s="35" t="s">
        <v>45</v>
      </c>
      <c r="E26" s="22" t="s">
        <v>86</v>
      </c>
      <c r="F26" s="36">
        <v>110000</v>
      </c>
      <c r="G26" s="37">
        <v>0.12</v>
      </c>
      <c r="H26" s="38">
        <f t="shared" si="0"/>
        <v>123200.00000000001</v>
      </c>
      <c r="I26" s="39">
        <f t="shared" si="1"/>
        <v>123200.00000000001</v>
      </c>
      <c r="J26" s="40">
        <f>IFERROR(F26/112000,1)</f>
        <v>0.9821428571428571</v>
      </c>
      <c r="K26" s="41" t="str">
        <f t="shared" si="2"/>
        <v>🟢 Dans cible</v>
      </c>
    </row>
    <row r="27" spans="2:11" ht="19.5" customHeight="1" x14ac:dyDescent="0.25">
      <c r="B27" s="33" t="s">
        <v>135</v>
      </c>
      <c r="C27" s="25" t="s">
        <v>134</v>
      </c>
      <c r="D27" s="35" t="s">
        <v>41</v>
      </c>
      <c r="E27" s="22" t="s">
        <v>93</v>
      </c>
      <c r="F27" s="36">
        <v>130000</v>
      </c>
      <c r="G27" s="37">
        <v>0.12</v>
      </c>
      <c r="H27" s="38">
        <f t="shared" si="0"/>
        <v>145600</v>
      </c>
      <c r="I27" s="39">
        <f t="shared" si="1"/>
        <v>145600</v>
      </c>
      <c r="J27" s="40">
        <f>IFERROR(F27/133000,1)</f>
        <v>0.97744360902255634</v>
      </c>
      <c r="K27" s="41" t="str">
        <f t="shared" si="2"/>
        <v>🟢 Dans cible</v>
      </c>
    </row>
    <row r="28" spans="2:11" ht="19.5" customHeight="1" x14ac:dyDescent="0.25">
      <c r="B28" s="33" t="s">
        <v>136</v>
      </c>
      <c r="C28" s="25" t="s">
        <v>134</v>
      </c>
      <c r="D28" s="35" t="s">
        <v>41</v>
      </c>
      <c r="E28" s="22" t="s">
        <v>93</v>
      </c>
      <c r="F28" s="36">
        <v>135000</v>
      </c>
      <c r="G28" s="37">
        <v>0.12</v>
      </c>
      <c r="H28" s="38">
        <f t="shared" si="0"/>
        <v>151200</v>
      </c>
      <c r="I28" s="39">
        <f t="shared" si="1"/>
        <v>151200</v>
      </c>
      <c r="J28" s="40">
        <f>IFERROR(F28/138000,1)</f>
        <v>0.97826086956521741</v>
      </c>
      <c r="K28" s="41" t="str">
        <f t="shared" si="2"/>
        <v>🟢 Dans cible</v>
      </c>
    </row>
    <row r="29" spans="2:11" ht="19.5" customHeight="1" x14ac:dyDescent="0.25">
      <c r="B29" s="33" t="s">
        <v>136</v>
      </c>
      <c r="C29" s="25" t="s">
        <v>134</v>
      </c>
      <c r="D29" s="35" t="s">
        <v>45</v>
      </c>
      <c r="E29" s="22" t="s">
        <v>93</v>
      </c>
      <c r="F29" s="36">
        <v>165000</v>
      </c>
      <c r="G29" s="37">
        <v>0.15</v>
      </c>
      <c r="H29" s="38">
        <f t="shared" si="0"/>
        <v>189749.99999999997</v>
      </c>
      <c r="I29" s="39">
        <f t="shared" si="1"/>
        <v>189749.99999999997</v>
      </c>
      <c r="J29" s="40">
        <f>IFERROR(F29/168000,1)</f>
        <v>0.9821428571428571</v>
      </c>
      <c r="K29" s="41" t="str">
        <f t="shared" si="2"/>
        <v>🟢 Dans cible</v>
      </c>
    </row>
    <row r="30" spans="2:11" ht="19.5" customHeight="1" x14ac:dyDescent="0.25">
      <c r="B30" s="33" t="s">
        <v>137</v>
      </c>
      <c r="C30" s="42" t="s">
        <v>138</v>
      </c>
      <c r="D30" s="35" t="s">
        <v>33</v>
      </c>
      <c r="E30" s="22" t="s">
        <v>93</v>
      </c>
      <c r="F30" s="36">
        <v>68000</v>
      </c>
      <c r="G30" s="37">
        <v>0.08</v>
      </c>
      <c r="H30" s="38">
        <f t="shared" si="0"/>
        <v>73440</v>
      </c>
      <c r="I30" s="39">
        <f t="shared" si="1"/>
        <v>73440</v>
      </c>
      <c r="J30" s="40">
        <f>IFERROR(F30/70000,1)</f>
        <v>0.97142857142857142</v>
      </c>
      <c r="K30" s="41" t="str">
        <f t="shared" si="2"/>
        <v>🟢 Dans cible</v>
      </c>
    </row>
    <row r="31" spans="2:11" ht="19.5" customHeight="1" x14ac:dyDescent="0.25">
      <c r="B31" s="33" t="s">
        <v>137</v>
      </c>
      <c r="C31" s="42" t="s">
        <v>138</v>
      </c>
      <c r="D31" s="35" t="s">
        <v>37</v>
      </c>
      <c r="E31" s="22" t="s">
        <v>93</v>
      </c>
      <c r="F31" s="36">
        <v>88000</v>
      </c>
      <c r="G31" s="37">
        <v>0.1</v>
      </c>
      <c r="H31" s="38">
        <f t="shared" si="0"/>
        <v>96800.000000000015</v>
      </c>
      <c r="I31" s="39">
        <f t="shared" si="1"/>
        <v>96800.000000000015</v>
      </c>
      <c r="J31" s="40">
        <f>IFERROR(F31/90000,1)</f>
        <v>0.97777777777777775</v>
      </c>
      <c r="K31" s="41" t="str">
        <f t="shared" si="2"/>
        <v>🟢 Dans cible</v>
      </c>
    </row>
    <row r="32" spans="2:11" ht="19.5" customHeight="1" x14ac:dyDescent="0.25">
      <c r="B32" s="33" t="s">
        <v>137</v>
      </c>
      <c r="C32" s="42" t="s">
        <v>138</v>
      </c>
      <c r="D32" s="35" t="s">
        <v>41</v>
      </c>
      <c r="E32" s="22" t="s">
        <v>93</v>
      </c>
      <c r="F32" s="36">
        <v>115000</v>
      </c>
      <c r="G32" s="37">
        <v>0.12</v>
      </c>
      <c r="H32" s="38">
        <f t="shared" si="0"/>
        <v>128800.00000000001</v>
      </c>
      <c r="I32" s="39">
        <f t="shared" si="1"/>
        <v>128800.00000000001</v>
      </c>
      <c r="J32" s="40">
        <f>IFERROR(F32/118000,1)</f>
        <v>0.97457627118644063</v>
      </c>
      <c r="K32" s="41" t="str">
        <f t="shared" si="2"/>
        <v>🟢 Dans cible</v>
      </c>
    </row>
    <row r="33" spans="2:11" ht="19.5" customHeight="1" x14ac:dyDescent="0.25">
      <c r="B33" s="33" t="s">
        <v>137</v>
      </c>
      <c r="C33" s="42" t="s">
        <v>138</v>
      </c>
      <c r="D33" s="35" t="s">
        <v>33</v>
      </c>
      <c r="E33" s="22" t="s">
        <v>86</v>
      </c>
      <c r="F33" s="36">
        <v>42000</v>
      </c>
      <c r="G33" s="37">
        <v>0.05</v>
      </c>
      <c r="H33" s="38">
        <f t="shared" si="0"/>
        <v>44100</v>
      </c>
      <c r="I33" s="39">
        <f t="shared" si="1"/>
        <v>44100</v>
      </c>
      <c r="J33" s="40">
        <f>IFERROR(F33/43000,1)</f>
        <v>0.97674418604651159</v>
      </c>
      <c r="K33" s="41" t="str">
        <f t="shared" si="2"/>
        <v>🟢 Dans cible</v>
      </c>
    </row>
    <row r="34" spans="2:11" ht="19.5" customHeight="1" x14ac:dyDescent="0.25">
      <c r="B34" s="33" t="s">
        <v>137</v>
      </c>
      <c r="C34" s="42" t="s">
        <v>138</v>
      </c>
      <c r="D34" s="35" t="s">
        <v>37</v>
      </c>
      <c r="E34" s="22" t="s">
        <v>86</v>
      </c>
      <c r="F34" s="36">
        <v>54000</v>
      </c>
      <c r="G34" s="37">
        <v>0.08</v>
      </c>
      <c r="H34" s="38">
        <f t="shared" si="0"/>
        <v>58320.000000000007</v>
      </c>
      <c r="I34" s="39">
        <f t="shared" si="1"/>
        <v>58320.000000000007</v>
      </c>
      <c r="J34" s="40">
        <f>IFERROR(F34/55000,1)</f>
        <v>0.98181818181818181</v>
      </c>
      <c r="K34" s="41" t="str">
        <f t="shared" si="2"/>
        <v>🟢 Dans cible</v>
      </c>
    </row>
    <row r="35" spans="2:11" ht="19.5" customHeight="1" x14ac:dyDescent="0.25">
      <c r="B35" s="33" t="s">
        <v>139</v>
      </c>
      <c r="C35" s="42" t="s">
        <v>138</v>
      </c>
      <c r="D35" s="35" t="s">
        <v>41</v>
      </c>
      <c r="E35" s="22" t="s">
        <v>93</v>
      </c>
      <c r="F35" s="36">
        <v>140000</v>
      </c>
      <c r="G35" s="37">
        <v>0.12</v>
      </c>
      <c r="H35" s="38">
        <f t="shared" si="0"/>
        <v>156800.00000000003</v>
      </c>
      <c r="I35" s="39">
        <f t="shared" si="1"/>
        <v>156800.00000000003</v>
      </c>
      <c r="J35" s="40">
        <f>IFERROR(F35/143000,1)</f>
        <v>0.97902097902097907</v>
      </c>
      <c r="K35" s="41" t="str">
        <f t="shared" si="2"/>
        <v>🟢 Dans cible</v>
      </c>
    </row>
    <row r="36" spans="2:11" ht="19.5" customHeight="1" x14ac:dyDescent="0.25">
      <c r="B36" s="33" t="s">
        <v>139</v>
      </c>
      <c r="C36" s="42" t="s">
        <v>138</v>
      </c>
      <c r="D36" s="35" t="s">
        <v>45</v>
      </c>
      <c r="E36" s="22" t="s">
        <v>93</v>
      </c>
      <c r="F36" s="36">
        <v>175000</v>
      </c>
      <c r="G36" s="37">
        <v>0.15</v>
      </c>
      <c r="H36" s="38">
        <f t="shared" si="0"/>
        <v>201249.99999999997</v>
      </c>
      <c r="I36" s="39">
        <f t="shared" si="1"/>
        <v>201249.99999999997</v>
      </c>
      <c r="J36" s="40">
        <f>IFERROR(F36/178000,1)</f>
        <v>0.9831460674157303</v>
      </c>
      <c r="K36" s="41" t="str">
        <f t="shared" si="2"/>
        <v>🟢 Dans cible</v>
      </c>
    </row>
    <row r="37" spans="2:11" ht="19.5" customHeight="1" x14ac:dyDescent="0.25">
      <c r="B37" s="33" t="s">
        <v>140</v>
      </c>
      <c r="C37" s="43" t="s">
        <v>141</v>
      </c>
      <c r="D37" s="35" t="s">
        <v>33</v>
      </c>
      <c r="E37" s="22" t="s">
        <v>86</v>
      </c>
      <c r="F37" s="36">
        <v>40000</v>
      </c>
      <c r="G37" s="37">
        <v>0.05</v>
      </c>
      <c r="H37" s="38">
        <f t="shared" si="0"/>
        <v>42000</v>
      </c>
      <c r="I37" s="39">
        <f t="shared" si="1"/>
        <v>42000</v>
      </c>
      <c r="J37" s="40">
        <f>IFERROR(F37/40000,1)</f>
        <v>1</v>
      </c>
      <c r="K37" s="41" t="str">
        <f t="shared" si="2"/>
        <v>🟢 Dans cible</v>
      </c>
    </row>
    <row r="38" spans="2:11" ht="19.5" customHeight="1" x14ac:dyDescent="0.25">
      <c r="B38" s="33" t="s">
        <v>140</v>
      </c>
      <c r="C38" s="43" t="s">
        <v>141</v>
      </c>
      <c r="D38" s="35" t="s">
        <v>37</v>
      </c>
      <c r="E38" s="22" t="s">
        <v>86</v>
      </c>
      <c r="F38" s="36">
        <v>52000</v>
      </c>
      <c r="G38" s="37">
        <v>0.08</v>
      </c>
      <c r="H38" s="38">
        <f t="shared" si="0"/>
        <v>56160.000000000007</v>
      </c>
      <c r="I38" s="39">
        <f t="shared" si="1"/>
        <v>56160.000000000007</v>
      </c>
      <c r="J38" s="40">
        <f>IFERROR(F38/54000,1)</f>
        <v>0.96296296296296291</v>
      </c>
      <c r="K38" s="41" t="str">
        <f t="shared" si="2"/>
        <v>🟢 Dans cible</v>
      </c>
    </row>
    <row r="39" spans="2:11" ht="19.5" customHeight="1" x14ac:dyDescent="0.25">
      <c r="B39" s="33" t="s">
        <v>140</v>
      </c>
      <c r="C39" s="43" t="s">
        <v>141</v>
      </c>
      <c r="D39" s="35" t="s">
        <v>41</v>
      </c>
      <c r="E39" s="22" t="s">
        <v>86</v>
      </c>
      <c r="F39" s="36">
        <v>68000</v>
      </c>
      <c r="G39" s="37">
        <v>0.1</v>
      </c>
      <c r="H39" s="38">
        <f t="shared" si="0"/>
        <v>74800</v>
      </c>
      <c r="I39" s="39">
        <f t="shared" si="1"/>
        <v>74800</v>
      </c>
      <c r="J39" s="40">
        <f>IFERROR(F39/70000,1)</f>
        <v>0.97142857142857142</v>
      </c>
      <c r="K39" s="41" t="str">
        <f t="shared" si="2"/>
        <v>🟢 Dans cible</v>
      </c>
    </row>
    <row r="40" spans="2:11" ht="19.5" customHeight="1" x14ac:dyDescent="0.25">
      <c r="B40" s="33" t="s">
        <v>140</v>
      </c>
      <c r="C40" s="43" t="s">
        <v>141</v>
      </c>
      <c r="D40" s="35" t="s">
        <v>45</v>
      </c>
      <c r="E40" s="22" t="s">
        <v>86</v>
      </c>
      <c r="F40" s="36">
        <v>90000</v>
      </c>
      <c r="G40" s="37">
        <v>0.12</v>
      </c>
      <c r="H40" s="38">
        <f t="shared" ref="H40:H71" si="3">F40*(1+G40)</f>
        <v>100800.00000000001</v>
      </c>
      <c r="I40" s="39">
        <f t="shared" ref="I40:I71" si="4">H40</f>
        <v>100800.00000000001</v>
      </c>
      <c r="J40" s="40">
        <f>IFERROR(F40/92000,1)</f>
        <v>0.97826086956521741</v>
      </c>
      <c r="K40" s="41" t="str">
        <f t="shared" ref="K40:K71" si="5">IF(J40&gt;1.1,"🔴 Surpayé",IF(J40&gt;=0.95,"🟢 Dans cible",IF(J40&gt;=0.85,"🟡 Sous-payé léger","🔴 Risque rétention")))</f>
        <v>🟢 Dans cible</v>
      </c>
    </row>
    <row r="41" spans="2:11" ht="19.5" customHeight="1" x14ac:dyDescent="0.25">
      <c r="B41" s="33" t="s">
        <v>142</v>
      </c>
      <c r="C41" s="43" t="s">
        <v>141</v>
      </c>
      <c r="D41" s="35" t="s">
        <v>41</v>
      </c>
      <c r="E41" s="22" t="s">
        <v>86</v>
      </c>
      <c r="F41" s="36">
        <v>78000</v>
      </c>
      <c r="G41" s="37">
        <v>0.1</v>
      </c>
      <c r="H41" s="38">
        <f t="shared" si="3"/>
        <v>85800</v>
      </c>
      <c r="I41" s="39">
        <f t="shared" si="4"/>
        <v>85800</v>
      </c>
      <c r="J41" s="40">
        <f>IFERROR(F41/80000,1)</f>
        <v>0.97499999999999998</v>
      </c>
      <c r="K41" s="41" t="str">
        <f t="shared" si="5"/>
        <v>🟢 Dans cible</v>
      </c>
    </row>
    <row r="42" spans="2:11" ht="19.5" customHeight="1" x14ac:dyDescent="0.25">
      <c r="B42" s="33" t="s">
        <v>142</v>
      </c>
      <c r="C42" s="43" t="s">
        <v>141</v>
      </c>
      <c r="D42" s="35" t="s">
        <v>45</v>
      </c>
      <c r="E42" s="22" t="s">
        <v>86</v>
      </c>
      <c r="F42" s="36">
        <v>105000</v>
      </c>
      <c r="G42" s="37">
        <v>0.12</v>
      </c>
      <c r="H42" s="38">
        <f t="shared" si="3"/>
        <v>117600.00000000001</v>
      </c>
      <c r="I42" s="39">
        <f t="shared" si="4"/>
        <v>117600.00000000001</v>
      </c>
      <c r="J42" s="40">
        <f>IFERROR(F42/107000,1)</f>
        <v>0.98130841121495327</v>
      </c>
      <c r="K42" s="41" t="str">
        <f t="shared" si="5"/>
        <v>🟢 Dans cible</v>
      </c>
    </row>
    <row r="43" spans="2:11" ht="19.5" customHeight="1" x14ac:dyDescent="0.25">
      <c r="B43" s="33" t="s">
        <v>143</v>
      </c>
      <c r="C43" s="43" t="s">
        <v>141</v>
      </c>
      <c r="D43" s="35" t="s">
        <v>33</v>
      </c>
      <c r="E43" s="22" t="s">
        <v>86</v>
      </c>
      <c r="F43" s="36">
        <v>36000</v>
      </c>
      <c r="G43" s="37">
        <v>0.05</v>
      </c>
      <c r="H43" s="38">
        <f t="shared" si="3"/>
        <v>37800</v>
      </c>
      <c r="I43" s="39">
        <f t="shared" si="4"/>
        <v>37800</v>
      </c>
      <c r="J43" s="40">
        <f>IFERROR(F43/35000,1)</f>
        <v>1.0285714285714285</v>
      </c>
      <c r="K43" s="41" t="str">
        <f t="shared" si="5"/>
        <v>🟢 Dans cible</v>
      </c>
    </row>
    <row r="44" spans="2:11" ht="19.5" customHeight="1" x14ac:dyDescent="0.25">
      <c r="B44" s="33" t="s">
        <v>143</v>
      </c>
      <c r="C44" s="43" t="s">
        <v>141</v>
      </c>
      <c r="D44" s="35" t="s">
        <v>37</v>
      </c>
      <c r="E44" s="22" t="s">
        <v>86</v>
      </c>
      <c r="F44" s="36">
        <v>46000</v>
      </c>
      <c r="G44" s="37">
        <v>0.08</v>
      </c>
      <c r="H44" s="38">
        <f t="shared" si="3"/>
        <v>49680</v>
      </c>
      <c r="I44" s="39">
        <f t="shared" si="4"/>
        <v>49680</v>
      </c>
      <c r="J44" s="40">
        <f>IFERROR(F44/47000,1)</f>
        <v>0.97872340425531912</v>
      </c>
      <c r="K44" s="41" t="str">
        <f t="shared" si="5"/>
        <v>🟢 Dans cible</v>
      </c>
    </row>
    <row r="45" spans="2:11" ht="19.5" customHeight="1" x14ac:dyDescent="0.25">
      <c r="B45" s="33" t="s">
        <v>144</v>
      </c>
      <c r="C45" s="44" t="s">
        <v>145</v>
      </c>
      <c r="D45" s="35" t="s">
        <v>41</v>
      </c>
      <c r="E45" s="22" t="s">
        <v>86</v>
      </c>
      <c r="F45" s="36">
        <v>85000</v>
      </c>
      <c r="G45" s="37">
        <v>0.12</v>
      </c>
      <c r="H45" s="38">
        <f t="shared" si="3"/>
        <v>95200.000000000015</v>
      </c>
      <c r="I45" s="39">
        <f t="shared" si="4"/>
        <v>95200.000000000015</v>
      </c>
      <c r="J45" s="40">
        <f>IFERROR(F45/88000,1)</f>
        <v>0.96590909090909094</v>
      </c>
      <c r="K45" s="41" t="str">
        <f t="shared" si="5"/>
        <v>🟢 Dans cible</v>
      </c>
    </row>
    <row r="46" spans="2:11" ht="19.5" customHeight="1" x14ac:dyDescent="0.25">
      <c r="B46" s="33" t="s">
        <v>144</v>
      </c>
      <c r="C46" s="44" t="s">
        <v>145</v>
      </c>
      <c r="D46" s="35" t="s">
        <v>45</v>
      </c>
      <c r="E46" s="22" t="s">
        <v>86</v>
      </c>
      <c r="F46" s="36">
        <v>120000</v>
      </c>
      <c r="G46" s="37">
        <v>0.15</v>
      </c>
      <c r="H46" s="38">
        <f t="shared" si="3"/>
        <v>138000</v>
      </c>
      <c r="I46" s="39">
        <f t="shared" si="4"/>
        <v>138000</v>
      </c>
      <c r="J46" s="40">
        <f>IFERROR(F46/123000,1)</f>
        <v>0.97560975609756095</v>
      </c>
      <c r="K46" s="41" t="str">
        <f t="shared" si="5"/>
        <v>🟢 Dans cible</v>
      </c>
    </row>
    <row r="47" spans="2:11" ht="19.5" customHeight="1" x14ac:dyDescent="0.25">
      <c r="B47" s="33" t="s">
        <v>144</v>
      </c>
      <c r="C47" s="44" t="s">
        <v>145</v>
      </c>
      <c r="D47" s="35" t="s">
        <v>49</v>
      </c>
      <c r="E47" s="22" t="s">
        <v>86</v>
      </c>
      <c r="F47" s="36">
        <v>180000</v>
      </c>
      <c r="G47" s="37">
        <v>0.2</v>
      </c>
      <c r="H47" s="38">
        <f t="shared" si="3"/>
        <v>216000</v>
      </c>
      <c r="I47" s="39">
        <f t="shared" si="4"/>
        <v>216000</v>
      </c>
      <c r="J47" s="40">
        <f>IFERROR(F47/185000,1)</f>
        <v>0.97297297297297303</v>
      </c>
      <c r="K47" s="41" t="str">
        <f t="shared" si="5"/>
        <v>🟢 Dans cible</v>
      </c>
    </row>
    <row r="48" spans="2:11" ht="19.5" customHeight="1" x14ac:dyDescent="0.25">
      <c r="B48" s="33" t="s">
        <v>144</v>
      </c>
      <c r="C48" s="44" t="s">
        <v>145</v>
      </c>
      <c r="D48" s="35" t="s">
        <v>45</v>
      </c>
      <c r="E48" s="22" t="s">
        <v>93</v>
      </c>
      <c r="F48" s="36">
        <v>170000</v>
      </c>
      <c r="G48" s="37">
        <v>0.15</v>
      </c>
      <c r="H48" s="38">
        <f t="shared" si="3"/>
        <v>195499.99999999997</v>
      </c>
      <c r="I48" s="39">
        <f t="shared" si="4"/>
        <v>195499.99999999997</v>
      </c>
      <c r="J48" s="40">
        <f>IFERROR(F48/173000,1)</f>
        <v>0.98265895953757221</v>
      </c>
      <c r="K48" s="41" t="str">
        <f t="shared" si="5"/>
        <v>🟢 Dans cible</v>
      </c>
    </row>
    <row r="49" spans="2:11" ht="19.5" customHeight="1" x14ac:dyDescent="0.25">
      <c r="B49" s="33" t="s">
        <v>146</v>
      </c>
      <c r="C49" s="45" t="s">
        <v>147</v>
      </c>
      <c r="D49" s="35" t="s">
        <v>33</v>
      </c>
      <c r="E49" s="22" t="s">
        <v>86</v>
      </c>
      <c r="F49" s="36">
        <v>34000</v>
      </c>
      <c r="G49" s="37">
        <v>0.05</v>
      </c>
      <c r="H49" s="38">
        <f t="shared" si="3"/>
        <v>35700</v>
      </c>
      <c r="I49" s="39">
        <f t="shared" si="4"/>
        <v>35700</v>
      </c>
      <c r="J49" s="40">
        <f>IFERROR(F49/33000,1)</f>
        <v>1.0303030303030303</v>
      </c>
      <c r="K49" s="41" t="str">
        <f t="shared" si="5"/>
        <v>🟢 Dans cible</v>
      </c>
    </row>
    <row r="50" spans="2:11" ht="19.5" customHeight="1" x14ac:dyDescent="0.25">
      <c r="B50" s="33" t="s">
        <v>146</v>
      </c>
      <c r="C50" s="45" t="s">
        <v>147</v>
      </c>
      <c r="D50" s="35" t="s">
        <v>37</v>
      </c>
      <c r="E50" s="22" t="s">
        <v>86</v>
      </c>
      <c r="F50" s="36">
        <v>44000</v>
      </c>
      <c r="G50" s="37">
        <v>0.08</v>
      </c>
      <c r="H50" s="38">
        <f t="shared" si="3"/>
        <v>47520</v>
      </c>
      <c r="I50" s="39">
        <f t="shared" si="4"/>
        <v>47520</v>
      </c>
      <c r="J50" s="40">
        <f>IFERROR(F50/44000,1)</f>
        <v>1</v>
      </c>
      <c r="K50" s="41" t="str">
        <f t="shared" si="5"/>
        <v>🟢 Dans cible</v>
      </c>
    </row>
    <row r="51" spans="2:11" ht="19.5" customHeight="1" x14ac:dyDescent="0.25">
      <c r="B51" s="33" t="s">
        <v>146</v>
      </c>
      <c r="C51" s="45" t="s">
        <v>147</v>
      </c>
      <c r="D51" s="35" t="s">
        <v>41</v>
      </c>
      <c r="E51" s="22" t="s">
        <v>86</v>
      </c>
      <c r="F51" s="36">
        <v>58000</v>
      </c>
      <c r="G51" s="37">
        <v>0.1</v>
      </c>
      <c r="H51" s="38">
        <f t="shared" si="3"/>
        <v>63800.000000000007</v>
      </c>
      <c r="I51" s="39">
        <f t="shared" si="4"/>
        <v>63800.000000000007</v>
      </c>
      <c r="J51" s="40">
        <f>IFERROR(F51/59000,1)</f>
        <v>0.98305084745762716</v>
      </c>
      <c r="K51" s="41" t="str">
        <f t="shared" si="5"/>
        <v>🟢 Dans cible</v>
      </c>
    </row>
    <row r="52" spans="2:11" ht="19.5" customHeight="1" x14ac:dyDescent="0.25">
      <c r="B52" s="33" t="s">
        <v>148</v>
      </c>
      <c r="C52" s="21" t="s">
        <v>149</v>
      </c>
      <c r="D52" s="35" t="s">
        <v>53</v>
      </c>
      <c r="E52" s="22" t="s">
        <v>86</v>
      </c>
      <c r="F52" s="36">
        <v>65000</v>
      </c>
      <c r="G52" s="37">
        <v>0.15</v>
      </c>
      <c r="H52" s="38">
        <f t="shared" si="3"/>
        <v>74750</v>
      </c>
      <c r="I52" s="39">
        <f t="shared" si="4"/>
        <v>74750</v>
      </c>
      <c r="J52" s="40">
        <f>IFERROR(F52/67000,1)</f>
        <v>0.97014925373134331</v>
      </c>
      <c r="K52" s="41" t="str">
        <f t="shared" si="5"/>
        <v>🟢 Dans cible</v>
      </c>
    </row>
    <row r="53" spans="2:11" ht="19.5" customHeight="1" x14ac:dyDescent="0.25">
      <c r="B53" s="33" t="s">
        <v>148</v>
      </c>
      <c r="C53" s="21" t="s">
        <v>149</v>
      </c>
      <c r="D53" s="35" t="s">
        <v>57</v>
      </c>
      <c r="E53" s="22" t="s">
        <v>86</v>
      </c>
      <c r="F53" s="36">
        <v>95000</v>
      </c>
      <c r="G53" s="37">
        <v>0.2</v>
      </c>
      <c r="H53" s="38">
        <f t="shared" si="3"/>
        <v>114000</v>
      </c>
      <c r="I53" s="39">
        <f t="shared" si="4"/>
        <v>114000</v>
      </c>
      <c r="J53" s="40">
        <f>IFERROR(F53/97000,1)</f>
        <v>0.97938144329896903</v>
      </c>
      <c r="K53" s="41" t="str">
        <f t="shared" si="5"/>
        <v>🟢 Dans cible</v>
      </c>
    </row>
    <row r="54" spans="2:11" ht="19.5" customHeight="1" x14ac:dyDescent="0.25">
      <c r="B54" s="33" t="s">
        <v>148</v>
      </c>
      <c r="C54" s="21" t="s">
        <v>149</v>
      </c>
      <c r="D54" s="35" t="s">
        <v>61</v>
      </c>
      <c r="E54" s="22" t="s">
        <v>86</v>
      </c>
      <c r="F54" s="36">
        <v>140000</v>
      </c>
      <c r="G54" s="37">
        <v>0.25</v>
      </c>
      <c r="H54" s="38">
        <f t="shared" si="3"/>
        <v>175000</v>
      </c>
      <c r="I54" s="39">
        <f t="shared" si="4"/>
        <v>175000</v>
      </c>
      <c r="J54" s="40">
        <f>IFERROR(F54/143000,1)</f>
        <v>0.97902097902097907</v>
      </c>
      <c r="K54" s="41" t="str">
        <f t="shared" si="5"/>
        <v>🟢 Dans cible</v>
      </c>
    </row>
    <row r="55" spans="2:11" ht="19.5" customHeight="1" x14ac:dyDescent="0.25">
      <c r="B55" s="33" t="s">
        <v>148</v>
      </c>
      <c r="C55" s="21" t="s">
        <v>149</v>
      </c>
      <c r="D55" s="35" t="s">
        <v>65</v>
      </c>
      <c r="E55" s="22" t="s">
        <v>86</v>
      </c>
      <c r="F55" s="36">
        <v>220000</v>
      </c>
      <c r="G55" s="37">
        <v>0.35</v>
      </c>
      <c r="H55" s="38">
        <f t="shared" si="3"/>
        <v>297000</v>
      </c>
      <c r="I55" s="39">
        <f t="shared" si="4"/>
        <v>297000</v>
      </c>
      <c r="J55" s="40">
        <f>IFERROR(F55/225000,1)</f>
        <v>0.97777777777777775</v>
      </c>
      <c r="K55" s="41" t="str">
        <f t="shared" si="5"/>
        <v>🟢 Dans cible</v>
      </c>
    </row>
    <row r="56" spans="2:11" ht="19.5" customHeight="1" x14ac:dyDescent="0.25">
      <c r="B56" s="33" t="s">
        <v>148</v>
      </c>
      <c r="C56" s="21" t="s">
        <v>149</v>
      </c>
      <c r="D56" s="35" t="s">
        <v>57</v>
      </c>
      <c r="E56" s="22" t="s">
        <v>93</v>
      </c>
      <c r="F56" s="36">
        <v>145000</v>
      </c>
      <c r="G56" s="37">
        <v>0.2</v>
      </c>
      <c r="H56" s="38">
        <f t="shared" si="3"/>
        <v>174000</v>
      </c>
      <c r="I56" s="39">
        <f t="shared" si="4"/>
        <v>174000</v>
      </c>
      <c r="J56" s="40">
        <f>IFERROR(F56/148000,1)</f>
        <v>0.97972972972972971</v>
      </c>
      <c r="K56" s="41" t="str">
        <f t="shared" si="5"/>
        <v>🟢 Dans cible</v>
      </c>
    </row>
    <row r="57" spans="2:11" ht="19.5" customHeight="1" x14ac:dyDescent="0.25">
      <c r="B57" s="33" t="s">
        <v>148</v>
      </c>
      <c r="C57" s="21" t="s">
        <v>149</v>
      </c>
      <c r="D57" s="35" t="s">
        <v>61</v>
      </c>
      <c r="E57" s="22" t="s">
        <v>93</v>
      </c>
      <c r="F57" s="36">
        <v>210000</v>
      </c>
      <c r="G57" s="37">
        <v>0.25</v>
      </c>
      <c r="H57" s="38">
        <f t="shared" si="3"/>
        <v>262500</v>
      </c>
      <c r="I57" s="39">
        <f t="shared" si="4"/>
        <v>262500</v>
      </c>
      <c r="J57" s="40">
        <f>IFERROR(F57/213000,1)</f>
        <v>0.9859154929577465</v>
      </c>
      <c r="K57" s="41" t="str">
        <f t="shared" si="5"/>
        <v>🟢 Dans cible</v>
      </c>
    </row>
    <row r="58" spans="2:11" ht="19.5" customHeight="1" x14ac:dyDescent="0.25">
      <c r="B58" s="33" t="s">
        <v>148</v>
      </c>
      <c r="C58" s="21" t="s">
        <v>149</v>
      </c>
      <c r="D58" s="35" t="s">
        <v>65</v>
      </c>
      <c r="E58" s="22" t="s">
        <v>93</v>
      </c>
      <c r="F58" s="36">
        <v>320000</v>
      </c>
      <c r="G58" s="37">
        <v>0.35</v>
      </c>
      <c r="H58" s="38">
        <f t="shared" si="3"/>
        <v>432000</v>
      </c>
      <c r="I58" s="39">
        <f t="shared" si="4"/>
        <v>432000</v>
      </c>
      <c r="J58" s="40">
        <f>IFERROR(F58/325000,1)</f>
        <v>0.98461538461538467</v>
      </c>
      <c r="K58" s="41" t="str">
        <f t="shared" si="5"/>
        <v>🟢 Dans cible</v>
      </c>
    </row>
    <row r="59" spans="2:11" ht="21.75" customHeight="1" x14ac:dyDescent="0.25">
      <c r="B59" s="9" t="s">
        <v>150</v>
      </c>
      <c r="C59" s="9"/>
      <c r="D59" s="9"/>
      <c r="E59" s="9"/>
      <c r="F59" s="46">
        <f>AVERAGE(F8:F58)</f>
        <v>94284.313725490196</v>
      </c>
      <c r="G59" s="47"/>
      <c r="H59" s="47"/>
      <c r="I59" s="47"/>
      <c r="J59" s="48">
        <f>IFERROR(AVERAGE(J8:J58),"—")</f>
        <v>0.98703621932994634</v>
      </c>
      <c r="K59" s="47"/>
    </row>
    <row r="61" spans="2:11" ht="21.75" customHeight="1" x14ac:dyDescent="0.25">
      <c r="B61" s="12" t="s">
        <v>151</v>
      </c>
      <c r="C61" s="12"/>
      <c r="D61" s="12"/>
      <c r="E61" s="12"/>
      <c r="F61" s="12"/>
      <c r="G61" s="12"/>
      <c r="H61" s="12"/>
      <c r="I61" s="12"/>
      <c r="J61" s="12"/>
      <c r="K61" s="12"/>
    </row>
    <row r="62" spans="2:11" ht="18" customHeight="1" x14ac:dyDescent="0.25">
      <c r="B62" s="49" t="s">
        <v>152</v>
      </c>
      <c r="C62" s="8" t="s">
        <v>153</v>
      </c>
      <c r="D62" s="8"/>
      <c r="E62" s="8"/>
      <c r="F62" s="8"/>
      <c r="G62" s="8"/>
      <c r="H62" s="8"/>
      <c r="I62" s="8"/>
      <c r="J62" s="8"/>
      <c r="K62" s="8"/>
    </row>
    <row r="63" spans="2:11" ht="18" customHeight="1" x14ac:dyDescent="0.25">
      <c r="B63" s="50" t="s">
        <v>154</v>
      </c>
      <c r="C63" s="8" t="s">
        <v>155</v>
      </c>
      <c r="D63" s="8"/>
      <c r="E63" s="8"/>
      <c r="F63" s="8"/>
      <c r="G63" s="8"/>
      <c r="H63" s="8"/>
      <c r="I63" s="8"/>
      <c r="J63" s="8"/>
      <c r="K63" s="8"/>
    </row>
    <row r="64" spans="2:11" ht="18" customHeight="1" x14ac:dyDescent="0.25">
      <c r="B64" s="51" t="s">
        <v>156</v>
      </c>
      <c r="C64" s="8" t="s">
        <v>157</v>
      </c>
      <c r="D64" s="8"/>
      <c r="E64" s="8"/>
      <c r="F64" s="8"/>
      <c r="G64" s="8"/>
      <c r="H64" s="8"/>
      <c r="I64" s="8"/>
      <c r="J64" s="8"/>
      <c r="K64" s="8"/>
    </row>
    <row r="65" spans="2:11" ht="18" customHeight="1" x14ac:dyDescent="0.25">
      <c r="B65" s="49" t="s">
        <v>158</v>
      </c>
      <c r="C65" s="8" t="s">
        <v>159</v>
      </c>
      <c r="D65" s="8"/>
      <c r="E65" s="8"/>
      <c r="F65" s="8"/>
      <c r="G65" s="8"/>
      <c r="H65" s="8"/>
      <c r="I65" s="8"/>
      <c r="J65" s="8"/>
      <c r="K65" s="8"/>
    </row>
    <row r="67" spans="2:11" ht="21.75" customHeight="1" x14ac:dyDescent="0.25">
      <c r="B67" s="10" t="s">
        <v>115</v>
      </c>
      <c r="C67" s="10"/>
      <c r="D67" s="10"/>
      <c r="E67" s="10"/>
      <c r="F67" s="10"/>
      <c r="G67" s="10"/>
      <c r="H67" s="10"/>
      <c r="I67" s="10"/>
      <c r="J67" s="10"/>
      <c r="K67" s="10"/>
    </row>
  </sheetData>
  <autoFilter ref="B7:K58" xr:uid="{00000000-0009-0000-0000-000001000000}"/>
  <mergeCells count="10">
    <mergeCell ref="C62:K62"/>
    <mergeCell ref="C63:K63"/>
    <mergeCell ref="C64:K64"/>
    <mergeCell ref="C65:K65"/>
    <mergeCell ref="B67:K67"/>
    <mergeCell ref="B1:K1"/>
    <mergeCell ref="B2:K2"/>
    <mergeCell ref="B4:K4"/>
    <mergeCell ref="B59:E59"/>
    <mergeCell ref="B61:K61"/>
  </mergeCells>
  <conditionalFormatting sqref="J8:J58">
    <cfRule type="expression" dxfId="33" priority="2">
      <formula>J8&gt;1.1</formula>
    </cfRule>
    <cfRule type="expression" dxfId="32" priority="3">
      <formula>AND(J8&gt;=0.95,J8&lt;=1.1)</formula>
    </cfRule>
    <cfRule type="expression" dxfId="31" priority="4">
      <formula>AND(J8&gt;=0.85,J8&lt;0.95)</formula>
    </cfRule>
    <cfRule type="expression" dxfId="30" priority="5">
      <formula>J8&lt;0.85</formula>
    </cfRule>
  </conditionalFormatting>
  <conditionalFormatting sqref="K8:K58">
    <cfRule type="expression" dxfId="29" priority="6">
      <formula>LEFT(K8,2)="🟢"</formula>
    </cfRule>
    <cfRule type="expression" dxfId="28" priority="7">
      <formula>LEFT(K8,2)="🟡"</formula>
    </cfRule>
    <cfRule type="expression" dxfId="27" priority="8">
      <formula>LEFT(K8,2)="🔴"</formula>
    </cfRule>
  </conditionalFormatting>
  <dataValidations count="3">
    <dataValidation type="list" allowBlank="1" sqref="C5" xr:uid="{00000000-0002-0000-0100-000000000000}">
      <formula1>"Tous,FR,IT,CH,GB,US,JP,HK"</formula1>
      <formula2>0</formula2>
    </dataValidation>
    <dataValidation type="list" allowBlank="1" sqref="E5" xr:uid="{00000000-0002-0000-0100-000001000000}">
      <formula1>"Tous,Maroquinerie,Joaillerie,Horlogerie,Couture,Parfumerie,Textile,Cristallerie"</formula1>
      <formula2>0</formula2>
    </dataValidation>
    <dataValidation type="list" allowBlank="1" sqref="G5" xr:uid="{00000000-0002-0000-0100-000002000000}">
      <formula1>"Tous,N1,N2,N3,N4,N5,N6,N7,M1,M2,M3,M4"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B1:K67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8" customWidth="1"/>
    <col min="3" max="3" width="16" customWidth="1"/>
    <col min="4" max="4" width="6" customWidth="1"/>
    <col min="5" max="5" width="10" customWidth="1"/>
    <col min="6" max="9" width="12" customWidth="1"/>
    <col min="10" max="10" width="10" customWidth="1"/>
    <col min="11" max="11" width="22" customWidth="1"/>
  </cols>
  <sheetData>
    <row r="1" spans="2:11" ht="31.5" customHeight="1" x14ac:dyDescent="0.25">
      <c r="B1" s="14" t="s">
        <v>160</v>
      </c>
      <c r="C1" s="14"/>
      <c r="D1" s="14"/>
      <c r="E1" s="14"/>
      <c r="F1" s="14"/>
      <c r="G1" s="14"/>
      <c r="H1" s="14"/>
      <c r="I1" s="14"/>
      <c r="J1" s="14"/>
      <c r="K1" s="14"/>
    </row>
    <row r="2" spans="2:11" ht="15.75" customHeight="1" x14ac:dyDescent="0.25">
      <c r="B2" s="13" t="s">
        <v>161</v>
      </c>
      <c r="C2" s="13"/>
      <c r="D2" s="13"/>
      <c r="E2" s="13"/>
      <c r="F2" s="13"/>
      <c r="G2" s="13"/>
      <c r="H2" s="13"/>
      <c r="I2" s="13"/>
      <c r="J2" s="13"/>
      <c r="K2" s="13"/>
    </row>
    <row r="4" spans="2:11" ht="21.75" customHeight="1" x14ac:dyDescent="0.25">
      <c r="B4" s="12" t="s">
        <v>162</v>
      </c>
      <c r="C4" s="12"/>
      <c r="D4" s="12"/>
      <c r="E4" s="12"/>
      <c r="F4" s="12"/>
      <c r="G4" s="12"/>
      <c r="H4" s="12"/>
      <c r="I4" s="12"/>
      <c r="J4" s="12"/>
      <c r="K4" s="12"/>
    </row>
    <row r="5" spans="2:11" ht="19.5" customHeight="1" x14ac:dyDescent="0.25">
      <c r="B5" s="32" t="s">
        <v>163</v>
      </c>
      <c r="C5" s="17" t="s">
        <v>131</v>
      </c>
      <c r="D5" s="32" t="s">
        <v>83</v>
      </c>
      <c r="E5" s="17" t="s">
        <v>86</v>
      </c>
      <c r="F5" s="32" t="s">
        <v>164</v>
      </c>
      <c r="G5" s="17">
        <v>2026</v>
      </c>
    </row>
    <row r="7" spans="2:11" ht="36" customHeight="1" x14ac:dyDescent="0.25">
      <c r="B7" s="15" t="s">
        <v>122</v>
      </c>
      <c r="C7" s="15" t="s">
        <v>123</v>
      </c>
      <c r="D7" s="15" t="s">
        <v>124</v>
      </c>
      <c r="E7" s="15" t="s">
        <v>83</v>
      </c>
      <c r="F7" s="15" t="s">
        <v>165</v>
      </c>
      <c r="G7" s="15" t="s">
        <v>166</v>
      </c>
      <c r="H7" s="15" t="s">
        <v>167</v>
      </c>
      <c r="I7" s="15" t="s">
        <v>168</v>
      </c>
      <c r="J7" s="15" t="s">
        <v>169</v>
      </c>
      <c r="K7" s="15" t="s">
        <v>170</v>
      </c>
    </row>
    <row r="8" spans="2:11" ht="19.5" customHeight="1" x14ac:dyDescent="0.25">
      <c r="B8" s="33" t="s">
        <v>131</v>
      </c>
      <c r="C8" s="34" t="s">
        <v>132</v>
      </c>
      <c r="D8" s="35" t="s">
        <v>29</v>
      </c>
      <c r="E8" s="22" t="s">
        <v>86</v>
      </c>
      <c r="F8" s="52">
        <v>22000</v>
      </c>
      <c r="G8" s="53">
        <v>25000</v>
      </c>
      <c r="H8" s="54">
        <v>30000</v>
      </c>
      <c r="I8" s="55">
        <v>36000</v>
      </c>
      <c r="J8" s="56" t="s">
        <v>171</v>
      </c>
      <c r="K8" s="57" t="s">
        <v>172</v>
      </c>
    </row>
    <row r="9" spans="2:11" ht="19.5" customHeight="1" x14ac:dyDescent="0.25">
      <c r="B9" s="33" t="s">
        <v>131</v>
      </c>
      <c r="C9" s="34" t="s">
        <v>132</v>
      </c>
      <c r="D9" s="35" t="s">
        <v>33</v>
      </c>
      <c r="E9" s="22" t="s">
        <v>86</v>
      </c>
      <c r="F9" s="52">
        <v>32000</v>
      </c>
      <c r="G9" s="53">
        <v>38000</v>
      </c>
      <c r="H9" s="54">
        <v>44000</v>
      </c>
      <c r="I9" s="55">
        <v>52000</v>
      </c>
      <c r="J9" s="56" t="s">
        <v>173</v>
      </c>
      <c r="K9" s="57" t="s">
        <v>172</v>
      </c>
    </row>
    <row r="10" spans="2:11" ht="19.5" customHeight="1" x14ac:dyDescent="0.25">
      <c r="B10" s="33" t="s">
        <v>131</v>
      </c>
      <c r="C10" s="34" t="s">
        <v>132</v>
      </c>
      <c r="D10" s="35" t="s">
        <v>37</v>
      </c>
      <c r="E10" s="22" t="s">
        <v>86</v>
      </c>
      <c r="F10" s="52">
        <v>42000</v>
      </c>
      <c r="G10" s="53">
        <v>50000</v>
      </c>
      <c r="H10" s="54">
        <v>58000</v>
      </c>
      <c r="I10" s="55">
        <v>68000</v>
      </c>
      <c r="J10" s="56" t="s">
        <v>174</v>
      </c>
      <c r="K10" s="57" t="s">
        <v>175</v>
      </c>
    </row>
    <row r="11" spans="2:11" ht="19.5" customHeight="1" x14ac:dyDescent="0.25">
      <c r="B11" s="33" t="s">
        <v>131</v>
      </c>
      <c r="C11" s="34" t="s">
        <v>132</v>
      </c>
      <c r="D11" s="35" t="s">
        <v>41</v>
      </c>
      <c r="E11" s="22" t="s">
        <v>86</v>
      </c>
      <c r="F11" s="52">
        <v>52000</v>
      </c>
      <c r="G11" s="53">
        <v>62000</v>
      </c>
      <c r="H11" s="54">
        <v>74000</v>
      </c>
      <c r="I11" s="55">
        <v>88000</v>
      </c>
      <c r="J11" s="56" t="s">
        <v>176</v>
      </c>
      <c r="K11" s="57" t="s">
        <v>177</v>
      </c>
    </row>
    <row r="12" spans="2:11" ht="19.5" customHeight="1" x14ac:dyDescent="0.25">
      <c r="B12" s="33" t="s">
        <v>131</v>
      </c>
      <c r="C12" s="34" t="s">
        <v>132</v>
      </c>
      <c r="D12" s="35" t="s">
        <v>45</v>
      </c>
      <c r="E12" s="22" t="s">
        <v>86</v>
      </c>
      <c r="F12" s="52">
        <v>66000</v>
      </c>
      <c r="G12" s="53">
        <v>80000</v>
      </c>
      <c r="H12" s="54">
        <v>96000</v>
      </c>
      <c r="I12" s="55">
        <v>115000</v>
      </c>
      <c r="J12" s="56" t="s">
        <v>178</v>
      </c>
      <c r="K12" s="57" t="s">
        <v>177</v>
      </c>
    </row>
    <row r="13" spans="2:11" ht="19.5" customHeight="1" x14ac:dyDescent="0.25">
      <c r="B13" s="33" t="s">
        <v>131</v>
      </c>
      <c r="C13" s="34" t="s">
        <v>132</v>
      </c>
      <c r="D13" s="35" t="s">
        <v>33</v>
      </c>
      <c r="E13" s="22" t="s">
        <v>90</v>
      </c>
      <c r="F13" s="52">
        <v>27000</v>
      </c>
      <c r="G13" s="53">
        <v>33000</v>
      </c>
      <c r="H13" s="54">
        <v>39000</v>
      </c>
      <c r="I13" s="55">
        <v>46000</v>
      </c>
      <c r="J13" s="56" t="s">
        <v>179</v>
      </c>
      <c r="K13" s="57" t="s">
        <v>180</v>
      </c>
    </row>
    <row r="14" spans="2:11" ht="19.5" customHeight="1" x14ac:dyDescent="0.25">
      <c r="B14" s="33" t="s">
        <v>131</v>
      </c>
      <c r="C14" s="34" t="s">
        <v>132</v>
      </c>
      <c r="D14" s="35" t="s">
        <v>37</v>
      </c>
      <c r="E14" s="22" t="s">
        <v>90</v>
      </c>
      <c r="F14" s="52">
        <v>36000</v>
      </c>
      <c r="G14" s="53">
        <v>44000</v>
      </c>
      <c r="H14" s="54">
        <v>52000</v>
      </c>
      <c r="I14" s="55">
        <v>62000</v>
      </c>
      <c r="J14" s="56" t="s">
        <v>181</v>
      </c>
      <c r="K14" s="57" t="s">
        <v>180</v>
      </c>
    </row>
    <row r="15" spans="2:11" ht="19.5" customHeight="1" x14ac:dyDescent="0.25">
      <c r="B15" s="33" t="s">
        <v>131</v>
      </c>
      <c r="C15" s="34" t="s">
        <v>132</v>
      </c>
      <c r="D15" s="35" t="s">
        <v>41</v>
      </c>
      <c r="E15" s="22" t="s">
        <v>90</v>
      </c>
      <c r="F15" s="52">
        <v>46000</v>
      </c>
      <c r="G15" s="53">
        <v>56000</v>
      </c>
      <c r="H15" s="54">
        <v>66000</v>
      </c>
      <c r="I15" s="55">
        <v>78000</v>
      </c>
      <c r="J15" s="56" t="s">
        <v>182</v>
      </c>
      <c r="K15" s="57" t="s">
        <v>183</v>
      </c>
    </row>
    <row r="16" spans="2:11" ht="19.5" customHeight="1" x14ac:dyDescent="0.25">
      <c r="B16" s="33" t="s">
        <v>131</v>
      </c>
      <c r="C16" s="34" t="s">
        <v>132</v>
      </c>
      <c r="D16" s="35" t="s">
        <v>33</v>
      </c>
      <c r="E16" s="22" t="s">
        <v>93</v>
      </c>
      <c r="F16" s="52">
        <v>55000</v>
      </c>
      <c r="G16" s="53">
        <v>64000</v>
      </c>
      <c r="H16" s="54">
        <v>75000</v>
      </c>
      <c r="I16" s="55">
        <v>88000</v>
      </c>
      <c r="J16" s="56" t="s">
        <v>184</v>
      </c>
      <c r="K16" s="57" t="s">
        <v>185</v>
      </c>
    </row>
    <row r="17" spans="2:11" ht="19.5" customHeight="1" x14ac:dyDescent="0.25">
      <c r="B17" s="33" t="s">
        <v>131</v>
      </c>
      <c r="C17" s="34" t="s">
        <v>132</v>
      </c>
      <c r="D17" s="35" t="s">
        <v>37</v>
      </c>
      <c r="E17" s="22" t="s">
        <v>93</v>
      </c>
      <c r="F17" s="52">
        <v>70000</v>
      </c>
      <c r="G17" s="53">
        <v>82000</v>
      </c>
      <c r="H17" s="54">
        <v>96000</v>
      </c>
      <c r="I17" s="55">
        <v>112000</v>
      </c>
      <c r="J17" s="56" t="s">
        <v>176</v>
      </c>
      <c r="K17" s="57" t="s">
        <v>185</v>
      </c>
    </row>
    <row r="18" spans="2:11" ht="19.5" customHeight="1" x14ac:dyDescent="0.25">
      <c r="B18" s="33" t="s">
        <v>131</v>
      </c>
      <c r="C18" s="34" t="s">
        <v>132</v>
      </c>
      <c r="D18" s="35" t="s">
        <v>41</v>
      </c>
      <c r="E18" s="22" t="s">
        <v>93</v>
      </c>
      <c r="F18" s="52">
        <v>85000</v>
      </c>
      <c r="G18" s="53">
        <v>100000</v>
      </c>
      <c r="H18" s="54">
        <v>118000</v>
      </c>
      <c r="I18" s="55">
        <v>138000</v>
      </c>
      <c r="J18" s="56" t="s">
        <v>178</v>
      </c>
      <c r="K18" s="57" t="s">
        <v>186</v>
      </c>
    </row>
    <row r="19" spans="2:11" ht="19.5" customHeight="1" x14ac:dyDescent="0.25">
      <c r="B19" s="33" t="s">
        <v>133</v>
      </c>
      <c r="C19" s="25" t="s">
        <v>134</v>
      </c>
      <c r="D19" s="35" t="s">
        <v>33</v>
      </c>
      <c r="E19" s="22" t="s">
        <v>86</v>
      </c>
      <c r="F19" s="52">
        <v>36000</v>
      </c>
      <c r="G19" s="53">
        <v>44000</v>
      </c>
      <c r="H19" s="54">
        <v>52000</v>
      </c>
      <c r="I19" s="55">
        <v>62000</v>
      </c>
      <c r="J19" s="56" t="s">
        <v>187</v>
      </c>
      <c r="K19" s="57" t="s">
        <v>188</v>
      </c>
    </row>
    <row r="20" spans="2:11" ht="19.5" customHeight="1" x14ac:dyDescent="0.25">
      <c r="B20" s="33" t="s">
        <v>133</v>
      </c>
      <c r="C20" s="25" t="s">
        <v>134</v>
      </c>
      <c r="D20" s="35" t="s">
        <v>37</v>
      </c>
      <c r="E20" s="22" t="s">
        <v>86</v>
      </c>
      <c r="F20" s="52">
        <v>48000</v>
      </c>
      <c r="G20" s="53">
        <v>58000</v>
      </c>
      <c r="H20" s="54">
        <v>70000</v>
      </c>
      <c r="I20" s="55">
        <v>84000</v>
      </c>
      <c r="J20" s="56" t="s">
        <v>178</v>
      </c>
      <c r="K20" s="57" t="s">
        <v>189</v>
      </c>
    </row>
    <row r="21" spans="2:11" ht="19.5" customHeight="1" x14ac:dyDescent="0.25">
      <c r="B21" s="33" t="s">
        <v>133</v>
      </c>
      <c r="C21" s="25" t="s">
        <v>134</v>
      </c>
      <c r="D21" s="35" t="s">
        <v>41</v>
      </c>
      <c r="E21" s="22" t="s">
        <v>86</v>
      </c>
      <c r="F21" s="52">
        <v>62000</v>
      </c>
      <c r="G21" s="53">
        <v>74000</v>
      </c>
      <c r="H21" s="54">
        <v>90000</v>
      </c>
      <c r="I21" s="55">
        <v>108000</v>
      </c>
      <c r="J21" s="56" t="s">
        <v>190</v>
      </c>
      <c r="K21" s="57" t="s">
        <v>191</v>
      </c>
    </row>
    <row r="22" spans="2:11" ht="19.5" customHeight="1" x14ac:dyDescent="0.25">
      <c r="B22" s="33" t="s">
        <v>133</v>
      </c>
      <c r="C22" s="25" t="s">
        <v>134</v>
      </c>
      <c r="D22" s="35" t="s">
        <v>45</v>
      </c>
      <c r="E22" s="22" t="s">
        <v>86</v>
      </c>
      <c r="F22" s="52">
        <v>80000</v>
      </c>
      <c r="G22" s="53">
        <v>97000</v>
      </c>
      <c r="H22" s="54">
        <v>118000</v>
      </c>
      <c r="I22" s="55">
        <v>142000</v>
      </c>
      <c r="J22" s="56" t="s">
        <v>192</v>
      </c>
      <c r="K22" s="57" t="s">
        <v>193</v>
      </c>
    </row>
    <row r="23" spans="2:11" ht="19.5" customHeight="1" x14ac:dyDescent="0.25">
      <c r="B23" s="33" t="s">
        <v>133</v>
      </c>
      <c r="C23" s="25" t="s">
        <v>134</v>
      </c>
      <c r="D23" s="35" t="s">
        <v>37</v>
      </c>
      <c r="E23" s="22" t="s">
        <v>93</v>
      </c>
      <c r="F23" s="52">
        <v>76000</v>
      </c>
      <c r="G23" s="53">
        <v>90000</v>
      </c>
      <c r="H23" s="54">
        <v>107000</v>
      </c>
      <c r="I23" s="55">
        <v>126000</v>
      </c>
      <c r="J23" s="56" t="s">
        <v>194</v>
      </c>
      <c r="K23" s="57" t="s">
        <v>195</v>
      </c>
    </row>
    <row r="24" spans="2:11" ht="19.5" customHeight="1" x14ac:dyDescent="0.25">
      <c r="B24" s="33" t="s">
        <v>133</v>
      </c>
      <c r="C24" s="25" t="s">
        <v>134</v>
      </c>
      <c r="D24" s="35" t="s">
        <v>41</v>
      </c>
      <c r="E24" s="22" t="s">
        <v>93</v>
      </c>
      <c r="F24" s="52">
        <v>98000</v>
      </c>
      <c r="G24" s="53">
        <v>118000</v>
      </c>
      <c r="H24" s="54">
        <v>140000</v>
      </c>
      <c r="I24" s="55">
        <v>165000</v>
      </c>
      <c r="J24" s="56" t="s">
        <v>196</v>
      </c>
      <c r="K24" s="57" t="s">
        <v>186</v>
      </c>
    </row>
    <row r="25" spans="2:11" ht="19.5" customHeight="1" x14ac:dyDescent="0.25">
      <c r="B25" s="33" t="s">
        <v>135</v>
      </c>
      <c r="C25" s="25" t="s">
        <v>134</v>
      </c>
      <c r="D25" s="35" t="s">
        <v>41</v>
      </c>
      <c r="E25" s="22" t="s">
        <v>86</v>
      </c>
      <c r="F25" s="52">
        <v>72000</v>
      </c>
      <c r="G25" s="53">
        <v>87000</v>
      </c>
      <c r="H25" s="54">
        <v>104000</v>
      </c>
      <c r="I25" s="55">
        <v>125000</v>
      </c>
      <c r="J25" s="56" t="s">
        <v>178</v>
      </c>
      <c r="K25" s="57" t="s">
        <v>193</v>
      </c>
    </row>
    <row r="26" spans="2:11" ht="19.5" customHeight="1" x14ac:dyDescent="0.25">
      <c r="B26" s="33" t="s">
        <v>135</v>
      </c>
      <c r="C26" s="25" t="s">
        <v>134</v>
      </c>
      <c r="D26" s="35" t="s">
        <v>45</v>
      </c>
      <c r="E26" s="22" t="s">
        <v>86</v>
      </c>
      <c r="F26" s="52">
        <v>93000</v>
      </c>
      <c r="G26" s="53">
        <v>112000</v>
      </c>
      <c r="H26" s="54">
        <v>136000</v>
      </c>
      <c r="I26" s="55">
        <v>163000</v>
      </c>
      <c r="J26" s="56" t="s">
        <v>190</v>
      </c>
      <c r="K26" s="57" t="s">
        <v>193</v>
      </c>
    </row>
    <row r="27" spans="2:11" ht="19.5" customHeight="1" x14ac:dyDescent="0.25">
      <c r="B27" s="33" t="s">
        <v>135</v>
      </c>
      <c r="C27" s="25" t="s">
        <v>134</v>
      </c>
      <c r="D27" s="35" t="s">
        <v>41</v>
      </c>
      <c r="E27" s="22" t="s">
        <v>93</v>
      </c>
      <c r="F27" s="52">
        <v>112000</v>
      </c>
      <c r="G27" s="53">
        <v>133000</v>
      </c>
      <c r="H27" s="54">
        <v>158000</v>
      </c>
      <c r="I27" s="55">
        <v>188000</v>
      </c>
      <c r="J27" s="56" t="s">
        <v>196</v>
      </c>
      <c r="K27" s="57" t="s">
        <v>197</v>
      </c>
    </row>
    <row r="28" spans="2:11" ht="19.5" customHeight="1" x14ac:dyDescent="0.25">
      <c r="B28" s="33" t="s">
        <v>136</v>
      </c>
      <c r="C28" s="25" t="s">
        <v>134</v>
      </c>
      <c r="D28" s="35" t="s">
        <v>41</v>
      </c>
      <c r="E28" s="22" t="s">
        <v>93</v>
      </c>
      <c r="F28" s="52">
        <v>118000</v>
      </c>
      <c r="G28" s="53">
        <v>138000</v>
      </c>
      <c r="H28" s="54">
        <v>162000</v>
      </c>
      <c r="I28" s="55">
        <v>192000</v>
      </c>
      <c r="J28" s="56" t="s">
        <v>192</v>
      </c>
      <c r="K28" s="57" t="s">
        <v>197</v>
      </c>
    </row>
    <row r="29" spans="2:11" ht="19.5" customHeight="1" x14ac:dyDescent="0.25">
      <c r="B29" s="33" t="s">
        <v>136</v>
      </c>
      <c r="C29" s="25" t="s">
        <v>134</v>
      </c>
      <c r="D29" s="35" t="s">
        <v>45</v>
      </c>
      <c r="E29" s="22" t="s">
        <v>93</v>
      </c>
      <c r="F29" s="52">
        <v>145000</v>
      </c>
      <c r="G29" s="53">
        <v>168000</v>
      </c>
      <c r="H29" s="54">
        <v>198000</v>
      </c>
      <c r="I29" s="55">
        <v>235000</v>
      </c>
      <c r="J29" s="56" t="s">
        <v>198</v>
      </c>
      <c r="K29" s="57" t="s">
        <v>197</v>
      </c>
    </row>
    <row r="30" spans="2:11" ht="19.5" customHeight="1" x14ac:dyDescent="0.25">
      <c r="B30" s="33" t="s">
        <v>137</v>
      </c>
      <c r="C30" s="42" t="s">
        <v>138</v>
      </c>
      <c r="D30" s="35" t="s">
        <v>33</v>
      </c>
      <c r="E30" s="22" t="s">
        <v>86</v>
      </c>
      <c r="F30" s="52">
        <v>36000</v>
      </c>
      <c r="G30" s="53">
        <v>43000</v>
      </c>
      <c r="H30" s="54">
        <v>52000</v>
      </c>
      <c r="I30" s="55">
        <v>62000</v>
      </c>
      <c r="J30" s="56" t="s">
        <v>182</v>
      </c>
      <c r="K30" s="57" t="s">
        <v>199</v>
      </c>
    </row>
    <row r="31" spans="2:11" ht="19.5" customHeight="1" x14ac:dyDescent="0.25">
      <c r="B31" s="33" t="s">
        <v>137</v>
      </c>
      <c r="C31" s="42" t="s">
        <v>138</v>
      </c>
      <c r="D31" s="35" t="s">
        <v>37</v>
      </c>
      <c r="E31" s="22" t="s">
        <v>86</v>
      </c>
      <c r="F31" s="52">
        <v>46000</v>
      </c>
      <c r="G31" s="53">
        <v>55000</v>
      </c>
      <c r="H31" s="54">
        <v>65000</v>
      </c>
      <c r="I31" s="55">
        <v>78000</v>
      </c>
      <c r="J31" s="56" t="s">
        <v>187</v>
      </c>
      <c r="K31" s="57" t="s">
        <v>199</v>
      </c>
    </row>
    <row r="32" spans="2:11" ht="19.5" customHeight="1" x14ac:dyDescent="0.25">
      <c r="B32" s="33" t="s">
        <v>137</v>
      </c>
      <c r="C32" s="42" t="s">
        <v>138</v>
      </c>
      <c r="D32" s="35" t="s">
        <v>33</v>
      </c>
      <c r="E32" s="22" t="s">
        <v>93</v>
      </c>
      <c r="F32" s="52">
        <v>58000</v>
      </c>
      <c r="G32" s="53">
        <v>70000</v>
      </c>
      <c r="H32" s="54">
        <v>84000</v>
      </c>
      <c r="I32" s="55">
        <v>98000</v>
      </c>
      <c r="J32" s="56" t="s">
        <v>176</v>
      </c>
      <c r="K32" s="57" t="s">
        <v>195</v>
      </c>
    </row>
    <row r="33" spans="2:11" ht="19.5" customHeight="1" x14ac:dyDescent="0.25">
      <c r="B33" s="33" t="s">
        <v>137</v>
      </c>
      <c r="C33" s="42" t="s">
        <v>138</v>
      </c>
      <c r="D33" s="35" t="s">
        <v>37</v>
      </c>
      <c r="E33" s="22" t="s">
        <v>93</v>
      </c>
      <c r="F33" s="52">
        <v>76000</v>
      </c>
      <c r="G33" s="53">
        <v>90000</v>
      </c>
      <c r="H33" s="54">
        <v>107000</v>
      </c>
      <c r="I33" s="55">
        <v>126000</v>
      </c>
      <c r="J33" s="56" t="s">
        <v>178</v>
      </c>
      <c r="K33" s="57" t="s">
        <v>195</v>
      </c>
    </row>
    <row r="34" spans="2:11" ht="19.5" customHeight="1" x14ac:dyDescent="0.25">
      <c r="B34" s="33" t="s">
        <v>137</v>
      </c>
      <c r="C34" s="42" t="s">
        <v>138</v>
      </c>
      <c r="D34" s="35" t="s">
        <v>41</v>
      </c>
      <c r="E34" s="22" t="s">
        <v>93</v>
      </c>
      <c r="F34" s="52">
        <v>98000</v>
      </c>
      <c r="G34" s="53">
        <v>118000</v>
      </c>
      <c r="H34" s="54">
        <v>140000</v>
      </c>
      <c r="I34" s="55">
        <v>165000</v>
      </c>
      <c r="J34" s="56" t="s">
        <v>190</v>
      </c>
      <c r="K34" s="57" t="s">
        <v>186</v>
      </c>
    </row>
    <row r="35" spans="2:11" ht="19.5" customHeight="1" x14ac:dyDescent="0.25">
      <c r="B35" s="33" t="s">
        <v>139</v>
      </c>
      <c r="C35" s="42" t="s">
        <v>138</v>
      </c>
      <c r="D35" s="35" t="s">
        <v>41</v>
      </c>
      <c r="E35" s="22" t="s">
        <v>93</v>
      </c>
      <c r="F35" s="52">
        <v>122000</v>
      </c>
      <c r="G35" s="53">
        <v>143000</v>
      </c>
      <c r="H35" s="54">
        <v>168000</v>
      </c>
      <c r="I35" s="55">
        <v>200000</v>
      </c>
      <c r="J35" s="56" t="s">
        <v>192</v>
      </c>
      <c r="K35" s="57" t="s">
        <v>200</v>
      </c>
    </row>
    <row r="36" spans="2:11" ht="19.5" customHeight="1" x14ac:dyDescent="0.25">
      <c r="B36" s="33" t="s">
        <v>139</v>
      </c>
      <c r="C36" s="42" t="s">
        <v>138</v>
      </c>
      <c r="D36" s="35" t="s">
        <v>45</v>
      </c>
      <c r="E36" s="22" t="s">
        <v>93</v>
      </c>
      <c r="F36" s="52">
        <v>152000</v>
      </c>
      <c r="G36" s="53">
        <v>178000</v>
      </c>
      <c r="H36" s="54">
        <v>210000</v>
      </c>
      <c r="I36" s="55">
        <v>248000</v>
      </c>
      <c r="J36" s="56" t="s">
        <v>198</v>
      </c>
      <c r="K36" s="57" t="s">
        <v>200</v>
      </c>
    </row>
    <row r="37" spans="2:11" ht="19.5" customHeight="1" x14ac:dyDescent="0.25">
      <c r="B37" s="33" t="s">
        <v>140</v>
      </c>
      <c r="C37" s="43" t="s">
        <v>141</v>
      </c>
      <c r="D37" s="35" t="s">
        <v>33</v>
      </c>
      <c r="E37" s="22" t="s">
        <v>86</v>
      </c>
      <c r="F37" s="52">
        <v>33000</v>
      </c>
      <c r="G37" s="53">
        <v>40000</v>
      </c>
      <c r="H37" s="54">
        <v>48000</v>
      </c>
      <c r="I37" s="55">
        <v>58000</v>
      </c>
      <c r="J37" s="56" t="s">
        <v>173</v>
      </c>
      <c r="K37" s="57" t="s">
        <v>201</v>
      </c>
    </row>
    <row r="38" spans="2:11" ht="19.5" customHeight="1" x14ac:dyDescent="0.25">
      <c r="B38" s="33" t="s">
        <v>140</v>
      </c>
      <c r="C38" s="43" t="s">
        <v>141</v>
      </c>
      <c r="D38" s="35" t="s">
        <v>37</v>
      </c>
      <c r="E38" s="22" t="s">
        <v>86</v>
      </c>
      <c r="F38" s="52">
        <v>44000</v>
      </c>
      <c r="G38" s="53">
        <v>54000</v>
      </c>
      <c r="H38" s="54">
        <v>64000</v>
      </c>
      <c r="I38" s="55">
        <v>76000</v>
      </c>
      <c r="J38" s="56" t="s">
        <v>174</v>
      </c>
      <c r="K38" s="57" t="s">
        <v>189</v>
      </c>
    </row>
    <row r="39" spans="2:11" ht="19.5" customHeight="1" x14ac:dyDescent="0.25">
      <c r="B39" s="33" t="s">
        <v>140</v>
      </c>
      <c r="C39" s="43" t="s">
        <v>141</v>
      </c>
      <c r="D39" s="35" t="s">
        <v>41</v>
      </c>
      <c r="E39" s="22" t="s">
        <v>86</v>
      </c>
      <c r="F39" s="52">
        <v>58000</v>
      </c>
      <c r="G39" s="53">
        <v>70000</v>
      </c>
      <c r="H39" s="54">
        <v>84000</v>
      </c>
      <c r="I39" s="55">
        <v>100000</v>
      </c>
      <c r="J39" s="56" t="s">
        <v>176</v>
      </c>
      <c r="K39" s="57" t="s">
        <v>191</v>
      </c>
    </row>
    <row r="40" spans="2:11" ht="19.5" customHeight="1" x14ac:dyDescent="0.25">
      <c r="B40" s="33" t="s">
        <v>140</v>
      </c>
      <c r="C40" s="43" t="s">
        <v>141</v>
      </c>
      <c r="D40" s="35" t="s">
        <v>45</v>
      </c>
      <c r="E40" s="22" t="s">
        <v>86</v>
      </c>
      <c r="F40" s="52">
        <v>76000</v>
      </c>
      <c r="G40" s="53">
        <v>92000</v>
      </c>
      <c r="H40" s="54">
        <v>110000</v>
      </c>
      <c r="I40" s="55">
        <v>132000</v>
      </c>
      <c r="J40" s="56" t="s">
        <v>178</v>
      </c>
      <c r="K40" s="57" t="s">
        <v>193</v>
      </c>
    </row>
    <row r="41" spans="2:11" ht="19.5" customHeight="1" x14ac:dyDescent="0.25">
      <c r="B41" s="33" t="s">
        <v>142</v>
      </c>
      <c r="C41" s="43" t="s">
        <v>141</v>
      </c>
      <c r="D41" s="35" t="s">
        <v>41</v>
      </c>
      <c r="E41" s="22" t="s">
        <v>86</v>
      </c>
      <c r="F41" s="52">
        <v>66000</v>
      </c>
      <c r="G41" s="53">
        <v>80000</v>
      </c>
      <c r="H41" s="54">
        <v>96000</v>
      </c>
      <c r="I41" s="55">
        <v>115000</v>
      </c>
      <c r="J41" s="56" t="s">
        <v>178</v>
      </c>
      <c r="K41" s="57" t="s">
        <v>193</v>
      </c>
    </row>
    <row r="42" spans="2:11" ht="19.5" customHeight="1" x14ac:dyDescent="0.25">
      <c r="B42" s="33" t="s">
        <v>142</v>
      </c>
      <c r="C42" s="43" t="s">
        <v>141</v>
      </c>
      <c r="D42" s="35" t="s">
        <v>45</v>
      </c>
      <c r="E42" s="22" t="s">
        <v>86</v>
      </c>
      <c r="F42" s="52">
        <v>88000</v>
      </c>
      <c r="G42" s="53">
        <v>107000</v>
      </c>
      <c r="H42" s="54">
        <v>128000</v>
      </c>
      <c r="I42" s="55">
        <v>153000</v>
      </c>
      <c r="J42" s="56" t="s">
        <v>190</v>
      </c>
      <c r="K42" s="57" t="s">
        <v>193</v>
      </c>
    </row>
    <row r="43" spans="2:11" ht="19.5" customHeight="1" x14ac:dyDescent="0.25">
      <c r="B43" s="33" t="s">
        <v>143</v>
      </c>
      <c r="C43" s="43" t="s">
        <v>141</v>
      </c>
      <c r="D43" s="35" t="s">
        <v>33</v>
      </c>
      <c r="E43" s="22" t="s">
        <v>86</v>
      </c>
      <c r="F43" s="52">
        <v>28000</v>
      </c>
      <c r="G43" s="53">
        <v>35000</v>
      </c>
      <c r="H43" s="54">
        <v>42000</v>
      </c>
      <c r="I43" s="55">
        <v>50000</v>
      </c>
      <c r="J43" s="56" t="s">
        <v>202</v>
      </c>
      <c r="K43" s="57" t="s">
        <v>201</v>
      </c>
    </row>
    <row r="44" spans="2:11" ht="19.5" customHeight="1" x14ac:dyDescent="0.25">
      <c r="B44" s="33" t="s">
        <v>143</v>
      </c>
      <c r="C44" s="43" t="s">
        <v>141</v>
      </c>
      <c r="D44" s="35" t="s">
        <v>37</v>
      </c>
      <c r="E44" s="22" t="s">
        <v>86</v>
      </c>
      <c r="F44" s="52">
        <v>38000</v>
      </c>
      <c r="G44" s="53">
        <v>47000</v>
      </c>
      <c r="H44" s="54">
        <v>57000</v>
      </c>
      <c r="I44" s="55">
        <v>68000</v>
      </c>
      <c r="J44" s="56" t="s">
        <v>173</v>
      </c>
      <c r="K44" s="57" t="s">
        <v>189</v>
      </c>
    </row>
    <row r="45" spans="2:11" ht="19.5" customHeight="1" x14ac:dyDescent="0.25">
      <c r="B45" s="33" t="s">
        <v>144</v>
      </c>
      <c r="C45" s="44" t="s">
        <v>145</v>
      </c>
      <c r="D45" s="35" t="s">
        <v>41</v>
      </c>
      <c r="E45" s="22" t="s">
        <v>86</v>
      </c>
      <c r="F45" s="52">
        <v>72000</v>
      </c>
      <c r="G45" s="53">
        <v>88000</v>
      </c>
      <c r="H45" s="54">
        <v>106000</v>
      </c>
      <c r="I45" s="55">
        <v>128000</v>
      </c>
      <c r="J45" s="56" t="s">
        <v>190</v>
      </c>
      <c r="K45" s="57" t="s">
        <v>193</v>
      </c>
    </row>
    <row r="46" spans="2:11" ht="19.5" customHeight="1" x14ac:dyDescent="0.25">
      <c r="B46" s="33" t="s">
        <v>144</v>
      </c>
      <c r="C46" s="44" t="s">
        <v>145</v>
      </c>
      <c r="D46" s="35" t="s">
        <v>45</v>
      </c>
      <c r="E46" s="22" t="s">
        <v>86</v>
      </c>
      <c r="F46" s="52">
        <v>97000</v>
      </c>
      <c r="G46" s="53">
        <v>118000</v>
      </c>
      <c r="H46" s="54">
        <v>143000</v>
      </c>
      <c r="I46" s="55">
        <v>172000</v>
      </c>
      <c r="J46" s="56" t="s">
        <v>198</v>
      </c>
      <c r="K46" s="57" t="s">
        <v>193</v>
      </c>
    </row>
    <row r="47" spans="2:11" ht="19.5" customHeight="1" x14ac:dyDescent="0.25">
      <c r="B47" s="33" t="s">
        <v>144</v>
      </c>
      <c r="C47" s="44" t="s">
        <v>145</v>
      </c>
      <c r="D47" s="35" t="s">
        <v>49</v>
      </c>
      <c r="E47" s="22" t="s">
        <v>86</v>
      </c>
      <c r="F47" s="52">
        <v>155000</v>
      </c>
      <c r="G47" s="53">
        <v>185000</v>
      </c>
      <c r="H47" s="54">
        <v>225000</v>
      </c>
      <c r="I47" s="55">
        <v>275000</v>
      </c>
      <c r="J47" s="56" t="s">
        <v>203</v>
      </c>
      <c r="K47" s="57" t="s">
        <v>191</v>
      </c>
    </row>
    <row r="48" spans="2:11" ht="19.5" customHeight="1" x14ac:dyDescent="0.25">
      <c r="B48" s="33" t="s">
        <v>144</v>
      </c>
      <c r="C48" s="44" t="s">
        <v>145</v>
      </c>
      <c r="D48" s="35" t="s">
        <v>45</v>
      </c>
      <c r="E48" s="22" t="s">
        <v>93</v>
      </c>
      <c r="F48" s="52">
        <v>145000</v>
      </c>
      <c r="G48" s="53">
        <v>173000</v>
      </c>
      <c r="H48" s="54">
        <v>208000</v>
      </c>
      <c r="I48" s="55">
        <v>248000</v>
      </c>
      <c r="J48" s="56" t="s">
        <v>204</v>
      </c>
      <c r="K48" s="57" t="s">
        <v>186</v>
      </c>
    </row>
    <row r="49" spans="2:11" ht="19.5" customHeight="1" x14ac:dyDescent="0.25">
      <c r="B49" s="33" t="s">
        <v>146</v>
      </c>
      <c r="C49" s="45" t="s">
        <v>147</v>
      </c>
      <c r="D49" s="35" t="s">
        <v>33</v>
      </c>
      <c r="E49" s="22" t="s">
        <v>86</v>
      </c>
      <c r="F49" s="52">
        <v>27000</v>
      </c>
      <c r="G49" s="53">
        <v>33000</v>
      </c>
      <c r="H49" s="54">
        <v>40000</v>
      </c>
      <c r="I49" s="55">
        <v>48000</v>
      </c>
      <c r="J49" s="56" t="s">
        <v>179</v>
      </c>
      <c r="K49" s="57" t="s">
        <v>201</v>
      </c>
    </row>
    <row r="50" spans="2:11" ht="19.5" customHeight="1" x14ac:dyDescent="0.25">
      <c r="B50" s="33" t="s">
        <v>146</v>
      </c>
      <c r="C50" s="45" t="s">
        <v>147</v>
      </c>
      <c r="D50" s="35" t="s">
        <v>37</v>
      </c>
      <c r="E50" s="22" t="s">
        <v>86</v>
      </c>
      <c r="F50" s="52">
        <v>36000</v>
      </c>
      <c r="G50" s="53">
        <v>44000</v>
      </c>
      <c r="H50" s="54">
        <v>53000</v>
      </c>
      <c r="I50" s="55">
        <v>63000</v>
      </c>
      <c r="J50" s="56" t="s">
        <v>181</v>
      </c>
      <c r="K50" s="57" t="s">
        <v>189</v>
      </c>
    </row>
    <row r="51" spans="2:11" ht="19.5" customHeight="1" x14ac:dyDescent="0.25">
      <c r="B51" s="33" t="s">
        <v>146</v>
      </c>
      <c r="C51" s="45" t="s">
        <v>147</v>
      </c>
      <c r="D51" s="35" t="s">
        <v>41</v>
      </c>
      <c r="E51" s="22" t="s">
        <v>86</v>
      </c>
      <c r="F51" s="52">
        <v>48000</v>
      </c>
      <c r="G51" s="53">
        <v>59000</v>
      </c>
      <c r="H51" s="54">
        <v>70000</v>
      </c>
      <c r="I51" s="55">
        <v>84000</v>
      </c>
      <c r="J51" s="56" t="s">
        <v>182</v>
      </c>
      <c r="K51" s="57" t="s">
        <v>191</v>
      </c>
    </row>
    <row r="52" spans="2:11" ht="19.5" customHeight="1" x14ac:dyDescent="0.25">
      <c r="B52" s="33" t="s">
        <v>148</v>
      </c>
      <c r="C52" s="21" t="s">
        <v>149</v>
      </c>
      <c r="D52" s="35" t="s">
        <v>53</v>
      </c>
      <c r="E52" s="22" t="s">
        <v>86</v>
      </c>
      <c r="F52" s="52">
        <v>55000</v>
      </c>
      <c r="G52" s="53">
        <v>67000</v>
      </c>
      <c r="H52" s="54">
        <v>80000</v>
      </c>
      <c r="I52" s="55">
        <v>96000</v>
      </c>
      <c r="J52" s="56" t="s">
        <v>174</v>
      </c>
      <c r="K52" s="57" t="s">
        <v>205</v>
      </c>
    </row>
    <row r="53" spans="2:11" ht="19.5" customHeight="1" x14ac:dyDescent="0.25">
      <c r="B53" s="33" t="s">
        <v>148</v>
      </c>
      <c r="C53" s="21" t="s">
        <v>149</v>
      </c>
      <c r="D53" s="35" t="s">
        <v>57</v>
      </c>
      <c r="E53" s="22" t="s">
        <v>86</v>
      </c>
      <c r="F53" s="52">
        <v>80000</v>
      </c>
      <c r="G53" s="53">
        <v>97000</v>
      </c>
      <c r="H53" s="54">
        <v>116000</v>
      </c>
      <c r="I53" s="55">
        <v>140000</v>
      </c>
      <c r="J53" s="56" t="s">
        <v>176</v>
      </c>
      <c r="K53" s="57" t="s">
        <v>206</v>
      </c>
    </row>
    <row r="54" spans="2:11" ht="19.5" customHeight="1" x14ac:dyDescent="0.25">
      <c r="B54" s="33" t="s">
        <v>148</v>
      </c>
      <c r="C54" s="21" t="s">
        <v>149</v>
      </c>
      <c r="D54" s="35" t="s">
        <v>61</v>
      </c>
      <c r="E54" s="22" t="s">
        <v>86</v>
      </c>
      <c r="F54" s="52">
        <v>118000</v>
      </c>
      <c r="G54" s="53">
        <v>143000</v>
      </c>
      <c r="H54" s="54">
        <v>172000</v>
      </c>
      <c r="I54" s="55">
        <v>208000</v>
      </c>
      <c r="J54" s="56" t="s">
        <v>178</v>
      </c>
      <c r="K54" s="57" t="s">
        <v>207</v>
      </c>
    </row>
    <row r="55" spans="2:11" ht="19.5" customHeight="1" x14ac:dyDescent="0.25">
      <c r="B55" s="33" t="s">
        <v>148</v>
      </c>
      <c r="C55" s="21" t="s">
        <v>149</v>
      </c>
      <c r="D55" s="35" t="s">
        <v>65</v>
      </c>
      <c r="E55" s="22" t="s">
        <v>86</v>
      </c>
      <c r="F55" s="52">
        <v>185000</v>
      </c>
      <c r="G55" s="53">
        <v>225000</v>
      </c>
      <c r="H55" s="54">
        <v>272000</v>
      </c>
      <c r="I55" s="55">
        <v>330000</v>
      </c>
      <c r="J55" s="56" t="s">
        <v>190</v>
      </c>
      <c r="K55" s="57" t="s">
        <v>207</v>
      </c>
    </row>
    <row r="56" spans="2:11" ht="19.5" customHeight="1" x14ac:dyDescent="0.25">
      <c r="B56" s="33" t="s">
        <v>148</v>
      </c>
      <c r="C56" s="21" t="s">
        <v>149</v>
      </c>
      <c r="D56" s="35" t="s">
        <v>57</v>
      </c>
      <c r="E56" s="22" t="s">
        <v>93</v>
      </c>
      <c r="F56" s="52">
        <v>122000</v>
      </c>
      <c r="G56" s="53">
        <v>148000</v>
      </c>
      <c r="H56" s="54">
        <v>178000</v>
      </c>
      <c r="I56" s="55">
        <v>214000</v>
      </c>
      <c r="J56" s="56" t="s">
        <v>208</v>
      </c>
      <c r="K56" s="57" t="s">
        <v>195</v>
      </c>
    </row>
    <row r="57" spans="2:11" ht="19.5" customHeight="1" x14ac:dyDescent="0.25">
      <c r="B57" s="33" t="s">
        <v>148</v>
      </c>
      <c r="C57" s="21" t="s">
        <v>149</v>
      </c>
      <c r="D57" s="35" t="s">
        <v>61</v>
      </c>
      <c r="E57" s="22" t="s">
        <v>93</v>
      </c>
      <c r="F57" s="52">
        <v>175000</v>
      </c>
      <c r="G57" s="53">
        <v>213000</v>
      </c>
      <c r="H57" s="54">
        <v>256000</v>
      </c>
      <c r="I57" s="55">
        <v>308000</v>
      </c>
      <c r="J57" s="56" t="s">
        <v>194</v>
      </c>
      <c r="K57" s="57" t="s">
        <v>195</v>
      </c>
    </row>
    <row r="58" spans="2:11" ht="19.5" customHeight="1" x14ac:dyDescent="0.25">
      <c r="B58" s="33" t="s">
        <v>148</v>
      </c>
      <c r="C58" s="21" t="s">
        <v>149</v>
      </c>
      <c r="D58" s="35" t="s">
        <v>65</v>
      </c>
      <c r="E58" s="22" t="s">
        <v>93</v>
      </c>
      <c r="F58" s="52">
        <v>268000</v>
      </c>
      <c r="G58" s="53">
        <v>325000</v>
      </c>
      <c r="H58" s="54">
        <v>392000</v>
      </c>
      <c r="I58" s="55">
        <v>472000</v>
      </c>
      <c r="J58" s="56" t="s">
        <v>196</v>
      </c>
      <c r="K58" s="57" t="s">
        <v>209</v>
      </c>
    </row>
    <row r="59" spans="2:11" ht="21.75" customHeight="1" x14ac:dyDescent="0.25">
      <c r="B59" s="9" t="s">
        <v>210</v>
      </c>
      <c r="C59" s="9"/>
      <c r="D59" s="9"/>
      <c r="E59" s="9"/>
      <c r="F59" s="46">
        <f>AVERAGE(F8:F58)</f>
        <v>79901.96078431372</v>
      </c>
      <c r="G59" s="46">
        <f>AVERAGE(G8:G58)</f>
        <v>95941.176470588238</v>
      </c>
      <c r="H59" s="46">
        <f>AVERAGE(H8:H58)</f>
        <v>114686.27450980392</v>
      </c>
      <c r="I59" s="46">
        <f>AVERAGE(I8:I58)</f>
        <v>137019.60784313726</v>
      </c>
      <c r="J59" s="47"/>
      <c r="K59" s="47"/>
    </row>
    <row r="61" spans="2:11" ht="21.75" customHeight="1" x14ac:dyDescent="0.25">
      <c r="B61" s="12" t="s">
        <v>211</v>
      </c>
      <c r="C61" s="12"/>
      <c r="D61" s="12"/>
      <c r="E61" s="12"/>
      <c r="F61" s="12"/>
      <c r="G61" s="12"/>
      <c r="H61" s="12"/>
      <c r="I61" s="12"/>
      <c r="J61" s="12"/>
      <c r="K61" s="12"/>
    </row>
    <row r="62" spans="2:11" ht="18" customHeight="1" x14ac:dyDescent="0.25">
      <c r="B62" s="58" t="s">
        <v>212</v>
      </c>
      <c r="C62" s="8" t="s">
        <v>213</v>
      </c>
      <c r="D62" s="8"/>
      <c r="E62" s="8"/>
      <c r="F62" s="8"/>
      <c r="G62" s="8"/>
      <c r="H62" s="8"/>
      <c r="I62" s="8"/>
      <c r="J62" s="8"/>
      <c r="K62" s="8"/>
    </row>
    <row r="63" spans="2:11" ht="18" customHeight="1" x14ac:dyDescent="0.25">
      <c r="B63" s="59" t="s">
        <v>214</v>
      </c>
      <c r="C63" s="8" t="s">
        <v>215</v>
      </c>
      <c r="D63" s="8"/>
      <c r="E63" s="8"/>
      <c r="F63" s="8"/>
      <c r="G63" s="8"/>
      <c r="H63" s="8"/>
      <c r="I63" s="8"/>
      <c r="J63" s="8"/>
      <c r="K63" s="8"/>
    </row>
    <row r="64" spans="2:11" ht="18" customHeight="1" x14ac:dyDescent="0.25">
      <c r="B64" s="60" t="s">
        <v>216</v>
      </c>
      <c r="C64" s="8" t="s">
        <v>217</v>
      </c>
      <c r="D64" s="8"/>
      <c r="E64" s="8"/>
      <c r="F64" s="8"/>
      <c r="G64" s="8"/>
      <c r="H64" s="8"/>
      <c r="I64" s="8"/>
      <c r="J64" s="8"/>
      <c r="K64" s="8"/>
    </row>
    <row r="65" spans="2:11" ht="18" customHeight="1" x14ac:dyDescent="0.25">
      <c r="B65" s="61" t="s">
        <v>218</v>
      </c>
      <c r="C65" s="8" t="s">
        <v>219</v>
      </c>
      <c r="D65" s="8"/>
      <c r="E65" s="8"/>
      <c r="F65" s="8"/>
      <c r="G65" s="8"/>
      <c r="H65" s="8"/>
      <c r="I65" s="8"/>
      <c r="J65" s="8"/>
      <c r="K65" s="8"/>
    </row>
    <row r="67" spans="2:11" ht="21.75" customHeight="1" x14ac:dyDescent="0.25">
      <c r="B67" s="10" t="s">
        <v>115</v>
      </c>
      <c r="C67" s="10"/>
      <c r="D67" s="10"/>
      <c r="E67" s="10"/>
      <c r="F67" s="10"/>
      <c r="G67" s="10"/>
      <c r="H67" s="10"/>
      <c r="I67" s="10"/>
      <c r="J67" s="10"/>
      <c r="K67" s="10"/>
    </row>
  </sheetData>
  <autoFilter ref="B7:K58" xr:uid="{00000000-0009-0000-0000-000002000000}"/>
  <mergeCells count="10">
    <mergeCell ref="C62:K62"/>
    <mergeCell ref="C63:K63"/>
    <mergeCell ref="C64:K64"/>
    <mergeCell ref="C65:K65"/>
    <mergeCell ref="B67:K67"/>
    <mergeCell ref="B1:K1"/>
    <mergeCell ref="B2:K2"/>
    <mergeCell ref="B4:K4"/>
    <mergeCell ref="B59:E59"/>
    <mergeCell ref="B61:K61"/>
  </mergeCells>
  <dataValidations count="3">
    <dataValidation type="list" allowBlank="1" sqref="C5" xr:uid="{00000000-0002-0000-0200-000000000000}">
      <formula1>"M01,M05,M07,M09,M10,M12,M13,M14,M15,M17,M20,M-MGR"</formula1>
      <formula2>0</formula2>
    </dataValidation>
    <dataValidation type="list" allowBlank="1" sqref="E5" xr:uid="{00000000-0002-0000-0200-000001000000}">
      <formula1>"FR,IT,CH,GB,US,JP,HK"</formula1>
      <formula2>0</formula2>
    </dataValidation>
    <dataValidation type="list" allowBlank="1" sqref="G5" xr:uid="{00000000-0002-0000-0200-000002000000}">
      <formula1>"2025,2026,2027"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4AF37"/>
  </sheetPr>
  <dimension ref="B1:L42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32" customWidth="1"/>
    <col min="3" max="3" width="12" customWidth="1"/>
    <col min="4" max="7" width="14" customWidth="1"/>
    <col min="8" max="8" width="20" customWidth="1"/>
  </cols>
  <sheetData>
    <row r="1" spans="2:12" ht="31.5" customHeight="1" x14ac:dyDescent="0.25">
      <c r="B1" s="14" t="s">
        <v>220</v>
      </c>
      <c r="C1" s="14"/>
      <c r="D1" s="14"/>
      <c r="E1" s="14"/>
      <c r="F1" s="14"/>
      <c r="G1" s="14"/>
      <c r="H1" s="14"/>
    </row>
    <row r="2" spans="2:12" ht="15.75" customHeight="1" x14ac:dyDescent="0.25">
      <c r="B2" s="13" t="s">
        <v>221</v>
      </c>
      <c r="C2" s="13"/>
      <c r="D2" s="13"/>
      <c r="E2" s="13"/>
      <c r="F2" s="13"/>
      <c r="G2" s="13"/>
      <c r="H2" s="13"/>
    </row>
    <row r="4" spans="2:12" ht="21.75" customHeight="1" x14ac:dyDescent="0.25">
      <c r="B4" s="12" t="s">
        <v>222</v>
      </c>
      <c r="C4" s="12"/>
      <c r="D4" s="12"/>
      <c r="E4" s="12"/>
      <c r="F4" s="12"/>
      <c r="G4" s="12"/>
      <c r="H4" s="12"/>
    </row>
    <row r="5" spans="2:12" ht="19.5" customHeight="1" x14ac:dyDescent="0.25">
      <c r="B5" s="62" t="s">
        <v>223</v>
      </c>
      <c r="C5" s="17" t="s">
        <v>37</v>
      </c>
      <c r="D5" s="62" t="s">
        <v>224</v>
      </c>
      <c r="E5" s="17" t="str">
        <f>IF('01_PARAMETRES'!C6="","Non définie",'01_PARAMETRES'!C6)</f>
        <v>Non définie</v>
      </c>
      <c r="F5" s="7" t="s">
        <v>225</v>
      </c>
      <c r="G5" s="7"/>
      <c r="H5" s="7"/>
      <c r="L5">
        <f>IFERROR(VLOOKUP(C5,$J$6:$K$16,2,FALSE()),4)</f>
        <v>4</v>
      </c>
    </row>
    <row r="6" spans="2:12" ht="15" customHeight="1" x14ac:dyDescent="0.25">
      <c r="J6" t="s">
        <v>25</v>
      </c>
      <c r="K6">
        <v>1</v>
      </c>
    </row>
    <row r="7" spans="2:12" ht="36" customHeight="1" x14ac:dyDescent="0.25">
      <c r="B7" s="15" t="s">
        <v>226</v>
      </c>
      <c r="C7" s="15" t="s">
        <v>227</v>
      </c>
      <c r="D7" s="15" t="s">
        <v>228</v>
      </c>
      <c r="E7" s="15" t="s">
        <v>229</v>
      </c>
      <c r="F7" s="15" t="s">
        <v>230</v>
      </c>
      <c r="G7" s="15" t="s">
        <v>231</v>
      </c>
      <c r="H7" s="15" t="s">
        <v>232</v>
      </c>
      <c r="J7" t="s">
        <v>29</v>
      </c>
      <c r="K7">
        <v>2</v>
      </c>
    </row>
    <row r="8" spans="2:12" ht="21.75" customHeight="1" x14ac:dyDescent="0.25">
      <c r="B8" s="63" t="s">
        <v>233</v>
      </c>
      <c r="C8" s="35" t="s">
        <v>25</v>
      </c>
      <c r="D8" s="64">
        <v>2500</v>
      </c>
      <c r="E8" s="65">
        <v>2500</v>
      </c>
      <c r="F8" s="66">
        <v>800</v>
      </c>
      <c r="G8" s="56" t="s">
        <v>234</v>
      </c>
      <c r="H8" s="67" t="s">
        <v>235</v>
      </c>
      <c r="J8" t="s">
        <v>33</v>
      </c>
      <c r="K8">
        <v>3</v>
      </c>
    </row>
    <row r="9" spans="2:12" ht="21.75" customHeight="1" x14ac:dyDescent="0.25">
      <c r="B9" s="63" t="s">
        <v>236</v>
      </c>
      <c r="C9" s="35" t="s">
        <v>33</v>
      </c>
      <c r="D9" s="64">
        <v>500</v>
      </c>
      <c r="E9" s="65">
        <v>500</v>
      </c>
      <c r="F9" s="68">
        <v>0</v>
      </c>
      <c r="G9" s="56" t="s">
        <v>234</v>
      </c>
      <c r="H9" s="67" t="s">
        <v>235</v>
      </c>
      <c r="J9" t="s">
        <v>37</v>
      </c>
      <c r="K9">
        <v>4</v>
      </c>
    </row>
    <row r="10" spans="2:12" ht="21.75" customHeight="1" x14ac:dyDescent="0.25">
      <c r="B10" s="63" t="s">
        <v>237</v>
      </c>
      <c r="C10" s="35" t="s">
        <v>41</v>
      </c>
      <c r="D10" s="64">
        <v>3000</v>
      </c>
      <c r="E10" s="65">
        <v>5000</v>
      </c>
      <c r="F10" s="68">
        <v>0</v>
      </c>
      <c r="G10" s="56" t="s">
        <v>234</v>
      </c>
      <c r="H10" s="67" t="s">
        <v>235</v>
      </c>
      <c r="J10" t="s">
        <v>41</v>
      </c>
      <c r="K10">
        <v>5</v>
      </c>
    </row>
    <row r="11" spans="2:12" ht="21.75" customHeight="1" x14ac:dyDescent="0.25">
      <c r="B11" s="69" t="s">
        <v>238</v>
      </c>
      <c r="C11" s="35" t="s">
        <v>37</v>
      </c>
      <c r="D11" s="64">
        <v>1200</v>
      </c>
      <c r="E11" s="65">
        <v>1800</v>
      </c>
      <c r="F11" s="68">
        <v>0</v>
      </c>
      <c r="G11" s="70" t="s">
        <v>239</v>
      </c>
      <c r="H11" s="71" t="s">
        <v>240</v>
      </c>
      <c r="J11" t="s">
        <v>45</v>
      </c>
      <c r="K11">
        <v>6</v>
      </c>
    </row>
    <row r="12" spans="2:12" ht="21.75" customHeight="1" x14ac:dyDescent="0.25">
      <c r="B12" s="69" t="s">
        <v>241</v>
      </c>
      <c r="C12" s="35" t="s">
        <v>41</v>
      </c>
      <c r="D12" s="64">
        <v>800</v>
      </c>
      <c r="E12" s="65">
        <v>2000</v>
      </c>
      <c r="F12" s="68">
        <v>0</v>
      </c>
      <c r="G12" s="70" t="s">
        <v>239</v>
      </c>
      <c r="H12" s="71" t="s">
        <v>240</v>
      </c>
      <c r="J12" t="s">
        <v>49</v>
      </c>
      <c r="K12">
        <v>7</v>
      </c>
    </row>
    <row r="13" spans="2:12" ht="21.75" customHeight="1" x14ac:dyDescent="0.25">
      <c r="B13" s="69" t="s">
        <v>242</v>
      </c>
      <c r="C13" s="35" t="s">
        <v>45</v>
      </c>
      <c r="D13" s="64">
        <v>1500</v>
      </c>
      <c r="E13" s="65">
        <v>4000</v>
      </c>
      <c r="F13" s="68">
        <v>0</v>
      </c>
      <c r="G13" s="70" t="s">
        <v>239</v>
      </c>
      <c r="H13" s="71" t="s">
        <v>240</v>
      </c>
      <c r="J13" t="s">
        <v>53</v>
      </c>
      <c r="K13">
        <v>8</v>
      </c>
    </row>
    <row r="14" spans="2:12" ht="21.75" customHeight="1" x14ac:dyDescent="0.25">
      <c r="B14" s="72" t="s">
        <v>243</v>
      </c>
      <c r="C14" s="35" t="s">
        <v>37</v>
      </c>
      <c r="D14" s="64">
        <v>5000</v>
      </c>
      <c r="E14" s="65">
        <v>8000</v>
      </c>
      <c r="F14" s="66">
        <v>5000</v>
      </c>
      <c r="G14" s="56" t="s">
        <v>234</v>
      </c>
      <c r="H14" s="73" t="s">
        <v>244</v>
      </c>
      <c r="J14" t="s">
        <v>57</v>
      </c>
      <c r="K14">
        <v>9</v>
      </c>
    </row>
    <row r="15" spans="2:12" ht="21.75" customHeight="1" x14ac:dyDescent="0.25">
      <c r="B15" s="72" t="s">
        <v>245</v>
      </c>
      <c r="C15" s="35" t="s">
        <v>41</v>
      </c>
      <c r="D15" s="64">
        <v>3000</v>
      </c>
      <c r="E15" s="65">
        <v>5000</v>
      </c>
      <c r="F15" s="66">
        <v>3000</v>
      </c>
      <c r="G15" s="56" t="s">
        <v>234</v>
      </c>
      <c r="H15" s="73" t="s">
        <v>244</v>
      </c>
      <c r="J15" t="s">
        <v>61</v>
      </c>
      <c r="K15">
        <v>10</v>
      </c>
    </row>
    <row r="16" spans="2:12" ht="21.75" customHeight="1" x14ac:dyDescent="0.25">
      <c r="B16" s="72" t="s">
        <v>246</v>
      </c>
      <c r="C16" s="35" t="s">
        <v>41</v>
      </c>
      <c r="D16" s="64">
        <v>2000</v>
      </c>
      <c r="E16" s="65">
        <v>3500</v>
      </c>
      <c r="F16" s="66">
        <v>2000</v>
      </c>
      <c r="G16" s="56" t="s">
        <v>234</v>
      </c>
      <c r="H16" s="73" t="s">
        <v>244</v>
      </c>
      <c r="J16" t="s">
        <v>65</v>
      </c>
      <c r="K16">
        <v>11</v>
      </c>
    </row>
    <row r="17" spans="2:8" ht="21.75" customHeight="1" x14ac:dyDescent="0.25">
      <c r="B17" s="72" t="s">
        <v>247</v>
      </c>
      <c r="C17" s="35" t="s">
        <v>57</v>
      </c>
      <c r="D17" s="64">
        <v>8000</v>
      </c>
      <c r="E17" s="65">
        <v>12000</v>
      </c>
      <c r="F17" s="66">
        <v>8000</v>
      </c>
      <c r="G17" s="56" t="s">
        <v>234</v>
      </c>
      <c r="H17" s="73" t="s">
        <v>244</v>
      </c>
    </row>
    <row r="18" spans="2:8" ht="21.75" customHeight="1" x14ac:dyDescent="0.25">
      <c r="B18" s="74" t="s">
        <v>248</v>
      </c>
      <c r="C18" s="35" t="s">
        <v>25</v>
      </c>
      <c r="D18" s="64">
        <v>2400</v>
      </c>
      <c r="E18" s="65">
        <v>3200</v>
      </c>
      <c r="F18" s="66">
        <v>2400</v>
      </c>
      <c r="G18" s="56" t="s">
        <v>234</v>
      </c>
      <c r="H18" s="75" t="s">
        <v>249</v>
      </c>
    </row>
    <row r="19" spans="2:8" ht="21.75" customHeight="1" x14ac:dyDescent="0.25">
      <c r="B19" s="74" t="s">
        <v>250</v>
      </c>
      <c r="C19" s="35" t="s">
        <v>25</v>
      </c>
      <c r="D19" s="64">
        <v>1200</v>
      </c>
      <c r="E19" s="65">
        <v>1800</v>
      </c>
      <c r="F19" s="66">
        <v>1200</v>
      </c>
      <c r="G19" s="56" t="s">
        <v>234</v>
      </c>
      <c r="H19" s="75" t="s">
        <v>249</v>
      </c>
    </row>
    <row r="20" spans="2:8" ht="21.75" customHeight="1" x14ac:dyDescent="0.25">
      <c r="B20" s="74" t="s">
        <v>251</v>
      </c>
      <c r="C20" s="35" t="s">
        <v>41</v>
      </c>
      <c r="D20" s="64">
        <v>3000</v>
      </c>
      <c r="E20" s="65">
        <v>3000</v>
      </c>
      <c r="F20" s="66">
        <v>3000</v>
      </c>
      <c r="G20" s="56" t="s">
        <v>234</v>
      </c>
      <c r="H20" s="75" t="s">
        <v>249</v>
      </c>
    </row>
    <row r="21" spans="2:8" ht="21.75" customHeight="1" x14ac:dyDescent="0.25">
      <c r="B21" s="74" t="s">
        <v>252</v>
      </c>
      <c r="C21" s="35" t="s">
        <v>57</v>
      </c>
      <c r="D21" s="64">
        <v>4000</v>
      </c>
      <c r="E21" s="65">
        <v>4000</v>
      </c>
      <c r="F21" s="66">
        <v>4000</v>
      </c>
      <c r="G21" s="56" t="s">
        <v>234</v>
      </c>
      <c r="H21" s="75" t="s">
        <v>249</v>
      </c>
    </row>
    <row r="22" spans="2:8" ht="21.75" customHeight="1" x14ac:dyDescent="0.25">
      <c r="B22" s="76" t="s">
        <v>253</v>
      </c>
      <c r="C22" s="35" t="s">
        <v>25</v>
      </c>
      <c r="D22" s="64">
        <v>1500</v>
      </c>
      <c r="E22" s="65">
        <v>2200</v>
      </c>
      <c r="F22" s="66">
        <v>1500</v>
      </c>
      <c r="G22" s="56" t="s">
        <v>234</v>
      </c>
      <c r="H22" s="77" t="s">
        <v>254</v>
      </c>
    </row>
    <row r="23" spans="2:8" ht="21.75" customHeight="1" x14ac:dyDescent="0.25">
      <c r="B23" s="76" t="s">
        <v>255</v>
      </c>
      <c r="C23" s="35" t="s">
        <v>25</v>
      </c>
      <c r="D23" s="64">
        <v>600</v>
      </c>
      <c r="E23" s="65">
        <v>900</v>
      </c>
      <c r="F23" s="66">
        <v>600</v>
      </c>
      <c r="G23" s="56" t="s">
        <v>234</v>
      </c>
      <c r="H23" s="77" t="s">
        <v>254</v>
      </c>
    </row>
    <row r="24" spans="2:8" ht="21.75" customHeight="1" x14ac:dyDescent="0.25">
      <c r="B24" s="76" t="s">
        <v>256</v>
      </c>
      <c r="C24" s="35" t="s">
        <v>25</v>
      </c>
      <c r="D24" s="64">
        <v>450</v>
      </c>
      <c r="E24" s="65">
        <v>900</v>
      </c>
      <c r="F24" s="66">
        <v>450</v>
      </c>
      <c r="G24" s="56" t="s">
        <v>234</v>
      </c>
      <c r="H24" s="77" t="s">
        <v>254</v>
      </c>
    </row>
    <row r="25" spans="2:8" ht="21.75" customHeight="1" x14ac:dyDescent="0.25">
      <c r="B25" s="76" t="s">
        <v>257</v>
      </c>
      <c r="C25" s="35" t="s">
        <v>33</v>
      </c>
      <c r="D25" s="64">
        <v>1800</v>
      </c>
      <c r="E25" s="65">
        <v>2400</v>
      </c>
      <c r="F25" s="66">
        <v>1800</v>
      </c>
      <c r="G25" s="56" t="s">
        <v>234</v>
      </c>
      <c r="H25" s="77" t="s">
        <v>254</v>
      </c>
    </row>
    <row r="26" spans="2:8" ht="21.75" customHeight="1" x14ac:dyDescent="0.25">
      <c r="B26" s="78" t="s">
        <v>258</v>
      </c>
      <c r="C26" s="35" t="s">
        <v>25</v>
      </c>
      <c r="D26" s="64">
        <v>1500</v>
      </c>
      <c r="E26" s="65">
        <v>1500</v>
      </c>
      <c r="F26" s="68">
        <v>0</v>
      </c>
      <c r="G26" s="56" t="s">
        <v>234</v>
      </c>
      <c r="H26" s="79" t="s">
        <v>259</v>
      </c>
    </row>
    <row r="27" spans="2:8" ht="21.75" customHeight="1" x14ac:dyDescent="0.25">
      <c r="B27" s="78" t="s">
        <v>260</v>
      </c>
      <c r="C27" s="35" t="s">
        <v>25</v>
      </c>
      <c r="D27" s="64">
        <v>1200</v>
      </c>
      <c r="E27" s="65">
        <v>1200</v>
      </c>
      <c r="F27" s="66">
        <v>1200</v>
      </c>
      <c r="G27" s="56" t="s">
        <v>234</v>
      </c>
      <c r="H27" s="79" t="s">
        <v>259</v>
      </c>
    </row>
    <row r="28" spans="2:8" ht="21.75" customHeight="1" x14ac:dyDescent="0.25">
      <c r="B28" s="78" t="s">
        <v>261</v>
      </c>
      <c r="C28" s="35" t="s">
        <v>57</v>
      </c>
      <c r="D28" s="64">
        <v>15000</v>
      </c>
      <c r="E28" s="65">
        <v>15000</v>
      </c>
      <c r="F28" s="68">
        <v>0</v>
      </c>
      <c r="G28" s="56" t="s">
        <v>234</v>
      </c>
      <c r="H28" s="79" t="s">
        <v>259</v>
      </c>
    </row>
    <row r="29" spans="2:8" ht="21.75" customHeight="1" x14ac:dyDescent="0.25">
      <c r="B29" s="78" t="s">
        <v>262</v>
      </c>
      <c r="C29" s="35" t="s">
        <v>61</v>
      </c>
      <c r="D29" s="64">
        <v>25000</v>
      </c>
      <c r="E29" s="65">
        <v>25000</v>
      </c>
      <c r="F29" s="68">
        <v>0</v>
      </c>
      <c r="G29" s="56" t="s">
        <v>234</v>
      </c>
      <c r="H29" s="79" t="s">
        <v>259</v>
      </c>
    </row>
    <row r="30" spans="2:8" ht="24" customHeight="1" x14ac:dyDescent="0.25">
      <c r="B30" s="16" t="s">
        <v>263</v>
      </c>
      <c r="C30" s="26" t="str">
        <f>C5</f>
        <v>N4</v>
      </c>
      <c r="D30" s="80">
        <f>SUM(D8:D29)</f>
        <v>85150</v>
      </c>
      <c r="E30" s="80">
        <f>SUM(E8:E29)</f>
        <v>105400</v>
      </c>
      <c r="F30" s="80">
        <f>SUM(F8:F29)</f>
        <v>34950</v>
      </c>
      <c r="G30" s="26">
        <f>COUNTIF(G8:G29,"✅")</f>
        <v>19</v>
      </c>
      <c r="H30" s="47"/>
    </row>
    <row r="32" spans="2:8" ht="21.75" customHeight="1" x14ac:dyDescent="0.25">
      <c r="B32" s="12" t="s">
        <v>264</v>
      </c>
      <c r="C32" s="12"/>
      <c r="D32" s="12"/>
      <c r="E32" s="12"/>
      <c r="F32" s="12"/>
      <c r="G32" s="12"/>
      <c r="H32" s="12"/>
    </row>
    <row r="33" spans="2:8" ht="19.5" customHeight="1" x14ac:dyDescent="0.25">
      <c r="B33" s="15" t="s">
        <v>232</v>
      </c>
      <c r="C33" s="15" t="s">
        <v>265</v>
      </c>
      <c r="D33" s="15" t="s">
        <v>266</v>
      </c>
      <c r="E33" s="15" t="s">
        <v>267</v>
      </c>
      <c r="F33" s="15" t="s">
        <v>268</v>
      </c>
      <c r="G33" s="15"/>
      <c r="H33" s="15"/>
    </row>
    <row r="34" spans="2:8" ht="19.5" customHeight="1" x14ac:dyDescent="0.25">
      <c r="B34" s="81" t="s">
        <v>235</v>
      </c>
      <c r="C34" s="82">
        <f t="shared" ref="C34:C39" si="0">COUNTIF($H$8:$H$29,B34)</f>
        <v>3</v>
      </c>
      <c r="D34" s="65">
        <f t="shared" ref="D34:D39" si="1">SUMIF($H$8:$H$29,B34,D$8:D$29)</f>
        <v>6000</v>
      </c>
      <c r="E34" s="65">
        <f t="shared" ref="E34:E39" si="2">SUMIF($H$8:$H$29,B34,E$8:E$29)</f>
        <v>8000</v>
      </c>
      <c r="F34" s="65">
        <f t="shared" ref="F34:F39" si="3">SUMIF($H$8:$H$29,B34,F$8:F$29)</f>
        <v>800</v>
      </c>
      <c r="G34" s="6"/>
      <c r="H34" s="6"/>
    </row>
    <row r="35" spans="2:8" ht="19.5" customHeight="1" x14ac:dyDescent="0.25">
      <c r="B35" s="25" t="s">
        <v>240</v>
      </c>
      <c r="C35" s="82">
        <f t="shared" si="0"/>
        <v>3</v>
      </c>
      <c r="D35" s="65">
        <f t="shared" si="1"/>
        <v>3500</v>
      </c>
      <c r="E35" s="65">
        <f t="shared" si="2"/>
        <v>7800</v>
      </c>
      <c r="F35" s="65">
        <f t="shared" si="3"/>
        <v>0</v>
      </c>
      <c r="G35" s="6"/>
      <c r="H35" s="6"/>
    </row>
    <row r="36" spans="2:8" ht="19.5" customHeight="1" x14ac:dyDescent="0.25">
      <c r="B36" s="21" t="s">
        <v>244</v>
      </c>
      <c r="C36" s="82">
        <f t="shared" si="0"/>
        <v>4</v>
      </c>
      <c r="D36" s="65">
        <f t="shared" si="1"/>
        <v>18000</v>
      </c>
      <c r="E36" s="65">
        <f t="shared" si="2"/>
        <v>28500</v>
      </c>
      <c r="F36" s="65">
        <f t="shared" si="3"/>
        <v>18000</v>
      </c>
      <c r="G36" s="6"/>
      <c r="H36" s="6"/>
    </row>
    <row r="37" spans="2:8" ht="19.5" customHeight="1" x14ac:dyDescent="0.25">
      <c r="B37" s="83" t="s">
        <v>249</v>
      </c>
      <c r="C37" s="82">
        <f t="shared" si="0"/>
        <v>4</v>
      </c>
      <c r="D37" s="65">
        <f t="shared" si="1"/>
        <v>10600</v>
      </c>
      <c r="E37" s="65">
        <f t="shared" si="2"/>
        <v>12000</v>
      </c>
      <c r="F37" s="65">
        <f t="shared" si="3"/>
        <v>10600</v>
      </c>
      <c r="G37" s="6"/>
      <c r="H37" s="6"/>
    </row>
    <row r="38" spans="2:8" ht="19.5" customHeight="1" x14ac:dyDescent="0.25">
      <c r="B38" s="84" t="s">
        <v>254</v>
      </c>
      <c r="C38" s="82">
        <f t="shared" si="0"/>
        <v>4</v>
      </c>
      <c r="D38" s="65">
        <f t="shared" si="1"/>
        <v>4350</v>
      </c>
      <c r="E38" s="65">
        <f t="shared" si="2"/>
        <v>6400</v>
      </c>
      <c r="F38" s="65">
        <f t="shared" si="3"/>
        <v>4350</v>
      </c>
      <c r="G38" s="6"/>
      <c r="H38" s="6"/>
    </row>
    <row r="39" spans="2:8" ht="19.5" customHeight="1" x14ac:dyDescent="0.25">
      <c r="B39" s="85" t="s">
        <v>259</v>
      </c>
      <c r="C39" s="82">
        <f t="shared" si="0"/>
        <v>4</v>
      </c>
      <c r="D39" s="65">
        <f t="shared" si="1"/>
        <v>42700</v>
      </c>
      <c r="E39" s="65">
        <f t="shared" si="2"/>
        <v>42700</v>
      </c>
      <c r="F39" s="65">
        <f t="shared" si="3"/>
        <v>1200</v>
      </c>
      <c r="G39" s="6"/>
      <c r="H39" s="6"/>
    </row>
    <row r="42" spans="2:8" ht="21.75" customHeight="1" x14ac:dyDescent="0.25">
      <c r="B42" s="10" t="s">
        <v>115</v>
      </c>
      <c r="C42" s="10"/>
      <c r="D42" s="10"/>
      <c r="E42" s="10"/>
      <c r="F42" s="10"/>
      <c r="G42" s="10"/>
      <c r="H42" s="10"/>
    </row>
  </sheetData>
  <mergeCells count="12">
    <mergeCell ref="G39:H39"/>
    <mergeCell ref="B42:H42"/>
    <mergeCell ref="G34:H34"/>
    <mergeCell ref="G35:H35"/>
    <mergeCell ref="G36:H36"/>
    <mergeCell ref="G37:H37"/>
    <mergeCell ref="G38:H38"/>
    <mergeCell ref="B1:H1"/>
    <mergeCell ref="B2:H2"/>
    <mergeCell ref="B4:H4"/>
    <mergeCell ref="F5:H5"/>
    <mergeCell ref="B32:H32"/>
  </mergeCells>
  <conditionalFormatting sqref="B8:H29">
    <cfRule type="expression" dxfId="26" priority="2">
      <formula>$H8="🎁 Remise employé"</formula>
    </cfRule>
    <cfRule type="expression" dxfId="25" priority="3">
      <formula>$H8="🎫 Événements"</formula>
    </cfRule>
    <cfRule type="expression" dxfId="24" priority="4">
      <formula>$H8="📚 Formation"</formula>
    </cfRule>
    <cfRule type="expression" dxfId="23" priority="5">
      <formula>$H8="🏥 Protection soc."</formula>
    </cfRule>
    <cfRule type="expression" dxfId="22" priority="6">
      <formula>$H8="🏠 Vie quotidienne"</formula>
    </cfRule>
    <cfRule type="expression" dxfId="21" priority="7">
      <formula>$H8="📈 LTI / Intéressement"</formula>
    </cfRule>
  </conditionalFormatting>
  <dataValidations count="1">
    <dataValidation type="list" allowBlank="1" sqref="C5" xr:uid="{00000000-0002-0000-0300-000000000000}">
      <formula1>"N1,N2,N3,N4,N5,N6,N7,M1,M2,M3,M4"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4AF37"/>
  </sheetPr>
  <dimension ref="B1:J50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4" customWidth="1"/>
    <col min="3" max="3" width="32" customWidth="1"/>
    <col min="4" max="5" width="6" customWidth="1"/>
    <col min="6" max="6" width="16" customWidth="1"/>
    <col min="7" max="10" width="12" customWidth="1"/>
  </cols>
  <sheetData>
    <row r="1" spans="2:10" ht="31.5" customHeight="1" x14ac:dyDescent="0.25">
      <c r="B1" s="5" t="s">
        <v>269</v>
      </c>
      <c r="C1" s="5"/>
      <c r="D1" s="5"/>
      <c r="E1" s="5"/>
      <c r="F1" s="5"/>
      <c r="G1" s="5"/>
      <c r="H1" s="5"/>
      <c r="I1" s="5"/>
      <c r="J1" s="5"/>
    </row>
    <row r="2" spans="2:10" ht="15.75" customHeight="1" x14ac:dyDescent="0.25">
      <c r="B2" s="13" t="s">
        <v>270</v>
      </c>
      <c r="C2" s="13"/>
      <c r="D2" s="13"/>
      <c r="E2" s="13"/>
      <c r="F2" s="13"/>
      <c r="G2" s="13"/>
      <c r="H2" s="13"/>
      <c r="I2" s="13"/>
      <c r="J2" s="13"/>
    </row>
    <row r="4" spans="2:10" ht="21.75" customHeight="1" x14ac:dyDescent="0.25">
      <c r="B4" s="12" t="s">
        <v>271</v>
      </c>
      <c r="C4" s="12"/>
      <c r="D4" s="12"/>
      <c r="E4" s="12"/>
      <c r="F4" s="12"/>
      <c r="G4" s="12"/>
      <c r="H4" s="12"/>
      <c r="I4" s="12"/>
      <c r="J4" s="12"/>
    </row>
    <row r="5" spans="2:10" ht="21.75" customHeight="1" x14ac:dyDescent="0.25">
      <c r="B5" s="4" t="s">
        <v>272</v>
      </c>
      <c r="C5" s="4"/>
      <c r="D5" s="17" t="s">
        <v>131</v>
      </c>
      <c r="E5" s="4" t="s">
        <v>273</v>
      </c>
      <c r="F5" s="4"/>
      <c r="G5" s="17" t="s">
        <v>41</v>
      </c>
      <c r="H5" s="4" t="s">
        <v>274</v>
      </c>
      <c r="I5" s="4"/>
      <c r="J5" s="17" t="s">
        <v>86</v>
      </c>
    </row>
    <row r="6" spans="2:10" ht="19.5" customHeight="1" x14ac:dyDescent="0.25">
      <c r="B6" s="86" t="s">
        <v>275</v>
      </c>
      <c r="C6" s="87">
        <v>8</v>
      </c>
      <c r="D6" s="86" t="s">
        <v>276</v>
      </c>
      <c r="E6" s="17" t="s">
        <v>277</v>
      </c>
      <c r="F6" s="86" t="s">
        <v>278</v>
      </c>
      <c r="G6" s="87">
        <v>0</v>
      </c>
      <c r="I6" s="88">
        <f>IFERROR(INDEX('02_GRILLE_REMUNERATION'!$F$8:$F$57,MATCH(D5&amp;G5&amp;J5,'02_GRILLE_REMUNERATION'!$B$8:$B$57&amp;'02_GRILLE_REMUNERATION'!$D$8:$D$57&amp;'02_GRILLE_REMUNERATION'!$E$8:$E$57,0)),55000)</f>
        <v>55000</v>
      </c>
      <c r="J6" s="89">
        <f>IFERROR(INDEX('02_GRILLE_REMUNERATION'!$G$8:$G$57,MATCH(D5&amp;G5&amp;J5,'02_GRILLE_REMUNERATION'!$B$8:$B$57&amp;'02_GRILLE_REMUNERATION'!$D$8:$D$57&amp;'02_GRILLE_REMUNERATION'!$E$8:$E$57,0)),0.1)</f>
        <v>0.1</v>
      </c>
    </row>
    <row r="8" spans="2:10" ht="21.75" customHeight="1" x14ac:dyDescent="0.25">
      <c r="B8" s="12" t="s">
        <v>279</v>
      </c>
      <c r="C8" s="12"/>
      <c r="D8" s="12"/>
      <c r="E8" s="12"/>
      <c r="F8" s="12"/>
      <c r="G8" s="12"/>
      <c r="H8" s="12"/>
      <c r="I8" s="12"/>
      <c r="J8" s="12"/>
    </row>
    <row r="9" spans="2:10" ht="21.75" customHeight="1" x14ac:dyDescent="0.25">
      <c r="B9" s="3" t="s">
        <v>280</v>
      </c>
      <c r="C9" s="3"/>
      <c r="D9" s="3"/>
      <c r="E9" s="3"/>
      <c r="F9" s="15" t="s">
        <v>281</v>
      </c>
      <c r="G9" s="90" t="s">
        <v>282</v>
      </c>
      <c r="H9" s="90" t="s">
        <v>283</v>
      </c>
      <c r="I9" s="2" t="s">
        <v>284</v>
      </c>
      <c r="J9" s="2"/>
    </row>
    <row r="10" spans="2:10" ht="19.5" customHeight="1" x14ac:dyDescent="0.25">
      <c r="B10" s="1" t="s">
        <v>285</v>
      </c>
      <c r="C10" s="1"/>
      <c r="D10" s="1"/>
      <c r="E10" s="1"/>
      <c r="F10" s="1"/>
      <c r="G10" s="1"/>
      <c r="H10" s="1"/>
      <c r="I10" s="1"/>
      <c r="J10" s="1"/>
    </row>
    <row r="11" spans="2:10" ht="19.5" customHeight="1" x14ac:dyDescent="0.25">
      <c r="B11" s="168" t="s">
        <v>286</v>
      </c>
      <c r="C11" s="168"/>
      <c r="D11" s="168"/>
      <c r="E11" s="168"/>
      <c r="F11" s="91">
        <f>I6</f>
        <v>55000</v>
      </c>
      <c r="G11" s="92"/>
      <c r="H11" s="93">
        <f>IFERROR(F11/12,0)</f>
        <v>4583.333333333333</v>
      </c>
      <c r="I11" s="169" t="s">
        <v>287</v>
      </c>
      <c r="J11" s="169"/>
    </row>
    <row r="12" spans="2:10" ht="19.5" customHeight="1" x14ac:dyDescent="0.25">
      <c r="B12" s="168" t="s">
        <v>288</v>
      </c>
      <c r="C12" s="168"/>
      <c r="D12" s="168"/>
      <c r="E12" s="168"/>
      <c r="F12" s="94">
        <f>IF(E6="Oui",I6/12,0)</f>
        <v>4583.333333333333</v>
      </c>
      <c r="G12" s="92"/>
      <c r="H12" s="93">
        <f>IFERROR(F12/12,0)</f>
        <v>381.9444444444444</v>
      </c>
      <c r="I12" s="169" t="s">
        <v>289</v>
      </c>
      <c r="J12" s="169"/>
    </row>
    <row r="13" spans="2:10" ht="19.5" customHeight="1" x14ac:dyDescent="0.25">
      <c r="B13" s="168" t="s">
        <v>290</v>
      </c>
      <c r="C13" s="168"/>
      <c r="D13" s="168"/>
      <c r="E13" s="168"/>
      <c r="F13" s="94">
        <f>I6*MIN(C6*0.003,0.15)</f>
        <v>1320</v>
      </c>
      <c r="G13" s="92"/>
      <c r="H13" s="93">
        <f>IFERROR(F13/12,0)</f>
        <v>110</v>
      </c>
      <c r="I13" s="169" t="s">
        <v>291</v>
      </c>
      <c r="J13" s="169"/>
    </row>
    <row r="14" spans="2:10" ht="19.5" customHeight="1" x14ac:dyDescent="0.25">
      <c r="B14" s="12" t="s">
        <v>292</v>
      </c>
      <c r="C14" s="12"/>
      <c r="D14" s="12"/>
      <c r="E14" s="12"/>
      <c r="F14" s="80">
        <f>SUM(F11:F13)</f>
        <v>60903.333333333336</v>
      </c>
      <c r="G14" s="47"/>
      <c r="H14" s="95">
        <f>IFERROR(F14/12,0)</f>
        <v>5075.2777777777783</v>
      </c>
      <c r="I14" s="47"/>
      <c r="J14" s="47"/>
    </row>
    <row r="15" spans="2:10" ht="19.5" customHeight="1" x14ac:dyDescent="0.25">
      <c r="B15" s="1" t="s">
        <v>293</v>
      </c>
      <c r="C15" s="1"/>
      <c r="D15" s="1"/>
      <c r="E15" s="1"/>
      <c r="F15" s="1"/>
      <c r="G15" s="1"/>
      <c r="H15" s="1"/>
      <c r="I15" s="1"/>
      <c r="J15" s="1"/>
    </row>
    <row r="16" spans="2:10" ht="19.5" customHeight="1" x14ac:dyDescent="0.25">
      <c r="B16" s="168" t="s">
        <v>294</v>
      </c>
      <c r="C16" s="168"/>
      <c r="D16" s="168"/>
      <c r="E16" s="168"/>
      <c r="F16" s="94">
        <f>I6*J6</f>
        <v>5500</v>
      </c>
      <c r="G16" s="92"/>
      <c r="H16" s="93">
        <f>IFERROR(F16/12,0)</f>
        <v>458.33333333333331</v>
      </c>
      <c r="I16" s="169" t="s">
        <v>295</v>
      </c>
      <c r="J16" s="169"/>
    </row>
    <row r="17" spans="2:10" ht="19.5" customHeight="1" x14ac:dyDescent="0.25">
      <c r="B17" s="168" t="s">
        <v>296</v>
      </c>
      <c r="C17" s="168"/>
      <c r="D17" s="168"/>
      <c r="E17" s="168"/>
      <c r="F17" s="94">
        <f>I6*0.04</f>
        <v>2200</v>
      </c>
      <c r="G17" s="92"/>
      <c r="H17" s="93">
        <f>IFERROR(F17/12,0)</f>
        <v>183.33333333333334</v>
      </c>
      <c r="I17" s="169" t="s">
        <v>297</v>
      </c>
      <c r="J17" s="169"/>
    </row>
    <row r="18" spans="2:10" ht="19.5" customHeight="1" x14ac:dyDescent="0.25">
      <c r="B18" s="168" t="s">
        <v>298</v>
      </c>
      <c r="C18" s="168"/>
      <c r="D18" s="168"/>
      <c r="E18" s="168"/>
      <c r="F18" s="94">
        <f>I6*0.055</f>
        <v>3025</v>
      </c>
      <c r="G18" s="92"/>
      <c r="H18" s="93">
        <f>IFERROR(F18/12,0)</f>
        <v>252.08333333333334</v>
      </c>
      <c r="I18" s="169" t="s">
        <v>299</v>
      </c>
      <c r="J18" s="169"/>
    </row>
    <row r="19" spans="2:10" ht="19.5" customHeight="1" x14ac:dyDescent="0.25">
      <c r="B19" s="168" t="s">
        <v>300</v>
      </c>
      <c r="C19" s="168"/>
      <c r="D19" s="168"/>
      <c r="E19" s="168"/>
      <c r="F19" s="94">
        <f>I6*0.045</f>
        <v>2475</v>
      </c>
      <c r="G19" s="92"/>
      <c r="H19" s="93">
        <f>IFERROR(F19/12,0)</f>
        <v>206.25</v>
      </c>
      <c r="I19" s="169" t="s">
        <v>301</v>
      </c>
      <c r="J19" s="169"/>
    </row>
    <row r="20" spans="2:10" ht="19.5" customHeight="1" x14ac:dyDescent="0.25">
      <c r="B20" s="12" t="s">
        <v>302</v>
      </c>
      <c r="C20" s="12"/>
      <c r="D20" s="12"/>
      <c r="E20" s="12"/>
      <c r="F20" s="95">
        <f>SUM(F16:F19)</f>
        <v>13200</v>
      </c>
      <c r="G20" s="47"/>
      <c r="H20" s="95">
        <f>IFERROR(F20/12,0)</f>
        <v>1100</v>
      </c>
      <c r="I20" s="47"/>
      <c r="J20" s="47"/>
    </row>
    <row r="21" spans="2:10" ht="19.5" customHeight="1" x14ac:dyDescent="0.25">
      <c r="B21" s="1" t="s">
        <v>303</v>
      </c>
      <c r="C21" s="1"/>
      <c r="D21" s="1"/>
      <c r="E21" s="1"/>
      <c r="F21" s="1"/>
      <c r="G21" s="1"/>
      <c r="H21" s="1"/>
      <c r="I21" s="1"/>
      <c r="J21" s="1"/>
    </row>
    <row r="22" spans="2:10" ht="19.5" customHeight="1" x14ac:dyDescent="0.25">
      <c r="B22" s="168" t="s">
        <v>304</v>
      </c>
      <c r="C22" s="168"/>
      <c r="D22" s="168"/>
      <c r="E22" s="168"/>
      <c r="F22" s="96">
        <f>IFERROR('04_AVANTAGES_NATURE'!D30,14950)</f>
        <v>85150</v>
      </c>
      <c r="G22" s="92"/>
      <c r="H22" s="93">
        <f>IFERROR(F22/12,0)</f>
        <v>7095.833333333333</v>
      </c>
      <c r="I22" s="169" t="s">
        <v>305</v>
      </c>
      <c r="J22" s="169"/>
    </row>
    <row r="23" spans="2:10" ht="27.75" customHeight="1" x14ac:dyDescent="0.25">
      <c r="B23" s="170" t="s">
        <v>306</v>
      </c>
      <c r="C23" s="170"/>
      <c r="D23" s="170"/>
      <c r="E23" s="170"/>
      <c r="F23" s="97">
        <f>F14+F20+F22</f>
        <v>159253.33333333334</v>
      </c>
      <c r="G23" s="98"/>
      <c r="H23" s="99">
        <f>IFERROR(F23/12,0)</f>
        <v>13271.111111111111</v>
      </c>
      <c r="I23" s="98"/>
      <c r="J23" s="98"/>
    </row>
    <row r="24" spans="2:10" ht="19.5" customHeight="1" x14ac:dyDescent="0.25">
      <c r="B24" s="1" t="s">
        <v>307</v>
      </c>
      <c r="C24" s="1"/>
      <c r="D24" s="1"/>
      <c r="E24" s="1"/>
      <c r="F24" s="1"/>
      <c r="G24" s="1"/>
      <c r="H24" s="1"/>
      <c r="I24" s="1"/>
      <c r="J24" s="1"/>
    </row>
    <row r="25" spans="2:10" ht="19.5" customHeight="1" x14ac:dyDescent="0.25">
      <c r="B25" s="171" t="s">
        <v>308</v>
      </c>
      <c r="C25" s="171"/>
      <c r="D25" s="171"/>
      <c r="E25" s="171"/>
      <c r="F25" s="100">
        <f>I6*IF(J5="FR",0.45,IF(J5="IT",0.4,IF(J5="CH",0.13,IF(J5="GB",0.15,IF(J5="US",0.1,IF(J5="JP",0.15,IF(J5="HK",0.05,0.45)))))))</f>
        <v>24750</v>
      </c>
      <c r="G25" s="92"/>
      <c r="H25" s="101">
        <f>IFERROR(F25/12,0)</f>
        <v>2062.5</v>
      </c>
      <c r="I25" s="169" t="s">
        <v>309</v>
      </c>
      <c r="J25" s="169"/>
    </row>
    <row r="26" spans="2:10" ht="19.5" customHeight="1" x14ac:dyDescent="0.25">
      <c r="B26" s="171" t="s">
        <v>310</v>
      </c>
      <c r="C26" s="171"/>
      <c r="D26" s="171"/>
      <c r="E26" s="171"/>
      <c r="F26" s="100">
        <f>IF(J5="FR",I6*0.0068,0)</f>
        <v>374</v>
      </c>
      <c r="G26" s="92"/>
      <c r="H26" s="101">
        <f>IFERROR(F26/12,0)</f>
        <v>31.166666666666668</v>
      </c>
      <c r="I26" s="169" t="s">
        <v>311</v>
      </c>
      <c r="J26" s="169"/>
    </row>
    <row r="27" spans="2:10" ht="19.5" customHeight="1" x14ac:dyDescent="0.25">
      <c r="B27" s="171" t="s">
        <v>312</v>
      </c>
      <c r="C27" s="171"/>
      <c r="D27" s="171"/>
      <c r="E27" s="171"/>
      <c r="F27" s="100">
        <f>IF(J5="FR",I6*0.01,0)</f>
        <v>550</v>
      </c>
      <c r="G27" s="92"/>
      <c r="H27" s="101">
        <f>IFERROR(F27/12,0)</f>
        <v>45.833333333333336</v>
      </c>
      <c r="I27" s="169" t="s">
        <v>313</v>
      </c>
      <c r="J27" s="169"/>
    </row>
    <row r="28" spans="2:10" ht="19.5" customHeight="1" x14ac:dyDescent="0.25">
      <c r="B28" s="171" t="s">
        <v>314</v>
      </c>
      <c r="C28" s="171"/>
      <c r="D28" s="171"/>
      <c r="E28" s="171"/>
      <c r="F28" s="100">
        <f>IF(J5="FR",I6*0.0045,0)</f>
        <v>247.49999999999997</v>
      </c>
      <c r="G28" s="92"/>
      <c r="H28" s="101">
        <f>IFERROR(F28/12,0)</f>
        <v>20.624999999999996</v>
      </c>
      <c r="I28" s="169" t="s">
        <v>315</v>
      </c>
      <c r="J28" s="169"/>
    </row>
    <row r="29" spans="2:10" ht="19.5" customHeight="1" x14ac:dyDescent="0.25">
      <c r="B29" s="172" t="s">
        <v>316</v>
      </c>
      <c r="C29" s="172"/>
      <c r="D29" s="172"/>
      <c r="E29" s="172"/>
      <c r="F29" s="102">
        <f>SUM(F25:F28)</f>
        <v>25921.5</v>
      </c>
      <c r="G29" s="103"/>
      <c r="H29" s="102">
        <f>IFERROR(F29/12,0)</f>
        <v>2160.125</v>
      </c>
      <c r="I29" s="103"/>
      <c r="J29" s="103"/>
    </row>
    <row r="30" spans="2:10" ht="19.5" customHeight="1" x14ac:dyDescent="0.25">
      <c r="B30" s="1" t="s">
        <v>317</v>
      </c>
      <c r="C30" s="1"/>
      <c r="D30" s="1"/>
      <c r="E30" s="1"/>
      <c r="F30" s="1"/>
      <c r="G30" s="1"/>
      <c r="H30" s="1"/>
      <c r="I30" s="1"/>
      <c r="J30" s="1"/>
    </row>
    <row r="31" spans="2:10" ht="19.5" customHeight="1" x14ac:dyDescent="0.25">
      <c r="B31" s="173" t="s">
        <v>318</v>
      </c>
      <c r="C31" s="173"/>
      <c r="D31" s="173"/>
      <c r="E31" s="173"/>
      <c r="F31" s="64">
        <v>5000</v>
      </c>
      <c r="G31" s="92"/>
      <c r="H31" s="93">
        <f>IFERROR(F31/12,0)</f>
        <v>416.66666666666669</v>
      </c>
      <c r="I31" s="169" t="s">
        <v>319</v>
      </c>
      <c r="J31" s="169"/>
    </row>
    <row r="32" spans="2:10" ht="19.5" customHeight="1" x14ac:dyDescent="0.25">
      <c r="B32" s="173" t="s">
        <v>320</v>
      </c>
      <c r="C32" s="173"/>
      <c r="D32" s="173"/>
      <c r="E32" s="173"/>
      <c r="F32" s="64">
        <v>1200</v>
      </c>
      <c r="G32" s="92"/>
      <c r="H32" s="93">
        <f>IFERROR(F32/12,0)</f>
        <v>100</v>
      </c>
      <c r="I32" s="169" t="s">
        <v>321</v>
      </c>
      <c r="J32" s="169"/>
    </row>
    <row r="33" spans="2:10" ht="19.5" customHeight="1" x14ac:dyDescent="0.25">
      <c r="B33" s="173" t="s">
        <v>322</v>
      </c>
      <c r="C33" s="173"/>
      <c r="D33" s="173"/>
      <c r="E33" s="173"/>
      <c r="F33" s="64">
        <v>2500</v>
      </c>
      <c r="G33" s="92"/>
      <c r="H33" s="93">
        <f>IFERROR(F33/12,0)</f>
        <v>208.33333333333334</v>
      </c>
      <c r="I33" s="169" t="s">
        <v>323</v>
      </c>
      <c r="J33" s="169"/>
    </row>
    <row r="34" spans="2:10" ht="31.5" customHeight="1" x14ac:dyDescent="0.25">
      <c r="B34" s="174" t="s">
        <v>324</v>
      </c>
      <c r="C34" s="174"/>
      <c r="D34" s="174"/>
      <c r="E34" s="174"/>
      <c r="F34" s="104">
        <f>F23+F29+SUM(F31:F33)</f>
        <v>193874.83333333334</v>
      </c>
      <c r="G34" s="105"/>
      <c r="H34" s="106">
        <f>IFERROR(F34/12,0)</f>
        <v>16156.236111111111</v>
      </c>
      <c r="I34" s="105"/>
      <c r="J34" s="105"/>
    </row>
    <row r="35" spans="2:10" ht="21.75" customHeight="1" x14ac:dyDescent="0.25">
      <c r="B35" s="175" t="s">
        <v>325</v>
      </c>
      <c r="C35" s="175"/>
      <c r="D35" s="175"/>
      <c r="E35" s="175"/>
      <c r="F35" s="107">
        <f>IFERROR(F34/F23,1)</f>
        <v>1.2173989032150034</v>
      </c>
      <c r="G35" s="108"/>
      <c r="H35" s="108"/>
      <c r="I35" s="108"/>
      <c r="J35" s="108"/>
    </row>
    <row r="36" spans="2:10" ht="21.75" customHeight="1" x14ac:dyDescent="0.25">
      <c r="B36" s="176" t="s">
        <v>326</v>
      </c>
      <c r="C36" s="176"/>
      <c r="D36" s="176"/>
      <c r="E36" s="176"/>
      <c r="F36" s="109">
        <f>IFERROR(F14/F34,0)</f>
        <v>0.31413738589072504</v>
      </c>
      <c r="G36" s="110"/>
      <c r="H36" s="110"/>
      <c r="I36" s="110"/>
      <c r="J36" s="110"/>
    </row>
    <row r="37" spans="2:10" ht="21.75" customHeight="1" x14ac:dyDescent="0.25">
      <c r="B37" s="177" t="s">
        <v>327</v>
      </c>
      <c r="C37" s="177"/>
      <c r="D37" s="177"/>
      <c r="E37" s="177"/>
      <c r="F37" s="111">
        <f>IFERROR(F29/F34,0)</f>
        <v>0.13370224259810237</v>
      </c>
      <c r="G37" s="112"/>
      <c r="H37" s="112"/>
      <c r="I37" s="112"/>
      <c r="J37" s="112"/>
    </row>
    <row r="39" spans="2:10" ht="21.75" customHeight="1" x14ac:dyDescent="0.25">
      <c r="B39" s="12" t="s">
        <v>328</v>
      </c>
      <c r="C39" s="12"/>
      <c r="D39" s="12"/>
      <c r="E39" s="12"/>
      <c r="F39" s="12"/>
      <c r="G39" s="12"/>
      <c r="H39" s="12"/>
      <c r="I39" s="12"/>
      <c r="J39" s="12"/>
    </row>
    <row r="40" spans="2:10" ht="21.75" customHeight="1" x14ac:dyDescent="0.25">
      <c r="B40" s="15" t="s">
        <v>329</v>
      </c>
      <c r="D40" s="178" t="s">
        <v>330</v>
      </c>
      <c r="E40" s="178"/>
      <c r="F40" s="178" t="s">
        <v>331</v>
      </c>
      <c r="G40" s="178"/>
      <c r="H40" s="178" t="s">
        <v>332</v>
      </c>
      <c r="I40" s="178"/>
    </row>
    <row r="41" spans="2:10" ht="19.5" customHeight="1" x14ac:dyDescent="0.25">
      <c r="B41" s="179" t="s">
        <v>333</v>
      </c>
      <c r="C41" s="179"/>
      <c r="D41" s="180">
        <f>IFERROR(INDEX('02_GRILLE_REMUNERATION'!$F$8:$F$57,MATCH(D5&amp;G5&amp;"FR",'02_GRILLE_REMUNERATION'!$B$8:$B$57&amp;'02_GRILLE_REMUNERATION'!$D$8:$D$57&amp;'02_GRILLE_REMUNERATION'!$E$8:$E$57,0)),38000)</f>
        <v>38000</v>
      </c>
      <c r="E41" s="180"/>
      <c r="F41" s="181">
        <f>IFERROR(INDEX('02_GRILLE_REMUNERATION'!$F$8:$F$57,MATCH(D5&amp;G5&amp;"IT",'02_GRILLE_REMUNERATION'!$B$8:$B$57&amp;'02_GRILLE_REMUNERATION'!$D$8:$D$57&amp;'02_GRILLE_REMUNERATION'!$E$8:$E$57,0)),34500)</f>
        <v>34500</v>
      </c>
      <c r="G41" s="181"/>
      <c r="H41" s="182">
        <f>IFERROR(INDEX('02_GRILLE_REMUNERATION'!$F$8:$F$57,MATCH(D5&amp;G5&amp;"CH",'02_GRILLE_REMUNERATION'!$B$8:$B$57&amp;'02_GRILLE_REMUNERATION'!$D$8:$D$57&amp;'02_GRILLE_REMUNERATION'!$E$8:$E$57,0)),62000)</f>
        <v>62000</v>
      </c>
      <c r="I41" s="182"/>
    </row>
    <row r="42" spans="2:10" ht="19.5" customHeight="1" x14ac:dyDescent="0.25">
      <c r="B42" s="179" t="s">
        <v>334</v>
      </c>
      <c r="C42" s="179"/>
      <c r="D42" s="180">
        <f>D41*1.63</f>
        <v>61939.999999999993</v>
      </c>
      <c r="E42" s="180"/>
      <c r="F42" s="181">
        <f>F41*1.55</f>
        <v>53475</v>
      </c>
      <c r="G42" s="181"/>
      <c r="H42" s="182">
        <f>H41*1.25</f>
        <v>77500</v>
      </c>
      <c r="I42" s="182"/>
    </row>
    <row r="43" spans="2:10" ht="19.5" customHeight="1" x14ac:dyDescent="0.25">
      <c r="B43" s="179" t="s">
        <v>335</v>
      </c>
      <c r="C43" s="179"/>
      <c r="D43" s="180">
        <f>D41*0.73</f>
        <v>27740</v>
      </c>
      <c r="E43" s="180"/>
      <c r="F43" s="181">
        <f>F41*0.7</f>
        <v>24150</v>
      </c>
      <c r="G43" s="181"/>
      <c r="H43" s="182">
        <f>H41*0.78</f>
        <v>48360</v>
      </c>
      <c r="I43" s="182"/>
    </row>
    <row r="44" spans="2:10" ht="19.5" customHeight="1" x14ac:dyDescent="0.25">
      <c r="B44" s="179" t="s">
        <v>336</v>
      </c>
      <c r="C44" s="179"/>
      <c r="D44" s="183" t="s">
        <v>337</v>
      </c>
      <c r="E44" s="183"/>
      <c r="F44" s="184" t="s">
        <v>338</v>
      </c>
      <c r="G44" s="184"/>
      <c r="H44" s="185" t="s">
        <v>339</v>
      </c>
      <c r="I44" s="185"/>
    </row>
    <row r="45" spans="2:10" ht="19.5" customHeight="1" x14ac:dyDescent="0.25">
      <c r="B45" s="179" t="s">
        <v>340</v>
      </c>
      <c r="C45" s="179"/>
      <c r="D45" s="186">
        <f>100</f>
        <v>100</v>
      </c>
      <c r="E45" s="186"/>
      <c r="F45" s="187">
        <f>ROUND(F43/D43*97,0)</f>
        <v>84</v>
      </c>
      <c r="G45" s="187"/>
      <c r="H45" s="188">
        <f>ROUND(H43/D43*78,0)</f>
        <v>136</v>
      </c>
      <c r="I45" s="188"/>
    </row>
    <row r="50" spans="2:10" ht="21.75" customHeight="1" x14ac:dyDescent="0.25">
      <c r="B50" s="10" t="s">
        <v>341</v>
      </c>
      <c r="C50" s="10"/>
      <c r="D50" s="10"/>
      <c r="E50" s="10"/>
      <c r="F50" s="10"/>
      <c r="G50" s="10"/>
      <c r="H50" s="10"/>
      <c r="I50" s="10"/>
      <c r="J50" s="10"/>
    </row>
  </sheetData>
  <mergeCells count="77">
    <mergeCell ref="B45:C45"/>
    <mergeCell ref="D45:E45"/>
    <mergeCell ref="F45:G45"/>
    <mergeCell ref="H45:I45"/>
    <mergeCell ref="B50:J50"/>
    <mergeCell ref="B43:C43"/>
    <mergeCell ref="D43:E43"/>
    <mergeCell ref="F43:G43"/>
    <mergeCell ref="H43:I43"/>
    <mergeCell ref="B44:C44"/>
    <mergeCell ref="D44:E44"/>
    <mergeCell ref="F44:G44"/>
    <mergeCell ref="H44:I44"/>
    <mergeCell ref="B41:C41"/>
    <mergeCell ref="D41:E41"/>
    <mergeCell ref="F41:G41"/>
    <mergeCell ref="H41:I41"/>
    <mergeCell ref="B42:C42"/>
    <mergeCell ref="D42:E42"/>
    <mergeCell ref="F42:G42"/>
    <mergeCell ref="H42:I42"/>
    <mergeCell ref="B35:E35"/>
    <mergeCell ref="B36:E36"/>
    <mergeCell ref="B37:E37"/>
    <mergeCell ref="B39:J39"/>
    <mergeCell ref="D40:E40"/>
    <mergeCell ref="F40:G40"/>
    <mergeCell ref="H40:I40"/>
    <mergeCell ref="B32:E32"/>
    <mergeCell ref="I32:J32"/>
    <mergeCell ref="B33:E33"/>
    <mergeCell ref="I33:J33"/>
    <mergeCell ref="B34:E34"/>
    <mergeCell ref="B28:E28"/>
    <mergeCell ref="I28:J28"/>
    <mergeCell ref="B29:E29"/>
    <mergeCell ref="B30:J30"/>
    <mergeCell ref="B31:E31"/>
    <mergeCell ref="I31:J31"/>
    <mergeCell ref="B25:E25"/>
    <mergeCell ref="I25:J25"/>
    <mergeCell ref="B26:E26"/>
    <mergeCell ref="I26:J26"/>
    <mergeCell ref="B27:E27"/>
    <mergeCell ref="I27:J27"/>
    <mergeCell ref="B21:J21"/>
    <mergeCell ref="B22:E22"/>
    <mergeCell ref="I22:J22"/>
    <mergeCell ref="B23:E23"/>
    <mergeCell ref="B24:J24"/>
    <mergeCell ref="B18:E18"/>
    <mergeCell ref="I18:J18"/>
    <mergeCell ref="B19:E19"/>
    <mergeCell ref="I19:J19"/>
    <mergeCell ref="B20:E20"/>
    <mergeCell ref="B15:J15"/>
    <mergeCell ref="B16:E16"/>
    <mergeCell ref="I16:J16"/>
    <mergeCell ref="B17:E17"/>
    <mergeCell ref="I17:J17"/>
    <mergeCell ref="B12:E12"/>
    <mergeCell ref="I12:J12"/>
    <mergeCell ref="B13:E13"/>
    <mergeCell ref="I13:J13"/>
    <mergeCell ref="B14:E14"/>
    <mergeCell ref="B8:J8"/>
    <mergeCell ref="B9:E9"/>
    <mergeCell ref="I9:J9"/>
    <mergeCell ref="B10:J10"/>
    <mergeCell ref="B11:E11"/>
    <mergeCell ref="I11:J11"/>
    <mergeCell ref="B1:J1"/>
    <mergeCell ref="B2:J2"/>
    <mergeCell ref="B4:J4"/>
    <mergeCell ref="B5:C5"/>
    <mergeCell ref="E5:F5"/>
    <mergeCell ref="H5:I5"/>
  </mergeCells>
  <dataValidations count="4">
    <dataValidation type="list" allowBlank="1" sqref="D5" xr:uid="{00000000-0002-0000-0400-000000000000}">
      <formula1>"M01,M05,M07,M09,M10,M12,M13,M14,M15,M17,M20,M-MGR"</formula1>
      <formula2>0</formula2>
    </dataValidation>
    <dataValidation type="list" allowBlank="1" sqref="G5" xr:uid="{00000000-0002-0000-0400-000001000000}">
      <formula1>"N1,N2,N3,N4,N5,N6,N7,M1,M2,M3,M4"</formula1>
      <formula2>0</formula2>
    </dataValidation>
    <dataValidation type="list" allowBlank="1" sqref="J5" xr:uid="{00000000-0002-0000-0400-000002000000}">
      <formula1>"FR,IT,CH,GB,US,JP,HK"</formula1>
      <formula2>0</formula2>
    </dataValidation>
    <dataValidation type="list" allowBlank="1" sqref="E6" xr:uid="{00000000-0002-0000-0400-000003000000}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235A"/>
  </sheetPr>
  <dimension ref="B1:O40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4" customWidth="1"/>
    <col min="3" max="3" width="36" customWidth="1"/>
    <col min="4" max="4" width="14" customWidth="1"/>
    <col min="5" max="5" width="12" customWidth="1"/>
    <col min="6" max="6" width="10" customWidth="1"/>
    <col min="7" max="7" width="18" customWidth="1"/>
  </cols>
  <sheetData>
    <row r="1" spans="2:15" ht="31.5" customHeight="1" x14ac:dyDescent="0.25">
      <c r="B1" s="5" t="s">
        <v>342</v>
      </c>
      <c r="C1" s="5"/>
      <c r="D1" s="5"/>
      <c r="E1" s="5"/>
      <c r="F1" s="5"/>
      <c r="G1" s="5"/>
    </row>
    <row r="2" spans="2:15" ht="15.75" customHeight="1" x14ac:dyDescent="0.25">
      <c r="B2" s="13" t="s">
        <v>343</v>
      </c>
      <c r="C2" s="13"/>
      <c r="D2" s="13"/>
      <c r="E2" s="13"/>
      <c r="F2" s="13"/>
      <c r="G2" s="13"/>
    </row>
    <row r="4" spans="2:15" ht="21.75" customHeight="1" x14ac:dyDescent="0.25">
      <c r="B4" s="12" t="s">
        <v>344</v>
      </c>
      <c r="C4" s="12"/>
      <c r="D4" s="12"/>
      <c r="E4" s="12"/>
      <c r="F4" s="12"/>
      <c r="G4" s="12"/>
    </row>
    <row r="5" spans="2:15" ht="21.75" customHeight="1" x14ac:dyDescent="0.25">
      <c r="B5" s="32" t="s">
        <v>345</v>
      </c>
      <c r="C5" s="17" t="s">
        <v>86</v>
      </c>
      <c r="D5" s="32" t="s">
        <v>346</v>
      </c>
      <c r="E5" s="17" t="s">
        <v>93</v>
      </c>
      <c r="F5" s="32" t="s">
        <v>347</v>
      </c>
      <c r="G5" s="17" t="s">
        <v>348</v>
      </c>
      <c r="I5" t="s">
        <v>86</v>
      </c>
      <c r="J5">
        <v>100</v>
      </c>
      <c r="L5" t="s">
        <v>86</v>
      </c>
      <c r="M5">
        <v>24000</v>
      </c>
      <c r="N5" t="s">
        <v>86</v>
      </c>
      <c r="O5">
        <v>8000</v>
      </c>
    </row>
    <row r="6" spans="2:15" ht="21.75" customHeight="1" x14ac:dyDescent="0.25">
      <c r="B6" s="32" t="s">
        <v>349</v>
      </c>
      <c r="C6" s="17" t="s">
        <v>350</v>
      </c>
      <c r="D6" s="32" t="s">
        <v>351</v>
      </c>
      <c r="E6" s="113">
        <f>IF(F6="Couple + 2 enfants",2,IF(F6="Couple + 3 enfants",3,IF(F6="Couple + 1 enfant",1,0)))</f>
        <v>0</v>
      </c>
      <c r="F6" s="32" t="s">
        <v>352</v>
      </c>
      <c r="G6" s="36">
        <v>55000</v>
      </c>
      <c r="I6" t="s">
        <v>90</v>
      </c>
      <c r="J6">
        <v>92</v>
      </c>
      <c r="K6">
        <f>IFERROR(VLOOKUP(E5,$I$5:$J$14,2,FALSE()),100)</f>
        <v>125</v>
      </c>
      <c r="L6" t="s">
        <v>90</v>
      </c>
      <c r="M6">
        <v>18000</v>
      </c>
      <c r="N6" t="s">
        <v>90</v>
      </c>
      <c r="O6">
        <v>6000</v>
      </c>
    </row>
    <row r="7" spans="2:15" ht="15" customHeight="1" x14ac:dyDescent="0.25">
      <c r="I7" t="s">
        <v>93</v>
      </c>
      <c r="J7">
        <v>125</v>
      </c>
      <c r="K7">
        <f>IFERROR(VLOOKUP(C5,$I$5:$J$14,2,FALSE()),100)</f>
        <v>100</v>
      </c>
      <c r="L7" t="s">
        <v>93</v>
      </c>
      <c r="M7">
        <v>38400</v>
      </c>
      <c r="N7" t="s">
        <v>93</v>
      </c>
      <c r="O7">
        <v>15000</v>
      </c>
    </row>
    <row r="8" spans="2:15" ht="15" customHeight="1" x14ac:dyDescent="0.25">
      <c r="I8" t="s">
        <v>97</v>
      </c>
      <c r="J8">
        <v>118</v>
      </c>
      <c r="L8" t="s">
        <v>97</v>
      </c>
      <c r="M8">
        <v>33600</v>
      </c>
      <c r="N8" t="s">
        <v>97</v>
      </c>
      <c r="O8">
        <v>18000</v>
      </c>
    </row>
    <row r="9" spans="2:15" ht="21.75" customHeight="1" x14ac:dyDescent="0.25">
      <c r="B9" s="15"/>
      <c r="C9" s="15" t="s">
        <v>353</v>
      </c>
      <c r="D9" s="15" t="s">
        <v>354</v>
      </c>
      <c r="E9" s="15" t="s">
        <v>355</v>
      </c>
      <c r="F9" s="15" t="s">
        <v>356</v>
      </c>
      <c r="G9" s="15" t="s">
        <v>284</v>
      </c>
      <c r="I9" t="s">
        <v>101</v>
      </c>
      <c r="J9">
        <v>130</v>
      </c>
      <c r="L9" t="s">
        <v>101</v>
      </c>
      <c r="M9">
        <v>42000</v>
      </c>
      <c r="N9" t="s">
        <v>101</v>
      </c>
      <c r="O9">
        <v>22000</v>
      </c>
    </row>
    <row r="10" spans="2:15" ht="19.5" customHeight="1" x14ac:dyDescent="0.25">
      <c r="B10" s="1" t="s">
        <v>357</v>
      </c>
      <c r="C10" s="1"/>
      <c r="D10" s="1"/>
      <c r="E10" s="1"/>
      <c r="F10" s="1"/>
      <c r="G10" s="1"/>
      <c r="I10" t="s">
        <v>105</v>
      </c>
      <c r="J10">
        <v>110</v>
      </c>
      <c r="L10" t="s">
        <v>105</v>
      </c>
      <c r="M10">
        <v>26400</v>
      </c>
      <c r="N10" t="s">
        <v>105</v>
      </c>
      <c r="O10">
        <v>12000</v>
      </c>
    </row>
    <row r="11" spans="2:15" ht="19.5" customHeight="1" x14ac:dyDescent="0.25">
      <c r="B11" s="114"/>
      <c r="C11" s="115" t="s">
        <v>358</v>
      </c>
      <c r="D11" s="94">
        <f>G6</f>
        <v>55000</v>
      </c>
      <c r="E11" s="93">
        <f>IFERROR(D11/12,0)</f>
        <v>4583.333333333333</v>
      </c>
      <c r="F11" s="116">
        <f>IFERROR(D11/D36,0)</f>
        <v>0.34321908298101372</v>
      </c>
      <c r="G11" s="29" t="s">
        <v>359</v>
      </c>
      <c r="I11" t="s">
        <v>108</v>
      </c>
      <c r="J11">
        <v>135</v>
      </c>
      <c r="L11" t="s">
        <v>108</v>
      </c>
      <c r="M11">
        <v>48000</v>
      </c>
      <c r="N11" t="s">
        <v>108</v>
      </c>
      <c r="O11">
        <v>20000</v>
      </c>
    </row>
    <row r="12" spans="2:15" ht="19.5" customHeight="1" x14ac:dyDescent="0.25">
      <c r="B12" s="114"/>
      <c r="C12" s="115" t="s">
        <v>360</v>
      </c>
      <c r="D12" s="94">
        <f>G6*0.2</f>
        <v>11000</v>
      </c>
      <c r="E12" s="93">
        <f>IFERROR(D12/12,0)</f>
        <v>916.66666666666663</v>
      </c>
      <c r="F12" s="116">
        <f>IFERROR(D12/D36,0)</f>
        <v>6.864381659620275E-2</v>
      </c>
      <c r="G12" s="29" t="s">
        <v>361</v>
      </c>
      <c r="I12" t="s">
        <v>362</v>
      </c>
      <c r="J12">
        <v>122</v>
      </c>
      <c r="L12" t="s">
        <v>362</v>
      </c>
      <c r="M12">
        <v>36000</v>
      </c>
      <c r="N12" t="s">
        <v>362</v>
      </c>
      <c r="O12">
        <v>16000</v>
      </c>
    </row>
    <row r="13" spans="2:15" ht="19.5" customHeight="1" x14ac:dyDescent="0.25">
      <c r="B13" s="114"/>
      <c r="C13" s="115" t="s">
        <v>363</v>
      </c>
      <c r="D13" s="94">
        <f>IF(OR(E5="JP",E5="CN",E5="AE"),G6*0.1,0)</f>
        <v>0</v>
      </c>
      <c r="E13" s="93">
        <f>IFERROR(D13/12,0)</f>
        <v>0</v>
      </c>
      <c r="F13" s="116">
        <f>IFERROR(D13/D36,0)</f>
        <v>0</v>
      </c>
      <c r="G13" s="29" t="s">
        <v>364</v>
      </c>
      <c r="I13" t="s">
        <v>365</v>
      </c>
      <c r="J13">
        <v>88</v>
      </c>
      <c r="L13" t="s">
        <v>365</v>
      </c>
      <c r="M13">
        <v>21600</v>
      </c>
      <c r="N13" t="s">
        <v>365</v>
      </c>
      <c r="O13">
        <v>8000</v>
      </c>
    </row>
    <row r="14" spans="2:15" ht="19.5" customHeight="1" x14ac:dyDescent="0.25">
      <c r="B14" s="114"/>
      <c r="C14" s="115" t="s">
        <v>366</v>
      </c>
      <c r="D14" s="94">
        <f>G6*(K6/K7-1)*0.85</f>
        <v>11687.5</v>
      </c>
      <c r="E14" s="93">
        <f>IFERROR(D14/12,0)</f>
        <v>973.95833333333337</v>
      </c>
      <c r="F14" s="116">
        <f>IFERROR(D14/D36,0)</f>
        <v>7.2934055133465417E-2</v>
      </c>
      <c r="G14" s="29" t="s">
        <v>367</v>
      </c>
      <c r="I14" t="s">
        <v>368</v>
      </c>
      <c r="J14">
        <v>105</v>
      </c>
      <c r="L14" t="s">
        <v>368</v>
      </c>
      <c r="M14">
        <v>30000</v>
      </c>
      <c r="N14" t="s">
        <v>368</v>
      </c>
      <c r="O14">
        <v>15000</v>
      </c>
    </row>
    <row r="15" spans="2:15" ht="19.5" customHeight="1" x14ac:dyDescent="0.25">
      <c r="B15" s="1" t="s">
        <v>369</v>
      </c>
      <c r="C15" s="1"/>
      <c r="D15" s="1"/>
      <c r="E15" s="1"/>
      <c r="F15" s="1"/>
      <c r="G15" s="1"/>
    </row>
    <row r="16" spans="2:15" ht="19.5" customHeight="1" x14ac:dyDescent="0.25">
      <c r="B16" s="114"/>
      <c r="C16" s="115" t="s">
        <v>370</v>
      </c>
      <c r="D16" s="94">
        <f>IFERROR(VLOOKUP(E5,$L$5:$M$14,2,FALSE()),24000)</f>
        <v>38400</v>
      </c>
      <c r="E16" s="93">
        <f>IFERROR(D16/12,0)</f>
        <v>3200</v>
      </c>
      <c r="F16" s="116">
        <f>IFERROR(D16/D36,0)</f>
        <v>0.23962932339038051</v>
      </c>
      <c r="G16" s="29" t="s">
        <v>371</v>
      </c>
    </row>
    <row r="17" spans="2:7" ht="19.5" customHeight="1" x14ac:dyDescent="0.25">
      <c r="B17" s="114"/>
      <c r="C17" s="115" t="s">
        <v>372</v>
      </c>
      <c r="D17" s="94">
        <f>IFERROR(VLOOKUP(E5,$L$5:$M$14,2,FALSE()),24000)*0.15</f>
        <v>5760</v>
      </c>
      <c r="E17" s="93">
        <f>IFERROR(D17/12,0)</f>
        <v>480</v>
      </c>
      <c r="F17" s="116">
        <f>IFERROR(D17/D36,0)</f>
        <v>3.5944398508557074E-2</v>
      </c>
      <c r="G17" s="29" t="s">
        <v>373</v>
      </c>
    </row>
    <row r="18" spans="2:7" ht="19.5" customHeight="1" x14ac:dyDescent="0.25">
      <c r="B18" s="114"/>
      <c r="C18" s="115" t="s">
        <v>374</v>
      </c>
      <c r="D18" s="94">
        <f>2500</f>
        <v>2500</v>
      </c>
      <c r="E18" s="93">
        <f>IFERROR(D18/12,0)</f>
        <v>208.33333333333334</v>
      </c>
      <c r="F18" s="116">
        <f>IFERROR(D18/D36,0)</f>
        <v>1.5600867408227897E-2</v>
      </c>
      <c r="G18" s="29" t="s">
        <v>375</v>
      </c>
    </row>
    <row r="19" spans="2:7" ht="19.5" customHeight="1" x14ac:dyDescent="0.25">
      <c r="B19" s="1" t="s">
        <v>376</v>
      </c>
      <c r="C19" s="1"/>
      <c r="D19" s="1"/>
      <c r="E19" s="1"/>
      <c r="F19" s="1"/>
      <c r="G19" s="1"/>
    </row>
    <row r="20" spans="2:7" ht="19.5" customHeight="1" x14ac:dyDescent="0.25">
      <c r="B20" s="114"/>
      <c r="C20" s="115" t="s">
        <v>377</v>
      </c>
      <c r="D20" s="94">
        <f>E6*IFERROR(VLOOKUP(E5,$N$5:$O$14,2,FALSE()),12000)</f>
        <v>0</v>
      </c>
      <c r="E20" s="93">
        <f>IFERROR(D20/12,0)</f>
        <v>0</v>
      </c>
      <c r="F20" s="116">
        <f>IFERROR(D20/D36,0)</f>
        <v>0</v>
      </c>
      <c r="G20" s="29" t="s">
        <v>378</v>
      </c>
    </row>
    <row r="21" spans="2:7" ht="19.5" customHeight="1" x14ac:dyDescent="0.25">
      <c r="B21" s="1" t="s">
        <v>379</v>
      </c>
      <c r="C21" s="1"/>
      <c r="D21" s="1"/>
      <c r="E21" s="1"/>
      <c r="F21" s="1"/>
      <c r="G21" s="1"/>
    </row>
    <row r="22" spans="2:7" ht="19.5" customHeight="1" x14ac:dyDescent="0.25">
      <c r="B22" s="114"/>
      <c r="C22" s="115" t="s">
        <v>380</v>
      </c>
      <c r="D22" s="94">
        <f>MAX(E6,1)*2*800+800</f>
        <v>2400</v>
      </c>
      <c r="E22" s="93">
        <f>IFERROR(D22/12,0)</f>
        <v>200</v>
      </c>
      <c r="F22" s="116">
        <f>IFERROR(D22/D36,0)</f>
        <v>1.4976832711898782E-2</v>
      </c>
      <c r="G22" s="29" t="s">
        <v>381</v>
      </c>
    </row>
    <row r="23" spans="2:7" ht="19.5" customHeight="1" x14ac:dyDescent="0.25">
      <c r="B23" s="114"/>
      <c r="C23" s="115" t="s">
        <v>382</v>
      </c>
      <c r="D23" s="94">
        <f>8000</f>
        <v>8000</v>
      </c>
      <c r="E23" s="93">
        <f>IFERROR(D23/12,0)</f>
        <v>666.66666666666663</v>
      </c>
      <c r="F23" s="116">
        <f>IFERROR(D23/D36,0)</f>
        <v>4.9922775706329268E-2</v>
      </c>
      <c r="G23" s="29" t="s">
        <v>383</v>
      </c>
    </row>
    <row r="24" spans="2:7" ht="19.5" customHeight="1" x14ac:dyDescent="0.25">
      <c r="B24" s="114"/>
      <c r="C24" s="115" t="s">
        <v>384</v>
      </c>
      <c r="D24" s="94">
        <f>IF(OR(E5="JP",E5="HK",E5="SG"),1800,4200)</f>
        <v>4200</v>
      </c>
      <c r="E24" s="93">
        <f>IFERROR(D24/12,0)</f>
        <v>350</v>
      </c>
      <c r="F24" s="116">
        <f>IFERROR(D24/D36,0)</f>
        <v>2.6209457245822868E-2</v>
      </c>
      <c r="G24" s="29" t="s">
        <v>385</v>
      </c>
    </row>
    <row r="25" spans="2:7" ht="19.5" customHeight="1" x14ac:dyDescent="0.25">
      <c r="B25" s="1" t="s">
        <v>386</v>
      </c>
      <c r="C25" s="1"/>
      <c r="D25" s="1"/>
      <c r="E25" s="1"/>
      <c r="F25" s="1"/>
      <c r="G25" s="1"/>
    </row>
    <row r="26" spans="2:7" ht="19.5" customHeight="1" x14ac:dyDescent="0.25">
      <c r="B26" s="114"/>
      <c r="C26" s="115" t="s">
        <v>387</v>
      </c>
      <c r="D26" s="94">
        <f>MAX(E6,1)*2800+5200</f>
        <v>8000</v>
      </c>
      <c r="E26" s="93">
        <f>IFERROR(D26/12,0)</f>
        <v>666.66666666666663</v>
      </c>
      <c r="F26" s="116">
        <f>IFERROR(D26/D36,0)</f>
        <v>4.9922775706329268E-2</v>
      </c>
      <c r="G26" s="29" t="s">
        <v>388</v>
      </c>
    </row>
    <row r="27" spans="2:7" ht="19.5" customHeight="1" x14ac:dyDescent="0.25">
      <c r="B27" s="114"/>
      <c r="C27" s="115" t="s">
        <v>389</v>
      </c>
      <c r="D27" s="94">
        <f>2400</f>
        <v>2400</v>
      </c>
      <c r="E27" s="93">
        <f>IFERROR(D27/12,0)</f>
        <v>200</v>
      </c>
      <c r="F27" s="116">
        <f>IFERROR(D27/D36,0)</f>
        <v>1.4976832711898782E-2</v>
      </c>
      <c r="G27" s="29" t="s">
        <v>390</v>
      </c>
    </row>
    <row r="28" spans="2:7" ht="19.5" customHeight="1" x14ac:dyDescent="0.25">
      <c r="B28" s="114"/>
      <c r="C28" s="115" t="s">
        <v>391</v>
      </c>
      <c r="D28" s="94">
        <f>500</f>
        <v>500</v>
      </c>
      <c r="E28" s="93">
        <f>IFERROR(D28/12,0)</f>
        <v>41.666666666666664</v>
      </c>
      <c r="F28" s="116">
        <f>IFERROR(D28/D36,0)</f>
        <v>3.1201734816455793E-3</v>
      </c>
      <c r="G28" s="29" t="s">
        <v>392</v>
      </c>
    </row>
    <row r="29" spans="2:7" ht="19.5" customHeight="1" x14ac:dyDescent="0.25">
      <c r="B29" s="1" t="s">
        <v>393</v>
      </c>
      <c r="C29" s="1"/>
      <c r="D29" s="1"/>
      <c r="E29" s="1"/>
      <c r="F29" s="1"/>
      <c r="G29" s="1"/>
    </row>
    <row r="30" spans="2:7" ht="19.5" customHeight="1" x14ac:dyDescent="0.25">
      <c r="B30" s="114"/>
      <c r="C30" s="115" t="s">
        <v>394</v>
      </c>
      <c r="D30" s="94">
        <f>G6*IF(E5="CH",0.08,IF(E5="HK",0.05,IF(E5="US",0.12,0.1)))</f>
        <v>4400</v>
      </c>
      <c r="E30" s="93">
        <f>IFERROR(D30/12,0)</f>
        <v>366.66666666666669</v>
      </c>
      <c r="F30" s="116">
        <f>IFERROR(D30/D36,0)</f>
        <v>2.7457526638481101E-2</v>
      </c>
      <c r="G30" s="29" t="s">
        <v>395</v>
      </c>
    </row>
    <row r="31" spans="2:7" ht="19.5" customHeight="1" x14ac:dyDescent="0.25">
      <c r="B31" s="114"/>
      <c r="C31" s="115" t="s">
        <v>396</v>
      </c>
      <c r="D31" s="94">
        <f>1500</f>
        <v>1500</v>
      </c>
      <c r="E31" s="93">
        <f>IFERROR(D31/12,0)</f>
        <v>125</v>
      </c>
      <c r="F31" s="116">
        <f>IFERROR(D31/D36,0)</f>
        <v>9.3605204449367391E-3</v>
      </c>
      <c r="G31" s="29" t="s">
        <v>397</v>
      </c>
    </row>
    <row r="32" spans="2:7" ht="19.5" customHeight="1" x14ac:dyDescent="0.25">
      <c r="B32" s="1" t="s">
        <v>398</v>
      </c>
      <c r="C32" s="1"/>
      <c r="D32" s="1"/>
      <c r="E32" s="1"/>
      <c r="F32" s="1"/>
      <c r="G32" s="1"/>
    </row>
    <row r="33" spans="2:7" ht="19.5" customHeight="1" x14ac:dyDescent="0.25">
      <c r="B33" s="114"/>
      <c r="C33" s="115" t="s">
        <v>399</v>
      </c>
      <c r="D33" s="94">
        <f>2000</f>
        <v>2000</v>
      </c>
      <c r="E33" s="93">
        <f>IFERROR(D33/12,0)</f>
        <v>166.66666666666666</v>
      </c>
      <c r="F33" s="116">
        <f>IFERROR(D33/D36,0)</f>
        <v>1.2480693926582317E-2</v>
      </c>
      <c r="G33" s="29" t="s">
        <v>400</v>
      </c>
    </row>
    <row r="34" spans="2:7" ht="19.5" customHeight="1" x14ac:dyDescent="0.25">
      <c r="B34" s="114"/>
      <c r="C34" s="115" t="s">
        <v>401</v>
      </c>
      <c r="D34" s="94">
        <f>1500</f>
        <v>1500</v>
      </c>
      <c r="E34" s="93">
        <f>IFERROR(D34/12,0)</f>
        <v>125</v>
      </c>
      <c r="F34" s="116">
        <f>IFERROR(D34/D36,0)</f>
        <v>9.3605204449367391E-3</v>
      </c>
      <c r="G34" s="29" t="s">
        <v>402</v>
      </c>
    </row>
    <row r="35" spans="2:7" ht="19.5" customHeight="1" x14ac:dyDescent="0.25">
      <c r="B35" s="114"/>
      <c r="C35" s="115" t="s">
        <v>403</v>
      </c>
      <c r="D35" s="94">
        <f>1000</f>
        <v>1000</v>
      </c>
      <c r="E35" s="93">
        <f>IFERROR(D35/12,0)</f>
        <v>83.333333333333329</v>
      </c>
      <c r="F35" s="116">
        <f>IFERROR(D35/D36,0)</f>
        <v>6.2403469632911586E-3</v>
      </c>
      <c r="G35" s="29" t="s">
        <v>404</v>
      </c>
    </row>
    <row r="36" spans="2:7" ht="27.75" customHeight="1" x14ac:dyDescent="0.25">
      <c r="B36" s="170" t="s">
        <v>405</v>
      </c>
      <c r="C36" s="170"/>
      <c r="D36" s="97">
        <f>D11+D12+D13+D14+D16+D17+D18+D20+D22+D23+D24+D26+D27+D28+D30+D31+D33+D34+D35</f>
        <v>160247.5</v>
      </c>
      <c r="E36" s="99">
        <f>IFERROR(D36/12,0)</f>
        <v>13353.958333333334</v>
      </c>
      <c r="F36" s="98"/>
      <c r="G36" s="98"/>
    </row>
    <row r="37" spans="2:7" ht="21.75" customHeight="1" x14ac:dyDescent="0.25">
      <c r="B37" s="12" t="s">
        <v>406</v>
      </c>
      <c r="C37" s="12"/>
      <c r="D37" s="117">
        <f>IFERROR(D36/('05_PACKAGE_SIMULATION'!F34),2.8)</f>
        <v>0.82655132306152845</v>
      </c>
      <c r="E37" s="189" t="s">
        <v>407</v>
      </c>
      <c r="F37" s="189"/>
      <c r="G37" s="189"/>
    </row>
    <row r="40" spans="2:7" ht="21.75" customHeight="1" x14ac:dyDescent="0.25">
      <c r="B40" s="10" t="s">
        <v>341</v>
      </c>
      <c r="C40" s="10"/>
      <c r="D40" s="10"/>
      <c r="E40" s="10"/>
      <c r="F40" s="10"/>
      <c r="G40" s="10"/>
    </row>
  </sheetData>
  <mergeCells count="14">
    <mergeCell ref="B36:C36"/>
    <mergeCell ref="B37:C37"/>
    <mergeCell ref="E37:G37"/>
    <mergeCell ref="B40:G40"/>
    <mergeCell ref="B19:G19"/>
    <mergeCell ref="B21:G21"/>
    <mergeCell ref="B25:G25"/>
    <mergeCell ref="B29:G29"/>
    <mergeCell ref="B32:G32"/>
    <mergeCell ref="B1:G1"/>
    <mergeCell ref="B2:G2"/>
    <mergeCell ref="B4:G4"/>
    <mergeCell ref="B10:G10"/>
    <mergeCell ref="B15:G15"/>
  </mergeCells>
  <dataValidations count="4">
    <dataValidation type="list" allowBlank="1" sqref="C5" xr:uid="{00000000-0002-0000-0500-000000000000}">
      <formula1>"FR,IT,CH,GB,US,JP,HK"</formula1>
      <formula2>0</formula2>
    </dataValidation>
    <dataValidation type="list" allowBlank="1" sqref="E5" xr:uid="{00000000-0002-0000-0500-000001000000}">
      <formula1>"FR,IT,CH,GB,US,JP,HK,CN,US,JP,SG,AE"</formula1>
      <formula2>0</formula2>
    </dataValidation>
    <dataValidation type="list" allowBlank="1" sqref="G5" xr:uid="{00000000-0002-0000-0500-000002000000}">
      <formula1>"1 an,2 ans,3 ans,5 ans,Indéfinie"</formula1>
      <formula2>0</formula2>
    </dataValidation>
    <dataValidation type="list" allowBlank="1" sqref="C6" xr:uid="{00000000-0002-0000-0500-000003000000}">
      <formula1>"Célibataire,Couple sans enfant,Couple + 1 enfant,Couple + 2 enfants,Couple + 3 enfants"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95C"/>
  </sheetPr>
  <dimension ref="B1:L57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22" customWidth="1"/>
    <col min="3" max="4" width="8" customWidth="1"/>
    <col min="5" max="5" width="6" customWidth="1"/>
    <col min="6" max="7" width="14" customWidth="1"/>
    <col min="8" max="8" width="10" customWidth="1"/>
    <col min="9" max="9" width="14" customWidth="1"/>
    <col min="10" max="10" width="10" customWidth="1"/>
    <col min="11" max="12" width="12" customWidth="1"/>
  </cols>
  <sheetData>
    <row r="1" spans="2:12" ht="31.5" customHeight="1" x14ac:dyDescent="0.25">
      <c r="B1" s="5" t="s">
        <v>408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12" ht="15.75" customHeight="1" x14ac:dyDescent="0.25">
      <c r="B2" s="13" t="s">
        <v>409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2:12" ht="21.75" customHeight="1" x14ac:dyDescent="0.25">
      <c r="B4" s="12" t="s">
        <v>410</v>
      </c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2:12" ht="19.5" customHeight="1" x14ac:dyDescent="0.25">
      <c r="B5" s="190">
        <f>COUNTIF(H9:H58,"&lt;0.85")</f>
        <v>11</v>
      </c>
      <c r="C5" s="190"/>
      <c r="D5" s="190"/>
      <c r="E5" s="191">
        <f>IFERROR(AVERAGEIF(F9:F58,"F",G9:G58)/AVERAGEIF(F9:F58,"H",G9:G58)-1,"N/D")</f>
        <v>-0.11036789297658867</v>
      </c>
      <c r="F5" s="191"/>
      <c r="G5" s="191"/>
      <c r="H5" s="190">
        <f ca="1">COUNTIFS(L9:L58,"&lt;"&amp;DATE(YEAR(TODAY())-2,MONTH(TODAY()),DAY(TODAY())))</f>
        <v>0</v>
      </c>
      <c r="I5" s="190"/>
      <c r="J5" s="190"/>
      <c r="K5" s="192">
        <f>COUNTIFS(H9:H58,"&gt;=0.95",H9:H58,"&lt;=1.10")</f>
        <v>0</v>
      </c>
      <c r="L5" s="192"/>
    </row>
    <row r="6" spans="2:12" ht="19.5" customHeight="1" x14ac:dyDescent="0.25">
      <c r="B6" s="193" t="s">
        <v>411</v>
      </c>
      <c r="C6" s="193"/>
      <c r="D6" s="193"/>
      <c r="E6" s="193" t="s">
        <v>412</v>
      </c>
      <c r="F6" s="193"/>
      <c r="G6" s="193"/>
      <c r="H6" s="193" t="s">
        <v>413</v>
      </c>
      <c r="I6" s="193"/>
      <c r="J6" s="193"/>
      <c r="K6" s="193" t="s">
        <v>414</v>
      </c>
      <c r="L6" s="193"/>
    </row>
    <row r="7" spans="2:12" ht="19.5" customHeight="1" x14ac:dyDescent="0.25"/>
    <row r="8" spans="2:12" ht="21.75" customHeight="1" x14ac:dyDescent="0.25">
      <c r="B8" s="12" t="s">
        <v>415</v>
      </c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2:12" ht="36" customHeight="1" x14ac:dyDescent="0.25">
      <c r="B9" s="15" t="s">
        <v>416</v>
      </c>
      <c r="C9" s="15" t="s">
        <v>417</v>
      </c>
      <c r="D9" s="15" t="s">
        <v>124</v>
      </c>
      <c r="E9" s="15" t="s">
        <v>83</v>
      </c>
      <c r="F9" s="15" t="s">
        <v>418</v>
      </c>
      <c r="G9" s="15" t="s">
        <v>419</v>
      </c>
      <c r="H9" s="15" t="s">
        <v>129</v>
      </c>
      <c r="I9" s="15" t="s">
        <v>420</v>
      </c>
      <c r="J9" s="15" t="s">
        <v>421</v>
      </c>
      <c r="K9" s="15" t="s">
        <v>422</v>
      </c>
      <c r="L9" s="15" t="s">
        <v>423</v>
      </c>
    </row>
    <row r="10" spans="2:12" ht="19.5" customHeight="1" x14ac:dyDescent="0.25">
      <c r="B10" s="30" t="s">
        <v>424</v>
      </c>
      <c r="C10" s="33" t="s">
        <v>131</v>
      </c>
      <c r="D10" s="35" t="s">
        <v>45</v>
      </c>
      <c r="E10" s="22" t="s">
        <v>86</v>
      </c>
      <c r="F10" s="118" t="s">
        <v>425</v>
      </c>
      <c r="G10" s="64">
        <v>72000</v>
      </c>
      <c r="H10" s="40">
        <f t="shared" ref="H10:H17" si="0">IFERROR(G10/I10,1)</f>
        <v>0.9</v>
      </c>
      <c r="I10" s="94">
        <v>80000</v>
      </c>
      <c r="J10" s="119" t="str">
        <f t="shared" ref="J10:J39" si="1">IF(H10&gt;1.15,"🔴 Surpayé",IF(H10&gt;1.05,"🟢 Au-dessus",IF(H10&gt;=0.95,"🟢 Dans cible",IF(H10&gt;=0.85,"🟡 Sous-payé","🔴 Risque rétention"))))</f>
        <v>🟡 Sous-payé</v>
      </c>
      <c r="K10" s="120">
        <v>32</v>
      </c>
      <c r="L10" s="121" t="s">
        <v>426</v>
      </c>
    </row>
    <row r="11" spans="2:12" ht="19.5" customHeight="1" x14ac:dyDescent="0.25">
      <c r="B11" s="30" t="s">
        <v>427</v>
      </c>
      <c r="C11" s="33" t="s">
        <v>133</v>
      </c>
      <c r="D11" s="35" t="s">
        <v>41</v>
      </c>
      <c r="E11" s="22" t="s">
        <v>86</v>
      </c>
      <c r="F11" s="122" t="s">
        <v>428</v>
      </c>
      <c r="G11" s="64">
        <v>52000</v>
      </c>
      <c r="H11" s="40">
        <f t="shared" si="0"/>
        <v>0.70270270270270274</v>
      </c>
      <c r="I11" s="94">
        <v>74000</v>
      </c>
      <c r="J11" s="119" t="str">
        <f t="shared" si="1"/>
        <v>🔴 Risque rétention</v>
      </c>
      <c r="K11" s="120">
        <v>22</v>
      </c>
      <c r="L11" s="121" t="s">
        <v>429</v>
      </c>
    </row>
    <row r="12" spans="2:12" ht="19.5" customHeight="1" x14ac:dyDescent="0.25">
      <c r="B12" s="30" t="s">
        <v>430</v>
      </c>
      <c r="C12" s="33" t="s">
        <v>140</v>
      </c>
      <c r="D12" s="35" t="s">
        <v>41</v>
      </c>
      <c r="E12" s="22" t="s">
        <v>86</v>
      </c>
      <c r="F12" s="118" t="s">
        <v>425</v>
      </c>
      <c r="G12" s="64">
        <v>48000</v>
      </c>
      <c r="H12" s="40">
        <f t="shared" si="0"/>
        <v>0.68571428571428572</v>
      </c>
      <c r="I12" s="94">
        <v>70000</v>
      </c>
      <c r="J12" s="119" t="str">
        <f t="shared" si="1"/>
        <v>🔴 Risque rétention</v>
      </c>
      <c r="K12" s="120">
        <v>18</v>
      </c>
      <c r="L12" s="121" t="s">
        <v>431</v>
      </c>
    </row>
    <row r="13" spans="2:12" ht="19.5" customHeight="1" x14ac:dyDescent="0.25">
      <c r="B13" s="30" t="s">
        <v>432</v>
      </c>
      <c r="C13" s="33" t="s">
        <v>137</v>
      </c>
      <c r="D13" s="35" t="s">
        <v>41</v>
      </c>
      <c r="E13" s="22" t="s">
        <v>86</v>
      </c>
      <c r="F13" s="122" t="s">
        <v>428</v>
      </c>
      <c r="G13" s="64">
        <v>58000</v>
      </c>
      <c r="H13" s="40">
        <f t="shared" si="0"/>
        <v>0.82857142857142863</v>
      </c>
      <c r="I13" s="94">
        <v>70000</v>
      </c>
      <c r="J13" s="119" t="str">
        <f t="shared" si="1"/>
        <v>🔴 Risque rétention</v>
      </c>
      <c r="K13" s="120">
        <v>26</v>
      </c>
      <c r="L13" s="121" t="s">
        <v>433</v>
      </c>
    </row>
    <row r="14" spans="2:12" ht="19.5" customHeight="1" x14ac:dyDescent="0.25">
      <c r="B14" s="30" t="s">
        <v>434</v>
      </c>
      <c r="C14" s="33" t="s">
        <v>131</v>
      </c>
      <c r="D14" s="35" t="s">
        <v>29</v>
      </c>
      <c r="E14" s="22" t="s">
        <v>86</v>
      </c>
      <c r="F14" s="122" t="s">
        <v>428</v>
      </c>
      <c r="G14" s="64">
        <v>28000</v>
      </c>
      <c r="H14" s="40">
        <f t="shared" si="0"/>
        <v>1.1200000000000001</v>
      </c>
      <c r="I14" s="94">
        <v>25000</v>
      </c>
      <c r="J14" s="119" t="str">
        <f t="shared" si="1"/>
        <v>🟢 Au-dessus</v>
      </c>
      <c r="K14" s="120">
        <v>5</v>
      </c>
      <c r="L14" s="121" t="s">
        <v>435</v>
      </c>
    </row>
    <row r="15" spans="2:12" ht="19.5" customHeight="1" x14ac:dyDescent="0.25">
      <c r="B15" s="30" t="s">
        <v>436</v>
      </c>
      <c r="C15" s="33" t="s">
        <v>133</v>
      </c>
      <c r="D15" s="35" t="s">
        <v>37</v>
      </c>
      <c r="E15" s="22" t="s">
        <v>86</v>
      </c>
      <c r="F15" s="118" t="s">
        <v>425</v>
      </c>
      <c r="G15" s="64">
        <v>62000</v>
      </c>
      <c r="H15" s="40">
        <f t="shared" si="0"/>
        <v>1.0689655172413792</v>
      </c>
      <c r="I15" s="94">
        <v>58000</v>
      </c>
      <c r="J15" s="119" t="str">
        <f t="shared" si="1"/>
        <v>🟢 Au-dessus</v>
      </c>
      <c r="K15" s="120">
        <v>14</v>
      </c>
      <c r="L15" s="121" t="s">
        <v>437</v>
      </c>
    </row>
    <row r="16" spans="2:12" ht="19.5" customHeight="1" x14ac:dyDescent="0.25">
      <c r="B16" s="30" t="s">
        <v>438</v>
      </c>
      <c r="C16" s="33" t="s">
        <v>143</v>
      </c>
      <c r="D16" s="35" t="s">
        <v>33</v>
      </c>
      <c r="E16" s="22" t="s">
        <v>86</v>
      </c>
      <c r="F16" s="122" t="s">
        <v>428</v>
      </c>
      <c r="G16" s="64">
        <v>34000</v>
      </c>
      <c r="H16" s="40">
        <f t="shared" si="0"/>
        <v>0.97142857142857142</v>
      </c>
      <c r="I16" s="94">
        <v>35000</v>
      </c>
      <c r="J16" s="119" t="str">
        <f t="shared" si="1"/>
        <v>🟢 Dans cible</v>
      </c>
      <c r="K16" s="120">
        <v>10</v>
      </c>
      <c r="L16" s="121" t="s">
        <v>439</v>
      </c>
    </row>
    <row r="17" spans="2:12" ht="19.5" customHeight="1" x14ac:dyDescent="0.25">
      <c r="B17" s="30" t="s">
        <v>440</v>
      </c>
      <c r="C17" s="33" t="s">
        <v>135</v>
      </c>
      <c r="D17" s="35" t="s">
        <v>45</v>
      </c>
      <c r="E17" s="22" t="s">
        <v>86</v>
      </c>
      <c r="F17" s="122" t="s">
        <v>428</v>
      </c>
      <c r="G17" s="64">
        <v>88000</v>
      </c>
      <c r="H17" s="40">
        <f t="shared" si="0"/>
        <v>0.7857142857142857</v>
      </c>
      <c r="I17" s="94">
        <v>112000</v>
      </c>
      <c r="J17" s="119" t="str">
        <f t="shared" si="1"/>
        <v>🔴 Risque rétention</v>
      </c>
      <c r="K17" s="120">
        <v>20</v>
      </c>
      <c r="L17" s="121" t="s">
        <v>441</v>
      </c>
    </row>
    <row r="18" spans="2:12" ht="19.5" customHeight="1" x14ac:dyDescent="0.25">
      <c r="B18" s="30" t="s">
        <v>442</v>
      </c>
      <c r="C18" s="33" t="s">
        <v>443</v>
      </c>
      <c r="D18" s="35" t="s">
        <v>41</v>
      </c>
      <c r="E18" s="22" t="s">
        <v>86</v>
      </c>
      <c r="F18" s="118" t="s">
        <v>425</v>
      </c>
      <c r="G18" s="64">
        <v>65000</v>
      </c>
      <c r="H18" s="40">
        <v>1</v>
      </c>
      <c r="I18" s="94" t="s">
        <v>444</v>
      </c>
      <c r="J18" s="119" t="str">
        <f t="shared" si="1"/>
        <v>🟢 Dans cible</v>
      </c>
      <c r="K18" s="120">
        <v>30</v>
      </c>
      <c r="L18" s="121" t="s">
        <v>445</v>
      </c>
    </row>
    <row r="19" spans="2:12" ht="19.5" customHeight="1" x14ac:dyDescent="0.25">
      <c r="B19" s="30" t="s">
        <v>446</v>
      </c>
      <c r="C19" s="33" t="s">
        <v>140</v>
      </c>
      <c r="D19" s="35" t="s">
        <v>33</v>
      </c>
      <c r="E19" s="22" t="s">
        <v>86</v>
      </c>
      <c r="F19" s="122" t="s">
        <v>428</v>
      </c>
      <c r="G19" s="64">
        <v>36000</v>
      </c>
      <c r="H19" s="40">
        <f>IFERROR(G19/I19,1)</f>
        <v>0.9</v>
      </c>
      <c r="I19" s="94">
        <v>40000</v>
      </c>
      <c r="J19" s="119" t="str">
        <f t="shared" si="1"/>
        <v>🟡 Sous-payé</v>
      </c>
      <c r="K19" s="120">
        <v>6</v>
      </c>
      <c r="L19" s="121" t="s">
        <v>447</v>
      </c>
    </row>
    <row r="20" spans="2:12" ht="19.5" customHeight="1" x14ac:dyDescent="0.25">
      <c r="B20" s="30" t="s">
        <v>448</v>
      </c>
      <c r="C20" s="33" t="s">
        <v>137</v>
      </c>
      <c r="D20" s="35" t="s">
        <v>37</v>
      </c>
      <c r="E20" s="22" t="s">
        <v>86</v>
      </c>
      <c r="F20" s="118" t="s">
        <v>425</v>
      </c>
      <c r="G20" s="64">
        <v>54000</v>
      </c>
      <c r="H20" s="40">
        <f>IFERROR(G20/I20,1)</f>
        <v>0.98181818181818181</v>
      </c>
      <c r="I20" s="94">
        <v>55000</v>
      </c>
      <c r="J20" s="119" t="str">
        <f t="shared" si="1"/>
        <v>🟢 Dans cible</v>
      </c>
      <c r="K20" s="120">
        <v>24</v>
      </c>
      <c r="L20" s="121" t="s">
        <v>449</v>
      </c>
    </row>
    <row r="21" spans="2:12" ht="19.5" customHeight="1" x14ac:dyDescent="0.25">
      <c r="B21" s="30" t="s">
        <v>450</v>
      </c>
      <c r="C21" s="33" t="s">
        <v>451</v>
      </c>
      <c r="D21" s="35" t="s">
        <v>37</v>
      </c>
      <c r="E21" s="22" t="s">
        <v>86</v>
      </c>
      <c r="F21" s="122" t="s">
        <v>428</v>
      </c>
      <c r="G21" s="64">
        <v>44000</v>
      </c>
      <c r="H21" s="40">
        <v>1</v>
      </c>
      <c r="I21" s="94" t="s">
        <v>444</v>
      </c>
      <c r="J21" s="119" t="str">
        <f t="shared" si="1"/>
        <v>🟢 Dans cible</v>
      </c>
      <c r="K21" s="120">
        <v>14</v>
      </c>
      <c r="L21" s="121" t="s">
        <v>452</v>
      </c>
    </row>
    <row r="22" spans="2:12" ht="19.5" customHeight="1" x14ac:dyDescent="0.25">
      <c r="B22" s="30" t="s">
        <v>453</v>
      </c>
      <c r="C22" s="33" t="s">
        <v>146</v>
      </c>
      <c r="D22" s="35" t="s">
        <v>37</v>
      </c>
      <c r="E22" s="22" t="s">
        <v>86</v>
      </c>
      <c r="F22" s="118" t="s">
        <v>425</v>
      </c>
      <c r="G22" s="64">
        <v>46000</v>
      </c>
      <c r="H22" s="40">
        <f>IFERROR(G22/I22,1)</f>
        <v>1.0454545454545454</v>
      </c>
      <c r="I22" s="94">
        <v>44000</v>
      </c>
      <c r="J22" s="119" t="str">
        <f t="shared" si="1"/>
        <v>🟢 Dans cible</v>
      </c>
      <c r="K22" s="120">
        <v>20</v>
      </c>
      <c r="L22" s="121" t="s">
        <v>454</v>
      </c>
    </row>
    <row r="23" spans="2:12" ht="19.5" customHeight="1" x14ac:dyDescent="0.25">
      <c r="B23" s="30" t="s">
        <v>455</v>
      </c>
      <c r="C23" s="33" t="s">
        <v>143</v>
      </c>
      <c r="D23" s="35" t="s">
        <v>29</v>
      </c>
      <c r="E23" s="22" t="s">
        <v>86</v>
      </c>
      <c r="F23" s="122" t="s">
        <v>428</v>
      </c>
      <c r="G23" s="64">
        <v>26000</v>
      </c>
      <c r="H23" s="40">
        <v>1</v>
      </c>
      <c r="I23" s="94" t="s">
        <v>444</v>
      </c>
      <c r="J23" s="119" t="str">
        <f t="shared" si="1"/>
        <v>🟢 Dans cible</v>
      </c>
      <c r="K23" s="120">
        <v>3</v>
      </c>
      <c r="L23" s="121" t="s">
        <v>456</v>
      </c>
    </row>
    <row r="24" spans="2:12" ht="19.5" customHeight="1" x14ac:dyDescent="0.25">
      <c r="B24" s="30" t="s">
        <v>457</v>
      </c>
      <c r="C24" s="33" t="s">
        <v>458</v>
      </c>
      <c r="D24" s="35" t="s">
        <v>33</v>
      </c>
      <c r="E24" s="22" t="s">
        <v>86</v>
      </c>
      <c r="F24" s="118" t="s">
        <v>425</v>
      </c>
      <c r="G24" s="64">
        <v>38000</v>
      </c>
      <c r="H24" s="40">
        <v>1</v>
      </c>
      <c r="I24" s="94" t="s">
        <v>444</v>
      </c>
      <c r="J24" s="119" t="str">
        <f t="shared" si="1"/>
        <v>🟢 Dans cible</v>
      </c>
      <c r="K24" s="120">
        <v>15</v>
      </c>
      <c r="L24" s="121" t="s">
        <v>459</v>
      </c>
    </row>
    <row r="25" spans="2:12" ht="19.5" customHeight="1" x14ac:dyDescent="0.25">
      <c r="B25" s="30" t="s">
        <v>460</v>
      </c>
      <c r="C25" s="33" t="s">
        <v>136</v>
      </c>
      <c r="D25" s="35" t="s">
        <v>41</v>
      </c>
      <c r="E25" s="22" t="s">
        <v>93</v>
      </c>
      <c r="F25" s="122" t="s">
        <v>428</v>
      </c>
      <c r="G25" s="64">
        <v>125000</v>
      </c>
      <c r="H25" s="40">
        <f>IFERROR(G25/I25,1)</f>
        <v>0.90579710144927539</v>
      </c>
      <c r="I25" s="94">
        <v>138000</v>
      </c>
      <c r="J25" s="119" t="str">
        <f t="shared" si="1"/>
        <v>🟡 Sous-payé</v>
      </c>
      <c r="K25" s="120">
        <v>16</v>
      </c>
      <c r="L25" s="121" t="s">
        <v>461</v>
      </c>
    </row>
    <row r="26" spans="2:12" ht="19.5" customHeight="1" x14ac:dyDescent="0.25">
      <c r="B26" s="30" t="s">
        <v>462</v>
      </c>
      <c r="C26" s="33" t="s">
        <v>131</v>
      </c>
      <c r="D26" s="35" t="s">
        <v>45</v>
      </c>
      <c r="E26" s="22" t="s">
        <v>86</v>
      </c>
      <c r="F26" s="118" t="s">
        <v>425</v>
      </c>
      <c r="G26" s="64">
        <v>75000</v>
      </c>
      <c r="H26" s="40">
        <f>IFERROR(G26/I26,1)</f>
        <v>0.9375</v>
      </c>
      <c r="I26" s="94">
        <v>80000</v>
      </c>
      <c r="J26" s="119" t="str">
        <f t="shared" si="1"/>
        <v>🟡 Sous-payé</v>
      </c>
      <c r="K26" s="120">
        <v>35</v>
      </c>
      <c r="L26" s="121" t="s">
        <v>463</v>
      </c>
    </row>
    <row r="27" spans="2:12" ht="19.5" customHeight="1" x14ac:dyDescent="0.25">
      <c r="B27" s="30" t="s">
        <v>464</v>
      </c>
      <c r="C27" s="33" t="s">
        <v>140</v>
      </c>
      <c r="D27" s="35" t="s">
        <v>33</v>
      </c>
      <c r="E27" s="22" t="s">
        <v>86</v>
      </c>
      <c r="F27" s="122" t="s">
        <v>428</v>
      </c>
      <c r="G27" s="64">
        <v>37000</v>
      </c>
      <c r="H27" s="40">
        <f>IFERROR(G27/I27,1)</f>
        <v>0.92500000000000004</v>
      </c>
      <c r="I27" s="94">
        <v>40000</v>
      </c>
      <c r="J27" s="119" t="str">
        <f t="shared" si="1"/>
        <v>🟡 Sous-payé</v>
      </c>
      <c r="K27" s="120">
        <v>7</v>
      </c>
      <c r="L27" s="121" t="s">
        <v>465</v>
      </c>
    </row>
    <row r="28" spans="2:12" ht="19.5" customHeight="1" x14ac:dyDescent="0.25">
      <c r="B28" s="30" t="s">
        <v>466</v>
      </c>
      <c r="C28" s="33" t="s">
        <v>443</v>
      </c>
      <c r="D28" s="35" t="s">
        <v>37</v>
      </c>
      <c r="E28" s="22" t="s">
        <v>86</v>
      </c>
      <c r="F28" s="118" t="s">
        <v>425</v>
      </c>
      <c r="G28" s="64">
        <v>52000</v>
      </c>
      <c r="H28" s="40">
        <v>1</v>
      </c>
      <c r="I28" s="94" t="s">
        <v>444</v>
      </c>
      <c r="J28" s="119" t="str">
        <f t="shared" si="1"/>
        <v>🟢 Dans cible</v>
      </c>
      <c r="K28" s="120">
        <v>12</v>
      </c>
      <c r="L28" s="121" t="s">
        <v>467</v>
      </c>
    </row>
    <row r="29" spans="2:12" ht="19.5" customHeight="1" x14ac:dyDescent="0.25">
      <c r="B29" s="30" t="s">
        <v>468</v>
      </c>
      <c r="C29" s="33" t="s">
        <v>144</v>
      </c>
      <c r="D29" s="35" t="s">
        <v>45</v>
      </c>
      <c r="E29" s="22" t="s">
        <v>86</v>
      </c>
      <c r="F29" s="122" t="s">
        <v>428</v>
      </c>
      <c r="G29" s="64">
        <v>92000</v>
      </c>
      <c r="H29" s="40">
        <f>IFERROR(G29/I29,1)</f>
        <v>0.74796747967479671</v>
      </c>
      <c r="I29" s="94">
        <v>123000</v>
      </c>
      <c r="J29" s="119" t="str">
        <f t="shared" si="1"/>
        <v>🔴 Risque rétention</v>
      </c>
      <c r="K29" s="120">
        <v>16</v>
      </c>
      <c r="L29" s="121" t="s">
        <v>469</v>
      </c>
    </row>
    <row r="30" spans="2:12" ht="19.5" customHeight="1" x14ac:dyDescent="0.25">
      <c r="B30" s="30" t="s">
        <v>470</v>
      </c>
      <c r="C30" s="33" t="s">
        <v>137</v>
      </c>
      <c r="D30" s="35" t="s">
        <v>41</v>
      </c>
      <c r="E30" s="22" t="s">
        <v>93</v>
      </c>
      <c r="F30" s="118" t="s">
        <v>425</v>
      </c>
      <c r="G30" s="64">
        <v>108000</v>
      </c>
      <c r="H30" s="40">
        <f>IFERROR(G30/I30,1)</f>
        <v>0.9152542372881356</v>
      </c>
      <c r="I30" s="94">
        <v>118000</v>
      </c>
      <c r="J30" s="119" t="str">
        <f t="shared" si="1"/>
        <v>🟡 Sous-payé</v>
      </c>
      <c r="K30" s="120">
        <v>32</v>
      </c>
      <c r="L30" s="121" t="s">
        <v>471</v>
      </c>
    </row>
    <row r="31" spans="2:12" ht="19.5" customHeight="1" x14ac:dyDescent="0.25">
      <c r="B31" s="30" t="s">
        <v>472</v>
      </c>
      <c r="C31" s="33" t="s">
        <v>451</v>
      </c>
      <c r="D31" s="35" t="s">
        <v>33</v>
      </c>
      <c r="E31" s="22" t="s">
        <v>86</v>
      </c>
      <c r="F31" s="122" t="s">
        <v>428</v>
      </c>
      <c r="G31" s="64">
        <v>36000</v>
      </c>
      <c r="H31" s="40">
        <v>1</v>
      </c>
      <c r="I31" s="94" t="s">
        <v>444</v>
      </c>
      <c r="J31" s="119" t="str">
        <f t="shared" si="1"/>
        <v>🟢 Dans cible</v>
      </c>
      <c r="K31" s="120">
        <v>8</v>
      </c>
      <c r="L31" s="121" t="s">
        <v>473</v>
      </c>
    </row>
    <row r="32" spans="2:12" ht="19.5" customHeight="1" x14ac:dyDescent="0.25">
      <c r="B32" s="30" t="s">
        <v>474</v>
      </c>
      <c r="C32" s="33" t="s">
        <v>139</v>
      </c>
      <c r="D32" s="35" t="s">
        <v>41</v>
      </c>
      <c r="E32" s="22" t="s">
        <v>93</v>
      </c>
      <c r="F32" s="118" t="s">
        <v>425</v>
      </c>
      <c r="G32" s="64">
        <v>138000</v>
      </c>
      <c r="H32" s="40">
        <f>IFERROR(G32/I32,1)</f>
        <v>0.965034965034965</v>
      </c>
      <c r="I32" s="94">
        <v>143000</v>
      </c>
      <c r="J32" s="119" t="str">
        <f t="shared" si="1"/>
        <v>🟢 Dans cible</v>
      </c>
      <c r="K32" s="120">
        <v>22</v>
      </c>
      <c r="L32" s="121" t="s">
        <v>475</v>
      </c>
    </row>
    <row r="33" spans="2:12" ht="19.5" customHeight="1" x14ac:dyDescent="0.25">
      <c r="B33" s="30" t="s">
        <v>476</v>
      </c>
      <c r="C33" s="33" t="s">
        <v>146</v>
      </c>
      <c r="D33" s="35" t="s">
        <v>37</v>
      </c>
      <c r="E33" s="22" t="s">
        <v>86</v>
      </c>
      <c r="F33" s="122" t="s">
        <v>428</v>
      </c>
      <c r="G33" s="64">
        <v>40000</v>
      </c>
      <c r="H33" s="40">
        <f>IFERROR(G33/I33,1)</f>
        <v>0.90909090909090906</v>
      </c>
      <c r="I33" s="94">
        <v>44000</v>
      </c>
      <c r="J33" s="119" t="str">
        <f t="shared" si="1"/>
        <v>🟡 Sous-payé</v>
      </c>
      <c r="K33" s="120">
        <v>10</v>
      </c>
      <c r="L33" s="121" t="s">
        <v>477</v>
      </c>
    </row>
    <row r="34" spans="2:12" ht="19.5" customHeight="1" x14ac:dyDescent="0.25">
      <c r="B34" s="30" t="s">
        <v>478</v>
      </c>
      <c r="C34" s="33" t="s">
        <v>135</v>
      </c>
      <c r="D34" s="35" t="s">
        <v>41</v>
      </c>
      <c r="E34" s="22" t="s">
        <v>86</v>
      </c>
      <c r="F34" s="118" t="s">
        <v>425</v>
      </c>
      <c r="G34" s="64">
        <v>82000</v>
      </c>
      <c r="H34" s="40">
        <f>IFERROR(G34/I34,1)</f>
        <v>0.94252873563218387</v>
      </c>
      <c r="I34" s="94">
        <v>87000</v>
      </c>
      <c r="J34" s="119" t="str">
        <f t="shared" si="1"/>
        <v>🟡 Sous-payé</v>
      </c>
      <c r="K34" s="120">
        <v>26</v>
      </c>
      <c r="L34" s="121" t="s">
        <v>479</v>
      </c>
    </row>
    <row r="35" spans="2:12" ht="19.5" customHeight="1" x14ac:dyDescent="0.25">
      <c r="B35" s="30" t="s">
        <v>480</v>
      </c>
      <c r="C35" s="33" t="s">
        <v>142</v>
      </c>
      <c r="D35" s="35" t="s">
        <v>41</v>
      </c>
      <c r="E35" s="22" t="s">
        <v>86</v>
      </c>
      <c r="F35" s="122" t="s">
        <v>428</v>
      </c>
      <c r="G35" s="64">
        <v>76000</v>
      </c>
      <c r="H35" s="40">
        <f>IFERROR(G35/I35,1)</f>
        <v>0.95</v>
      </c>
      <c r="I35" s="94">
        <v>80000</v>
      </c>
      <c r="J35" s="119" t="str">
        <f t="shared" si="1"/>
        <v>🟢 Dans cible</v>
      </c>
      <c r="K35" s="120">
        <v>20</v>
      </c>
      <c r="L35" s="121" t="s">
        <v>481</v>
      </c>
    </row>
    <row r="36" spans="2:12" ht="19.5" customHeight="1" x14ac:dyDescent="0.25">
      <c r="B36" s="30" t="s">
        <v>482</v>
      </c>
      <c r="C36" s="33" t="s">
        <v>458</v>
      </c>
      <c r="D36" s="35" t="s">
        <v>29</v>
      </c>
      <c r="E36" s="22" t="s">
        <v>86</v>
      </c>
      <c r="F36" s="118" t="s">
        <v>425</v>
      </c>
      <c r="G36" s="64">
        <v>25000</v>
      </c>
      <c r="H36" s="40">
        <v>1</v>
      </c>
      <c r="I36" s="94" t="s">
        <v>444</v>
      </c>
      <c r="J36" s="119" t="str">
        <f t="shared" si="1"/>
        <v>🟢 Dans cible</v>
      </c>
      <c r="K36" s="120">
        <v>3</v>
      </c>
      <c r="L36" s="121" t="s">
        <v>483</v>
      </c>
    </row>
    <row r="37" spans="2:12" ht="19.5" customHeight="1" x14ac:dyDescent="0.25">
      <c r="B37" s="30" t="s">
        <v>484</v>
      </c>
      <c r="C37" s="33" t="s">
        <v>133</v>
      </c>
      <c r="D37" s="35" t="s">
        <v>41</v>
      </c>
      <c r="E37" s="22" t="s">
        <v>86</v>
      </c>
      <c r="F37" s="122" t="s">
        <v>428</v>
      </c>
      <c r="G37" s="64">
        <v>68000</v>
      </c>
      <c r="H37" s="40">
        <f>IFERROR(G37/I37,1)</f>
        <v>0.91891891891891897</v>
      </c>
      <c r="I37" s="94">
        <v>74000</v>
      </c>
      <c r="J37" s="119" t="str">
        <f t="shared" si="1"/>
        <v>🟡 Sous-payé</v>
      </c>
      <c r="K37" s="120">
        <v>20</v>
      </c>
      <c r="L37" s="121" t="s">
        <v>485</v>
      </c>
    </row>
    <row r="38" spans="2:12" ht="19.5" customHeight="1" x14ac:dyDescent="0.25">
      <c r="B38" s="30" t="s">
        <v>486</v>
      </c>
      <c r="C38" s="33" t="s">
        <v>146</v>
      </c>
      <c r="D38" s="35" t="s">
        <v>33</v>
      </c>
      <c r="E38" s="22" t="s">
        <v>86</v>
      </c>
      <c r="F38" s="118" t="s">
        <v>425</v>
      </c>
      <c r="G38" s="64">
        <v>32000</v>
      </c>
      <c r="H38" s="40">
        <f>IFERROR(G38/I38,1)</f>
        <v>0.96969696969696972</v>
      </c>
      <c r="I38" s="94">
        <v>33000</v>
      </c>
      <c r="J38" s="119" t="str">
        <f t="shared" si="1"/>
        <v>🟢 Dans cible</v>
      </c>
      <c r="K38" s="120">
        <v>14</v>
      </c>
      <c r="L38" s="121" t="s">
        <v>487</v>
      </c>
    </row>
    <row r="39" spans="2:12" ht="19.5" customHeight="1" x14ac:dyDescent="0.25">
      <c r="B39" s="30" t="s">
        <v>488</v>
      </c>
      <c r="C39" s="33" t="s">
        <v>140</v>
      </c>
      <c r="D39" s="35" t="s">
        <v>45</v>
      </c>
      <c r="E39" s="22" t="s">
        <v>86</v>
      </c>
      <c r="F39" s="122" t="s">
        <v>428</v>
      </c>
      <c r="G39" s="64">
        <v>72000</v>
      </c>
      <c r="H39" s="40">
        <f>IFERROR(G39/I39,1)</f>
        <v>0.78260869565217395</v>
      </c>
      <c r="I39" s="94">
        <v>92000</v>
      </c>
      <c r="J39" s="119" t="str">
        <f t="shared" si="1"/>
        <v>🔴 Risque rétention</v>
      </c>
      <c r="K39" s="120">
        <v>28</v>
      </c>
      <c r="L39" s="121" t="s">
        <v>489</v>
      </c>
    </row>
    <row r="42" spans="2:12" ht="21.75" customHeight="1" x14ac:dyDescent="0.25">
      <c r="B42" s="12" t="s">
        <v>490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2:12" ht="19.5" customHeight="1" x14ac:dyDescent="0.25">
      <c r="B43" s="15" t="s">
        <v>121</v>
      </c>
      <c r="C43" s="15" t="s">
        <v>491</v>
      </c>
      <c r="D43" s="15" t="s">
        <v>492</v>
      </c>
      <c r="E43" s="15" t="s">
        <v>493</v>
      </c>
      <c r="F43" s="15" t="s">
        <v>494</v>
      </c>
      <c r="G43" s="15" t="s">
        <v>495</v>
      </c>
      <c r="H43" s="15" t="s">
        <v>496</v>
      </c>
    </row>
    <row r="44" spans="2:12" ht="19.5" customHeight="1" x14ac:dyDescent="0.25">
      <c r="B44" s="35" t="s">
        <v>25</v>
      </c>
      <c r="C44" s="123" t="str">
        <f t="shared" ref="C44:C54" si="2">IFERROR(AVERAGEIFS($G$10:$G$39,$D$10:$D$39,B44,$F$10:$F$39,"H"),"—")</f>
        <v>—</v>
      </c>
      <c r="D44" s="124" t="str">
        <f t="shared" ref="D44:D54" si="3">IFERROR(AVERAGEIFS($G$10:$G$39,$D$10:$D$39,B44,$F$10:$F$39,"F"),"—")</f>
        <v>—</v>
      </c>
      <c r="E44" s="125" t="str">
        <f t="shared" ref="E44:E54" si="4">IFERROR(D44/C44-1,"—")</f>
        <v>—</v>
      </c>
      <c r="F44" s="126">
        <f t="shared" ref="F44:F54" si="5">COUNTIFS($D$10:$D$39,B44,$F$10:$F$39,"H")</f>
        <v>0</v>
      </c>
      <c r="G44" s="127">
        <f t="shared" ref="G44:G54" si="6">COUNTIFS($D$10:$D$39,B44,$F$10:$F$39,"F")</f>
        <v>0</v>
      </c>
      <c r="H44" s="22" t="str">
        <f t="shared" ref="H44:H54" si="7">IFERROR(IF(ABS(E44)&gt;0.05,"⚠️ Écart "&amp;TEXT(E44,"0.0%"),"✅ OK"),"—")</f>
        <v>—</v>
      </c>
    </row>
    <row r="45" spans="2:12" ht="19.5" customHeight="1" x14ac:dyDescent="0.25">
      <c r="B45" s="35" t="s">
        <v>29</v>
      </c>
      <c r="C45" s="123">
        <f t="shared" si="2"/>
        <v>25000</v>
      </c>
      <c r="D45" s="124">
        <f t="shared" si="3"/>
        <v>27000</v>
      </c>
      <c r="E45" s="125">
        <f t="shared" si="4"/>
        <v>8.0000000000000071E-2</v>
      </c>
      <c r="F45" s="126">
        <f t="shared" si="5"/>
        <v>1</v>
      </c>
      <c r="G45" s="127">
        <f t="shared" si="6"/>
        <v>2</v>
      </c>
      <c r="H45" s="22" t="str">
        <f t="shared" si="7"/>
        <v>⚠️ Écart 0.8%</v>
      </c>
    </row>
    <row r="46" spans="2:12" ht="19.5" customHeight="1" x14ac:dyDescent="0.25">
      <c r="B46" s="35" t="s">
        <v>33</v>
      </c>
      <c r="C46" s="123">
        <f t="shared" si="2"/>
        <v>35000</v>
      </c>
      <c r="D46" s="124">
        <f t="shared" si="3"/>
        <v>35750</v>
      </c>
      <c r="E46" s="125">
        <f t="shared" si="4"/>
        <v>2.1428571428571352E-2</v>
      </c>
      <c r="F46" s="126">
        <f t="shared" si="5"/>
        <v>2</v>
      </c>
      <c r="G46" s="127">
        <f t="shared" si="6"/>
        <v>4</v>
      </c>
      <c r="H46" s="22" t="str">
        <f t="shared" si="7"/>
        <v>✅ OK</v>
      </c>
    </row>
    <row r="47" spans="2:12" ht="19.5" customHeight="1" x14ac:dyDescent="0.25">
      <c r="B47" s="35" t="s">
        <v>37</v>
      </c>
      <c r="C47" s="123">
        <f t="shared" si="2"/>
        <v>53500</v>
      </c>
      <c r="D47" s="124">
        <f t="shared" si="3"/>
        <v>42000</v>
      </c>
      <c r="E47" s="125">
        <f t="shared" si="4"/>
        <v>-0.21495327102803741</v>
      </c>
      <c r="F47" s="126">
        <f t="shared" si="5"/>
        <v>4</v>
      </c>
      <c r="G47" s="127">
        <f t="shared" si="6"/>
        <v>2</v>
      </c>
      <c r="H47" s="22" t="str">
        <f t="shared" si="7"/>
        <v>⚠️ Écart -2.1%</v>
      </c>
    </row>
    <row r="48" spans="2:12" ht="19.5" customHeight="1" x14ac:dyDescent="0.25">
      <c r="B48" s="35" t="s">
        <v>41</v>
      </c>
      <c r="C48" s="123">
        <f t="shared" si="2"/>
        <v>88200</v>
      </c>
      <c r="D48" s="124">
        <f t="shared" si="3"/>
        <v>75800</v>
      </c>
      <c r="E48" s="125">
        <f t="shared" si="4"/>
        <v>-0.14058956916099774</v>
      </c>
      <c r="F48" s="126">
        <f t="shared" si="5"/>
        <v>5</v>
      </c>
      <c r="G48" s="127">
        <f t="shared" si="6"/>
        <v>5</v>
      </c>
      <c r="H48" s="22" t="str">
        <f t="shared" si="7"/>
        <v>⚠️ Écart -1.4%</v>
      </c>
    </row>
    <row r="49" spans="2:12" ht="19.5" customHeight="1" x14ac:dyDescent="0.25">
      <c r="B49" s="35" t="s">
        <v>45</v>
      </c>
      <c r="C49" s="123">
        <f t="shared" si="2"/>
        <v>73500</v>
      </c>
      <c r="D49" s="124">
        <f t="shared" si="3"/>
        <v>84000</v>
      </c>
      <c r="E49" s="125">
        <f t="shared" si="4"/>
        <v>0.14285714285714279</v>
      </c>
      <c r="F49" s="126">
        <f t="shared" si="5"/>
        <v>2</v>
      </c>
      <c r="G49" s="127">
        <f t="shared" si="6"/>
        <v>3</v>
      </c>
      <c r="H49" s="22" t="str">
        <f t="shared" si="7"/>
        <v>⚠️ Écart 1.4%</v>
      </c>
    </row>
    <row r="50" spans="2:12" ht="19.5" customHeight="1" x14ac:dyDescent="0.25">
      <c r="B50" s="35" t="s">
        <v>49</v>
      </c>
      <c r="C50" s="123" t="str">
        <f t="shared" si="2"/>
        <v>—</v>
      </c>
      <c r="D50" s="124" t="str">
        <f t="shared" si="3"/>
        <v>—</v>
      </c>
      <c r="E50" s="125" t="str">
        <f t="shared" si="4"/>
        <v>—</v>
      </c>
      <c r="F50" s="126">
        <f t="shared" si="5"/>
        <v>0</v>
      </c>
      <c r="G50" s="127">
        <f t="shared" si="6"/>
        <v>0</v>
      </c>
      <c r="H50" s="22" t="str">
        <f t="shared" si="7"/>
        <v>—</v>
      </c>
    </row>
    <row r="51" spans="2:12" ht="19.5" customHeight="1" x14ac:dyDescent="0.25">
      <c r="B51" s="35" t="s">
        <v>53</v>
      </c>
      <c r="C51" s="123" t="str">
        <f t="shared" si="2"/>
        <v>—</v>
      </c>
      <c r="D51" s="124" t="str">
        <f t="shared" si="3"/>
        <v>—</v>
      </c>
      <c r="E51" s="125" t="str">
        <f t="shared" si="4"/>
        <v>—</v>
      </c>
      <c r="F51" s="126">
        <f t="shared" si="5"/>
        <v>0</v>
      </c>
      <c r="G51" s="127">
        <f t="shared" si="6"/>
        <v>0</v>
      </c>
      <c r="H51" s="22" t="str">
        <f t="shared" si="7"/>
        <v>—</v>
      </c>
    </row>
    <row r="52" spans="2:12" ht="19.5" customHeight="1" x14ac:dyDescent="0.25">
      <c r="B52" s="35" t="s">
        <v>57</v>
      </c>
      <c r="C52" s="123" t="str">
        <f t="shared" si="2"/>
        <v>—</v>
      </c>
      <c r="D52" s="124" t="str">
        <f t="shared" si="3"/>
        <v>—</v>
      </c>
      <c r="E52" s="125" t="str">
        <f t="shared" si="4"/>
        <v>—</v>
      </c>
      <c r="F52" s="126">
        <f t="shared" si="5"/>
        <v>0</v>
      </c>
      <c r="G52" s="127">
        <f t="shared" si="6"/>
        <v>0</v>
      </c>
      <c r="H52" s="22" t="str">
        <f t="shared" si="7"/>
        <v>—</v>
      </c>
    </row>
    <row r="53" spans="2:12" ht="19.5" customHeight="1" x14ac:dyDescent="0.25">
      <c r="B53" s="35" t="s">
        <v>61</v>
      </c>
      <c r="C53" s="123" t="str">
        <f t="shared" si="2"/>
        <v>—</v>
      </c>
      <c r="D53" s="124" t="str">
        <f t="shared" si="3"/>
        <v>—</v>
      </c>
      <c r="E53" s="125" t="str">
        <f t="shared" si="4"/>
        <v>—</v>
      </c>
      <c r="F53" s="126">
        <f t="shared" si="5"/>
        <v>0</v>
      </c>
      <c r="G53" s="127">
        <f t="shared" si="6"/>
        <v>0</v>
      </c>
      <c r="H53" s="22" t="str">
        <f t="shared" si="7"/>
        <v>—</v>
      </c>
    </row>
    <row r="54" spans="2:12" ht="19.5" customHeight="1" x14ac:dyDescent="0.25">
      <c r="B54" s="35" t="s">
        <v>65</v>
      </c>
      <c r="C54" s="123" t="str">
        <f t="shared" si="2"/>
        <v>—</v>
      </c>
      <c r="D54" s="124" t="str">
        <f t="shared" si="3"/>
        <v>—</v>
      </c>
      <c r="E54" s="125" t="str">
        <f t="shared" si="4"/>
        <v>—</v>
      </c>
      <c r="F54" s="126">
        <f t="shared" si="5"/>
        <v>0</v>
      </c>
      <c r="G54" s="127">
        <f t="shared" si="6"/>
        <v>0</v>
      </c>
      <c r="H54" s="22" t="str">
        <f t="shared" si="7"/>
        <v>—</v>
      </c>
    </row>
    <row r="57" spans="2:12" ht="21.75" customHeight="1" x14ac:dyDescent="0.25">
      <c r="B57" s="10" t="s">
        <v>341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</sheetData>
  <autoFilter ref="B9:L39" xr:uid="{00000000-0009-0000-0000-000006000000}"/>
  <mergeCells count="14">
    <mergeCell ref="B42:L42"/>
    <mergeCell ref="B57:L57"/>
    <mergeCell ref="B6:D6"/>
    <mergeCell ref="E6:G6"/>
    <mergeCell ref="H6:J6"/>
    <mergeCell ref="K6:L6"/>
    <mergeCell ref="B8:L8"/>
    <mergeCell ref="B1:L1"/>
    <mergeCell ref="B2:L2"/>
    <mergeCell ref="B4:L4"/>
    <mergeCell ref="B5:D5"/>
    <mergeCell ref="E5:G5"/>
    <mergeCell ref="H5:J5"/>
    <mergeCell ref="K5:L5"/>
  </mergeCells>
  <conditionalFormatting sqref="H10:H39">
    <cfRule type="expression" dxfId="20" priority="2">
      <formula>H10&gt;1.15</formula>
    </cfRule>
    <cfRule type="expression" dxfId="19" priority="3">
      <formula>AND(H10&gt;=0.95,H10&lt;=1.15)</formula>
    </cfRule>
    <cfRule type="expression" dxfId="18" priority="4">
      <formula>AND(H10&gt;=0.85,H10&lt;0.95)</formula>
    </cfRule>
    <cfRule type="expression" dxfId="17" priority="5">
      <formula>H10&lt;0.85</formula>
    </cfRule>
  </conditionalFormatting>
  <conditionalFormatting sqref="H44:H54">
    <cfRule type="expression" dxfId="16" priority="10">
      <formula>LEFT(H44,1)="⚠"</formula>
    </cfRule>
    <cfRule type="expression" dxfId="15" priority="11">
      <formula>LEFT(H44,1)="✅"</formula>
    </cfRule>
  </conditionalFormatting>
  <conditionalFormatting sqref="J10:J39">
    <cfRule type="expression" dxfId="14" priority="6">
      <formula>LEFT(J10,2)="🟢"</formula>
    </cfRule>
    <cfRule type="expression" dxfId="13" priority="7">
      <formula>LEFT(J10,2)="🟡"</formula>
    </cfRule>
    <cfRule type="expression" dxfId="12" priority="8">
      <formula>LEFT(J10,2)="🔴"</formula>
    </cfRule>
  </conditionalFormatting>
  <conditionalFormatting sqref="L10:L39">
    <cfRule type="expression" dxfId="11" priority="9">
      <formula>L10&lt;DATE(YEAR(TODAY())-2,MONTH(TODAY()),DAY(TODAY()))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62828"/>
  </sheetPr>
  <dimension ref="B1:J65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8" customWidth="1"/>
    <col min="3" max="3" width="20" customWidth="1"/>
    <col min="4" max="10" width="14" customWidth="1"/>
  </cols>
  <sheetData>
    <row r="1" spans="2:10" ht="31.5" customHeight="1" x14ac:dyDescent="0.25">
      <c r="B1" s="5" t="s">
        <v>497</v>
      </c>
      <c r="C1" s="5"/>
      <c r="D1" s="5"/>
      <c r="E1" s="5"/>
      <c r="F1" s="5"/>
      <c r="G1" s="5"/>
      <c r="H1" s="5"/>
      <c r="I1" s="5"/>
      <c r="J1" s="5"/>
    </row>
    <row r="2" spans="2:10" ht="15.75" customHeight="1" x14ac:dyDescent="0.25">
      <c r="B2" s="13" t="s">
        <v>498</v>
      </c>
      <c r="C2" s="13"/>
      <c r="D2" s="13"/>
      <c r="E2" s="13"/>
      <c r="F2" s="13"/>
      <c r="G2" s="13"/>
      <c r="H2" s="13"/>
      <c r="I2" s="13"/>
      <c r="J2" s="13"/>
    </row>
    <row r="3" spans="2:10" ht="18" customHeight="1" x14ac:dyDescent="0.25">
      <c r="B3" s="194">
        <f>SUMIF(D9:D54,"&gt;0")</f>
        <v>3821552.45</v>
      </c>
      <c r="C3" s="194"/>
      <c r="D3" s="194"/>
      <c r="E3" s="195">
        <f>IFERROR(AVERAGEIF(D9:D54,"&gt;0",D9:D54),"—")</f>
        <v>152862.098</v>
      </c>
      <c r="F3" s="195"/>
      <c r="G3" s="196">
        <f>IFERROR(AVERAGEIF(F9:F54,"&gt;0",F9:F54),"—")</f>
        <v>257118.61487281384</v>
      </c>
      <c r="H3" s="196"/>
      <c r="I3" s="197">
        <f>IFERROR(G3/E3,"—")</f>
        <v>1.6820298703005754</v>
      </c>
      <c r="J3" s="197"/>
    </row>
    <row r="4" spans="2:10" ht="36" customHeight="1" x14ac:dyDescent="0.25">
      <c r="B4" s="193" t="s">
        <v>499</v>
      </c>
      <c r="C4" s="193"/>
      <c r="D4" s="193"/>
      <c r="E4" s="193" t="s">
        <v>500</v>
      </c>
      <c r="F4" s="193"/>
      <c r="G4" s="193" t="s">
        <v>501</v>
      </c>
      <c r="H4" s="193"/>
      <c r="I4" s="193" t="s">
        <v>502</v>
      </c>
      <c r="J4" s="193"/>
    </row>
    <row r="6" spans="2:10" ht="21.75" customHeight="1" x14ac:dyDescent="0.25">
      <c r="B6" s="12" t="s">
        <v>503</v>
      </c>
      <c r="C6" s="12"/>
      <c r="D6" s="12"/>
      <c r="E6" s="12"/>
      <c r="F6" s="12"/>
      <c r="G6" s="12"/>
      <c r="H6" s="12"/>
      <c r="I6" s="12"/>
      <c r="J6" s="12"/>
    </row>
    <row r="7" spans="2:10" ht="36" customHeight="1" x14ac:dyDescent="0.25">
      <c r="B7" s="15" t="s">
        <v>504</v>
      </c>
      <c r="C7" s="15" t="s">
        <v>505</v>
      </c>
      <c r="D7" s="15" t="s">
        <v>506</v>
      </c>
      <c r="E7" s="15" t="s">
        <v>507</v>
      </c>
      <c r="F7" s="15" t="s">
        <v>508</v>
      </c>
      <c r="G7" s="15" t="s">
        <v>509</v>
      </c>
      <c r="H7" s="15" t="s">
        <v>510</v>
      </c>
      <c r="I7" s="15" t="s">
        <v>511</v>
      </c>
      <c r="J7" s="15" t="s">
        <v>512</v>
      </c>
    </row>
    <row r="8" spans="2:10" ht="19.5" customHeight="1" x14ac:dyDescent="0.25">
      <c r="B8" s="198" t="s">
        <v>513</v>
      </c>
      <c r="C8" s="198"/>
      <c r="D8" s="198"/>
      <c r="E8" s="198"/>
      <c r="F8" s="198"/>
      <c r="G8" s="198"/>
      <c r="H8" s="198"/>
      <c r="I8" s="198"/>
      <c r="J8" s="198"/>
    </row>
    <row r="9" spans="2:10" ht="19.5" customHeight="1" x14ac:dyDescent="0.25">
      <c r="B9" s="33" t="s">
        <v>131</v>
      </c>
      <c r="C9" s="128" t="s">
        <v>514</v>
      </c>
      <c r="D9" s="94">
        <v>75000</v>
      </c>
      <c r="E9" s="94">
        <v>62000</v>
      </c>
      <c r="F9" s="94">
        <v>98000</v>
      </c>
      <c r="G9" s="94">
        <v>82000</v>
      </c>
      <c r="H9" s="94">
        <v>71000</v>
      </c>
      <c r="I9" s="91">
        <f>IFERROR(SUM(IF(D9="—",0,D9),IF(E9="—",0,E9),IF(F9="—",0,F9),IF(G9="—",0,G9),IF(H9="—",0,H9)),"—")</f>
        <v>388000</v>
      </c>
      <c r="J9" s="129">
        <f>IFERROR(I9/I37,0)</f>
        <v>8.962808962808963E-2</v>
      </c>
    </row>
    <row r="10" spans="2:10" ht="19.5" customHeight="1" x14ac:dyDescent="0.25">
      <c r="B10" s="33" t="s">
        <v>458</v>
      </c>
      <c r="C10" s="128" t="s">
        <v>515</v>
      </c>
      <c r="D10" s="94">
        <v>52000</v>
      </c>
      <c r="E10" s="94">
        <v>44000</v>
      </c>
      <c r="F10" s="130" t="s">
        <v>239</v>
      </c>
      <c r="G10" s="130" t="s">
        <v>239</v>
      </c>
      <c r="H10" s="130" t="s">
        <v>239</v>
      </c>
      <c r="I10" s="91">
        <f>IFERROR(SUM(IF(D10="—",0,D10),IF(E10="—",0,E10),IF(F10="—",0,F10),IF(G10="—",0,G10),IF(H10="—",0,H10)),"—")</f>
        <v>96000</v>
      </c>
      <c r="J10" s="129">
        <f>IFERROR(I10/I37,0)</f>
        <v>2.2176022176022176E-2</v>
      </c>
    </row>
    <row r="11" spans="2:10" ht="19.5" customHeight="1" x14ac:dyDescent="0.25">
      <c r="B11" s="33" t="s">
        <v>516</v>
      </c>
      <c r="C11" s="128" t="s">
        <v>517</v>
      </c>
      <c r="D11" s="94">
        <v>62000</v>
      </c>
      <c r="E11" s="94">
        <v>54000</v>
      </c>
      <c r="F11" s="130" t="s">
        <v>239</v>
      </c>
      <c r="G11" s="130" t="s">
        <v>239</v>
      </c>
      <c r="H11" s="130" t="s">
        <v>239</v>
      </c>
      <c r="I11" s="91">
        <f>IFERROR(SUM(IF(D11="—",0,D11),IF(E11="—",0,E11),IF(F11="—",0,F11),IF(G11="—",0,G11),IF(H11="—",0,H11)),"—")</f>
        <v>116000</v>
      </c>
      <c r="J11" s="129">
        <f>IFERROR(I11/I37,0)</f>
        <v>2.6796026796026797E-2</v>
      </c>
    </row>
    <row r="12" spans="2:10" ht="19.5" customHeight="1" x14ac:dyDescent="0.25">
      <c r="B12" s="12" t="s">
        <v>518</v>
      </c>
      <c r="C12" s="12"/>
      <c r="D12" s="95">
        <f>SUM(D9:D11)</f>
        <v>189000</v>
      </c>
      <c r="E12" s="95">
        <f>SUM(E9:E11)</f>
        <v>160000</v>
      </c>
      <c r="F12" s="95">
        <f>SUM(F9:F11)</f>
        <v>98000</v>
      </c>
      <c r="G12" s="95">
        <f>SUM(G9:G11)</f>
        <v>82000</v>
      </c>
      <c r="H12" s="95">
        <f>SUM(H9:H11)</f>
        <v>71000</v>
      </c>
      <c r="I12" s="95">
        <f>SUM(D12:H12)</f>
        <v>600000</v>
      </c>
      <c r="J12" s="129">
        <f>IFERROR(I12/I37,0)</f>
        <v>0.13860013860013859</v>
      </c>
    </row>
    <row r="13" spans="2:10" ht="19.5" customHeight="1" x14ac:dyDescent="0.25">
      <c r="B13" s="199" t="s">
        <v>519</v>
      </c>
      <c r="C13" s="199"/>
      <c r="D13" s="199"/>
      <c r="E13" s="199"/>
      <c r="F13" s="199"/>
      <c r="G13" s="199"/>
      <c r="H13" s="199"/>
      <c r="I13" s="199"/>
      <c r="J13" s="199"/>
    </row>
    <row r="14" spans="2:10" ht="19.5" customHeight="1" x14ac:dyDescent="0.25">
      <c r="B14" s="33" t="s">
        <v>133</v>
      </c>
      <c r="C14" s="131" t="s">
        <v>520</v>
      </c>
      <c r="D14" s="94">
        <v>88000</v>
      </c>
      <c r="E14" s="130" t="s">
        <v>239</v>
      </c>
      <c r="F14" s="94">
        <v>138000</v>
      </c>
      <c r="G14" s="94">
        <v>95000</v>
      </c>
      <c r="H14" s="94">
        <v>92000</v>
      </c>
      <c r="I14" s="91">
        <f>IFERROR(SUM(IF(D14="—",0,D14),IF(E14="—",0,E14),IF(F14="—",0,F14),IF(G14="—",0,G14),IF(H14="—",0,H14)),"—")</f>
        <v>413000</v>
      </c>
      <c r="J14" s="129">
        <f>IFERROR(I14/I37,0)</f>
        <v>9.5403095403095398E-2</v>
      </c>
    </row>
    <row r="15" spans="2:10" ht="19.5" customHeight="1" x14ac:dyDescent="0.25">
      <c r="B15" s="33" t="s">
        <v>135</v>
      </c>
      <c r="C15" s="131" t="s">
        <v>521</v>
      </c>
      <c r="D15" s="94">
        <v>138000</v>
      </c>
      <c r="E15" s="130" t="s">
        <v>239</v>
      </c>
      <c r="F15" s="94">
        <v>195000</v>
      </c>
      <c r="G15" s="130" t="s">
        <v>239</v>
      </c>
      <c r="H15" s="130" t="s">
        <v>239</v>
      </c>
      <c r="I15" s="91">
        <f>IFERROR(SUM(IF(D15="—",0,D15),IF(E15="—",0,E15),IF(F15="—",0,F15),IF(G15="—",0,G15),IF(H15="—",0,H15)),"—")</f>
        <v>333000</v>
      </c>
      <c r="J15" s="129">
        <f>IFERROR(I15/I37,0)</f>
        <v>7.6923076923076927E-2</v>
      </c>
    </row>
    <row r="16" spans="2:10" ht="19.5" customHeight="1" x14ac:dyDescent="0.25">
      <c r="B16" s="33" t="s">
        <v>443</v>
      </c>
      <c r="C16" s="131" t="s">
        <v>522</v>
      </c>
      <c r="D16" s="94">
        <v>95000</v>
      </c>
      <c r="E16" s="94">
        <v>78000</v>
      </c>
      <c r="F16" s="130" t="s">
        <v>239</v>
      </c>
      <c r="G16" s="130" t="s">
        <v>239</v>
      </c>
      <c r="H16" s="130" t="s">
        <v>239</v>
      </c>
      <c r="I16" s="91">
        <f>IFERROR(SUM(IF(D16="—",0,D16),IF(E16="—",0,E16),IF(F16="—",0,F16),IF(G16="—",0,G16),IF(H16="—",0,H16)),"—")</f>
        <v>173000</v>
      </c>
      <c r="J16" s="129">
        <f>IFERROR(I16/I37,0)</f>
        <v>3.9963039963039966E-2</v>
      </c>
    </row>
    <row r="17" spans="2:10" ht="19.5" customHeight="1" x14ac:dyDescent="0.25">
      <c r="B17" s="33" t="s">
        <v>136</v>
      </c>
      <c r="C17" s="131" t="s">
        <v>523</v>
      </c>
      <c r="D17" s="130" t="s">
        <v>239</v>
      </c>
      <c r="E17" s="130" t="s">
        <v>239</v>
      </c>
      <c r="F17" s="94">
        <v>240000</v>
      </c>
      <c r="G17" s="130" t="s">
        <v>239</v>
      </c>
      <c r="H17" s="130" t="s">
        <v>239</v>
      </c>
      <c r="I17" s="91">
        <f>IFERROR(SUM(IF(D17="—",0,D17),IF(E17="—",0,E17),IF(F17="—",0,F17),IF(G17="—",0,G17),IF(H17="—",0,H17)),"—")</f>
        <v>240000</v>
      </c>
      <c r="J17" s="129">
        <f>IFERROR(I17/I37,0)</f>
        <v>5.5440055440055439E-2</v>
      </c>
    </row>
    <row r="18" spans="2:10" ht="19.5" customHeight="1" x14ac:dyDescent="0.25">
      <c r="B18" s="12" t="s">
        <v>524</v>
      </c>
      <c r="C18" s="12"/>
      <c r="D18" s="95">
        <f>SUM(D14:D17)</f>
        <v>321000</v>
      </c>
      <c r="E18" s="95">
        <f>SUM(E14:E17)</f>
        <v>78000</v>
      </c>
      <c r="F18" s="95">
        <f>SUM(F14:F17)</f>
        <v>573000</v>
      </c>
      <c r="G18" s="95">
        <f>SUM(G14:G17)</f>
        <v>95000</v>
      </c>
      <c r="H18" s="95">
        <f>SUM(H14:H17)</f>
        <v>92000</v>
      </c>
      <c r="I18" s="95">
        <f>SUM(D18:H18)</f>
        <v>1159000</v>
      </c>
      <c r="J18" s="129">
        <f>IFERROR(I18/I37,0)</f>
        <v>0.26772926772926775</v>
      </c>
    </row>
    <row r="19" spans="2:10" ht="19.5" customHeight="1" x14ac:dyDescent="0.25">
      <c r="B19" s="200" t="s">
        <v>525</v>
      </c>
      <c r="C19" s="200"/>
      <c r="D19" s="200"/>
      <c r="E19" s="200"/>
      <c r="F19" s="200"/>
      <c r="G19" s="200"/>
      <c r="H19" s="200"/>
      <c r="I19" s="200"/>
      <c r="J19" s="200"/>
    </row>
    <row r="20" spans="2:10" ht="19.5" customHeight="1" x14ac:dyDescent="0.25">
      <c r="B20" s="33" t="s">
        <v>137</v>
      </c>
      <c r="C20" s="132" t="s">
        <v>526</v>
      </c>
      <c r="D20" s="94">
        <v>82000</v>
      </c>
      <c r="E20" s="130" t="s">
        <v>239</v>
      </c>
      <c r="F20" s="94">
        <v>145000</v>
      </c>
      <c r="G20" s="130" t="s">
        <v>239</v>
      </c>
      <c r="H20" s="130" t="s">
        <v>239</v>
      </c>
      <c r="I20" s="91">
        <f>IFERROR(SUM(IF(D20="—",0,D20),IF(E20="—",0,E20),IF(F20="—",0,F20),IF(G20="—",0,G20),IF(H20="—",0,H20)),"—")</f>
        <v>227000</v>
      </c>
      <c r="J20" s="129">
        <f>IFERROR(I20/I37,0)</f>
        <v>5.2437052437052434E-2</v>
      </c>
    </row>
    <row r="21" spans="2:10" ht="19.5" customHeight="1" x14ac:dyDescent="0.25">
      <c r="B21" s="33" t="s">
        <v>139</v>
      </c>
      <c r="C21" s="132" t="s">
        <v>527</v>
      </c>
      <c r="D21" s="130" t="s">
        <v>239</v>
      </c>
      <c r="E21" s="130" t="s">
        <v>239</v>
      </c>
      <c r="F21" s="94">
        <v>220000</v>
      </c>
      <c r="G21" s="130" t="s">
        <v>239</v>
      </c>
      <c r="H21" s="130" t="s">
        <v>239</v>
      </c>
      <c r="I21" s="91">
        <f>IFERROR(SUM(IF(D21="—",0,D21),IF(E21="—",0,E21),IF(F21="—",0,F21),IF(G21="—",0,G21),IF(H21="—",0,H21)),"—")</f>
        <v>220000</v>
      </c>
      <c r="J21" s="129">
        <f>IFERROR(I21/I37,0)</f>
        <v>5.0820050820050817E-2</v>
      </c>
    </row>
    <row r="22" spans="2:10" ht="19.5" customHeight="1" x14ac:dyDescent="0.25">
      <c r="B22" s="12" t="s">
        <v>528</v>
      </c>
      <c r="C22" s="12"/>
      <c r="D22" s="95">
        <f>SUM(D20:D21)</f>
        <v>82000</v>
      </c>
      <c r="E22" s="95">
        <f>SUM(E20:E21)</f>
        <v>0</v>
      </c>
      <c r="F22" s="95">
        <f>SUM(F20:F21)</f>
        <v>365000</v>
      </c>
      <c r="G22" s="95">
        <f>SUM(G20:G21)</f>
        <v>0</v>
      </c>
      <c r="H22" s="95">
        <f>SUM(H20:H21)</f>
        <v>0</v>
      </c>
      <c r="I22" s="95">
        <f>SUM(D22:H22)</f>
        <v>447000</v>
      </c>
      <c r="J22" s="129">
        <f>IFERROR(I22/I37,0)</f>
        <v>0.10325710325710326</v>
      </c>
    </row>
    <row r="23" spans="2:10" ht="19.5" customHeight="1" x14ac:dyDescent="0.25">
      <c r="B23" s="201" t="s">
        <v>529</v>
      </c>
      <c r="C23" s="201"/>
      <c r="D23" s="201"/>
      <c r="E23" s="201"/>
      <c r="F23" s="201"/>
      <c r="G23" s="201"/>
      <c r="H23" s="201"/>
      <c r="I23" s="201"/>
      <c r="J23" s="201"/>
    </row>
    <row r="24" spans="2:10" ht="19.5" customHeight="1" x14ac:dyDescent="0.25">
      <c r="B24" s="33" t="s">
        <v>140</v>
      </c>
      <c r="C24" s="133" t="s">
        <v>530</v>
      </c>
      <c r="D24" s="94">
        <v>78000</v>
      </c>
      <c r="E24" s="94">
        <v>62000</v>
      </c>
      <c r="F24" s="130" t="s">
        <v>239</v>
      </c>
      <c r="G24" s="94">
        <v>85000</v>
      </c>
      <c r="H24" s="94">
        <v>78000</v>
      </c>
      <c r="I24" s="91">
        <f>IFERROR(SUM(IF(D24="—",0,D24),IF(E24="—",0,E24),IF(F24="—",0,F24),IF(G24="—",0,G24),IF(H24="—",0,H24)),"—")</f>
        <v>303000</v>
      </c>
      <c r="J24" s="129">
        <f>IFERROR(I24/I37,0)</f>
        <v>6.9993069993069992E-2</v>
      </c>
    </row>
    <row r="25" spans="2:10" ht="19.5" customHeight="1" x14ac:dyDescent="0.25">
      <c r="B25" s="33" t="s">
        <v>142</v>
      </c>
      <c r="C25" s="133" t="s">
        <v>531</v>
      </c>
      <c r="D25" s="94">
        <v>112000</v>
      </c>
      <c r="E25" s="130" t="s">
        <v>239</v>
      </c>
      <c r="F25" s="130" t="s">
        <v>239</v>
      </c>
      <c r="G25" s="130" t="s">
        <v>239</v>
      </c>
      <c r="H25" s="130" t="s">
        <v>239</v>
      </c>
      <c r="I25" s="91">
        <f>IFERROR(SUM(IF(D25="—",0,D25),IF(E25="—",0,E25),IF(F25="—",0,F25),IF(G25="—",0,G25),IF(H25="—",0,H25)),"—")</f>
        <v>112000</v>
      </c>
      <c r="J25" s="129">
        <f>IFERROR(I25/I37,0)</f>
        <v>2.5872025872025872E-2</v>
      </c>
    </row>
    <row r="26" spans="2:10" ht="19.5" customHeight="1" x14ac:dyDescent="0.25">
      <c r="B26" s="33" t="s">
        <v>143</v>
      </c>
      <c r="C26" s="133" t="s">
        <v>532</v>
      </c>
      <c r="D26" s="94">
        <v>58000</v>
      </c>
      <c r="E26" s="94">
        <v>48000</v>
      </c>
      <c r="F26" s="130" t="s">
        <v>239</v>
      </c>
      <c r="G26" s="130" t="s">
        <v>239</v>
      </c>
      <c r="H26" s="130" t="s">
        <v>239</v>
      </c>
      <c r="I26" s="91">
        <f>IFERROR(SUM(IF(D26="—",0,D26),IF(E26="—",0,E26),IF(F26="—",0,F26),IF(G26="—",0,G26),IF(H26="—",0,H26)),"—")</f>
        <v>106000</v>
      </c>
      <c r="J26" s="129">
        <f>IFERROR(I26/I37,0)</f>
        <v>2.4486024486024487E-2</v>
      </c>
    </row>
    <row r="27" spans="2:10" ht="19.5" customHeight="1" x14ac:dyDescent="0.25">
      <c r="B27" s="12" t="s">
        <v>533</v>
      </c>
      <c r="C27" s="12"/>
      <c r="D27" s="95">
        <f>SUM(D24:D26)</f>
        <v>248000</v>
      </c>
      <c r="E27" s="95">
        <f>SUM(E24:E26)</f>
        <v>110000</v>
      </c>
      <c r="F27" s="95">
        <f>SUM(F24:F26)</f>
        <v>0</v>
      </c>
      <c r="G27" s="95">
        <f>SUM(G24:G26)</f>
        <v>85000</v>
      </c>
      <c r="H27" s="95">
        <f>SUM(H24:H26)</f>
        <v>78000</v>
      </c>
      <c r="I27" s="95">
        <f>SUM(D27:H27)</f>
        <v>521000</v>
      </c>
      <c r="J27" s="129">
        <f>IFERROR(I27/I37,0)</f>
        <v>0.12035112035112035</v>
      </c>
    </row>
    <row r="28" spans="2:10" ht="19.5" customHeight="1" x14ac:dyDescent="0.25">
      <c r="B28" s="202" t="s">
        <v>534</v>
      </c>
      <c r="C28" s="202"/>
      <c r="D28" s="202"/>
      <c r="E28" s="202"/>
      <c r="F28" s="202"/>
      <c r="G28" s="202"/>
      <c r="H28" s="202"/>
      <c r="I28" s="202"/>
      <c r="J28" s="202"/>
    </row>
    <row r="29" spans="2:10" ht="19.5" customHeight="1" x14ac:dyDescent="0.25">
      <c r="B29" s="33" t="s">
        <v>144</v>
      </c>
      <c r="C29" s="134" t="s">
        <v>535</v>
      </c>
      <c r="D29" s="94">
        <v>185000</v>
      </c>
      <c r="E29" s="130" t="s">
        <v>239</v>
      </c>
      <c r="F29" s="94">
        <v>260000</v>
      </c>
      <c r="G29" s="130" t="s">
        <v>239</v>
      </c>
      <c r="H29" s="94">
        <v>220000</v>
      </c>
      <c r="I29" s="91">
        <f>IFERROR(SUM(IF(D29="—",0,D29),IF(E29="—",0,E29),IF(F29="—",0,F29),IF(G29="—",0,G29),IF(H29="—",0,H29)),"—")</f>
        <v>665000</v>
      </c>
      <c r="J29" s="129">
        <f>IFERROR(I29/I37,0)</f>
        <v>0.15361515361515363</v>
      </c>
    </row>
    <row r="30" spans="2:10" ht="19.5" customHeight="1" x14ac:dyDescent="0.25">
      <c r="B30" s="12" t="s">
        <v>536</v>
      </c>
      <c r="C30" s="12"/>
      <c r="D30" s="95">
        <f>SUM(D29:D29)</f>
        <v>185000</v>
      </c>
      <c r="E30" s="95">
        <f>SUM(E29:E29)</f>
        <v>0</v>
      </c>
      <c r="F30" s="95">
        <f>SUM(F29:F29)</f>
        <v>260000</v>
      </c>
      <c r="G30" s="95">
        <f>SUM(G29:G29)</f>
        <v>0</v>
      </c>
      <c r="H30" s="95">
        <f>SUM(H29:H29)</f>
        <v>220000</v>
      </c>
      <c r="I30" s="95">
        <f>SUM(D30:H30)</f>
        <v>665000</v>
      </c>
      <c r="J30" s="129">
        <f>IFERROR(I30/I37,0)</f>
        <v>0.15361515361515363</v>
      </c>
    </row>
    <row r="31" spans="2:10" ht="19.5" customHeight="1" x14ac:dyDescent="0.25">
      <c r="B31" s="203" t="s">
        <v>537</v>
      </c>
      <c r="C31" s="203"/>
      <c r="D31" s="203"/>
      <c r="E31" s="203"/>
      <c r="F31" s="203"/>
      <c r="G31" s="203"/>
      <c r="H31" s="203"/>
      <c r="I31" s="203"/>
      <c r="J31" s="203"/>
    </row>
    <row r="32" spans="2:10" ht="19.5" customHeight="1" x14ac:dyDescent="0.25">
      <c r="B32" s="33" t="s">
        <v>146</v>
      </c>
      <c r="C32" s="135" t="s">
        <v>538</v>
      </c>
      <c r="D32" s="94">
        <v>62000</v>
      </c>
      <c r="E32" s="94">
        <v>52000</v>
      </c>
      <c r="F32" s="130" t="s">
        <v>239</v>
      </c>
      <c r="G32" s="130" t="s">
        <v>239</v>
      </c>
      <c r="H32" s="130" t="s">
        <v>239</v>
      </c>
      <c r="I32" s="91">
        <f>IFERROR(SUM(IF(D32="—",0,D32),IF(E32="—",0,E32),IF(F32="—",0,F32),IF(G32="—",0,G32),IF(H32="—",0,H32)),"—")</f>
        <v>114000</v>
      </c>
      <c r="J32" s="129">
        <f>IFERROR(I32/I37,0)</f>
        <v>2.6334026334026334E-2</v>
      </c>
    </row>
    <row r="33" spans="2:10" ht="19.5" customHeight="1" x14ac:dyDescent="0.25">
      <c r="B33" s="12" t="s">
        <v>539</v>
      </c>
      <c r="C33" s="12"/>
      <c r="D33" s="95">
        <f>SUM(D32:D32)</f>
        <v>62000</v>
      </c>
      <c r="E33" s="95">
        <f>SUM(E32:E32)</f>
        <v>52000</v>
      </c>
      <c r="F33" s="95">
        <f>SUM(F32:F32)</f>
        <v>0</v>
      </c>
      <c r="G33" s="95">
        <f>SUM(G32:G32)</f>
        <v>0</v>
      </c>
      <c r="H33" s="95">
        <f>SUM(H32:H32)</f>
        <v>0</v>
      </c>
      <c r="I33" s="95">
        <f>SUM(D33:H33)</f>
        <v>114000</v>
      </c>
      <c r="J33" s="129">
        <f>IFERROR(I33/I37,0)</f>
        <v>2.6334026334026334E-2</v>
      </c>
    </row>
    <row r="34" spans="2:10" ht="19.5" customHeight="1" x14ac:dyDescent="0.25">
      <c r="B34" s="176" t="s">
        <v>540</v>
      </c>
      <c r="C34" s="176"/>
      <c r="D34" s="176"/>
      <c r="E34" s="176"/>
      <c r="F34" s="176"/>
      <c r="G34" s="176"/>
      <c r="H34" s="176"/>
      <c r="I34" s="176"/>
      <c r="J34" s="176"/>
    </row>
    <row r="35" spans="2:10" ht="19.5" customHeight="1" x14ac:dyDescent="0.25">
      <c r="B35" s="33" t="s">
        <v>148</v>
      </c>
      <c r="C35" s="136" t="s">
        <v>541</v>
      </c>
      <c r="D35" s="94">
        <v>155000</v>
      </c>
      <c r="E35" s="94">
        <v>120000</v>
      </c>
      <c r="F35" s="94">
        <v>185000</v>
      </c>
      <c r="G35" s="94">
        <v>168000</v>
      </c>
      <c r="H35" s="94">
        <v>195000</v>
      </c>
      <c r="I35" s="91">
        <f>IFERROR(SUM(IF(D35="—",0,D35),IF(E35="—",0,E35),IF(F35="—",0,F35),IF(G35="—",0,G35),IF(H35="—",0,H35)),"—")</f>
        <v>823000</v>
      </c>
      <c r="J35" s="129">
        <f>IFERROR(I35/I37,0)</f>
        <v>0.19011319011319011</v>
      </c>
    </row>
    <row r="36" spans="2:10" ht="19.5" customHeight="1" x14ac:dyDescent="0.25">
      <c r="B36" s="12" t="s">
        <v>542</v>
      </c>
      <c r="C36" s="12"/>
      <c r="D36" s="95">
        <f>SUM(D35:D35)</f>
        <v>155000</v>
      </c>
      <c r="E36" s="95">
        <f>SUM(E35:E35)</f>
        <v>120000</v>
      </c>
      <c r="F36" s="95">
        <f>SUM(F35:F35)</f>
        <v>185000</v>
      </c>
      <c r="G36" s="95">
        <f>SUM(G35:G35)</f>
        <v>168000</v>
      </c>
      <c r="H36" s="95">
        <f>SUM(H35:H35)</f>
        <v>195000</v>
      </c>
      <c r="I36" s="95">
        <f>SUM(D36:H36)</f>
        <v>823000</v>
      </c>
      <c r="J36" s="129">
        <f>IFERROR(I36/I37,0)</f>
        <v>0.19011319011319011</v>
      </c>
    </row>
    <row r="37" spans="2:10" ht="25.5" customHeight="1" x14ac:dyDescent="0.25">
      <c r="B37" s="170" t="s">
        <v>543</v>
      </c>
      <c r="C37" s="170"/>
      <c r="D37" s="137">
        <f>D12+D18+D22+D27+D30+D33+D36</f>
        <v>1242000</v>
      </c>
      <c r="E37" s="137">
        <f>E12+E18+E22+E27+E30+E33+E36</f>
        <v>520000</v>
      </c>
      <c r="F37" s="137">
        <f>F12+F18+F22+F27+F30+F33+F36</f>
        <v>1481000</v>
      </c>
      <c r="G37" s="137">
        <f>G12+G18+G22+G27+G30+G33+G36</f>
        <v>430000</v>
      </c>
      <c r="H37" s="137">
        <f>H12+H18+H22+H27+H30+H33+H36</f>
        <v>656000</v>
      </c>
      <c r="I37" s="97">
        <f>SUM(D37:H37)</f>
        <v>4329000</v>
      </c>
      <c r="J37" s="138" t="s">
        <v>544</v>
      </c>
    </row>
    <row r="40" spans="2:10" ht="21.75" customHeight="1" x14ac:dyDescent="0.25">
      <c r="B40" s="12" t="s">
        <v>545</v>
      </c>
      <c r="C40" s="12"/>
      <c r="D40" s="12"/>
      <c r="E40" s="12"/>
      <c r="F40" s="12"/>
      <c r="G40" s="12"/>
      <c r="H40" s="12"/>
      <c r="I40" s="12"/>
      <c r="J40" s="12"/>
    </row>
    <row r="41" spans="2:10" ht="19.5" customHeight="1" x14ac:dyDescent="0.25">
      <c r="B41" s="15" t="s">
        <v>329</v>
      </c>
      <c r="D41" s="15" t="s">
        <v>506</v>
      </c>
      <c r="E41" s="15" t="s">
        <v>507</v>
      </c>
      <c r="F41" s="15" t="s">
        <v>508</v>
      </c>
      <c r="G41" s="15" t="s">
        <v>509</v>
      </c>
      <c r="H41" s="15" t="s">
        <v>510</v>
      </c>
    </row>
    <row r="42" spans="2:10" ht="19.5" customHeight="1" x14ac:dyDescent="0.25">
      <c r="B42" s="179" t="s">
        <v>546</v>
      </c>
      <c r="C42" s="179"/>
      <c r="D42" s="139">
        <v>95538</v>
      </c>
      <c r="E42" s="65">
        <v>65000</v>
      </c>
      <c r="F42" s="140">
        <v>185125</v>
      </c>
      <c r="G42" s="65">
        <v>107500</v>
      </c>
      <c r="H42" s="65">
        <v>131200</v>
      </c>
    </row>
    <row r="43" spans="2:10" ht="19.5" customHeight="1" x14ac:dyDescent="0.25">
      <c r="B43" s="179" t="s">
        <v>547</v>
      </c>
      <c r="C43" s="179"/>
      <c r="D43" s="141">
        <f>IFERROR(D42/D42,"—")</f>
        <v>1</v>
      </c>
      <c r="E43" s="142">
        <f>IFERROR(E42/D42,"—")</f>
        <v>0.68035755406225795</v>
      </c>
      <c r="F43" s="143">
        <f>IFERROR(F42/D42,"—")</f>
        <v>1.937710649165777</v>
      </c>
      <c r="G43" s="142">
        <f>IFERROR(G42/D42,"—")</f>
        <v>1.1252067240260419</v>
      </c>
      <c r="H43" s="142">
        <f>IFERROR(H42/D42,"—")</f>
        <v>1.3732755552764344</v>
      </c>
    </row>
    <row r="44" spans="2:10" ht="19.5" customHeight="1" x14ac:dyDescent="0.25">
      <c r="B44" s="179" t="s">
        <v>548</v>
      </c>
      <c r="C44" s="179"/>
      <c r="D44" s="144">
        <v>0.45</v>
      </c>
      <c r="E44" s="145">
        <v>0.4</v>
      </c>
      <c r="F44" s="146">
        <v>0.13</v>
      </c>
      <c r="G44" s="145">
        <v>0.15</v>
      </c>
      <c r="H44" s="145">
        <v>0.1</v>
      </c>
    </row>
    <row r="45" spans="2:10" ht="19.5" customHeight="1" x14ac:dyDescent="0.25">
      <c r="B45" s="179" t="s">
        <v>549</v>
      </c>
      <c r="C45" s="179"/>
      <c r="D45" s="147">
        <v>13</v>
      </c>
      <c r="E45" s="120">
        <v>8</v>
      </c>
      <c r="F45" s="148">
        <v>8</v>
      </c>
      <c r="G45" s="120">
        <v>4</v>
      </c>
      <c r="H45" s="120">
        <v>5</v>
      </c>
    </row>
    <row r="65" spans="2:10" ht="21.75" customHeight="1" x14ac:dyDescent="0.25">
      <c r="B65" s="10" t="s">
        <v>341</v>
      </c>
      <c r="C65" s="10"/>
      <c r="D65" s="10"/>
      <c r="E65" s="10"/>
      <c r="F65" s="10"/>
      <c r="G65" s="10"/>
      <c r="H65" s="10"/>
      <c r="I65" s="10"/>
      <c r="J65" s="10"/>
    </row>
  </sheetData>
  <mergeCells count="32">
    <mergeCell ref="B65:J65"/>
    <mergeCell ref="B40:J40"/>
    <mergeCell ref="B42:C42"/>
    <mergeCell ref="B43:C43"/>
    <mergeCell ref="B44:C44"/>
    <mergeCell ref="B45:C45"/>
    <mergeCell ref="B31:J31"/>
    <mergeCell ref="B33:C33"/>
    <mergeCell ref="B34:J34"/>
    <mergeCell ref="B36:C36"/>
    <mergeCell ref="B37:C37"/>
    <mergeCell ref="B22:C22"/>
    <mergeCell ref="B23:J23"/>
    <mergeCell ref="B27:C27"/>
    <mergeCell ref="B28:J28"/>
    <mergeCell ref="B30:C30"/>
    <mergeCell ref="B8:J8"/>
    <mergeCell ref="B12:C12"/>
    <mergeCell ref="B13:J13"/>
    <mergeCell ref="B18:C18"/>
    <mergeCell ref="B19:J19"/>
    <mergeCell ref="B4:D4"/>
    <mergeCell ref="E4:F4"/>
    <mergeCell ref="G4:H4"/>
    <mergeCell ref="I4:J4"/>
    <mergeCell ref="B6:J6"/>
    <mergeCell ref="B1:J1"/>
    <mergeCell ref="B2:J2"/>
    <mergeCell ref="B3:D3"/>
    <mergeCell ref="E3:F3"/>
    <mergeCell ref="G3:H3"/>
    <mergeCell ref="I3:J3"/>
  </mergeCells>
  <conditionalFormatting sqref="D8:H36">
    <cfRule type="colorScale" priority="2">
      <colorScale>
        <cfvo type="min"/>
        <cfvo type="percentile" val="50"/>
        <cfvo type="max"/>
        <color rgb="FFDBEAFE"/>
        <color rgb="FFF5E6A3"/>
        <color rgb="FFC62828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695C"/>
  </sheetPr>
  <dimension ref="B1:J50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8" customWidth="1"/>
    <col min="3" max="3" width="20" customWidth="1"/>
    <col min="4" max="8" width="12" customWidth="1"/>
    <col min="9" max="9" width="10" customWidth="1"/>
    <col min="10" max="10" width="12" customWidth="1"/>
  </cols>
  <sheetData>
    <row r="1" spans="2:10" ht="31.5" customHeight="1" x14ac:dyDescent="0.25">
      <c r="B1" s="5" t="s">
        <v>550</v>
      </c>
      <c r="C1" s="5"/>
      <c r="D1" s="5"/>
      <c r="E1" s="5"/>
      <c r="F1" s="5"/>
      <c r="G1" s="5"/>
      <c r="H1" s="5"/>
      <c r="I1" s="5"/>
      <c r="J1" s="5"/>
    </row>
    <row r="2" spans="2:10" ht="15.75" customHeight="1" x14ac:dyDescent="0.25">
      <c r="B2" s="13" t="s">
        <v>551</v>
      </c>
      <c r="C2" s="13"/>
      <c r="D2" s="13"/>
      <c r="E2" s="13"/>
      <c r="F2" s="13"/>
      <c r="G2" s="13"/>
      <c r="H2" s="13"/>
      <c r="I2" s="13"/>
      <c r="J2" s="13"/>
    </row>
    <row r="3" spans="2:10" ht="18" customHeight="1" x14ac:dyDescent="0.25">
      <c r="B3" s="204">
        <f>IFERROR(AVERAGE(J9:J30),"—")</f>
        <v>-3.7728083477512575</v>
      </c>
      <c r="C3" s="204"/>
      <c r="D3" s="204"/>
      <c r="E3" s="205">
        <f>IFERROR((1+D5)^4-1,"—")</f>
        <v>0</v>
      </c>
      <c r="F3" s="205"/>
      <c r="G3" s="206" t="s">
        <v>552</v>
      </c>
      <c r="H3" s="206"/>
      <c r="I3" s="207" t="s">
        <v>553</v>
      </c>
      <c r="J3" s="207"/>
    </row>
    <row r="4" spans="2:10" ht="36" customHeight="1" x14ac:dyDescent="0.25">
      <c r="B4" s="193" t="s">
        <v>554</v>
      </c>
      <c r="C4" s="193"/>
      <c r="D4" s="193"/>
      <c r="E4" s="193" t="s">
        <v>555</v>
      </c>
      <c r="F4" s="193"/>
      <c r="G4" s="193" t="s">
        <v>556</v>
      </c>
      <c r="H4" s="193"/>
      <c r="I4" s="193" t="s">
        <v>557</v>
      </c>
      <c r="J4" s="193"/>
    </row>
    <row r="5" spans="2:10" ht="21.75" customHeight="1" x14ac:dyDescent="0.25">
      <c r="B5" s="12" t="s">
        <v>558</v>
      </c>
      <c r="C5" s="12"/>
      <c r="D5" s="12"/>
      <c r="E5" s="12"/>
      <c r="F5" s="12"/>
      <c r="G5" s="12"/>
      <c r="H5" s="12"/>
      <c r="I5" s="12"/>
      <c r="J5" s="12"/>
    </row>
    <row r="6" spans="2:10" ht="19.5" customHeight="1" x14ac:dyDescent="0.25">
      <c r="B6" s="15" t="s">
        <v>329</v>
      </c>
      <c r="D6" s="15" t="s">
        <v>559</v>
      </c>
      <c r="E6" s="15" t="s">
        <v>560</v>
      </c>
      <c r="F6" s="15" t="s">
        <v>561</v>
      </c>
      <c r="G6" s="15" t="s">
        <v>562</v>
      </c>
      <c r="H6" s="15" t="s">
        <v>563</v>
      </c>
      <c r="I6" s="15" t="s">
        <v>564</v>
      </c>
      <c r="J6" s="15" t="s">
        <v>565</v>
      </c>
    </row>
    <row r="7" spans="2:10" ht="19.5" customHeight="1" x14ac:dyDescent="0.25">
      <c r="B7" s="179" t="s">
        <v>566</v>
      </c>
      <c r="C7" s="179"/>
      <c r="D7" s="149">
        <v>5.2</v>
      </c>
      <c r="E7" s="149">
        <v>4.9000000000000004</v>
      </c>
      <c r="F7" s="149">
        <v>2.2999999999999998</v>
      </c>
      <c r="G7" s="149">
        <v>1.8</v>
      </c>
      <c r="H7" s="149">
        <v>1.5</v>
      </c>
      <c r="I7" s="150">
        <f>(1+D7)*(1+E7)*(1+F7)*(1+G7)-1</f>
        <v>336.99920000000003</v>
      </c>
      <c r="J7" s="150">
        <f>AVERAGE(D7:H7)</f>
        <v>3.1400000000000006</v>
      </c>
    </row>
    <row r="8" spans="2:10" ht="19.5" customHeight="1" x14ac:dyDescent="0.25">
      <c r="B8" s="179" t="s">
        <v>567</v>
      </c>
      <c r="C8" s="179"/>
      <c r="D8" s="151">
        <v>2.5</v>
      </c>
      <c r="E8" s="151">
        <v>2.8</v>
      </c>
      <c r="F8" s="151">
        <v>3</v>
      </c>
      <c r="G8" s="151">
        <v>3.2</v>
      </c>
      <c r="H8" s="151">
        <v>3</v>
      </c>
      <c r="I8" s="152">
        <f>(1+D8)*(1+E8)*(1+F8)*(1+G8)-1</f>
        <v>222.44</v>
      </c>
      <c r="J8" s="152">
        <f>AVERAGE(D8:H8)</f>
        <v>2.9</v>
      </c>
    </row>
    <row r="9" spans="2:10" ht="19.5" customHeight="1" x14ac:dyDescent="0.25">
      <c r="B9" s="179" t="s">
        <v>568</v>
      </c>
      <c r="C9" s="179"/>
      <c r="D9" s="153">
        <v>3.8</v>
      </c>
      <c r="E9" s="153">
        <v>4.2</v>
      </c>
      <c r="F9" s="153">
        <v>4.5</v>
      </c>
      <c r="G9" s="153">
        <v>4.8</v>
      </c>
      <c r="H9" s="153">
        <v>4.5</v>
      </c>
      <c r="I9" s="154">
        <f>(1+D9)*(1+E9)*(1+F9)*(1+G9)-1</f>
        <v>795.22399999999993</v>
      </c>
      <c r="J9" s="154">
        <f>AVERAGE(D9:H9)</f>
        <v>4.3600000000000003</v>
      </c>
    </row>
    <row r="11" spans="2:10" ht="21.75" customHeight="1" x14ac:dyDescent="0.25">
      <c r="B11" s="12" t="s">
        <v>569</v>
      </c>
      <c r="C11" s="12"/>
      <c r="D11" s="12"/>
      <c r="E11" s="12"/>
      <c r="F11" s="12"/>
      <c r="G11" s="12"/>
      <c r="H11" s="12"/>
      <c r="I11" s="12"/>
      <c r="J11" s="12"/>
    </row>
    <row r="12" spans="2:10" ht="36" customHeight="1" x14ac:dyDescent="0.25">
      <c r="B12" s="15" t="s">
        <v>504</v>
      </c>
      <c r="C12" s="15" t="s">
        <v>417</v>
      </c>
      <c r="D12" s="15" t="s">
        <v>559</v>
      </c>
      <c r="E12" s="15" t="s">
        <v>560</v>
      </c>
      <c r="F12" s="15" t="s">
        <v>561</v>
      </c>
      <c r="G12" s="15" t="s">
        <v>562</v>
      </c>
      <c r="H12" s="15" t="s">
        <v>570</v>
      </c>
      <c r="I12" s="15" t="s">
        <v>571</v>
      </c>
      <c r="J12" s="15" t="s">
        <v>572</v>
      </c>
    </row>
    <row r="13" spans="2:10" ht="19.5" customHeight="1" x14ac:dyDescent="0.25">
      <c r="B13" s="33" t="s">
        <v>131</v>
      </c>
      <c r="C13" s="34" t="s">
        <v>514</v>
      </c>
      <c r="D13" s="64">
        <v>35000</v>
      </c>
      <c r="E13" s="64">
        <v>36200</v>
      </c>
      <c r="F13" s="64">
        <v>37500</v>
      </c>
      <c r="G13" s="64">
        <v>38000</v>
      </c>
      <c r="H13" s="64">
        <v>39500</v>
      </c>
      <c r="I13" s="155">
        <f t="shared" ref="I13:I28" si="0">IFERROR((H13/D13)^(1/4)-1,"—")</f>
        <v>3.0699968608800976E-2</v>
      </c>
      <c r="J13" s="155">
        <f>IFERROR(I13-J9,"—")</f>
        <v>-4.3293000313911989</v>
      </c>
    </row>
    <row r="14" spans="2:10" ht="19.5" customHeight="1" x14ac:dyDescent="0.25">
      <c r="B14" s="33" t="s">
        <v>458</v>
      </c>
      <c r="C14" s="34" t="s">
        <v>515</v>
      </c>
      <c r="D14" s="64">
        <v>26000</v>
      </c>
      <c r="E14" s="64">
        <v>26600</v>
      </c>
      <c r="F14" s="64">
        <v>27200</v>
      </c>
      <c r="G14" s="64">
        <v>27800</v>
      </c>
      <c r="H14" s="64">
        <v>28500</v>
      </c>
      <c r="I14" s="155">
        <f t="shared" si="0"/>
        <v>2.3217308629095212E-2</v>
      </c>
      <c r="J14" s="155">
        <f>IFERROR(I14-J9,"—")</f>
        <v>-4.3367826913709049</v>
      </c>
    </row>
    <row r="15" spans="2:10" ht="19.5" customHeight="1" x14ac:dyDescent="0.25">
      <c r="B15" s="33" t="s">
        <v>516</v>
      </c>
      <c r="C15" s="34" t="s">
        <v>517</v>
      </c>
      <c r="D15" s="64">
        <v>30000</v>
      </c>
      <c r="E15" s="64">
        <v>31000</v>
      </c>
      <c r="F15" s="64">
        <v>32000</v>
      </c>
      <c r="G15" s="64">
        <v>33000</v>
      </c>
      <c r="H15" s="64">
        <v>34000</v>
      </c>
      <c r="I15" s="155">
        <f t="shared" si="0"/>
        <v>3.1785488774073611E-2</v>
      </c>
      <c r="J15" s="155">
        <f>IFERROR(I15-J9,"—")</f>
        <v>-4.3282145112259265</v>
      </c>
    </row>
    <row r="16" spans="2:10" ht="19.5" customHeight="1" x14ac:dyDescent="0.25">
      <c r="B16" s="33" t="s">
        <v>133</v>
      </c>
      <c r="C16" s="25" t="s">
        <v>520</v>
      </c>
      <c r="D16" s="64">
        <v>44000</v>
      </c>
      <c r="E16" s="64">
        <v>46000</v>
      </c>
      <c r="F16" s="64">
        <v>48500</v>
      </c>
      <c r="G16" s="64">
        <v>50000</v>
      </c>
      <c r="H16" s="64">
        <v>52500</v>
      </c>
      <c r="I16" s="155">
        <f t="shared" si="0"/>
        <v>4.5145263531165103E-2</v>
      </c>
      <c r="J16" s="155">
        <f>IFERROR(I16-J9,"—")</f>
        <v>-4.3148547364688348</v>
      </c>
    </row>
    <row r="17" spans="2:10" ht="19.5" customHeight="1" x14ac:dyDescent="0.25">
      <c r="B17" s="33" t="s">
        <v>135</v>
      </c>
      <c r="C17" s="25" t="s">
        <v>521</v>
      </c>
      <c r="D17" s="64">
        <v>72000</v>
      </c>
      <c r="E17" s="64">
        <v>76000</v>
      </c>
      <c r="F17" s="64">
        <v>80000</v>
      </c>
      <c r="G17" s="64">
        <v>83000</v>
      </c>
      <c r="H17" s="64">
        <v>87000</v>
      </c>
      <c r="I17" s="155">
        <f t="shared" si="0"/>
        <v>4.8447501398811044E-2</v>
      </c>
      <c r="J17" s="155">
        <f>IFERROR(I17-J9,"—")</f>
        <v>-4.3115524986011895</v>
      </c>
    </row>
    <row r="18" spans="2:10" ht="19.5" customHeight="1" x14ac:dyDescent="0.25">
      <c r="B18" s="33" t="s">
        <v>443</v>
      </c>
      <c r="C18" s="25" t="s">
        <v>522</v>
      </c>
      <c r="D18" s="64">
        <v>40000</v>
      </c>
      <c r="E18" s="64">
        <v>42000</v>
      </c>
      <c r="F18" s="64">
        <v>44000</v>
      </c>
      <c r="G18" s="64">
        <v>46000</v>
      </c>
      <c r="H18" s="64">
        <v>48000</v>
      </c>
      <c r="I18" s="155">
        <f t="shared" si="0"/>
        <v>4.6635139392105618E-2</v>
      </c>
      <c r="J18" s="155">
        <f>IFERROR(I18-J9,"—")</f>
        <v>-4.3133648606078943</v>
      </c>
    </row>
    <row r="19" spans="2:10" ht="19.5" customHeight="1" x14ac:dyDescent="0.25">
      <c r="B19" s="33" t="s">
        <v>136</v>
      </c>
      <c r="C19" s="25" t="s">
        <v>523</v>
      </c>
      <c r="D19" s="64">
        <v>88000</v>
      </c>
      <c r="E19" s="64">
        <v>94000</v>
      </c>
      <c r="F19" s="64">
        <v>100000</v>
      </c>
      <c r="G19" s="64">
        <v>107000</v>
      </c>
      <c r="H19" s="64">
        <v>115000</v>
      </c>
      <c r="I19" s="155">
        <f t="shared" si="0"/>
        <v>6.918730138869722E-2</v>
      </c>
      <c r="J19" s="155">
        <f>IFERROR(I19-J9,"—")</f>
        <v>-4.2908126986113029</v>
      </c>
    </row>
    <row r="20" spans="2:10" ht="19.5" customHeight="1" x14ac:dyDescent="0.25">
      <c r="B20" s="33" t="s">
        <v>137</v>
      </c>
      <c r="C20" s="42" t="s">
        <v>526</v>
      </c>
      <c r="D20" s="64">
        <v>40000</v>
      </c>
      <c r="E20" s="64">
        <v>41500</v>
      </c>
      <c r="F20" s="64">
        <v>43000</v>
      </c>
      <c r="G20" s="64">
        <v>44500</v>
      </c>
      <c r="H20" s="64">
        <v>46000</v>
      </c>
      <c r="I20" s="155">
        <f t="shared" si="0"/>
        <v>3.5558076341622114E-2</v>
      </c>
      <c r="J20" s="155">
        <f>IFERROR(I20-J9,"—")</f>
        <v>-4.3244419236583784</v>
      </c>
    </row>
    <row r="21" spans="2:10" ht="19.5" customHeight="1" x14ac:dyDescent="0.25">
      <c r="B21" s="33" t="s">
        <v>139</v>
      </c>
      <c r="C21" s="42" t="s">
        <v>527</v>
      </c>
      <c r="D21" s="64">
        <v>95000</v>
      </c>
      <c r="E21" s="64">
        <v>102000</v>
      </c>
      <c r="F21" s="64">
        <v>110000</v>
      </c>
      <c r="G21" s="64">
        <v>118000</v>
      </c>
      <c r="H21" s="64">
        <v>128000</v>
      </c>
      <c r="I21" s="155">
        <f t="shared" si="0"/>
        <v>7.738665305266279E-2</v>
      </c>
      <c r="J21" s="155">
        <f>IFERROR(I21-J9,"—")</f>
        <v>-4.282613346947338</v>
      </c>
    </row>
    <row r="22" spans="2:10" ht="19.5" customHeight="1" x14ac:dyDescent="0.25">
      <c r="B22" s="33" t="s">
        <v>140</v>
      </c>
      <c r="C22" s="43" t="s">
        <v>530</v>
      </c>
      <c r="D22" s="64">
        <v>36000</v>
      </c>
      <c r="E22" s="64">
        <v>37500</v>
      </c>
      <c r="F22" s="64">
        <v>38800</v>
      </c>
      <c r="G22" s="64">
        <v>40000</v>
      </c>
      <c r="H22" s="64">
        <v>41500</v>
      </c>
      <c r="I22" s="155">
        <f t="shared" si="0"/>
        <v>3.6182847712584287E-2</v>
      </c>
      <c r="J22" s="155">
        <f>IFERROR(I22-J9,"—")</f>
        <v>-4.3238171522874165</v>
      </c>
    </row>
    <row r="23" spans="2:10" ht="19.5" customHeight="1" x14ac:dyDescent="0.25">
      <c r="B23" s="33" t="s">
        <v>142</v>
      </c>
      <c r="C23" s="43" t="s">
        <v>531</v>
      </c>
      <c r="D23" s="64">
        <v>52000</v>
      </c>
      <c r="E23" s="64">
        <v>55000</v>
      </c>
      <c r="F23" s="64">
        <v>58000</v>
      </c>
      <c r="G23" s="64">
        <v>61000</v>
      </c>
      <c r="H23" s="64">
        <v>64000</v>
      </c>
      <c r="I23" s="155">
        <f t="shared" si="0"/>
        <v>5.3280775695853322E-2</v>
      </c>
      <c r="J23" s="155">
        <f>IFERROR(I23-J9,"—")</f>
        <v>-4.306719224304147</v>
      </c>
    </row>
    <row r="24" spans="2:10" ht="19.5" customHeight="1" x14ac:dyDescent="0.25">
      <c r="B24" s="33" t="s">
        <v>143</v>
      </c>
      <c r="C24" s="43" t="s">
        <v>532</v>
      </c>
      <c r="D24" s="64">
        <v>28000</v>
      </c>
      <c r="E24" s="64">
        <v>29000</v>
      </c>
      <c r="F24" s="64">
        <v>30000</v>
      </c>
      <c r="G24" s="64">
        <v>31000</v>
      </c>
      <c r="H24" s="64">
        <v>32000</v>
      </c>
      <c r="I24" s="155">
        <f t="shared" si="0"/>
        <v>3.3946307914341167E-2</v>
      </c>
      <c r="J24" s="155">
        <f>IFERROR(I24-J9,"—")</f>
        <v>-4.3260536920856589</v>
      </c>
    </row>
    <row r="25" spans="2:10" ht="19.5" customHeight="1" x14ac:dyDescent="0.25">
      <c r="B25" s="33" t="s">
        <v>144</v>
      </c>
      <c r="C25" s="44" t="s">
        <v>535</v>
      </c>
      <c r="D25" s="64">
        <v>75000</v>
      </c>
      <c r="E25" s="64">
        <v>80000</v>
      </c>
      <c r="F25" s="64">
        <v>86000</v>
      </c>
      <c r="G25" s="64">
        <v>90000</v>
      </c>
      <c r="H25" s="64">
        <v>96000</v>
      </c>
      <c r="I25" s="155">
        <f t="shared" si="0"/>
        <v>6.3659179388997789E-2</v>
      </c>
      <c r="J25" s="155">
        <f>IFERROR(I25-J9,"—")</f>
        <v>-4.2963408206110021</v>
      </c>
    </row>
    <row r="26" spans="2:10" ht="19.5" customHeight="1" x14ac:dyDescent="0.25">
      <c r="B26" s="33" t="s">
        <v>146</v>
      </c>
      <c r="C26" s="45" t="s">
        <v>538</v>
      </c>
      <c r="D26" s="64">
        <v>30000</v>
      </c>
      <c r="E26" s="64">
        <v>31000</v>
      </c>
      <c r="F26" s="64">
        <v>32000</v>
      </c>
      <c r="G26" s="64">
        <v>33000</v>
      </c>
      <c r="H26" s="64">
        <v>34200</v>
      </c>
      <c r="I26" s="155">
        <f t="shared" si="0"/>
        <v>3.3299484758959386E-2</v>
      </c>
      <c r="J26" s="155">
        <f>IFERROR(I26-J9,"—")</f>
        <v>-4.3267005152410407</v>
      </c>
    </row>
    <row r="27" spans="2:10" ht="19.5" customHeight="1" x14ac:dyDescent="0.25">
      <c r="B27" s="33" t="s">
        <v>148</v>
      </c>
      <c r="C27" s="21" t="s">
        <v>541</v>
      </c>
      <c r="D27" s="64">
        <v>85000</v>
      </c>
      <c r="E27" s="64">
        <v>89000</v>
      </c>
      <c r="F27" s="64">
        <v>93000</v>
      </c>
      <c r="G27" s="64">
        <v>97000</v>
      </c>
      <c r="H27" s="64">
        <v>102000</v>
      </c>
      <c r="I27" s="155">
        <f t="shared" si="0"/>
        <v>4.6635139392105618E-2</v>
      </c>
      <c r="J27" s="155">
        <f>IFERROR(I27-J9,"—")</f>
        <v>-4.3133648606078943</v>
      </c>
    </row>
    <row r="28" spans="2:10" ht="21.75" customHeight="1" x14ac:dyDescent="0.25">
      <c r="B28" s="208" t="s">
        <v>573</v>
      </c>
      <c r="C28" s="208"/>
      <c r="D28" s="95">
        <f>ROUND(AVERAGE(D13:D27),0)</f>
        <v>51733</v>
      </c>
      <c r="E28" s="95">
        <f>ROUND(AVERAGE(E13:E27),0)</f>
        <v>54453</v>
      </c>
      <c r="F28" s="95">
        <f>ROUND(AVERAGE(F13:F27),0)</f>
        <v>57333</v>
      </c>
      <c r="G28" s="95">
        <f>ROUND(AVERAGE(G13:G27),0)</f>
        <v>59953</v>
      </c>
      <c r="H28" s="95">
        <f>ROUND(AVERAGE(H13:H27),0)</f>
        <v>63213</v>
      </c>
      <c r="I28" s="156">
        <f t="shared" si="0"/>
        <v>5.1379934965976481E-2</v>
      </c>
      <c r="J28" s="47"/>
    </row>
    <row r="50" spans="2:10" ht="21.75" customHeight="1" x14ac:dyDescent="0.25">
      <c r="B50" s="10" t="s">
        <v>341</v>
      </c>
      <c r="C50" s="10"/>
      <c r="D50" s="10"/>
      <c r="E50" s="10"/>
      <c r="F50" s="10"/>
      <c r="G50" s="10"/>
      <c r="H50" s="10"/>
      <c r="I50" s="10"/>
      <c r="J50" s="10"/>
    </row>
  </sheetData>
  <autoFilter ref="B12:J27" xr:uid="{00000000-0009-0000-0000-000008000000}"/>
  <mergeCells count="17">
    <mergeCell ref="B50:J50"/>
    <mergeCell ref="B7:C7"/>
    <mergeCell ref="B8:C8"/>
    <mergeCell ref="B9:C9"/>
    <mergeCell ref="B11:J11"/>
    <mergeCell ref="B28:C28"/>
    <mergeCell ref="B4:D4"/>
    <mergeCell ref="E4:F4"/>
    <mergeCell ref="G4:H4"/>
    <mergeCell ref="I4:J4"/>
    <mergeCell ref="B5:J5"/>
    <mergeCell ref="B1:J1"/>
    <mergeCell ref="B2:J2"/>
    <mergeCell ref="B3:D3"/>
    <mergeCell ref="E3:F3"/>
    <mergeCell ref="G3:H3"/>
    <mergeCell ref="I3:J3"/>
  </mergeCells>
  <conditionalFormatting sqref="I13:I27">
    <cfRule type="expression" dxfId="10" priority="2">
      <formula>I13&gt;0.06</formula>
    </cfRule>
    <cfRule type="expression" dxfId="9" priority="3">
      <formula>AND(I13&gt;=0.04,I13&lt;=0.06)</formula>
    </cfRule>
    <cfRule type="expression" dxfId="8" priority="4">
      <formula>AND(I13&gt;=0.025,I13&lt;0.04)</formula>
    </cfRule>
    <cfRule type="expression" dxfId="7" priority="5">
      <formula>I13&lt;0.025</formula>
    </cfRule>
  </conditionalFormatting>
  <conditionalFormatting sqref="J13:J27">
    <cfRule type="expression" dxfId="6" priority="6">
      <formula>J13&gt;0.01</formula>
    </cfRule>
    <cfRule type="expression" dxfId="5" priority="7">
      <formula>J13&lt;0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4AF37"/>
  </sheetPr>
  <dimension ref="B1:J37"/>
  <sheetViews>
    <sheetView showGridLines="0" zoomScaleNormal="100" workbookViewId="0"/>
  </sheetViews>
  <sheetFormatPr baseColWidth="10" defaultColWidth="8.7109375" defaultRowHeight="15" x14ac:dyDescent="0.25"/>
  <cols>
    <col min="1" max="2" width="2" customWidth="1"/>
    <col min="3" max="3" width="18" customWidth="1"/>
    <col min="4" max="10" width="13" customWidth="1"/>
    <col min="11" max="11" width="2" customWidth="1"/>
  </cols>
  <sheetData>
    <row r="1" spans="2:10" ht="43.5" customHeight="1" x14ac:dyDescent="0.25">
      <c r="B1" s="209" t="str">
        <f>IF('01_PARAMETRES'!C6="","💎  NEURAL — LuxeCompBenchmark · Tableau de Bord Rémunérations","💎  "&amp;'01_PARAMETRES'!C6&amp;"  —  Benchmark &amp; Simulateur de Package Rémunération")</f>
        <v>💎  NEURAL — LuxeCompBenchmark · Tableau de Bord Rémunérations</v>
      </c>
      <c r="C1" s="209"/>
      <c r="D1" s="209"/>
      <c r="E1" s="209"/>
      <c r="F1" s="209"/>
      <c r="G1" s="209"/>
      <c r="H1" s="209"/>
      <c r="I1" s="209"/>
      <c r="J1" s="209"/>
    </row>
    <row r="2" spans="2:10" ht="19.5" customHeight="1" x14ac:dyDescent="0.25">
      <c r="B2" s="210" t="e">
        <f ca="1">"📅 Analyse : "&amp;TEXT('01_PARAMETRES'!C12,"DD/MM/YYYY")&amp;"  ·  Devise : "&amp;'01_PARAMETRES'!C7</f>
        <v>#VALUE!</v>
      </c>
      <c r="C2" s="210"/>
      <c r="D2" s="210"/>
      <c r="E2" s="210"/>
      <c r="F2" s="211" t="str">
        <f>"🧑‍💼 Analyste : "&amp;'01_PARAMETRES'!C13&amp;"  ·  Conv. : "&amp;'01_PARAMETRES'!C9</f>
        <v xml:space="preserve">🧑‍💼 Analyste :   ·  Conv. : </v>
      </c>
      <c r="G2" s="211"/>
      <c r="H2" s="211"/>
      <c r="I2" s="211"/>
      <c r="J2" s="211"/>
    </row>
    <row r="3" spans="2:10" ht="6" customHeight="1" x14ac:dyDescent="0.25">
      <c r="B3" s="212"/>
      <c r="C3" s="212"/>
      <c r="D3" s="212"/>
      <c r="E3" s="212"/>
      <c r="F3" s="212"/>
      <c r="G3" s="212"/>
      <c r="H3" s="212"/>
      <c r="I3" s="212"/>
      <c r="J3" s="212"/>
    </row>
    <row r="4" spans="2:10" ht="18" customHeight="1" x14ac:dyDescent="0.25">
      <c r="B4" s="193" t="s">
        <v>499</v>
      </c>
      <c r="C4" s="193"/>
      <c r="D4" s="193" t="s">
        <v>574</v>
      </c>
      <c r="E4" s="193"/>
      <c r="F4" s="193" t="s">
        <v>575</v>
      </c>
      <c r="G4" s="193"/>
      <c r="H4" s="193" t="s">
        <v>576</v>
      </c>
      <c r="I4" s="193"/>
      <c r="J4" s="193"/>
    </row>
    <row r="5" spans="2:10" ht="51.75" customHeight="1" x14ac:dyDescent="0.25">
      <c r="B5" s="213">
        <f>IFERROR('08_COST_EMPLOYEUR'!I37,"N/D")</f>
        <v>4329000</v>
      </c>
      <c r="C5" s="213"/>
      <c r="D5" s="214">
        <f>IFERROR(MEDIAN('07_EQUITE_INTERNE'!H10:H39),"N/D")</f>
        <v>0.94626436781609191</v>
      </c>
      <c r="E5" s="214"/>
      <c r="F5" s="215">
        <f>IFERROR(AVERAGEIF('07_EQUITE_INTERNE'!F10:F39,"F",'07_EQUITE_INTERNE'!G10:G39)/AVERAGEIF('07_EQUITE_INTERNE'!F10:F39,"H",'07_EQUITE_INTERNE'!G10:G39)-1,"N/D")</f>
        <v>-0.11036789297658867</v>
      </c>
      <c r="G5" s="215"/>
      <c r="H5" s="216">
        <f>IFERROR(AVERAGE('09_HISTORIQUE'!I13:I27),"N/D")</f>
        <v>4.5004429065325015E-2</v>
      </c>
      <c r="I5" s="216"/>
      <c r="J5" s="216"/>
    </row>
    <row r="6" spans="2:10" ht="21.75" customHeight="1" x14ac:dyDescent="0.25">
      <c r="B6" s="217" t="s">
        <v>577</v>
      </c>
      <c r="C6" s="217"/>
      <c r="D6" s="218" t="s">
        <v>578</v>
      </c>
      <c r="E6" s="218"/>
      <c r="F6" s="219" t="s">
        <v>578</v>
      </c>
      <c r="G6" s="219"/>
      <c r="H6" s="220" t="s">
        <v>579</v>
      </c>
      <c r="I6" s="220"/>
      <c r="J6" s="220"/>
    </row>
    <row r="7" spans="2:10" ht="6" customHeight="1" x14ac:dyDescent="0.25">
      <c r="B7" s="221"/>
      <c r="C7" s="221"/>
      <c r="D7" s="221"/>
      <c r="E7" s="221"/>
      <c r="F7" s="221"/>
      <c r="G7" s="221"/>
      <c r="H7" s="221"/>
      <c r="I7" s="221"/>
      <c r="J7" s="221"/>
    </row>
    <row r="8" spans="2:10" ht="21.75" customHeight="1" x14ac:dyDescent="0.25">
      <c r="B8" s="12" t="s">
        <v>580</v>
      </c>
      <c r="C8" s="12"/>
      <c r="D8" s="12"/>
      <c r="E8" s="12"/>
      <c r="F8" s="12" t="s">
        <v>581</v>
      </c>
      <c r="G8" s="12"/>
      <c r="H8" s="12"/>
      <c r="I8" s="12"/>
      <c r="J8" s="12"/>
    </row>
    <row r="9" spans="2:10" ht="18" customHeight="1" x14ac:dyDescent="0.25">
      <c r="B9" s="15" t="s">
        <v>121</v>
      </c>
      <c r="C9" s="15" t="s">
        <v>582</v>
      </c>
      <c r="D9" s="15" t="s">
        <v>583</v>
      </c>
      <c r="E9" s="15" t="s">
        <v>584</v>
      </c>
      <c r="F9" s="15" t="s">
        <v>329</v>
      </c>
      <c r="G9" s="15"/>
      <c r="H9" s="15" t="s">
        <v>585</v>
      </c>
      <c r="I9" s="15" t="s">
        <v>586</v>
      </c>
      <c r="J9" s="15" t="s">
        <v>587</v>
      </c>
    </row>
    <row r="10" spans="2:10" ht="19.5" customHeight="1" x14ac:dyDescent="0.25">
      <c r="B10" s="35" t="s">
        <v>25</v>
      </c>
      <c r="C10" s="157" t="str">
        <f>IFERROR(AVERAGEIFS('07_EQUITE_INTERNE'!$H$10:$H$39,'07_EQUITE_INTERNE'!$D$10:$D$39,B10),"—")</f>
        <v>—</v>
      </c>
      <c r="D10" s="158" t="str">
        <f ca="1">IFERROR(_xludf.minifs('07_EQUITE_INTERNE'!$H$10:$H$39,'07_EQUITE_INTERNE'!$D$10:$D$39,B10),"—")</f>
        <v>—</v>
      </c>
      <c r="E10" s="158" t="str">
        <f ca="1">IFERROR(_xludf.maxifs('07_EQUITE_INTERNE'!$H$10:$H$39,'07_EQUITE_INTERNE'!$D$10:$D$39,B10),"—")</f>
        <v>—</v>
      </c>
      <c r="F10" s="222" t="s">
        <v>588</v>
      </c>
      <c r="G10" s="222"/>
      <c r="H10" s="159">
        <f>COUNTIF('07_EQUITE_INTERNE'!H10:H39,"&lt;0.85")</f>
        <v>0</v>
      </c>
      <c r="I10" s="160">
        <v>3</v>
      </c>
      <c r="J10" s="41" t="str">
        <f>IF(H10&gt;I10,"⚠️ Action requise","✅ OK")</f>
        <v>✅ OK</v>
      </c>
    </row>
    <row r="11" spans="2:10" ht="19.5" customHeight="1" x14ac:dyDescent="0.25">
      <c r="B11" s="35" t="s">
        <v>29</v>
      </c>
      <c r="C11" s="157">
        <f>IFERROR(AVERAGEIFS('07_EQUITE_INTERNE'!$H$10:$H$39,'07_EQUITE_INTERNE'!$D$10:$D$39,B11),"—")</f>
        <v>1.04</v>
      </c>
      <c r="D11" s="158" t="str">
        <f ca="1">IFERROR(_xludf.minifs('07_EQUITE_INTERNE'!$H$10:$H$39,'07_EQUITE_INTERNE'!$D$10:$D$39,B11),"—")</f>
        <v>—</v>
      </c>
      <c r="E11" s="158" t="str">
        <f ca="1">IFERROR(_xludf.maxifs('07_EQUITE_INTERNE'!$H$10:$H$39,'07_EQUITE_INTERNE'!$D$10:$D$39,B11),"—")</f>
        <v>—</v>
      </c>
      <c r="F11" s="222" t="s">
        <v>589</v>
      </c>
      <c r="G11" s="222"/>
      <c r="H11" s="159">
        <f>COUNTIF('07_EQUITE_INTERNE'!H10:H39,"&gt;1.15")</f>
        <v>0</v>
      </c>
      <c r="I11" s="160">
        <v>2</v>
      </c>
      <c r="J11" s="41" t="str">
        <f>IF(H11&gt;I11,"⚠️ Action requise","✅ OK")</f>
        <v>✅ OK</v>
      </c>
    </row>
    <row r="12" spans="2:10" ht="19.5" customHeight="1" x14ac:dyDescent="0.25">
      <c r="B12" s="35" t="s">
        <v>33</v>
      </c>
      <c r="C12" s="157">
        <f>IFERROR(AVERAGEIFS('07_EQUITE_INTERNE'!$H$10:$H$39,'07_EQUITE_INTERNE'!$D$10:$D$39,B12),"—")</f>
        <v>0.96102092352092361</v>
      </c>
      <c r="D12" s="158" t="str">
        <f ca="1">IFERROR(_xludf.minifs('07_EQUITE_INTERNE'!$H$10:$H$39,'07_EQUITE_INTERNE'!$D$10:$D$39,B12),"—")</f>
        <v>—</v>
      </c>
      <c r="E12" s="158" t="str">
        <f ca="1">IFERROR(_xludf.maxifs('07_EQUITE_INTERNE'!$H$10:$H$39,'07_EQUITE_INTERNE'!$D$10:$D$39,B12),"—")</f>
        <v>—</v>
      </c>
      <c r="F12" s="222" t="s">
        <v>590</v>
      </c>
      <c r="G12" s="222"/>
      <c r="H12" s="159">
        <f ca="1">COUNTIFS('07_EQUITE_INTERNE'!L10:L39,"&lt;"&amp;DATE(YEAR(TODAY())-2,MONTH(TODAY()),DAY(TODAY())))</f>
        <v>0</v>
      </c>
      <c r="I12" s="160">
        <v>5</v>
      </c>
      <c r="J12" s="41" t="str">
        <f ca="1">IF(H12&gt;I12,"⚠️ Action requise","✅ OK")</f>
        <v>✅ OK</v>
      </c>
    </row>
    <row r="13" spans="2:10" ht="19.5" customHeight="1" x14ac:dyDescent="0.25">
      <c r="B13" s="35" t="s">
        <v>37</v>
      </c>
      <c r="C13" s="157">
        <f>IFERROR(AVERAGEIFS('07_EQUITE_INTERNE'!$H$10:$H$39,'07_EQUITE_INTERNE'!$D$10:$D$39,B13),"—")</f>
        <v>1.0008881922675026</v>
      </c>
      <c r="D13" s="158" t="str">
        <f ca="1">IFERROR(_xludf.minifs('07_EQUITE_INTERNE'!$H$10:$H$39,'07_EQUITE_INTERNE'!$D$10:$D$39,B13),"—")</f>
        <v>—</v>
      </c>
      <c r="E13" s="158" t="str">
        <f ca="1">IFERROR(_xludf.maxifs('07_EQUITE_INTERNE'!$H$10:$H$39,'07_EQUITE_INTERNE'!$D$10:$D$39,B13),"—")</f>
        <v>—</v>
      </c>
      <c r="F13" s="222" t="s">
        <v>591</v>
      </c>
      <c r="G13" s="222"/>
      <c r="H13" s="161">
        <f>IFERROR(AVERAGEIF('07_EQUITE_INTERNE'!F10:F39,"F",'07_EQUITE_INTERNE'!G10:G39)/AVERAGEIF('07_EQUITE_INTERNE'!F10:F39,"H",'07_EQUITE_INTERNE'!G10:G39)-1,0)</f>
        <v>-0.11036789297658867</v>
      </c>
      <c r="I13" s="160" t="s">
        <v>592</v>
      </c>
      <c r="J13" s="41" t="str">
        <f>IF(H13&gt;I13,"⚠️ Action requise","✅ OK")</f>
        <v>✅ OK</v>
      </c>
    </row>
    <row r="14" spans="2:10" ht="19.5" customHeight="1" x14ac:dyDescent="0.25">
      <c r="B14" s="35" t="s">
        <v>41</v>
      </c>
      <c r="C14" s="157">
        <f>IFERROR(AVERAGEIFS('07_EQUITE_INTERNE'!$H$10:$H$39,'07_EQUITE_INTERNE'!$D$10:$D$39,B14),"—")</f>
        <v>0.88145223753118973</v>
      </c>
      <c r="D14" s="158" t="str">
        <f ca="1">IFERROR(_xludf.minifs('07_EQUITE_INTERNE'!$H$10:$H$39,'07_EQUITE_INTERNE'!$D$10:$D$39,B14),"—")</f>
        <v>—</v>
      </c>
      <c r="E14" s="158" t="str">
        <f ca="1">IFERROR(_xludf.maxifs('07_EQUITE_INTERNE'!$H$10:$H$39,'07_EQUITE_INTERNE'!$D$10:$D$39,B14),"—")</f>
        <v>—</v>
      </c>
      <c r="F14" s="222" t="s">
        <v>593</v>
      </c>
      <c r="G14" s="222"/>
      <c r="H14" s="159">
        <f>COUNTIF('07_EQUITE_INTERNE'!I10:I39,"N/D")</f>
        <v>7</v>
      </c>
      <c r="I14" s="160">
        <v>3</v>
      </c>
      <c r="J14" s="41" t="str">
        <f>IF(H14&gt;I14,"⚠️ Action requise","✅ OK")</f>
        <v>⚠️ Action requise</v>
      </c>
    </row>
    <row r="15" spans="2:10" ht="19.5" customHeight="1" x14ac:dyDescent="0.25">
      <c r="B15" s="35" t="s">
        <v>45</v>
      </c>
      <c r="C15" s="157">
        <f>IFERROR(AVERAGEIFS('07_EQUITE_INTERNE'!$H$10:$H$39,'07_EQUITE_INTERNE'!$D$10:$D$39,B15),"—")</f>
        <v>0.83075809220825136</v>
      </c>
      <c r="D15" s="158" t="str">
        <f ca="1">IFERROR(_xludf.minifs('07_EQUITE_INTERNE'!$H$10:$H$39,'07_EQUITE_INTERNE'!$D$10:$D$39,B15),"—")</f>
        <v>—</v>
      </c>
      <c r="E15" s="158" t="str">
        <f ca="1">IFERROR(_xludf.maxifs('07_EQUITE_INTERNE'!$H$10:$H$39,'07_EQUITE_INTERNE'!$D$10:$D$39,B15),"—")</f>
        <v>—</v>
      </c>
    </row>
    <row r="16" spans="2:10" ht="19.5" customHeight="1" x14ac:dyDescent="0.25">
      <c r="B16" s="35" t="s">
        <v>49</v>
      </c>
      <c r="C16" s="157" t="str">
        <f>IFERROR(AVERAGEIFS('07_EQUITE_INTERNE'!$H$10:$H$39,'07_EQUITE_INTERNE'!$D$10:$D$39,B16),"—")</f>
        <v>—</v>
      </c>
      <c r="D16" s="158" t="str">
        <f ca="1">IFERROR(_xludf.minifs('07_EQUITE_INTERNE'!$H$10:$H$39,'07_EQUITE_INTERNE'!$D$10:$D$39,B16),"—")</f>
        <v>—</v>
      </c>
      <c r="E16" s="158" t="str">
        <f ca="1">IFERROR(_xludf.maxifs('07_EQUITE_INTERNE'!$H$10:$H$39,'07_EQUITE_INTERNE'!$D$10:$D$39,B16),"—")</f>
        <v>—</v>
      </c>
    </row>
    <row r="17" spans="2:10" ht="19.5" customHeight="1" x14ac:dyDescent="0.25">
      <c r="B17" s="35" t="s">
        <v>53</v>
      </c>
      <c r="C17" s="157" t="str">
        <f>IFERROR(AVERAGEIFS('07_EQUITE_INTERNE'!$H$10:$H$39,'07_EQUITE_INTERNE'!$D$10:$D$39,B17),"—")</f>
        <v>—</v>
      </c>
      <c r="D17" s="158" t="str">
        <f ca="1">IFERROR(_xludf.minifs('07_EQUITE_INTERNE'!$H$10:$H$39,'07_EQUITE_INTERNE'!$D$10:$D$39,B17),"—")</f>
        <v>—</v>
      </c>
      <c r="E17" s="158" t="str">
        <f ca="1">IFERROR(_xludf.maxifs('07_EQUITE_INTERNE'!$H$10:$H$39,'07_EQUITE_INTERNE'!$D$10:$D$39,B17),"—")</f>
        <v>—</v>
      </c>
    </row>
    <row r="18" spans="2:10" ht="19.5" customHeight="1" x14ac:dyDescent="0.25">
      <c r="B18" s="35" t="s">
        <v>57</v>
      </c>
      <c r="C18" s="157" t="str">
        <f>IFERROR(AVERAGEIFS('07_EQUITE_INTERNE'!$H$10:$H$39,'07_EQUITE_INTERNE'!$D$10:$D$39,B18),"—")</f>
        <v>—</v>
      </c>
      <c r="D18" s="158" t="str">
        <f ca="1">IFERROR(_xludf.minifs('07_EQUITE_INTERNE'!$H$10:$H$39,'07_EQUITE_INTERNE'!$D$10:$D$39,B18),"—")</f>
        <v>—</v>
      </c>
      <c r="E18" s="158" t="str">
        <f ca="1">IFERROR(_xludf.maxifs('07_EQUITE_INTERNE'!$H$10:$H$39,'07_EQUITE_INTERNE'!$D$10:$D$39,B18),"—")</f>
        <v>—</v>
      </c>
    </row>
    <row r="19" spans="2:10" ht="19.5" customHeight="1" x14ac:dyDescent="0.25">
      <c r="B19" s="35" t="s">
        <v>61</v>
      </c>
      <c r="C19" s="157" t="str">
        <f>IFERROR(AVERAGEIFS('07_EQUITE_INTERNE'!$H$10:$H$39,'07_EQUITE_INTERNE'!$D$10:$D$39,B19),"—")</f>
        <v>—</v>
      </c>
      <c r="D19" s="158" t="str">
        <f ca="1">IFERROR(_xludf.minifs('07_EQUITE_INTERNE'!$H$10:$H$39,'07_EQUITE_INTERNE'!$D$10:$D$39,B19),"—")</f>
        <v>—</v>
      </c>
      <c r="E19" s="158" t="str">
        <f ca="1">IFERROR(_xludf.maxifs('07_EQUITE_INTERNE'!$H$10:$H$39,'07_EQUITE_INTERNE'!$D$10:$D$39,B19),"—")</f>
        <v>—</v>
      </c>
    </row>
    <row r="20" spans="2:10" ht="19.5" customHeight="1" x14ac:dyDescent="0.25">
      <c r="B20" s="35" t="s">
        <v>65</v>
      </c>
      <c r="C20" s="157" t="str">
        <f>IFERROR(AVERAGEIFS('07_EQUITE_INTERNE'!$H$10:$H$39,'07_EQUITE_INTERNE'!$D$10:$D$39,B20),"—")</f>
        <v>—</v>
      </c>
      <c r="D20" s="158" t="str">
        <f ca="1">IFERROR(_xludf.minifs('07_EQUITE_INTERNE'!$H$10:$H$39,'07_EQUITE_INTERNE'!$D$10:$D$39,B20),"—")</f>
        <v>—</v>
      </c>
      <c r="E20" s="158" t="str">
        <f ca="1">IFERROR(_xludf.maxifs('07_EQUITE_INTERNE'!$H$10:$H$39,'07_EQUITE_INTERNE'!$D$10:$D$39,B20),"—")</f>
        <v>—</v>
      </c>
    </row>
    <row r="21" spans="2:10" ht="6" customHeight="1" x14ac:dyDescent="0.25">
      <c r="B21" s="221"/>
      <c r="C21" s="221"/>
      <c r="D21" s="221"/>
      <c r="E21" s="221"/>
      <c r="F21" s="221"/>
      <c r="G21" s="221"/>
      <c r="H21" s="221"/>
      <c r="I21" s="221"/>
      <c r="J21" s="221"/>
    </row>
    <row r="22" spans="2:10" ht="21.75" customHeight="1" x14ac:dyDescent="0.25">
      <c r="B22" s="12" t="s">
        <v>594</v>
      </c>
      <c r="C22" s="12"/>
      <c r="D22" s="12"/>
      <c r="E22" s="12"/>
      <c r="F22" s="12" t="s">
        <v>595</v>
      </c>
      <c r="G22" s="12"/>
      <c r="H22" s="12"/>
      <c r="I22" s="12"/>
      <c r="J22" s="12"/>
    </row>
    <row r="23" spans="2:10" ht="18" customHeight="1" x14ac:dyDescent="0.25">
      <c r="B23" s="15" t="s">
        <v>83</v>
      </c>
      <c r="C23" s="15" t="s">
        <v>596</v>
      </c>
      <c r="D23" s="15" t="s">
        <v>597</v>
      </c>
      <c r="E23" s="15" t="s">
        <v>598</v>
      </c>
      <c r="F23" s="15" t="s">
        <v>417</v>
      </c>
      <c r="G23" s="15" t="s">
        <v>599</v>
      </c>
      <c r="H23" s="15" t="s">
        <v>600</v>
      </c>
      <c r="I23" s="15" t="s">
        <v>601</v>
      </c>
      <c r="J23" s="15" t="s">
        <v>602</v>
      </c>
    </row>
    <row r="24" spans="2:10" ht="19.5" customHeight="1" x14ac:dyDescent="0.25">
      <c r="B24" s="30" t="s">
        <v>603</v>
      </c>
      <c r="C24" s="162">
        <v>95538.461538461503</v>
      </c>
      <c r="D24" s="142">
        <f>IFERROR(C24/C24,"—")</f>
        <v>1</v>
      </c>
      <c r="E24" s="22">
        <v>13</v>
      </c>
      <c r="F24" s="30" t="s">
        <v>604</v>
      </c>
      <c r="G24" s="94">
        <v>88000</v>
      </c>
      <c r="H24" s="96">
        <v>115000</v>
      </c>
      <c r="I24" s="163">
        <f>IFERROR((H24/G24)^(1/4)-1,"—")</f>
        <v>6.918730138869722E-2</v>
      </c>
      <c r="J24" s="164">
        <f>IFERROR(I24-'09_HISTORIQUE'!J9,"—")</f>
        <v>-4.2908126986113029</v>
      </c>
    </row>
    <row r="25" spans="2:10" ht="19.5" customHeight="1" x14ac:dyDescent="0.25">
      <c r="B25" s="30" t="s">
        <v>605</v>
      </c>
      <c r="C25" s="165">
        <v>65000</v>
      </c>
      <c r="D25" s="166">
        <f>IFERROR(C25/C24,"—")</f>
        <v>0.6803542673107893</v>
      </c>
      <c r="E25" s="22">
        <v>8</v>
      </c>
      <c r="F25" s="30" t="s">
        <v>606</v>
      </c>
      <c r="G25" s="94">
        <v>95000</v>
      </c>
      <c r="H25" s="96">
        <v>128000</v>
      </c>
      <c r="I25" s="163">
        <f>IFERROR((H25/G25)^(1/4)-1,"—")</f>
        <v>7.738665305266279E-2</v>
      </c>
      <c r="J25" s="164">
        <f>IFERROR(I25-'09_HISTORIQUE'!J9,"—")</f>
        <v>-4.282613346947338</v>
      </c>
    </row>
    <row r="26" spans="2:10" ht="19.5" customHeight="1" x14ac:dyDescent="0.25">
      <c r="B26" s="30" t="s">
        <v>607</v>
      </c>
      <c r="C26" s="167">
        <v>185125</v>
      </c>
      <c r="D26" s="166">
        <f>IFERROR(C26/C24,"—")</f>
        <v>1.9377012882447673</v>
      </c>
      <c r="E26" s="22">
        <v>8</v>
      </c>
      <c r="F26" s="30" t="s">
        <v>608</v>
      </c>
      <c r="G26" s="94">
        <v>75000</v>
      </c>
      <c r="H26" s="96">
        <v>96000</v>
      </c>
      <c r="I26" s="163">
        <f>IFERROR((H26/G26)^(1/4)-1,"—")</f>
        <v>6.3659179388997789E-2</v>
      </c>
      <c r="J26" s="164">
        <f>IFERROR(I26-'09_HISTORIQUE'!J9,"—")</f>
        <v>-4.2963408206110021</v>
      </c>
    </row>
    <row r="27" spans="2:10" ht="19.5" customHeight="1" x14ac:dyDescent="0.25">
      <c r="B27" s="30" t="s">
        <v>609</v>
      </c>
      <c r="C27" s="165">
        <v>107500</v>
      </c>
      <c r="D27" s="166">
        <f>IFERROR(C27/C24,"—")</f>
        <v>1.1252012882447668</v>
      </c>
      <c r="E27" s="22">
        <v>4</v>
      </c>
      <c r="F27" s="30" t="s">
        <v>610</v>
      </c>
      <c r="G27" s="94">
        <v>72000</v>
      </c>
      <c r="H27" s="96">
        <v>87000</v>
      </c>
      <c r="I27" s="163">
        <f>IFERROR((H27/G27)^(1/4)-1,"—")</f>
        <v>4.8447501398811044E-2</v>
      </c>
      <c r="J27" s="164">
        <f>IFERROR(I27-'09_HISTORIQUE'!J9,"—")</f>
        <v>-4.3115524986011895</v>
      </c>
    </row>
    <row r="28" spans="2:10" ht="19.5" customHeight="1" x14ac:dyDescent="0.25">
      <c r="B28" s="30" t="s">
        <v>611</v>
      </c>
      <c r="C28" s="165">
        <v>131200</v>
      </c>
      <c r="D28" s="166">
        <f>IFERROR(C28/C24,"—")</f>
        <v>1.3732689210950086</v>
      </c>
      <c r="E28" s="22">
        <v>5</v>
      </c>
      <c r="F28" s="30" t="s">
        <v>612</v>
      </c>
      <c r="G28" s="94">
        <v>52000</v>
      </c>
      <c r="H28" s="96">
        <v>64000</v>
      </c>
      <c r="I28" s="163">
        <f>IFERROR((H28/G28)^(1/4)-1,"—")</f>
        <v>5.3280775695853322E-2</v>
      </c>
      <c r="J28" s="164">
        <f>IFERROR(I28-'09_HISTORIQUE'!J9,"—")</f>
        <v>-4.306719224304147</v>
      </c>
    </row>
    <row r="30" spans="2:10" ht="6" customHeight="1" x14ac:dyDescent="0.25">
      <c r="B30" s="212"/>
      <c r="C30" s="212"/>
      <c r="D30" s="212"/>
      <c r="E30" s="212"/>
      <c r="F30" s="212"/>
      <c r="G30" s="212"/>
      <c r="H30" s="212"/>
      <c r="I30" s="212"/>
      <c r="J30" s="212"/>
    </row>
    <row r="31" spans="2:10" ht="21.75" customHeight="1" x14ac:dyDescent="0.25">
      <c r="B31" s="12" t="s">
        <v>613</v>
      </c>
      <c r="C31" s="12"/>
      <c r="D31" s="12"/>
      <c r="E31" s="12"/>
      <c r="F31" s="12"/>
      <c r="G31" s="12"/>
      <c r="H31" s="12"/>
      <c r="I31" s="12"/>
      <c r="J31" s="12"/>
    </row>
    <row r="32" spans="2:10" ht="18" customHeight="1" x14ac:dyDescent="0.25">
      <c r="B32" s="223" t="s">
        <v>158</v>
      </c>
      <c r="C32" s="223"/>
      <c r="D32" s="8" t="s">
        <v>614</v>
      </c>
      <c r="E32" s="8"/>
      <c r="F32" s="8"/>
      <c r="G32" s="8"/>
      <c r="H32" s="8"/>
      <c r="I32" s="8"/>
      <c r="J32" s="8"/>
    </row>
    <row r="33" spans="2:10" ht="18" customHeight="1" x14ac:dyDescent="0.25">
      <c r="B33" s="224" t="s">
        <v>156</v>
      </c>
      <c r="C33" s="224"/>
      <c r="D33" s="8" t="s">
        <v>615</v>
      </c>
      <c r="E33" s="8"/>
      <c r="F33" s="8"/>
      <c r="G33" s="8"/>
      <c r="H33" s="8"/>
      <c r="I33" s="8"/>
      <c r="J33" s="8"/>
    </row>
    <row r="34" spans="2:10" ht="18" customHeight="1" x14ac:dyDescent="0.25">
      <c r="B34" s="225" t="s">
        <v>154</v>
      </c>
      <c r="C34" s="225"/>
      <c r="D34" s="8" t="s">
        <v>616</v>
      </c>
      <c r="E34" s="8"/>
      <c r="F34" s="8"/>
      <c r="G34" s="8"/>
      <c r="H34" s="8"/>
      <c r="I34" s="8"/>
      <c r="J34" s="8"/>
    </row>
    <row r="35" spans="2:10" ht="18" customHeight="1" x14ac:dyDescent="0.25">
      <c r="B35" s="223" t="s">
        <v>152</v>
      </c>
      <c r="C35" s="223"/>
      <c r="D35" s="8" t="s">
        <v>617</v>
      </c>
      <c r="E35" s="8"/>
      <c r="F35" s="8"/>
      <c r="G35" s="8"/>
      <c r="H35" s="8"/>
      <c r="I35" s="8"/>
      <c r="J35" s="8"/>
    </row>
    <row r="37" spans="2:10" ht="21.75" customHeight="1" x14ac:dyDescent="0.25">
      <c r="B37" s="10" t="s">
        <v>341</v>
      </c>
      <c r="C37" s="10"/>
      <c r="D37" s="10"/>
      <c r="E37" s="10"/>
      <c r="F37" s="10"/>
      <c r="G37" s="10"/>
      <c r="H37" s="10"/>
      <c r="I37" s="10"/>
      <c r="J37" s="10"/>
    </row>
  </sheetData>
  <mergeCells count="38">
    <mergeCell ref="B34:C34"/>
    <mergeCell ref="D34:J34"/>
    <mergeCell ref="B35:C35"/>
    <mergeCell ref="D35:J35"/>
    <mergeCell ref="B37:J37"/>
    <mergeCell ref="B30:J30"/>
    <mergeCell ref="B31:J31"/>
    <mergeCell ref="B32:C32"/>
    <mergeCell ref="D32:J32"/>
    <mergeCell ref="B33:C33"/>
    <mergeCell ref="D33:J33"/>
    <mergeCell ref="F12:G12"/>
    <mergeCell ref="F13:G13"/>
    <mergeCell ref="F14:G14"/>
    <mergeCell ref="B21:J21"/>
    <mergeCell ref="B22:E22"/>
    <mergeCell ref="F22:J22"/>
    <mergeCell ref="B7:J7"/>
    <mergeCell ref="B8:E8"/>
    <mergeCell ref="F8:J8"/>
    <mergeCell ref="F10:G10"/>
    <mergeCell ref="F11:G11"/>
    <mergeCell ref="B5:C5"/>
    <mergeCell ref="D5:E5"/>
    <mergeCell ref="F5:G5"/>
    <mergeCell ref="H5:J5"/>
    <mergeCell ref="B6:C6"/>
    <mergeCell ref="D6:E6"/>
    <mergeCell ref="F6:G6"/>
    <mergeCell ref="H6:J6"/>
    <mergeCell ref="B1:J1"/>
    <mergeCell ref="B2:E2"/>
    <mergeCell ref="F2:J2"/>
    <mergeCell ref="B3:J3"/>
    <mergeCell ref="B4:C4"/>
    <mergeCell ref="D4:E4"/>
    <mergeCell ref="F4:G4"/>
    <mergeCell ref="H4:J4"/>
  </mergeCells>
  <conditionalFormatting sqref="C10:C20">
    <cfRule type="expression" dxfId="4" priority="2">
      <formula>C10&gt;=0.95</formula>
    </cfRule>
    <cfRule type="expression" dxfId="3" priority="3">
      <formula>AND(C10&gt;=0.85,C10&lt;0.95)</formula>
    </cfRule>
    <cfRule type="expression" dxfId="2" priority="4">
      <formula>C10&lt;0.85</formula>
    </cfRule>
  </conditionalFormatting>
  <conditionalFormatting sqref="J10:J14">
    <cfRule type="expression" dxfId="1" priority="35">
      <formula>LEFT(J10,2)="⚠"</formula>
    </cfRule>
    <cfRule type="expression" dxfId="0" priority="36">
      <formula>LEFT(J10,2)="✅"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6</vt:i4>
      </vt:variant>
    </vt:vector>
  </HeadingPairs>
  <TitlesOfParts>
    <vt:vector size="16" baseType="lpstr">
      <vt:lpstr>01_PARAMETRES</vt:lpstr>
      <vt:lpstr>02_GRILLE_REMUNERATION</vt:lpstr>
      <vt:lpstr>03_BENCHMARK_MARCHE</vt:lpstr>
      <vt:lpstr>04_AVANTAGES_NATURE</vt:lpstr>
      <vt:lpstr>05_PACKAGE_SIMULATION</vt:lpstr>
      <vt:lpstr>06_EXPAT_CALCULATOR</vt:lpstr>
      <vt:lpstr>07_EQUITE_INTERNE</vt:lpstr>
      <vt:lpstr>08_COST_EMPLOYEUR</vt:lpstr>
      <vt:lpstr>09_HISTORIQUE</vt:lpstr>
      <vt:lpstr>10_DASHBOARD</vt:lpstr>
      <vt:lpstr>ANNEE_REF</vt:lpstr>
      <vt:lpstr>DEVISE_REF</vt:lpstr>
      <vt:lpstr>TX_CHF</vt:lpstr>
      <vt:lpstr>TX_GBP</vt:lpstr>
      <vt:lpstr>TX_JPY</vt:lpstr>
      <vt:lpstr>TX_USD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Ludovic Labeaut</cp:lastModifiedBy>
  <cp:revision>1</cp:revision>
  <dcterms:created xsi:type="dcterms:W3CDTF">2026-04-01T12:58:00Z</dcterms:created>
  <dcterms:modified xsi:type="dcterms:W3CDTF">2026-04-01T14:41:12Z</dcterms:modified>
  <dc:language>en-US</dc:language>
</cp:coreProperties>
</file>