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udo\Desktop\IA projet entreprises\"/>
    </mc:Choice>
  </mc:AlternateContent>
  <xr:revisionPtr revIDLastSave="0" documentId="13_ncr:20001_{87F3A5DD-1E9B-4A4C-A031-F18A708EDB6B}" xr6:coauthVersionLast="47" xr6:coauthVersionMax="47" xr10:uidLastSave="{00000000-0000-0000-0000-000000000000}"/>
  <bookViews>
    <workbookView xWindow="-120" yWindow="-120" windowWidth="29040" windowHeight="15840" firstSheet="3" activeTab="8" xr2:uid="{00000000-000D-0000-FFFF-FFFF00000000}"/>
  </bookViews>
  <sheets>
    <sheet name="Claude Log" sheetId="9" r:id="rId1"/>
    <sheet name="01_PARAMETRES" sheetId="1" r:id="rId2"/>
    <sheet name="02_PARCOURS" sheetId="2" r:id="rId3"/>
    <sheet name="03_CULTURE" sheetId="3" r:id="rId4"/>
    <sheet name="04_CHECKLIST" sheetId="4" r:id="rId5"/>
    <sheet name="05_BUDDY" sheetId="5" r:id="rId6"/>
    <sheet name="06_EVALUATIONS" sheetId="6" r:id="rId7"/>
    <sheet name="07_PROBATION" sheetId="7" r:id="rId8"/>
    <sheet name="08_DASHBOARD" sheetId="8" r:id="rId9"/>
    <sheet name="_REF_POSTES" sheetId="10" state="hidden" r:id="rId10"/>
  </sheets>
  <definedNames>
    <definedName name="Poste_Botterie">"'_REF_POSTES'!$G$2:$G$11"</definedName>
    <definedName name="Poste_Chapellerie">"'_REF_POSTES'!$F$2:$F$11"</definedName>
    <definedName name="Poste_Couture">"'_REF_POSTES'!$E$2:$E$11"</definedName>
    <definedName name="Poste_Ganterie">"'_REF_POSTES'!$H$2:$H$11"</definedName>
    <definedName name="Poste_Horlogerie">"'_REF_POSTES'!$K$2:$K$11"</definedName>
    <definedName name="Poste_Joaillerie">"'_REF_POSTES'!$D$2:$D$11"</definedName>
    <definedName name="Poste_Maroquinerie">"'_REF_POSTES'!$A$2:$A$11"</definedName>
    <definedName name="Poste_Orfevrerie">"'_REF_POSTES'!$C$2:$C$11"</definedName>
    <definedName name="Poste_Parfumerie">"'_REF_POSTES'!$J$2:$J$11"</definedName>
    <definedName name="Poste_Sellerie">"'_REF_POSTES'!$B$2:$B$11"</definedName>
    <definedName name="Poste_Soierie">"'_REF_POSTES'!$I$2:$I$11"</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8" l="1" a="1"/>
  <c r="E6" i="8" s="1"/>
  <c r="B22" i="7" a="1"/>
  <c r="B22" i="7" s="1"/>
  <c r="D22" i="7" a="1"/>
  <c r="D22" i="7" s="1"/>
  <c r="H14" i="6"/>
  <c r="G13" i="4"/>
  <c r="D29" i="8" s="1"/>
  <c r="G12" i="4"/>
  <c r="D28" i="8" s="1"/>
  <c r="G11" i="4"/>
  <c r="D27" i="8" s="1"/>
  <c r="G10" i="4"/>
  <c r="D26" i="8" s="1"/>
  <c r="G9" i="4"/>
  <c r="D25" i="8" s="1"/>
  <c r="G8" i="4"/>
  <c r="D24" i="8" s="1"/>
  <c r="G7" i="4"/>
  <c r="D23" i="8" s="1"/>
  <c r="G6" i="4"/>
  <c r="D22" i="8" s="1"/>
  <c r="B2" i="8"/>
  <c r="D7" i="8"/>
  <c r="C18" i="8"/>
  <c r="C17" i="8"/>
  <c r="E36" i="2"/>
  <c r="E35" i="2"/>
  <c r="E34" i="2"/>
  <c r="E33" i="2"/>
  <c r="E32" i="2"/>
  <c r="E30" i="2"/>
  <c r="E29" i="2"/>
  <c r="E28" i="2"/>
  <c r="E27" i="2"/>
  <c r="E26" i="2"/>
  <c r="E24" i="2"/>
  <c r="E23" i="2"/>
  <c r="E22" i="2"/>
  <c r="E21" i="2"/>
  <c r="E20" i="2"/>
  <c r="E18" i="2"/>
  <c r="E17" i="2"/>
  <c r="E16" i="2"/>
  <c r="E15" i="2"/>
  <c r="E14" i="2"/>
  <c r="E13" i="2"/>
  <c r="E11" i="2"/>
  <c r="E10" i="2"/>
  <c r="E9" i="2"/>
  <c r="E8" i="2"/>
  <c r="E7" i="2"/>
  <c r="M3" i="10" a="1"/>
  <c r="M3" i="10" s="1"/>
  <c r="M4" i="10" a="1"/>
  <c r="M4" i="10" s="1"/>
  <c r="M5" i="10" a="1"/>
  <c r="M5" i="10" s="1"/>
  <c r="M6" i="10" a="1"/>
  <c r="M6" i="10" s="1"/>
  <c r="M7" i="10" a="1"/>
  <c r="M7" i="10" s="1"/>
  <c r="M8" i="10" a="1"/>
  <c r="M8" i="10" s="1"/>
  <c r="M9" i="10" a="1"/>
  <c r="M9" i="10" s="1"/>
  <c r="M10" i="10" a="1"/>
  <c r="M10" i="10"/>
  <c r="M11" i="10" a="1"/>
  <c r="M11" i="10" s="1"/>
  <c r="M2" i="10" a="1"/>
  <c r="M2" i="10" s="1"/>
  <c r="E7" i="8"/>
  <c r="C25" i="5"/>
  <c r="C24" i="5"/>
  <c r="C23" i="5"/>
  <c r="C22" i="5"/>
  <c r="C7" i="7"/>
  <c r="D19" i="7"/>
  <c r="C19" i="7"/>
  <c r="D18" i="7"/>
  <c r="C18" i="7"/>
  <c r="D17" i="7"/>
  <c r="C17" i="7"/>
  <c r="C5" i="7"/>
  <c r="C22" i="6"/>
  <c r="C19" i="6"/>
  <c r="C18" i="6"/>
  <c r="G14" i="6"/>
  <c r="F14" i="6"/>
  <c r="C21" i="6" s="1"/>
  <c r="E14" i="6"/>
  <c r="C16" i="7" s="1"/>
  <c r="D14" i="6"/>
  <c r="C14" i="6"/>
  <c r="G6" i="6"/>
  <c r="F6" i="6"/>
  <c r="E6" i="6"/>
  <c r="D6" i="6"/>
  <c r="C6" i="6"/>
  <c r="B3" i="6"/>
  <c r="H18" i="5"/>
  <c r="G18" i="5"/>
  <c r="F18" i="5"/>
  <c r="E18" i="5"/>
  <c r="C16" i="5"/>
  <c r="C15" i="5"/>
  <c r="C14" i="5"/>
  <c r="C13" i="5"/>
  <c r="C12" i="5"/>
  <c r="C11" i="5"/>
  <c r="C7" i="5"/>
  <c r="C6" i="5"/>
  <c r="C5" i="5"/>
  <c r="D13" i="4"/>
  <c r="D12" i="4"/>
  <c r="D11" i="4"/>
  <c r="D10" i="4"/>
  <c r="D9" i="4"/>
  <c r="D8" i="4"/>
  <c r="D7" i="4"/>
  <c r="D6" i="4"/>
  <c r="B3" i="4"/>
  <c r="C22" i="3"/>
  <c r="C21" i="3"/>
  <c r="C20" i="3"/>
  <c r="C19" i="3"/>
  <c r="C18" i="3"/>
  <c r="C15" i="3"/>
  <c r="C14" i="3"/>
  <c r="C13" i="3"/>
  <c r="C12" i="3"/>
  <c r="C9" i="3"/>
  <c r="C8" i="3"/>
  <c r="C7" i="3"/>
  <c r="C6" i="3"/>
  <c r="C3" i="3"/>
  <c r="G36" i="2"/>
  <c r="G35" i="2"/>
  <c r="G34" i="2"/>
  <c r="G33" i="2"/>
  <c r="G32" i="2"/>
  <c r="G30" i="2"/>
  <c r="G29" i="2"/>
  <c r="G28" i="2"/>
  <c r="G27" i="2"/>
  <c r="G26" i="2"/>
  <c r="G24" i="2"/>
  <c r="G23" i="2"/>
  <c r="G22" i="2"/>
  <c r="G21" i="2"/>
  <c r="G20" i="2"/>
  <c r="G18" i="2"/>
  <c r="G17" i="2"/>
  <c r="G16" i="2"/>
  <c r="G15" i="2"/>
  <c r="G14" i="2"/>
  <c r="G13" i="2"/>
  <c r="G11" i="2"/>
  <c r="G10" i="2"/>
  <c r="G9" i="2"/>
  <c r="G8" i="2"/>
  <c r="G7" i="2"/>
  <c r="B3" i="2"/>
  <c r="C19" i="1"/>
  <c r="C6" i="7" s="1"/>
  <c r="C18" i="1"/>
  <c r="C29" i="8"/>
  <c r="C28" i="8"/>
  <c r="C27" i="8"/>
  <c r="C26" i="8"/>
  <c r="C25" i="8"/>
  <c r="C24" i="8"/>
  <c r="C23" i="8"/>
  <c r="C22" i="8"/>
  <c r="C19" i="8"/>
  <c r="C16" i="8"/>
  <c r="C15" i="8"/>
  <c r="C14" i="8"/>
  <c r="C13" i="8"/>
  <c r="C12" i="8"/>
  <c r="C11" i="8"/>
  <c r="C10" i="8"/>
  <c r="C7" i="8"/>
  <c r="B7" i="8"/>
  <c r="C6" i="8"/>
  <c r="B6" i="8"/>
  <c r="C9" i="7" l="1"/>
  <c r="C8" i="7"/>
  <c r="D6" i="8"/>
  <c r="D16" i="7"/>
  <c r="C20" i="6"/>
  <c r="B12"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<sst xmlns="http://schemas.openxmlformats.org/spreadsheetml/2006/main" count="683" uniqueCount="576">
  <si>
    <t>NEURAL — Intelligence Augmentée pour l'Entreprise  |  Onboarding Luxe Personnalisé</t>
  </si>
  <si>
    <t>📋 Avancement Checklist</t>
  </si>
  <si>
    <t>🎯 Score Actuel</t>
  </si>
  <si>
    <t>📅 Jours Restants</t>
  </si>
  <si>
    <t>⚡ Statut Probation</t>
  </si>
  <si>
    <t>📋  SYNTHÈSE PARCOURS</t>
  </si>
  <si>
    <t>Collaborateur</t>
  </si>
  <si>
    <t>Maison</t>
  </si>
  <si>
    <t>Poste</t>
  </si>
  <si>
    <t>Métier d'art</t>
  </si>
  <si>
    <t>Niveau</t>
  </si>
  <si>
    <t>Manager</t>
  </si>
  <si>
    <t>Buddy</t>
  </si>
  <si>
    <t>Date entrée</t>
  </si>
  <si>
    <t>Fin essai</t>
  </si>
  <si>
    <t>Type contrat</t>
  </si>
  <si>
    <t>✅  CHECKLIST FORMATIONS — ÉTAT RAPIDE</t>
  </si>
  <si>
    <t>Sécurité poste</t>
  </si>
  <si>
    <t>SST</t>
  </si>
  <si>
    <t>Incendie</t>
  </si>
  <si>
    <t>RGPD</t>
  </si>
  <si>
    <t>Anti-corruption</t>
  </si>
  <si>
    <t>Harcèlement</t>
  </si>
  <si>
    <t>Export control</t>
  </si>
  <si>
    <t>CSRD</t>
  </si>
  <si>
    <t>🔗  NAVIGATION</t>
  </si>
  <si>
    <t>⚙️ Paramètres</t>
  </si>
  <si>
    <t>📋 Parcours</t>
  </si>
  <si>
    <t>🏛️ Culture</t>
  </si>
  <si>
    <t>✅ Checklist</t>
  </si>
  <si>
    <t>🤝 Buddy</t>
  </si>
  <si>
    <t>🎯 Évaluations</t>
  </si>
  <si>
    <t>⚖️ Probation</t>
  </si>
  <si>
    <t>📊 Dashboard</t>
  </si>
  <si>
    <t>NEURAL — Intelligence Augmentée pour l'Entreprise  |  Données confidentielles — Usage interne uniquement</t>
  </si>
  <si>
    <t>⚙️  NEURAL — Paramètres d'Onboarding</t>
  </si>
  <si>
    <t>Configurez ici le profil — toutes les données se propagent automatiquement</t>
  </si>
  <si>
    <t>🏛️  IDENTITÉ DE LA MAISON</t>
  </si>
  <si>
    <t>Sélectionner dans la liste ▼</t>
  </si>
  <si>
    <t>Nouveau collaborateur</t>
  </si>
  <si>
    <t>Prénom NOM</t>
  </si>
  <si>
    <t>Poste / Fonction</t>
  </si>
  <si>
    <t>Niveau d'entrée</t>
  </si>
  <si>
    <t>N1 à N5</t>
  </si>
  <si>
    <t>Site / Atelier</t>
  </si>
  <si>
    <t>Ex : Atelier Pantin</t>
  </si>
  <si>
    <t>Prénom NOM Manager</t>
  </si>
  <si>
    <t>Buddy / Mentor</t>
  </si>
  <si>
    <t>Prénom NOM Artisan Senior</t>
  </si>
  <si>
    <t>📅  DATES &amp; CONTRAT</t>
  </si>
  <si>
    <t>Date d'entrée</t>
  </si>
  <si>
    <t>Durée essai (jours)</t>
  </si>
  <si>
    <t>Fin de période d'essai</t>
  </si>
  <si>
    <t>Renouvellement PE</t>
  </si>
  <si>
    <t>Type de contrat</t>
  </si>
  <si>
    <t>NEURAL — Intelligence Augmentée pour l'Entreprise  |  Données confidentielles — Usage interne</t>
  </si>
  <si>
    <t>📋  PARCOURS ONBOARDING — Timeline J-30 → J+365</t>
  </si>
  <si>
    <t>Jalon</t>
  </si>
  <si>
    <t>Action / Étape</t>
  </si>
  <si>
    <t>Responsable</t>
  </si>
  <si>
    <t>Date cible</t>
  </si>
  <si>
    <t>Fait</t>
  </si>
  <si>
    <t>Alerte</t>
  </si>
  <si>
    <t>── PRÉ-ONBOARDING (J-30 → J0) ──</t>
  </si>
  <si>
    <t>J-30</t>
  </si>
  <si>
    <t>Welcome pack maison envoyé</t>
  </si>
  <si>
    <t>RH</t>
  </si>
  <si>
    <t>☐</t>
  </si>
  <si>
    <t>J-21</t>
  </si>
  <si>
    <t>Accès IT préparés</t>
  </si>
  <si>
    <t>SI / IT</t>
  </si>
  <si>
    <t>J-14</t>
  </si>
  <si>
    <t>Poste / atelier préparé + outillage</t>
  </si>
  <si>
    <t>Logistique</t>
  </si>
  <si>
    <t>J-7</t>
  </si>
  <si>
    <t>Buddy informé &amp; briefé</t>
  </si>
  <si>
    <t>J-3</t>
  </si>
  <si>
    <t>Programme J1-J5 envoyé au collaborateur</t>
  </si>
  <si>
    <t>── SEMAINE 1 — IMMERSION ──</t>
  </si>
  <si>
    <t>J+1</t>
  </si>
  <si>
    <t>Accueil RH (contrat, admin, visite site)</t>
  </si>
  <si>
    <t>Rencontre buddy / mentor</t>
  </si>
  <si>
    <t>J+2</t>
  </si>
  <si>
    <t>Histoire de la Maison (→ 03_CULTURE)</t>
  </si>
  <si>
    <t>Dir. Patrimoine</t>
  </si>
  <si>
    <t>J+3</t>
  </si>
  <si>
    <t>Visite atelier principal</t>
  </si>
  <si>
    <t>Chef atelier</t>
  </si>
  <si>
    <t>J+4</t>
  </si>
  <si>
    <t>Présentation des collections</t>
  </si>
  <si>
    <t>Studio</t>
  </si>
  <si>
    <t>J+5</t>
  </si>
  <si>
    <t>Premier geste en atelier</t>
  </si>
  <si>
    <t>Mentor</t>
  </si>
  <si>
    <t>── SEMAINE 2-4 — INTÉGRATION ──</t>
  </si>
  <si>
    <t>J+8</t>
  </si>
  <si>
    <t>Formation sécurité au poste</t>
  </si>
  <si>
    <t>HSE</t>
  </si>
  <si>
    <t>J+10</t>
  </si>
  <si>
    <t>Formation qualité maison</t>
  </si>
  <si>
    <t>Dir. Qualité</t>
  </si>
  <si>
    <t>J+15</t>
  </si>
  <si>
    <t>1er point buddy</t>
  </si>
  <si>
    <t>J+21</t>
  </si>
  <si>
    <t>Formation anti-corruption (Sapin II)</t>
  </si>
  <si>
    <t>Compliance</t>
  </si>
  <si>
    <t>J+25</t>
  </si>
  <si>
    <t>Formation export control</t>
  </si>
  <si>
    <t>Juridique</t>
  </si>
  <si>
    <t>── MOIS 2-3 — MONTÉE EN COMPÉTENCE ──</t>
  </si>
  <si>
    <t>J+30</t>
  </si>
  <si>
    <t>🎯 ÉVALUATION 30 JOURS</t>
  </si>
  <si>
    <t>Manager + RH</t>
  </si>
  <si>
    <t>J+45</t>
  </si>
  <si>
    <t>Premier projet autonome</t>
  </si>
  <si>
    <t>J+60</t>
  </si>
  <si>
    <t>🎯 ÉVALUATION 60 JOURS</t>
  </si>
  <si>
    <t>J+75</t>
  </si>
  <si>
    <t>Visite fournisseur / tannerie</t>
  </si>
  <si>
    <t>Achats</t>
  </si>
  <si>
    <t>J+90</t>
  </si>
  <si>
    <t>🎯 ÉVALUATION 90 JOURS + Décision essai</t>
  </si>
  <si>
    <t>── MOIS 4-12 — CONSOLIDATION ──</t>
  </si>
  <si>
    <t>J+120</t>
  </si>
  <si>
    <t>Formation CSRD / développement durable</t>
  </si>
  <si>
    <t>RSE</t>
  </si>
  <si>
    <t>J+150</t>
  </si>
  <si>
    <t>Visite boutique flagship</t>
  </si>
  <si>
    <t>Retail</t>
  </si>
  <si>
    <t>J+180</t>
  </si>
  <si>
    <t>🎯 ÉVALUATION 6 MOIS</t>
  </si>
  <si>
    <t>J+270</t>
  </si>
  <si>
    <t>Participation événement maison (exposition…)</t>
  </si>
  <si>
    <t>Comms</t>
  </si>
  <si>
    <t>J+365</t>
  </si>
  <si>
    <t>🎯 ÉVALUATION ANNUELLE + Plan de développement</t>
  </si>
  <si>
    <t>Légende :</t>
  </si>
  <si>
    <t xml:space="preserve">  Pré-onboarding  </t>
  </si>
  <si>
    <t xml:space="preserve">  Semaine 1  </t>
  </si>
  <si>
    <t xml:space="preserve">  Semaines 2-4  </t>
  </si>
  <si>
    <t xml:space="preserve">  Mois 2-3  </t>
  </si>
  <si>
    <t xml:space="preserve">  Mois 4-12  </t>
  </si>
  <si>
    <t xml:space="preserve">  🎯 Évaluation  </t>
  </si>
  <si>
    <t>🏛️  CULTURE DE LA MAISON</t>
  </si>
  <si>
    <t>Maison sélectionnée :</t>
  </si>
  <si>
    <t>🏛️  HISTOIRE &amp; FONDATION</t>
  </si>
  <si>
    <t>Date de fondation</t>
  </si>
  <si>
    <t>Fondateur</t>
  </si>
  <si>
    <t>Ville d'origine</t>
  </si>
  <si>
    <t>Anecdote fondatrice</t>
  </si>
  <si>
    <t>💎  ADN &amp; VALEURS</t>
  </si>
  <si>
    <t>Valeur 1</t>
  </si>
  <si>
    <t>Valeur 2</t>
  </si>
  <si>
    <t>Valeur 3</t>
  </si>
  <si>
    <t>Devise</t>
  </si>
  <si>
    <t>🎨  CODES DE LA MAISON</t>
  </si>
  <si>
    <t>Couleur signature</t>
  </si>
  <si>
    <t>Matière emblématique</t>
  </si>
  <si>
    <t>Geste signature</t>
  </si>
  <si>
    <t>Produit iconique</t>
  </si>
  <si>
    <t>Dress code atelier</t>
  </si>
  <si>
    <t>📋  COMPLIANCE LUXE — POINTS CLÉS À CONNAÎTRE</t>
  </si>
  <si>
    <t>☐  Anti-corruption</t>
  </si>
  <si>
    <t>Loi Sapin II (France) &amp; UK Bribery Act — aucun avantage indu, cadeaux encadrés</t>
  </si>
  <si>
    <t>☐  Export control</t>
  </si>
  <si>
    <t>Réglementations UE/ITAR si composants américains — valider avant expédition</t>
  </si>
  <si>
    <t>☐  RGPD</t>
  </si>
  <si>
    <t>Protection données clients VIP — accès limité, traçabilité obligatoire</t>
  </si>
  <si>
    <t>☐  Propriété intellectuelle</t>
  </si>
  <si>
    <t>Modèles, dessins, savoir-faire protégés — NDA signé à l'entrée</t>
  </si>
  <si>
    <t>☐  Devoir de vigilance</t>
  </si>
  <si>
    <t>Loi française 2017 — traçabilité fournisseurs, matières premières</t>
  </si>
  <si>
    <t>☐  Secret de fabrication</t>
  </si>
  <si>
    <t>Confidentialité absolue sur les techniques et recettes maison</t>
  </si>
  <si>
    <t>BASE DONNÉES MAISONS</t>
  </si>
  <si>
    <t>Fondation</t>
  </si>
  <si>
    <t>Ville</t>
  </si>
  <si>
    <t>Anecdote</t>
  </si>
  <si>
    <t>V1</t>
  </si>
  <si>
    <t>V2</t>
  </si>
  <si>
    <t>V3</t>
  </si>
  <si>
    <t>Couleur</t>
  </si>
  <si>
    <t>Matière</t>
  </si>
  <si>
    <t>Geste</t>
  </si>
  <si>
    <t>Produit</t>
  </si>
  <si>
    <t>DressCode</t>
  </si>
  <si>
    <t>Hermès</t>
  </si>
  <si>
    <t>1837</t>
  </si>
  <si>
    <t>Thierry Hermès</t>
  </si>
  <si>
    <t>Paris</t>
  </si>
  <si>
    <t>Né sellier pour la haute équitation</t>
  </si>
  <si>
    <t>Excellence artisanale</t>
  </si>
  <si>
    <t>Transmission</t>
  </si>
  <si>
    <t>Créativité</t>
  </si>
  <si>
    <t>Qualité sans compromis</t>
  </si>
  <si>
    <t>Orange vif #F96A15</t>
  </si>
  <si>
    <t>Cuir Togo</t>
  </si>
  <si>
    <t>Point sellier double aiguille</t>
  </si>
  <si>
    <t>Sac Kelly</t>
  </si>
  <si>
    <t>Tablier cuir naturel</t>
  </si>
  <si>
    <t>Louis Vuitton</t>
  </si>
  <si>
    <t>1854</t>
  </si>
  <si>
    <t>Venu à pied de Jura à Paris à 14 ans</t>
  </si>
  <si>
    <t>Innovation</t>
  </si>
  <si>
    <t>Savoir-faire</t>
  </si>
  <si>
    <t>Voyage</t>
  </si>
  <si>
    <t>Créer pour voyager</t>
  </si>
  <si>
    <t>Beige monogramme</t>
  </si>
  <si>
    <t>Toile Monogram</t>
  </si>
  <si>
    <t>Couture à cheval</t>
  </si>
  <si>
    <t>Speedy</t>
  </si>
  <si>
    <t>Blouse beige monogramme</t>
  </si>
  <si>
    <t>Chanel</t>
  </si>
  <si>
    <t>1910</t>
  </si>
  <si>
    <t>Gabrielle Chanel</t>
  </si>
  <si>
    <t>Coco libère la femme du corset avec le tweed</t>
  </si>
  <si>
    <t>Liberté</t>
  </si>
  <si>
    <t>Élégance</t>
  </si>
  <si>
    <t>Intemporalité</t>
  </si>
  <si>
    <t>L'élégance c'est le refus</t>
  </si>
  <si>
    <t>Noir &amp; blanc</t>
  </si>
  <si>
    <t>Tweed</t>
  </si>
  <si>
    <t>Boutonnière Camélia</t>
  </si>
  <si>
    <t>Sac 2.55</t>
  </si>
  <si>
    <t>Tenue noire sobre</t>
  </si>
  <si>
    <t>Dior</t>
  </si>
  <si>
    <t>1947</t>
  </si>
  <si>
    <t>Christian Dior</t>
  </si>
  <si>
    <t>Le New Look révolutionne la mode après-guerre</t>
  </si>
  <si>
    <t>Féminité</t>
  </si>
  <si>
    <t>Élégance parisienne</t>
  </si>
  <si>
    <t>Rêve</t>
  </si>
  <si>
    <t>Je construis des rêves</t>
  </si>
  <si>
    <t>Gris Dior</t>
  </si>
  <si>
    <t>Soie</t>
  </si>
  <si>
    <t>Coupe tailleur Bar</t>
  </si>
  <si>
    <t>Sac Lady Dior</t>
  </si>
  <si>
    <t>Blouse grise traditionnelle</t>
  </si>
  <si>
    <t>Cartier</t>
  </si>
  <si>
    <t>1847</t>
  </si>
  <si>
    <t>Louis-François Cartier</t>
  </si>
  <si>
    <t>La panthère de Windsor : icône royale britannique</t>
  </si>
  <si>
    <t>Excellence</t>
  </si>
  <si>
    <t>Amour</t>
  </si>
  <si>
    <t>Joailler des rois, roi des joailliers</t>
  </si>
  <si>
    <t>Rouge Cartier #E4002B</t>
  </si>
  <si>
    <t>Platine</t>
  </si>
  <si>
    <t>Serti mystérieux</t>
  </si>
  <si>
    <t>Trinity Ring</t>
  </si>
  <si>
    <t>Tenue sobre noire</t>
  </si>
  <si>
    <t>Van Cleef &amp; Arpels</t>
  </si>
  <si>
    <t>1906</t>
  </si>
  <si>
    <t>Alfred Van Cleef</t>
  </si>
  <si>
    <t>L'Alhambra né d'une promenade à Grenade</t>
  </si>
  <si>
    <t>Poésie</t>
  </si>
  <si>
    <t>Nature</t>
  </si>
  <si>
    <t>Artisanat</t>
  </si>
  <si>
    <t>La chance en symbole</t>
  </si>
  <si>
    <t>Or &amp; vert #D4AF37</t>
  </si>
  <si>
    <t>Nacre</t>
  </si>
  <si>
    <t>Serti secret</t>
  </si>
  <si>
    <t>Collier Alhambra</t>
  </si>
  <si>
    <t>Tenue élégante discrète</t>
  </si>
  <si>
    <t>Bulgari</t>
  </si>
  <si>
    <t>1884</t>
  </si>
  <si>
    <t>Sotirio Bulgari</t>
  </si>
  <si>
    <t>Rome</t>
  </si>
  <si>
    <t>L'audace du colour-blocking inspiré de Rome</t>
  </si>
  <si>
    <t>Audace créative</t>
  </si>
  <si>
    <t>Héritage romain</t>
  </si>
  <si>
    <t>Magnificence italienne</t>
  </si>
  <si>
    <t>Or &amp; noir #1A1A2E</t>
  </si>
  <si>
    <t>Cabochons colorés</t>
  </si>
  <si>
    <t>Volume architectural</t>
  </si>
  <si>
    <t>Serpenti</t>
  </si>
  <si>
    <t>Tenue milanaise moderne</t>
  </si>
  <si>
    <t>Givenchy</t>
  </si>
  <si>
    <t>1952</t>
  </si>
  <si>
    <t>Hubert de Givenchy</t>
  </si>
  <si>
    <t>La robe Sabrina porte Audrey Hepburn</t>
  </si>
  <si>
    <t>Couture</t>
  </si>
  <si>
    <t>Modernité</t>
  </si>
  <si>
    <t>L'élégance sans effort</t>
  </si>
  <si>
    <t>Soie fluide</t>
  </si>
  <si>
    <t>Drapé couture</t>
  </si>
  <si>
    <t>Sac Antigona</t>
  </si>
  <si>
    <t>Tenue noire classique</t>
  </si>
  <si>
    <t>Céline</t>
  </si>
  <si>
    <t>1945</t>
  </si>
  <si>
    <t>Céline Vipiana</t>
  </si>
  <si>
    <t>Minimalisme redevenu désirable sous Phoebe Philo</t>
  </si>
  <si>
    <t>Minimalisme</t>
  </si>
  <si>
    <t>Qualité</t>
  </si>
  <si>
    <t>Fonctionnalité</t>
  </si>
  <si>
    <t>Sophistication discrète</t>
  </si>
  <si>
    <t>Beige &amp; brun</t>
  </si>
  <si>
    <t>Cuir souple</t>
  </si>
  <si>
    <t>Coupe épurée</t>
  </si>
  <si>
    <t>Sac Luggage</t>
  </si>
  <si>
    <t>Tenue minimaliste neutre</t>
  </si>
  <si>
    <t>Balenciaga</t>
  </si>
  <si>
    <t>1919</t>
  </si>
  <si>
    <t>Cristóbal Balenciaga</t>
  </si>
  <si>
    <t>Le roi de la couture inventait des formes futures</t>
  </si>
  <si>
    <t>Architecture</t>
  </si>
  <si>
    <t>Subversion</t>
  </si>
  <si>
    <t>La mode est une architecture</t>
  </si>
  <si>
    <t>Noir #000000</t>
  </si>
  <si>
    <t>Néoprène</t>
  </si>
  <si>
    <t>Coupe structurée</t>
  </si>
  <si>
    <t>Triple S</t>
  </si>
  <si>
    <t>Streetwear structuré</t>
  </si>
  <si>
    <t>Saint Laurent</t>
  </si>
  <si>
    <t>1961</t>
  </si>
  <si>
    <t>Yves Saint Laurent</t>
  </si>
  <si>
    <t>Le smoking féminin de 1966 révolutionne la garde-robe</t>
  </si>
  <si>
    <t>Androgynie</t>
  </si>
  <si>
    <t>Rock</t>
  </si>
  <si>
    <t>L'élégance c'est la liberté</t>
  </si>
  <si>
    <t>Or &amp; noir</t>
  </si>
  <si>
    <t>Velours</t>
  </si>
  <si>
    <t>Coupe smoking</t>
  </si>
  <si>
    <t>Sac de Jour</t>
  </si>
  <si>
    <t>Smoking noir</t>
  </si>
  <si>
    <t>Bottega Veneta</t>
  </si>
  <si>
    <t>1966</t>
  </si>
  <si>
    <t>Michele Taddei</t>
  </si>
  <si>
    <t>Vicence</t>
  </si>
  <si>
    <t>Intrecciato : l'artisanat parle de lui-même, sans logo</t>
  </si>
  <si>
    <t>Discrétion</t>
  </si>
  <si>
    <t>Quand vos initiales suffisent</t>
  </si>
  <si>
    <t>Vert BV #4D7C5A</t>
  </si>
  <si>
    <t>Cuir nappa</t>
  </si>
  <si>
    <t>Tissage intrecciato</t>
  </si>
  <si>
    <t>Cabat</t>
  </si>
  <si>
    <t>Tenue sobre cuir naturel</t>
  </si>
  <si>
    <t>✅  CHECKLIST FORMATIONS OBLIGATOIRES</t>
  </si>
  <si>
    <t>Formation</t>
  </si>
  <si>
    <t>Référence légale</t>
  </si>
  <si>
    <t>Délai max</t>
  </si>
  <si>
    <t>Date réelle</t>
  </si>
  <si>
    <t>Sécurité au poste de travail</t>
  </si>
  <si>
    <t>Code Travail Art. L.4121</t>
  </si>
  <si>
    <t>Gestes premiers secours (SST)</t>
  </si>
  <si>
    <t>Art. L.4121-1</t>
  </si>
  <si>
    <t>Incendie / Évacuation</t>
  </si>
  <si>
    <t>Art. R.4227-28</t>
  </si>
  <si>
    <t>RGPD — Sensibilisation données</t>
  </si>
  <si>
    <t>Règlement (UE) 2016/679</t>
  </si>
  <si>
    <t>Anti-corruption — Sapin II</t>
  </si>
  <si>
    <t>Loi 2016-1691</t>
  </si>
  <si>
    <t>Harcèlement moral &amp; sexuel</t>
  </si>
  <si>
    <t>Art. L.1152-1</t>
  </si>
  <si>
    <t>Règlement UE 428/2009</t>
  </si>
  <si>
    <t>Développement durable — CSRD</t>
  </si>
  <si>
    <t>Directive (UE) 2022/2464</t>
  </si>
  <si>
    <t>🤝  BUDDY / MENTORAT — Suivi des Points</t>
  </si>
  <si>
    <t>👤  BUDDY ASSIGNÉ</t>
  </si>
  <si>
    <t>📅  POINTS BUDDY — Calendrier &amp; Notations (1–5)</t>
  </si>
  <si>
    <t>Point #</t>
  </si>
  <si>
    <t>Date</t>
  </si>
  <si>
    <t>Écoute /5</t>
  </si>
  <si>
    <t>Disponib. /5</t>
  </si>
  <si>
    <t>Pédagogie /5</t>
  </si>
  <si>
    <t>Technique /5</t>
  </si>
  <si>
    <t>Observations</t>
  </si>
  <si>
    <t>1 — J+15</t>
  </si>
  <si>
    <t>2 — J+30</t>
  </si>
  <si>
    <t>3 — J+60</t>
  </si>
  <si>
    <t>4 — J+90</t>
  </si>
  <si>
    <t>5 — J+120</t>
  </si>
  <si>
    <t>6 — J+180</t>
  </si>
  <si>
    <t>MOYENNE BUDDY</t>
  </si>
  <si>
    <t>Critère</t>
  </si>
  <si>
    <t>Moy. /5</t>
  </si>
  <si>
    <t>Écoute</t>
  </si>
  <si>
    <t>Disponibilité</t>
  </si>
  <si>
    <t>Pédagogie</t>
  </si>
  <si>
    <t>Technique</t>
  </si>
  <si>
    <t>🎯  ÉVALUATIONS — Grille de Compétences</t>
  </si>
  <si>
    <t>Critère d'évaluation</t>
  </si>
  <si>
    <t>Tendance</t>
  </si>
  <si>
    <t>Dates d'évaluation</t>
  </si>
  <si>
    <t>Maîtrise technique</t>
  </si>
  <si>
    <t>Autonomie</t>
  </si>
  <si>
    <t>Qualité du travail</t>
  </si>
  <si>
    <t>Culture maison</t>
  </si>
  <si>
    <t>Relations / Intégration</t>
  </si>
  <si>
    <t>Initiative &amp; Proactivité</t>
  </si>
  <si>
    <t>📊 SCORE MOYEN /10</t>
  </si>
  <si>
    <t>Période</t>
  </si>
  <si>
    <t>Score moyen</t>
  </si>
  <si>
    <t>Seuil (5)</t>
  </si>
  <si>
    <t>⚖️  PÉRIODE D'ESSAI — Tableau Décisionnel</t>
  </si>
  <si>
    <t>📅  DATES CLÉS</t>
  </si>
  <si>
    <t>Jours écoulés</t>
  </si>
  <si>
    <t>Jours restants</t>
  </si>
  <si>
    <t>Avancement</t>
  </si>
  <si>
    <t>⏰  PROGRESSION PÉRIODE D'ESSAI</t>
  </si>
  <si>
    <t>✅  CRITÈRES DE DÉCISION GO / NO-GO</t>
  </si>
  <si>
    <t>Résultat</t>
  </si>
  <si>
    <t>Commentaire / Source</t>
  </si>
  <si>
    <t>Score technique J+90 &gt;= 6/10</t>
  </si>
  <si>
    <t>Checklist formations 100%</t>
  </si>
  <si>
    <t>Score culture maison &gt;= 7/10</t>
  </si>
  <si>
    <t>Moyenne buddy &gt;= 3/5</t>
  </si>
  <si>
    <t>Aucune alerte RH / disciplinaire</t>
  </si>
  <si>
    <t>✅</t>
  </si>
  <si>
    <t>Saisie manuelle — Vérifier avec RH avant décision</t>
  </si>
  <si>
    <t>Tour #</t>
  </si>
  <si>
    <t>Demande utilisateur</t>
  </si>
  <si>
    <t>Action effectuée</t>
  </si>
  <si>
    <t>Détails</t>
  </si>
  <si>
    <t>Analyser et appliquer 4 correctifs de formules détectés (erreurs #11 à #14) sur le fichier NEURAL_LuxeOnboarding.xlsx</t>
  </si>
  <si>
    <t>Correctifs appliqués sur 06_EVALUATIONS (H14) et 07_PROBATION (B22). Confirmé non-applicabilité de #11 et #12.</t>
  </si>
  <si>
    <t>#11 PARCOURS : formule avancement B3 déjà correcte (parenthèses OK dans dénominateur COUNTIF). #12 CHECKLIST : délais déjà numériques en colonne D, pas de texte 'J+30'. #13 EVALUATIONS H14 : ajout IF(OR(G14="",F14=""),"—",...) pour éviter faux ↘️ sur données vides. #14 PROBATION B22 : nouvelle logique pondérée — Technique (C16) ET Culture (C18) = critères bloquants ; si l'un ou l'autre est ❌, recommandation NE PAS VALIDER indépendamment du total.</t>
  </si>
  <si>
    <t>H14 (06_EVALUATIONS) : tendance protégée contre les vides — affiche '—' si G14 ou F14 vide. B22 (07_PROBATION) : logique à 4 niveaux avec pondération critères critiques. 2 formules corrigées, 2 erreurs signalées comme déjà correctes.</t>
  </si>
  <si>
    <t>Analyser tous les onglets pour détecter les erreurs # et formules cassées</t>
  </si>
  <si>
    <t>5 bugs corrigés sur 3 feuilles : 08_DASHBOARD (C17, C18, E6), 07_PROBATION (C7, C8, C9), 05_BUDDY (C22:C25)</t>
  </si>
  <si>
    <t>#VALEUR! Dashboard C17/C18 : TEXT(0,"DD/MM/YYYY") quand date entrée vide → protégé avec IFERROR+IF vide. Probation C7 : TODAY()-0=46113j → protégé. Probation C9 : avancement inversé (C17-TODAY)/(C19-C17) au lieu de (TODAY-C17)/(C19-C17) → corrigé. Buddy C22:C25 : AVERAGE retournait 0 au lieu de — → remplacé par AVERAGEIF(&gt;0) avec garde COUNTA=0. Dashboard E6 : logique statut non alignée avec pondération critiques → synchro avec 07_PROBATION!B22.</t>
  </si>
  <si>
    <t>C17/C18 Dashboard : affichent 'Non renseignée' / '—'. C7/C8 Probation : affichent '—'. C9 Probation : vide (normal, date non saisie). C22:C25 Buddy : affichent '—'. E6 Dashboard : logique pondérée active.</t>
  </si>
  <si>
    <t>Corriger la colonne E (Date cible) de 02_PARCOURS — affichait des entiers bruts (-30, -21, 1...) au lieu de dates</t>
  </si>
  <si>
    <t>26 formules colonne E réécrites avec garde IF vide + TEXT en format DD/MM/YY</t>
  </si>
  <si>
    <t>Problème : '01_PARAMETRES'!C17+(-30) avec C17=0 donnait -30 (entier brut). Solution : IF(C17="","—",TEXT(C17+offset,"DD/MM/YY")) sur les 26 lignes actives (E7:E11, E13:E18, E20:E24, E26:E30, E32:E36). Cellules de section (E6, E12, E19, E25, E31) laissées vides car lignes d'en-tête.</t>
  </si>
  <si>
    <t>Toutes les 26 cellules affichent — (date entrée non saisie). Dès saisie en 01_PARAMETRES!C17, afficheront les dates formatées ex. 01/03/25.</t>
  </si>
  <si>
    <t>Labeaut Ludovic</t>
  </si>
  <si>
    <t>Parfumerie</t>
  </si>
  <si>
    <t>Ajouter un menu déroulant sur 01_PARAMETRES!C8 (Poste/Fonction) — postes pertinents en Parfumerie / Louis Vuitton</t>
  </si>
  <si>
    <t>Data validation ajoutée avec 12 postes Parfumerie + message d'aide + alerte souple (Warning)</t>
  </si>
  <si>
    <t>Postes : Nez/Parfumeur, Évaluateur Parfums, Chef de Projet Parfums, Technicien Formulation, Resp. Développement Olfactif, Artisan Conditionneur, Contrôleur Qualité Parfums, Resp. Réglementaire Cosmétique, Chef de Produit Parfums, Opérateur Production Parfumerie, Gestionnaire Matières Premières, Directeur Artistique Olfactif. Style Warning pour permettre la saisie libre.</t>
  </si>
  <si>
    <t>Menu déroulant actif sur C8. L'utilisateur peut choisir dans la liste ou saisir manuellement un autre poste.</t>
  </si>
  <si>
    <t>Oui</t>
  </si>
  <si>
    <t>Maroquinerie</t>
  </si>
  <si>
    <t>Sellerie</t>
  </si>
  <si>
    <t>Orfèvrerie</t>
  </si>
  <si>
    <t>Joaillerie</t>
  </si>
  <si>
    <t>Chapellerie</t>
  </si>
  <si>
    <t>Botterie</t>
  </si>
  <si>
    <t>Ganterie</t>
  </si>
  <si>
    <t>Soierie</t>
  </si>
  <si>
    <t>Horlogerie</t>
  </si>
  <si>
    <t>Artisan Maroquinier</t>
  </si>
  <si>
    <t>Coupeur Cuir</t>
  </si>
  <si>
    <t>Piqueur / Couseur</t>
  </si>
  <si>
    <t>Monteur Maroquinerie</t>
  </si>
  <si>
    <t>Coloriste Cuir</t>
  </si>
  <si>
    <t>Préparateur Peaux</t>
  </si>
  <si>
    <t>Chef d'Atelier Maroquinerie</t>
  </si>
  <si>
    <t>Contrôleur Qualité Cuir</t>
  </si>
  <si>
    <t>Prototypiste Maroquinerie</t>
  </si>
  <si>
    <t>Responsable Production Maroquinerie</t>
  </si>
  <si>
    <t>Artisan Sellier</t>
  </si>
  <si>
    <t>Sellier-Garnisseur</t>
  </si>
  <si>
    <t>Coupeur Sellerie</t>
  </si>
  <si>
    <t>Monteur Sellerie</t>
  </si>
  <si>
    <t>Sellier Harnacheur</t>
  </si>
  <si>
    <t>Restaurateur Sellerie</t>
  </si>
  <si>
    <t>Chef d'Atelier Sellerie</t>
  </si>
  <si>
    <t>Contrôleur Qualité Sellerie</t>
  </si>
  <si>
    <t>Prototypiste Sellerie</t>
  </si>
  <si>
    <t>Formateur Gestes Sellier</t>
  </si>
  <si>
    <t>Orfèvre</t>
  </si>
  <si>
    <t>Ciseleur</t>
  </si>
  <si>
    <t>Polisseur Métaux Précieux</t>
  </si>
  <si>
    <t>Fondeur Orfèvrerie</t>
  </si>
  <si>
    <t>Graveur sur Métal</t>
  </si>
  <si>
    <t>Monteur Orfèvrerie</t>
  </si>
  <si>
    <t>Chef d'Atelier Orfèvrerie</t>
  </si>
  <si>
    <t>Contrôleur Qualité Orfèvrerie</t>
  </si>
  <si>
    <t>Prototypiste Orfèvrerie</t>
  </si>
  <si>
    <t>Restaurateur Pièces d'Orfèvrerie</t>
  </si>
  <si>
    <t>Joaillier</t>
  </si>
  <si>
    <t>Sertisseur</t>
  </si>
  <si>
    <t>Lapidaire</t>
  </si>
  <si>
    <t>Polisseur Joaillerie</t>
  </si>
  <si>
    <t>Gemmologue</t>
  </si>
  <si>
    <t>Dessinateur Joaillerie</t>
  </si>
  <si>
    <t>Chef d'Atelier Joaillerie</t>
  </si>
  <si>
    <t>Contrôleur Qualité Joaillerie</t>
  </si>
  <si>
    <t>Prototypiste Joaillerie</t>
  </si>
  <si>
    <t>Responsable Achats Pierres</t>
  </si>
  <si>
    <t>Couturier / Couturière</t>
  </si>
  <si>
    <t>Modéliste</t>
  </si>
  <si>
    <t>Coupeur Tissu</t>
  </si>
  <si>
    <t>Tailleur</t>
  </si>
  <si>
    <t>Brodeuse / Brodeur</t>
  </si>
  <si>
    <t>Retoucheur Couture</t>
  </si>
  <si>
    <t>Première d'Atelier</t>
  </si>
  <si>
    <t>Chef d'Atelier Couture</t>
  </si>
  <si>
    <t>Prototypiste Couture</t>
  </si>
  <si>
    <t>Responsable Qualité Couture</t>
  </si>
  <si>
    <t>Chapelier / Chapelière</t>
  </si>
  <si>
    <t>Formier Chapellerie</t>
  </si>
  <si>
    <t>Garnisseur Chapeaux</t>
  </si>
  <si>
    <t>Feutrier</t>
  </si>
  <si>
    <t>Coupeur Chapellerie</t>
  </si>
  <si>
    <t>Prototypiste Chapellerie</t>
  </si>
  <si>
    <t>Chef d'Atelier Chapellerie</t>
  </si>
  <si>
    <t>Contrôleur Qualité Chapellerie</t>
  </si>
  <si>
    <t>Restaurateur Chapeaux</t>
  </si>
  <si>
    <t>Designer Accessoires Tête</t>
  </si>
  <si>
    <t>Bottier</t>
  </si>
  <si>
    <t>Monteur Chaussures</t>
  </si>
  <si>
    <t>Patronnier Botterie</t>
  </si>
  <si>
    <t>Coupeur Botterie</t>
  </si>
  <si>
    <t>Piqueur Botterie</t>
  </si>
  <si>
    <t>Finisseur Chaussures</t>
  </si>
  <si>
    <t>Chef d'Atelier Botterie</t>
  </si>
  <si>
    <t>Contrôleur Qualité Botterie</t>
  </si>
  <si>
    <t>Prototypiste Botterie</t>
  </si>
  <si>
    <t>Formier Chaussures</t>
  </si>
  <si>
    <t>Gantier</t>
  </si>
  <si>
    <t>Coupeur Ganterie</t>
  </si>
  <si>
    <t>Couseur Gants</t>
  </si>
  <si>
    <t>Étireur Peaux Ganterie</t>
  </si>
  <si>
    <t>Finisseur Gants</t>
  </si>
  <si>
    <t>Prototypiste Ganterie</t>
  </si>
  <si>
    <t>Chef d'Atelier Ganterie</t>
  </si>
  <si>
    <t>Contrôleur Qualité Ganterie</t>
  </si>
  <si>
    <t>Coloriste Ganterie</t>
  </si>
  <si>
    <t>Responsable Production Ganterie</t>
  </si>
  <si>
    <t>Tisseur Soie</t>
  </si>
  <si>
    <t>Dessinateur Textile</t>
  </si>
  <si>
    <t>Coloriste Textile</t>
  </si>
  <si>
    <t>Imprimeur sur Soie</t>
  </si>
  <si>
    <t>Canneteur / Ourdisseur</t>
  </si>
  <si>
    <t>Contrôleur Qualité Soierie</t>
  </si>
  <si>
    <t>Chef d'Atelier Soierie</t>
  </si>
  <si>
    <t>Prototypiste Soierie</t>
  </si>
  <si>
    <t>Restaurateur Soieries Anciennes</t>
  </si>
  <si>
    <t>Responsable Production Soierie</t>
  </si>
  <si>
    <t>Nez / Parfumeur</t>
  </si>
  <si>
    <t>Évaluateur Parfums</t>
  </si>
  <si>
    <t>Chef de Projet Parfums</t>
  </si>
  <si>
    <t>Technicien Formulation</t>
  </si>
  <si>
    <t>Responsable Développement Olfactif</t>
  </si>
  <si>
    <t>Artisan Conditionneur</t>
  </si>
  <si>
    <t>Contrôleur Qualité Parfums</t>
  </si>
  <si>
    <t>Responsable Réglementaire Cosmétique</t>
  </si>
  <si>
    <t>Chef de Produit Parfums</t>
  </si>
  <si>
    <t>Opérateur Production Parfumerie</t>
  </si>
  <si>
    <t>Horloger</t>
  </si>
  <si>
    <t>Horloger Régleur</t>
  </si>
  <si>
    <t>Emboîteur</t>
  </si>
  <si>
    <t>Cadranier</t>
  </si>
  <si>
    <t>Graveur Horlogerie</t>
  </si>
  <si>
    <t>Polisseur Horlogerie</t>
  </si>
  <si>
    <t>Chef d'Atelier Horlogerie</t>
  </si>
  <si>
    <t>Contrôleur Qualité Horlogerie</t>
  </si>
  <si>
    <t>Prototypiste Horlogerie</t>
  </si>
  <si>
    <t>Restaurateur Montres Anciennes</t>
  </si>
  <si>
    <t>Liste adaptée au métier ▼</t>
  </si>
  <si>
    <t>Créer un menu déroulant dynamique sur C8 (Poste) lié au métier d'art C9 — avec des postes pertinents pour chaque métier</t>
  </si>
  <si>
    <t>Création onglet _REF_POSTES (caché) avec 11 colonnes × 10 postes + 11 plages nommées + validation INDIRECT dynamique sur C8</t>
  </si>
  <si>
    <t>11 métiers : Maroquinerie, Sellerie, Orfèvrerie, Joaillerie, Couture, Chapellerie, Botterie, Ganterie, Soierie, Parfumerie, Horlogerie. 10 postes spécifiques par métier. Plages nommées Poste_Maroquinerie etc. Formule INDIRECT avec SUBSTITUTE pour gérer accents (è→e, é→e, etc.). Mode Warning pour autoriser saisie libre.</t>
  </si>
  <si>
    <t>C8 propose désormais une liste dynamique selon le métier C9. Ex : Maroquinerie → Artisan Maroquinier, Coupeur Cuir, Piqueur... Changement de C9 = la liste C8 se met à jour automatiquement.</t>
  </si>
  <si>
    <t>Le menu déroulant dynamique de C8 ne s'affichait pas au clic — la formule INDIRECT(SUBSTITUTE(...)) dans la validation n'était pas supportée par Excel</t>
  </si>
  <si>
    <t>Remplacé par cellule helper Z1 cachée + INDIRECT(Z1) simple dans la validation</t>
  </si>
  <si>
    <t>Cause : Excel Online ne supporte pas les formules SUBSTITUTE imbriquées dans les règles de validation de données. Solution : Z1 contient la formule de conversion (métier→nom de plage), et la validation pointe simplement =INDIRECT(Z1). Colonne Z masquée (largeur 0 + texte blanc).</t>
  </si>
  <si>
    <t>Menu déroulant C8 désormais fonctionnel. Testé avec C9=Horlogerie → 10 postes Horlogerie affichés.</t>
  </si>
  <si>
    <t>Postes_Actifs</t>
  </si>
  <si>
    <t>Le menu déroulant C8 ne s'affichait toujours pas malgré INDIRECT(Z1) — problème de compatibilité Excel Online avec INDIRECT dans les validations</t>
  </si>
  <si>
    <t>Refonte complète : colonne dynamique M dans _REF_POSTES via INDEX/MATCH + validation pointant vers plage fixe M2:M11. Suppression helper Z1.</t>
  </si>
  <si>
    <t>Cause racine : Excel Online ne résout pas INDIRECT() dans les data validations (bug connu). Solution : _REF_POSTES!M2:M11 contient 10 formules INDEX($A$2:$K$11,ROW()-1,MATCH('01_PARAMETRES'!$C$9,$A$1:$K$1,0)) qui se recalculent quand C9 change. La validation pointe vers cette plage fixe =_REF_POSTES!$M$2:$M$11 — pas d'INDIRECT.</t>
  </si>
  <si>
    <t>Vérifié : C9=Joaillerie → M2:M11 = 10 postes joaillerie. Validation type=List, source=plage fixe. Cellule helper Z1 nettoyée.</t>
  </si>
  <si>
    <t>CDD</t>
  </si>
  <si>
    <t>N1</t>
  </si>
  <si>
    <t>Erreurs #VALEUR! sur toute la colonne E de 02_PARCOURS et dans 08_DASHBOARD après saisie de la date d'entrée</t>
  </si>
  <si>
    <t>Correction du format TEXT() : DD/MM/YY → jj/mm/aa (Excel français) sur 26 cellules E7:E36, plus C17, C18, D7, B2 du dashboard</t>
  </si>
  <si>
    <t>Cause : Excel en configuration française utilise jj/mm/aa au lieu de dd/mm/yy dans la fonction TEXT(). Tous les TEXT() du classeur ont été scannés et corrigés (30 cellules au total). Dernier trouvé : B2 du dashboard avec DD/MM/YYYY → jj/mm/aaaa.</t>
  </si>
  <si>
    <t>E7:E36 : dates affichées correctement (02/03/26 à 01/04/27). Dashboard C17=01/04/26, C18=30/06/26, D7=Fin:30/06/26, B2=titre dynamique complet. Plus aucun TEXT(DD/MM) dans le classeur.</t>
  </si>
  <si>
    <t>Poids</t>
  </si>
  <si>
    <t>Appliquer les améliorations AUTO-11 à AUTO-15 proposées</t>
  </si>
  <si>
    <t>AUTO-12 : alertes 3 niveaux (✅/🟡/🔴) sur 04_CHECKLIST G6:G13. AUTO-13 : tendance glissante robuste H14 (COUNT numeric). AUTO-14 : poids E16:E20 + LET pondéré B22 + score D22. AUTO-15 : à traiter (attente accès LuxeArtisanTalent). AUTO-11 : non modifié (formule existante correcte).</t>
  </si>
  <si>
    <t>AUTO-12 : 3 niveaux — Fait ✅, 🟡 Échéance dans X j (7j avant), 🔴 EN RETARD de X j. AUTO-13 : COUNT(C14:G14)&lt;2 → —, sinon compare les 2 dernières évals non vides avec IFERROR+INDEX+MATCH. AUTO-14 : colonne E poids (30/15/25/15/15%), LET avec sc=SUMPRODUCT, critiques=AND(Technique+Culture), TRIM(faibles) pour lister points à travailler. Dashboard E6 aligné avec score%.</t>
  </si>
  <si>
    <t>G6=🟡 Échéance dans 1j (correct, date entrée=aujourd'hui). H14=— (correct, 0 évals). B22=🔴 NE PAS VALIDER — Critères critiques : Culture. D22=Score pondéré 45%. E6 Dashboard=🔴 À RISQUE —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</si>
</sst>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quot; j&quot;"/>
  </numFmts>
  <fonts count="30" x14ac:knownFonts="1">
    <font>
      <sz val="11"/>
      <color theme="1"/>
      <name val="Calibri"/>
      <family val="2"/>
      <scheme val="minor"/>
    </font>
    <font>
      <b/>
      <sz val="14"/>
      <color rgb="FFFFFFFF"/>
      <name val="Calibri"/>
    </font>
    <font>
      <i/>
      <sz val="9"/>
      <color rgb="FF666666"/>
      <name val="Calibri"/>
    </font>
    <font>
      <b/>
      <sz val="10"/>
      <color rgb="FF1A1A2E"/>
      <name val="Calibri"/>
    </font>
    <font>
      <sz val="10"/>
      <color rgb="FF0000FF"/>
      <name val="Calibri"/>
    </font>
    <font>
      <sz val="10"/>
      <color rgb="FF000000"/>
      <name val="Calibri"/>
    </font>
    <font>
      <b/>
      <sz val="10"/>
      <color rgb="FFFFFFFF"/>
      <name val="Calibri"/>
    </font>
    <font>
      <b/>
      <sz val="10"/>
      <color rgb="FFD4AF37"/>
      <name val="Calibri"/>
    </font>
    <font>
      <sz val="10"/>
      <color rgb="FF008000"/>
      <name val="Calibri"/>
    </font>
    <font>
      <sz val="9"/>
      <color rgb="FF8B0000"/>
      <name val="Calibri"/>
    </font>
    <font>
      <b/>
      <sz val="10"/>
      <color rgb="FF8B0000"/>
      <name val="Calibri"/>
    </font>
    <font>
      <b/>
      <sz val="12"/>
      <color rgb="FF8B0000"/>
      <name val="Calibri"/>
    </font>
    <font>
      <b/>
      <sz val="9"/>
      <color rgb="FFFFFFFF"/>
      <name val="Calibri"/>
    </font>
    <font>
      <sz val="9"/>
      <color rgb="FF000000"/>
      <name val="Calibri"/>
    </font>
    <font>
      <i/>
      <sz val="9"/>
      <color rgb="FF444444"/>
      <name val="Calibri"/>
    </font>
    <font>
      <b/>
      <sz val="11"/>
      <color rgb="FF8B0000"/>
      <name val="Calibri"/>
    </font>
    <font>
      <b/>
      <sz val="11"/>
      <color rgb="FF000000"/>
      <name val="Calibri"/>
    </font>
    <font>
      <b/>
      <sz val="11"/>
      <color rgb="FFFFFFFF"/>
      <name val="Calibri"/>
    </font>
    <font>
      <b/>
      <sz val="12"/>
      <color rgb="FFFFFFFF"/>
      <name val="Calibri"/>
    </font>
    <font>
      <sz val="10"/>
      <color rgb="FF8B0000"/>
      <name val="Calibri"/>
    </font>
    <font>
      <sz val="11"/>
      <color rgb="FF1A1A2E"/>
      <name val="Calibri"/>
    </font>
    <font>
      <b/>
      <sz val="12"/>
      <color rgb="FF000000"/>
      <name val="Calibri"/>
    </font>
    <font>
      <b/>
      <sz val="13"/>
      <color rgb="FF1A1A2E"/>
      <name val="Calibri"/>
    </font>
    <font>
      <i/>
      <sz val="10"/>
      <color rgb="FFD4AF37"/>
      <name val="Calibri"/>
    </font>
    <font>
      <b/>
      <sz val="16"/>
      <color rgb="FFD4AF37"/>
      <name val="Calibri"/>
    </font>
    <font>
      <sz val="10"/>
      <color rgb="FF0070C0"/>
      <name val="Calibri"/>
    </font>
    <font>
      <i/>
      <sz val="9"/>
      <color rgb="FFD4AF37"/>
      <name val="Calibri"/>
    </font>
    <font>
      <b/>
      <sz val="11"/>
      <color rgb="FFFFFFFF"/>
      <name val="Calibri"/>
      <family val="2"/>
      <scheme val="minor"/>
    </font>
    <font>
      <b/>
      <sz val="10"/>
      <color rgb="FFFFFFFF"/>
      <name val="Calibri"/>
      <family val="2"/>
      <scheme val="minor"/>
    </font>
    <font>
      <sz val="9"/>
      <color theme="1"/>
      <name val="Calibri"/>
      <family val="2"/>
      <scheme val="minor"/>
    </font>
  </fonts>
  <fills count="18">
    <fill>
      <patternFill patternType="none"/>
    </fill>
    <fill>
      <patternFill patternType="gray125"/>
    </fill>
    <fill>
      <patternFill patternType="solid">
        <fgColor rgb="FF1A1A2E"/>
      </patternFill>
    </fill>
    <fill>
      <patternFill patternType="solid">
        <fgColor rgb="FFF0ECD6"/>
      </patternFill>
    </fill>
    <fill>
      <patternFill patternType="solid">
        <fgColor rgb="FFD4AF37"/>
      </patternFill>
    </fill>
    <fill>
      <patternFill patternType="solid">
        <fgColor rgb="FFE8E8E8"/>
      </patternFill>
    </fill>
    <fill>
      <patternFill patternType="solid">
        <fgColor rgb="FFFEFDF6"/>
      </patternFill>
    </fill>
    <fill>
      <patternFill patternType="solid">
        <fgColor rgb="FFFFF3CD"/>
      </patternFill>
    </fill>
    <fill>
      <patternFill patternType="solid">
        <fgColor rgb="FFE8D5F5"/>
      </patternFill>
    </fill>
    <fill>
      <patternFill patternType="solid">
        <fgColor rgb="FFD0E8FF"/>
      </patternFill>
    </fill>
    <fill>
      <patternFill patternType="solid">
        <fgColor rgb="FFD0F0FF"/>
      </patternFill>
    </fill>
    <fill>
      <patternFill patternType="solid">
        <fgColor rgb="FFD4EDDA"/>
      </patternFill>
    </fill>
    <fill>
      <patternFill patternType="solid">
        <fgColor rgb="FFF8F4E8"/>
      </patternFill>
    </fill>
    <fill>
      <patternFill patternType="solid">
        <fgColor rgb="FFF5F5F5"/>
      </patternFill>
    </fill>
    <fill>
      <patternFill patternType="solid">
        <fgColor rgb="FFFFFFFF"/>
      </patternFill>
    </fill>
    <fill>
      <patternFill patternType="solid">
        <fgColor rgb="FF0D0D1E"/>
      </patternFill>
    </fill>
    <fill>
      <patternFill patternType="solid">
        <fgColor rgb="FF1A1A3E"/>
      </patternFill>
    </fill>
    <fill>
      <patternFill patternType="solid">
        <fgColor rgb="FF1A1A2E"/>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bottom/>
      <diagonal/>
    </border>
  </borders>
  <cellStyleXfs count="1">
    <xf numFmtId="0" fontId="0" fillId="0" borderId="0"/>
  </cellStyleXfs>
  <cellXfs count="122">
    <xf numFmtId="0" fontId="0" fillId="0" borderId="0" xfId="0"/>
    <xf numFmtId="0" fontId="3" fillId="5" borderId="1" xfId="0" applyFont="1" applyFill="1" applyBorder="1" applyAlignment="1">
      <alignment horizontal="left" vertical="center" indent="1"/>
    </xf>
    <xf numFmtId="0" fontId="4" fillId="6" borderId="1" xfId="0" applyFont="1" applyFill="1" applyBorder="1" applyAlignment="1">
      <alignment horizontal="left" vertical="center" indent="1"/>
    </xf>
    <xf numFmtId="0" fontId="2" fillId="0" borderId="0" xfId="0" applyFont="1" applyAlignment="1">
      <alignment horizontal="left" vertical="center" indent="1"/>
    </xf>
    <xf numFmtId="14" fontId="4" fillId="6" borderId="1" xfId="0" applyNumberFormat="1" applyFont="1" applyFill="1" applyBorder="1" applyAlignment="1">
      <alignment horizontal="center" vertical="center"/>
    </xf>
    <xf numFmtId="3" fontId="5" fillId="6" borderId="1" xfId="0" applyNumberFormat="1" applyFont="1" applyFill="1" applyBorder="1" applyAlignment="1">
      <alignment horizontal="center" vertical="center"/>
    </xf>
    <xf numFmtId="14" fontId="5" fillId="6" borderId="1" xfId="0" applyNumberFormat="1" applyFont="1" applyFill="1" applyBorder="1" applyAlignment="1">
      <alignment horizontal="center" vertical="center"/>
    </xf>
    <xf numFmtId="0" fontId="4"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6" fillId="2" borderId="1" xfId="0" applyFont="1" applyFill="1" applyBorder="1" applyAlignment="1">
      <alignment horizontal="center" vertical="center"/>
    </xf>
    <xf numFmtId="0" fontId="3" fillId="8" borderId="1" xfId="0" applyFont="1" applyFill="1" applyBorder="1" applyAlignment="1">
      <alignment horizontal="center" vertical="center"/>
    </xf>
    <xf numFmtId="0" fontId="5" fillId="8" borderId="1" xfId="0" applyFont="1" applyFill="1" applyBorder="1" applyAlignment="1">
      <alignment horizontal="left" vertical="center" indent="1"/>
    </xf>
    <xf numFmtId="0" fontId="5" fillId="8" borderId="1" xfId="0" applyFont="1" applyFill="1" applyBorder="1" applyAlignment="1">
      <alignment horizontal="center" vertical="center"/>
    </xf>
    <xf numFmtId="14" fontId="8" fillId="8" borderId="1" xfId="0" applyNumberFormat="1" applyFont="1" applyFill="1" applyBorder="1" applyAlignment="1">
      <alignment horizontal="center" vertical="center"/>
    </xf>
    <xf numFmtId="0" fontId="0" fillId="8" borderId="1" xfId="0" applyFill="1" applyBorder="1" applyAlignment="1">
      <alignment horizontal="center" vertical="center"/>
    </xf>
    <xf numFmtId="0" fontId="9" fillId="8" borderId="1" xfId="0" applyFont="1" applyFill="1" applyBorder="1"/>
    <xf numFmtId="0" fontId="3" fillId="9" borderId="1" xfId="0" applyFont="1" applyFill="1" applyBorder="1" applyAlignment="1">
      <alignment horizontal="center" vertical="center"/>
    </xf>
    <xf numFmtId="0" fontId="5" fillId="9" borderId="1" xfId="0" applyFont="1" applyFill="1" applyBorder="1" applyAlignment="1">
      <alignment horizontal="left" vertical="center" indent="1"/>
    </xf>
    <xf numFmtId="0" fontId="5" fillId="9" borderId="1" xfId="0" applyFont="1" applyFill="1" applyBorder="1" applyAlignment="1">
      <alignment horizontal="center" vertical="center"/>
    </xf>
    <xf numFmtId="14" fontId="8" fillId="9" borderId="1" xfId="0" applyNumberFormat="1" applyFont="1" applyFill="1" applyBorder="1" applyAlignment="1">
      <alignment horizontal="center" vertical="center"/>
    </xf>
    <xf numFmtId="0" fontId="0" fillId="9" borderId="1" xfId="0" applyFill="1" applyBorder="1" applyAlignment="1">
      <alignment horizontal="center" vertical="center"/>
    </xf>
    <xf numFmtId="0" fontId="9" fillId="9" borderId="1" xfId="0" applyFont="1" applyFill="1" applyBorder="1"/>
    <xf numFmtId="0" fontId="3" fillId="10" borderId="1" xfId="0" applyFont="1" applyFill="1" applyBorder="1" applyAlignment="1">
      <alignment horizontal="center" vertical="center"/>
    </xf>
    <xf numFmtId="0" fontId="5" fillId="10" borderId="1" xfId="0" applyFont="1" applyFill="1" applyBorder="1" applyAlignment="1">
      <alignment horizontal="left" vertical="center" indent="1"/>
    </xf>
    <xf numFmtId="0" fontId="5" fillId="10" borderId="1" xfId="0" applyFont="1" applyFill="1" applyBorder="1" applyAlignment="1">
      <alignment horizontal="center" vertical="center"/>
    </xf>
    <xf numFmtId="14" fontId="8" fillId="10" borderId="1" xfId="0" applyNumberFormat="1" applyFont="1" applyFill="1" applyBorder="1" applyAlignment="1">
      <alignment horizontal="center" vertical="center"/>
    </xf>
    <xf numFmtId="0" fontId="0" fillId="10" borderId="1" xfId="0" applyFill="1" applyBorder="1" applyAlignment="1">
      <alignment horizontal="center" vertical="center"/>
    </xf>
    <xf numFmtId="0" fontId="9" fillId="10" borderId="1" xfId="0" applyFont="1" applyFill="1" applyBorder="1"/>
    <xf numFmtId="0" fontId="10" fillId="7" borderId="1" xfId="0" applyFont="1" applyFill="1" applyBorder="1" applyAlignment="1">
      <alignment horizontal="center" vertical="center"/>
    </xf>
    <xf numFmtId="0" fontId="10" fillId="7" borderId="1" xfId="0" applyFont="1" applyFill="1" applyBorder="1" applyAlignment="1">
      <alignment horizontal="left" vertical="center" indent="1"/>
    </xf>
    <xf numFmtId="14" fontId="8" fillId="7" borderId="1" xfId="0" applyNumberFormat="1" applyFont="1" applyFill="1" applyBorder="1" applyAlignment="1">
      <alignment horizontal="center" vertical="center"/>
    </xf>
    <xf numFmtId="0" fontId="0" fillId="7" borderId="1" xfId="0" applyFill="1" applyBorder="1" applyAlignment="1">
      <alignment horizontal="center" vertical="center"/>
    </xf>
    <xf numFmtId="0" fontId="9" fillId="7" borderId="1" xfId="0" applyFont="1" applyFill="1" applyBorder="1"/>
    <xf numFmtId="0" fontId="5" fillId="7" borderId="1" xfId="0" applyFont="1" applyFill="1" applyBorder="1" applyAlignment="1">
      <alignment horizontal="left" vertical="center" indent="1"/>
    </xf>
    <xf numFmtId="0" fontId="5" fillId="7" borderId="1" xfId="0" applyFont="1" applyFill="1" applyBorder="1" applyAlignment="1">
      <alignment horizontal="center" vertical="center"/>
    </xf>
    <xf numFmtId="0" fontId="3" fillId="11" borderId="1" xfId="0" applyFont="1" applyFill="1" applyBorder="1" applyAlignment="1">
      <alignment horizontal="center" vertical="center"/>
    </xf>
    <xf numFmtId="0" fontId="5" fillId="11" borderId="1" xfId="0" applyFont="1" applyFill="1" applyBorder="1" applyAlignment="1">
      <alignment horizontal="left" vertical="center" indent="1"/>
    </xf>
    <xf numFmtId="0" fontId="5" fillId="11" borderId="1" xfId="0" applyFont="1" applyFill="1" applyBorder="1" applyAlignment="1">
      <alignment horizontal="center" vertical="center"/>
    </xf>
    <xf numFmtId="14" fontId="8" fillId="11" borderId="1" xfId="0" applyNumberFormat="1" applyFont="1" applyFill="1" applyBorder="1" applyAlignment="1">
      <alignment horizontal="center" vertical="center"/>
    </xf>
    <xf numFmtId="0" fontId="0" fillId="11" borderId="1" xfId="0" applyFill="1" applyBorder="1" applyAlignment="1">
      <alignment horizontal="center" vertical="center"/>
    </xf>
    <xf numFmtId="0" fontId="9" fillId="11" borderId="1" xfId="0" applyFont="1" applyFill="1" applyBorder="1"/>
    <xf numFmtId="0" fontId="3" fillId="0" borderId="0" xfId="0" applyFont="1"/>
    <xf numFmtId="0" fontId="2" fillId="8"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11" borderId="1" xfId="0" applyFont="1" applyFill="1" applyBorder="1" applyAlignment="1">
      <alignment horizontal="center" vertical="center"/>
    </xf>
    <xf numFmtId="0" fontId="11" fillId="7" borderId="1" xfId="0" applyFont="1" applyFill="1" applyBorder="1" applyAlignment="1">
      <alignment horizontal="center" vertical="center"/>
    </xf>
    <xf numFmtId="0" fontId="13" fillId="0" borderId="1" xfId="0" applyFont="1" applyBorder="1" applyAlignment="1">
      <alignment horizontal="left" vertical="center" wrapText="1" indent="1"/>
    </xf>
    <xf numFmtId="0" fontId="5" fillId="13" borderId="1" xfId="0" applyFont="1" applyFill="1" applyBorder="1" applyAlignment="1">
      <alignment horizontal="left" vertical="center" indent="1"/>
    </xf>
    <xf numFmtId="0" fontId="14" fillId="13" borderId="1" xfId="0" applyFont="1" applyFill="1" applyBorder="1" applyAlignment="1">
      <alignment horizontal="center" vertical="center"/>
    </xf>
    <xf numFmtId="14" fontId="8" fillId="13" borderId="1" xfId="0" applyNumberFormat="1" applyFont="1" applyFill="1" applyBorder="1" applyAlignment="1">
      <alignment horizontal="center" vertical="center"/>
    </xf>
    <xf numFmtId="0" fontId="0" fillId="13" borderId="1" xfId="0" applyFill="1" applyBorder="1" applyAlignment="1">
      <alignment horizontal="center" vertical="center"/>
    </xf>
    <xf numFmtId="14" fontId="4" fillId="13" borderId="1" xfId="0" applyNumberFormat="1" applyFont="1" applyFill="1" applyBorder="1" applyAlignment="1">
      <alignment horizontal="center" vertical="center"/>
    </xf>
    <xf numFmtId="0" fontId="9" fillId="13" borderId="1" xfId="0" applyFont="1" applyFill="1" applyBorder="1"/>
    <xf numFmtId="0" fontId="5" fillId="14" borderId="1" xfId="0" applyFont="1" applyFill="1" applyBorder="1" applyAlignment="1">
      <alignment horizontal="left" vertical="center" indent="1"/>
    </xf>
    <xf numFmtId="0" fontId="14" fillId="14" borderId="1" xfId="0" applyFont="1" applyFill="1" applyBorder="1" applyAlignment="1">
      <alignment horizontal="center" vertical="center"/>
    </xf>
    <xf numFmtId="14" fontId="8" fillId="14" borderId="1" xfId="0" applyNumberFormat="1" applyFont="1" applyFill="1" applyBorder="1" applyAlignment="1">
      <alignment horizontal="center" vertical="center"/>
    </xf>
    <xf numFmtId="0" fontId="0" fillId="14" borderId="1" xfId="0" applyFill="1" applyBorder="1" applyAlignment="1">
      <alignment horizontal="center" vertical="center"/>
    </xf>
    <xf numFmtId="14" fontId="4" fillId="14" borderId="1" xfId="0" applyNumberFormat="1" applyFont="1" applyFill="1" applyBorder="1" applyAlignment="1">
      <alignment horizontal="center" vertical="center"/>
    </xf>
    <xf numFmtId="0" fontId="9" fillId="14" borderId="1" xfId="0" applyFont="1" applyFill="1" applyBorder="1"/>
    <xf numFmtId="0" fontId="3" fillId="13" borderId="1" xfId="0" applyFont="1" applyFill="1" applyBorder="1"/>
    <xf numFmtId="0" fontId="4" fillId="13" borderId="1" xfId="0" applyFont="1" applyFill="1" applyBorder="1" applyAlignment="1">
      <alignment horizontal="center" vertical="center"/>
    </xf>
    <xf numFmtId="0" fontId="4" fillId="13" borderId="1" xfId="0" applyFont="1" applyFill="1" applyBorder="1" applyAlignment="1">
      <alignment horizontal="left" vertical="center" indent="1"/>
    </xf>
    <xf numFmtId="0" fontId="3" fillId="14" borderId="1" xfId="0" applyFont="1" applyFill="1" applyBorder="1"/>
    <xf numFmtId="0" fontId="4" fillId="14" borderId="1" xfId="0" applyFont="1" applyFill="1" applyBorder="1" applyAlignment="1">
      <alignment horizontal="center" vertical="center"/>
    </xf>
    <xf numFmtId="0" fontId="4" fillId="14" borderId="1" xfId="0" applyFont="1" applyFill="1" applyBorder="1" applyAlignment="1">
      <alignment horizontal="left" vertical="center" indent="1"/>
    </xf>
    <xf numFmtId="0" fontId="0" fillId="2" borderId="1" xfId="0" applyFill="1" applyBorder="1"/>
    <xf numFmtId="164" fontId="3" fillId="7" borderId="1" xfId="0" applyNumberFormat="1" applyFont="1" applyFill="1" applyBorder="1" applyAlignment="1">
      <alignment horizontal="center" vertical="center"/>
    </xf>
    <xf numFmtId="0" fontId="3" fillId="5" borderId="1" xfId="0" applyFont="1" applyFill="1" applyBorder="1"/>
    <xf numFmtId="0" fontId="5" fillId="0" borderId="1" xfId="0" applyFont="1" applyBorder="1"/>
    <xf numFmtId="164" fontId="5" fillId="0" borderId="1" xfId="0" applyNumberFormat="1" applyFont="1" applyBorder="1" applyAlignment="1">
      <alignment horizontal="center" vertical="center"/>
    </xf>
    <xf numFmtId="14" fontId="8" fillId="5" borderId="1" xfId="0" applyNumberFormat="1" applyFont="1" applyFill="1" applyBorder="1" applyAlignment="1">
      <alignment horizontal="center" vertical="center"/>
    </xf>
    <xf numFmtId="0" fontId="0" fillId="5" borderId="1" xfId="0" applyFill="1" applyBorder="1"/>
    <xf numFmtId="0" fontId="16" fillId="13" borderId="1" xfId="0" applyFont="1" applyFill="1" applyBorder="1" applyAlignment="1">
      <alignment horizontal="center" vertical="center"/>
    </xf>
    <xf numFmtId="0" fontId="16" fillId="14" borderId="1" xfId="0" applyFont="1" applyFill="1" applyBorder="1" applyAlignment="1">
      <alignment horizontal="center" vertical="center"/>
    </xf>
    <xf numFmtId="164" fontId="17" fillId="2" borderId="1" xfId="0" applyNumberFormat="1" applyFont="1" applyFill="1" applyBorder="1" applyAlignment="1">
      <alignment horizontal="center" vertical="center"/>
    </xf>
    <xf numFmtId="0" fontId="18" fillId="2" borderId="1" xfId="0" applyFont="1" applyFill="1" applyBorder="1" applyAlignment="1">
      <alignment horizontal="center" vertical="center"/>
    </xf>
    <xf numFmtId="0" fontId="19" fillId="0" borderId="1" xfId="0" applyFont="1" applyBorder="1" applyAlignment="1">
      <alignment horizontal="center" vertical="center"/>
    </xf>
    <xf numFmtId="14" fontId="8" fillId="6" borderId="1" xfId="0" applyNumberFormat="1" applyFont="1" applyFill="1" applyBorder="1" applyAlignment="1">
      <alignment horizontal="center" vertical="center"/>
    </xf>
    <xf numFmtId="0" fontId="0" fillId="6" borderId="1" xfId="0" applyFill="1" applyBorder="1"/>
    <xf numFmtId="165" fontId="8" fillId="6" borderId="1" xfId="0" applyNumberFormat="1" applyFont="1" applyFill="1" applyBorder="1" applyAlignment="1">
      <alignment horizontal="center" vertical="center"/>
    </xf>
    <xf numFmtId="9" fontId="8" fillId="6" borderId="1" xfId="0" applyNumberFormat="1" applyFont="1" applyFill="1" applyBorder="1" applyAlignment="1">
      <alignment horizontal="center" vertical="center"/>
    </xf>
    <xf numFmtId="0" fontId="21" fillId="13" borderId="1" xfId="0" applyFont="1" applyFill="1" applyBorder="1" applyAlignment="1">
      <alignment horizontal="center" vertical="center"/>
    </xf>
    <xf numFmtId="0" fontId="2" fillId="13" borderId="1" xfId="0" applyFont="1" applyFill="1" applyBorder="1" applyAlignment="1">
      <alignment horizontal="left" vertical="center" wrapText="1" indent="1"/>
    </xf>
    <xf numFmtId="0" fontId="21" fillId="14" borderId="1" xfId="0" applyFont="1" applyFill="1" applyBorder="1" applyAlignment="1">
      <alignment horizontal="center" vertical="center"/>
    </xf>
    <xf numFmtId="0" fontId="2" fillId="14" borderId="1" xfId="0" applyFont="1" applyFill="1" applyBorder="1" applyAlignment="1">
      <alignment horizontal="left" vertical="center" wrapText="1" indent="1"/>
    </xf>
    <xf numFmtId="0" fontId="7" fillId="2" borderId="1" xfId="0" applyFont="1" applyFill="1" applyBorder="1" applyAlignment="1">
      <alignment horizontal="center" vertical="center"/>
    </xf>
    <xf numFmtId="0" fontId="24" fillId="15" borderId="1" xfId="0" applyFont="1" applyFill="1" applyBorder="1" applyAlignment="1">
      <alignment horizontal="center" vertical="center"/>
    </xf>
    <xf numFmtId="0" fontId="2" fillId="16" borderId="1" xfId="0" applyFont="1" applyFill="1" applyBorder="1" applyAlignment="1">
      <alignment horizontal="center" vertical="center"/>
    </xf>
    <xf numFmtId="0" fontId="25" fillId="13" borderId="1" xfId="0" applyFont="1" applyFill="1" applyBorder="1" applyAlignment="1">
      <alignment horizontal="center" vertical="center"/>
    </xf>
    <xf numFmtId="0" fontId="8" fillId="6" borderId="1" xfId="0" applyFont="1" applyFill="1" applyBorder="1" applyAlignment="1">
      <alignment horizontal="left" vertical="center" indent="1"/>
    </xf>
    <xf numFmtId="0" fontId="0" fillId="0" borderId="0" xfId="0"/>
    <xf numFmtId="0" fontId="9" fillId="14" borderId="1" xfId="0" applyFont="1" applyFill="1" applyBorder="1" applyAlignment="1">
      <alignment horizontal="left" vertical="center" indent="1"/>
    </xf>
    <xf numFmtId="0" fontId="0" fillId="14" borderId="2" xfId="0" applyFill="1" applyBorder="1"/>
    <xf numFmtId="0" fontId="0" fillId="14" borderId="3" xfId="0" applyFill="1" applyBorder="1"/>
    <xf numFmtId="0" fontId="23" fillId="15" borderId="0" xfId="0" applyFont="1" applyFill="1" applyAlignment="1">
      <alignment horizontal="center" vertical="center"/>
    </xf>
    <xf numFmtId="0" fontId="3" fillId="4" borderId="1" xfId="0" applyFont="1" applyFill="1" applyBorder="1" applyAlignment="1">
      <alignment horizontal="center" vertical="center"/>
    </xf>
    <xf numFmtId="0" fontId="0" fillId="0" borderId="2" xfId="0" applyBorder="1"/>
    <xf numFmtId="0" fontId="0" fillId="0" borderId="3" xfId="0" applyBorder="1"/>
    <xf numFmtId="0" fontId="9" fillId="13" borderId="1" xfId="0" applyFont="1" applyFill="1" applyBorder="1" applyAlignment="1">
      <alignment horizontal="left" vertical="center" indent="1"/>
    </xf>
    <xf numFmtId="0" fontId="0" fillId="13" borderId="2" xfId="0" applyFill="1" applyBorder="1"/>
    <xf numFmtId="0" fontId="0" fillId="13" borderId="3" xfId="0" applyFill="1" applyBorder="1"/>
    <xf numFmtId="0" fontId="1" fillId="2" borderId="0" xfId="0" applyFont="1" applyFill="1" applyAlignment="1">
      <alignment horizontal="center" vertical="center"/>
    </xf>
    <xf numFmtId="0" fontId="26" fillId="2" borderId="0" xfId="0" applyFont="1" applyFill="1" applyAlignment="1">
      <alignment horizontal="center" vertical="center"/>
    </xf>
    <xf numFmtId="0" fontId="2" fillId="3" borderId="0" xfId="0" applyFont="1" applyFill="1" applyAlignment="1">
      <alignment horizontal="center" vertical="center"/>
    </xf>
    <xf numFmtId="0" fontId="2" fillId="0" borderId="0" xfId="0" applyFont="1" applyAlignment="1">
      <alignment horizontal="center" vertical="center"/>
    </xf>
    <xf numFmtId="0" fontId="3" fillId="7" borderId="1" xfId="0" applyFont="1" applyFill="1" applyBorder="1" applyAlignment="1">
      <alignment horizontal="center" vertical="center"/>
    </xf>
    <xf numFmtId="0" fontId="7" fillId="2" borderId="0" xfId="0" applyFont="1" applyFill="1" applyAlignment="1">
      <alignment horizontal="center" vertical="center"/>
    </xf>
    <xf numFmtId="0" fontId="8" fillId="6" borderId="1" xfId="0" applyFont="1" applyFill="1" applyBorder="1" applyAlignment="1">
      <alignment horizontal="left" vertical="center" wrapText="1" indent="1"/>
    </xf>
    <xf numFmtId="0" fontId="2" fillId="12" borderId="1" xfId="0" applyFont="1" applyFill="1" applyBorder="1" applyAlignment="1">
      <alignment horizontal="left" vertical="center" wrapText="1" indent="1"/>
    </xf>
    <xf numFmtId="0" fontId="12" fillId="2" borderId="0" xfId="0" applyFont="1" applyFill="1"/>
    <xf numFmtId="0" fontId="15" fillId="7" borderId="1" xfId="0" applyFont="1" applyFill="1" applyBorder="1" applyAlignment="1">
      <alignment horizontal="center" vertical="center"/>
    </xf>
    <xf numFmtId="0" fontId="6" fillId="2" borderId="0" xfId="0" applyFont="1" applyFill="1" applyAlignment="1">
      <alignment horizontal="center" vertical="center"/>
    </xf>
    <xf numFmtId="0" fontId="22" fillId="7" borderId="4" xfId="0" applyFont="1" applyFill="1" applyBorder="1" applyAlignment="1">
      <alignment horizontal="center" vertical="center"/>
    </xf>
    <xf numFmtId="0" fontId="20" fillId="7" borderId="4" xfId="0" applyFont="1" applyFill="1" applyBorder="1" applyAlignment="1">
      <alignment horizontal="center" vertical="center"/>
    </xf>
    <xf numFmtId="0" fontId="27" fillId="17" borderId="0" xfId="0" applyFont="1" applyFill="1"/>
    <xf numFmtId="0" fontId="28" fillId="17" borderId="0" xfId="0" applyFont="1" applyFill="1"/>
    <xf numFmtId="14" fontId="0" fillId="0" borderId="0" xfId="0" applyNumberFormat="1"/>
    <xf numFmtId="0" fontId="29" fillId="0" borderId="0" xfId="0" applyFont="1" applyAlignment="1">
      <alignment wrapText="1"/>
    </xf>
    <xf numFmtId="14" fontId="29" fillId="0" borderId="0" xfId="0" applyNumberFormat="1" applyFont="1" applyAlignment="1">
      <alignment wrapText="1"/>
    </xf>
    <xf numFmtId="0" fontId="6" fillId="2" borderId="5" xfId="0" applyFont="1" applyFill="1" applyBorder="1" applyAlignment="1">
      <alignment horizontal="center" vertical="center"/>
    </xf>
  </cellXfs>
  <cellStyles count="1">
    <cellStyle name="Normal" xfId="0" builtinId="0"/>
  </cellStyles>
  <dxfs count="9">
    <dxf>
      <font>
        <b/>
        <strike val="0"/>
        <sz val="11"/>
        <color rgb="FF8B0000"/>
        <name val="Calibri"/>
      </font>
      <fill>
        <patternFill patternType="solid">
          <fgColor rgb="FFFFE0E0"/>
        </patternFill>
      </fill>
    </dxf>
    <dxf>
      <font>
        <b/>
        <strike val="0"/>
        <sz val="11"/>
        <color rgb="FF1B5E20"/>
        <name val="Calibri"/>
      </font>
      <fill>
        <patternFill patternType="solid">
          <fgColor rgb="FFE8F5E9"/>
        </patternFill>
      </fill>
    </dxf>
    <dxf>
      <font>
        <b/>
        <strike val="0"/>
        <sz val="13"/>
        <color rgb="FF8B0000"/>
        <name val="Calibri"/>
      </font>
      <fill>
        <patternFill patternType="solid">
          <fgColor rgb="FFFFE0E0"/>
        </patternFill>
      </fill>
    </dxf>
    <dxf>
      <font>
        <b/>
        <strike val="0"/>
        <sz val="13"/>
        <color rgb="FF7B5200"/>
        <name val="Calibri"/>
      </font>
      <fill>
        <patternFill patternType="solid">
          <fgColor rgb="FFFFEB84"/>
        </patternFill>
      </fill>
    </dxf>
    <dxf>
      <font>
        <b/>
        <strike val="0"/>
        <sz val="13"/>
        <color rgb="FF1B5E20"/>
        <name val="Calibri"/>
      </font>
      <fill>
        <patternFill patternType="solid">
          <fgColor rgb="FFE8F5E9"/>
        </patternFill>
      </fill>
    </dxf>
    <dxf>
      <font>
        <strike val="0"/>
        <sz val="10"/>
        <color rgb="FF8B0000"/>
        <name val="Calibri"/>
      </font>
      <fill>
        <patternFill patternType="solid">
          <fgColor rgb="FFFFE0E0"/>
        </patternFill>
      </fill>
    </dxf>
    <dxf>
      <font>
        <strike val="0"/>
        <sz val="10"/>
        <color rgb="FF2E7D32"/>
        <name val="Calibri"/>
      </font>
      <fill>
        <patternFill patternType="solid">
          <fgColor rgb="FFE8F5E9"/>
        </patternFill>
      </fill>
    </dxf>
    <dxf>
      <font>
        <strike/>
        <sz val="10"/>
        <color rgb="FF666666"/>
        <name val="Calibri"/>
      </font>
      <fill>
        <patternFill patternType="solid">
          <fgColor rgb="FFE8F5E9"/>
        </patternFill>
      </fill>
    </dxf>
    <dxf>
      <font>
        <strike val="0"/>
        <sz val="10"/>
        <color rgb="FF8B0000"/>
        <name val="Calibri"/>
      </font>
      <fill>
        <patternFill patternType="solid">
          <fgColor rgb="FFFFE0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Évaluation Buddy</a:t>
            </a:r>
          </a:p>
        </c:rich>
      </c:tx>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radarChart>
        <c:radarStyle val="filled"/>
        <c:varyColors val="1"/>
        <c:ser>
          <c:idx val="0"/>
          <c:order val="0"/>
          <c:tx>
            <c:strRef>
              <c:f>'05_BUDDY'!$C$21</c:f>
              <c:strCache>
                <c:ptCount val="1"/>
                <c:pt idx="0">
                  <c:v>Moy. /5</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'05_BUDDY'!$B$22:$B$25</c:f>
              <c:strCache>
                <c:ptCount val="4"/>
                <c:pt idx="0">
                  <c:v>Écoute</c:v>
                </c:pt>
                <c:pt idx="1">
                  <c:v>Disponibilité</c:v>
                </c:pt>
                <c:pt idx="2">
                  <c:v>Pédagogie</c:v>
                </c:pt>
                <c:pt idx="3">
                  <c:v>Technique</c:v>
                </c:pt>
              </c:strCache>
            </c:strRef>
          </c:cat>
          <c:val>
            <c:numRef>
              <c:f>'05_BUDDY'!$C$22:$C$25</c:f>
              <c:numCache>
                <c:formatCode>0.0</c:formatCode>
                <c:ptCount val="4"/>
                <c:pt idx="0">
                  <c:v>0</c:v>
                </c:pt>
                <c:pt idx="1">
                  <c:v>0</c:v>
                </c:pt>
                <c:pt idx="2">
                  <c:v>0</c:v>
                </c:pt>
                <c:pt idx="3">
                  <c:v>0</c:v>
                </c:pt>
              </c:numCache>
            </c:numRef>
          </c:val>
          <c:extLst>
            <c:ext xmlns:c16="http://schemas.microsoft.com/office/drawing/2014/chart" uri="{C3380CC4-5D6E-409C-BE32-E72D297353CC}">
              <c16:uniqueId val="{00000000-DE33-4431-B7AB-45D6ABCF7042}"/>
            </c:ext>
          </c:extLst>
        </c:ser>
        <c:dLbls>
          <c:showLegendKey val="0"/>
          <c:showVal val="0"/>
          <c:showCatName val="0"/>
          <c:showSerName val="0"/>
          <c:showPercent val="0"/>
          <c:showBubbleSize val="0"/>
        </c:dLbls>
        <c:axId val="10"/>
        <c:axId val="100"/>
      </c:radarChart>
      <c:catAx>
        <c:axId val="1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0"/>
        <c:crosses val="autoZero"/>
        <c:auto val="1"/>
        <c:lblAlgn val="ctr"/>
        <c:lblOffset val="100"/>
        <c:noMultiLvlLbl val="1"/>
      </c:catAx>
      <c:valAx>
        <c:axId val="100"/>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10"/>
  <c:chart>
    <c:title>
      <c:tx>
        <c:rich>
          <a:bodyPr/>
          <a:lstStyle/>
          <a:p>
            <a:pPr>
              <a:defRPr/>
            </a:pPr>
            <a:r>
              <a:rPr lang="fr-FR"/>
              <a:t>Évolution Score Moyen (/10)</a:t>
            </a:r>
          </a:p>
        </c:rich>
      </c:tx>
      <c:overlay val="1"/>
    </c:title>
    <c:autoTitleDeleted val="0"/>
    <c:plotArea>
      <c:layout/>
      <c:lineChart>
        <c:grouping val="standard"/>
        <c:varyColors val="1"/>
        <c:ser>
          <c:idx val="0"/>
          <c:order val="0"/>
          <c:tx>
            <c:strRef>
              <c:f>'06_EVALUATIONS'!$C$17</c:f>
              <c:strCache>
                <c:ptCount val="1"/>
                <c:pt idx="0">
                  <c:v>Score moyen</c:v>
                </c:pt>
              </c:strCache>
            </c:strRef>
          </c:tx>
          <c:spPr>
            <a:ln>
              <a:prstDash val="solid"/>
            </a:ln>
          </c:spPr>
          <c:marker>
            <c:symbol val="none"/>
          </c:marker>
          <c:cat>
            <c:strRef>
              <c:f>'06_EVALUATIONS'!$B$18:$B$22</c:f>
              <c:strCache>
                <c:ptCount val="5"/>
                <c:pt idx="0">
                  <c:v>J+30</c:v>
                </c:pt>
                <c:pt idx="1">
                  <c:v>J+60</c:v>
                </c:pt>
                <c:pt idx="2">
                  <c:v>J+90</c:v>
                </c:pt>
                <c:pt idx="3">
                  <c:v>J+180</c:v>
                </c:pt>
                <c:pt idx="4">
                  <c:v>J+365</c:v>
                </c:pt>
              </c:strCache>
            </c:strRef>
          </c:cat>
          <c:val>
            <c:numRef>
              <c:f>'06_EVALUATIONS'!$C$18:$C$22</c:f>
              <c:numCache>
                <c:formatCode>0.0</c:formatCode>
                <c:ptCount val="5"/>
                <c:pt idx="0">
                  <c:v>0</c:v>
                </c:pt>
                <c:pt idx="1">
                  <c:v>0</c:v>
                </c:pt>
                <c:pt idx="2">
                  <c:v>0</c:v>
                </c:pt>
                <c:pt idx="3">
                  <c:v>0</c:v>
                </c:pt>
                <c:pt idx="4">
                  <c:v>0</c:v>
                </c:pt>
              </c:numCache>
            </c:numRef>
          </c:val>
          <c:smooth val="1"/>
          <c:extLst>
            <c:ext xmlns:c16="http://schemas.microsoft.com/office/drawing/2014/chart" uri="{C3380CC4-5D6E-409C-BE32-E72D297353CC}">
              <c16:uniqueId val="{00000000-3331-4D44-AF7D-9EB644D8E21B}"/>
            </c:ext>
          </c:extLst>
        </c:ser>
        <c:ser>
          <c:idx val="1"/>
          <c:order val="1"/>
          <c:tx>
            <c:strRef>
              <c:f>'06_EVALUATIONS'!$D$17</c:f>
              <c:strCache>
                <c:ptCount val="1"/>
                <c:pt idx="0">
                  <c:v>Seuil (5)</c:v>
                </c:pt>
              </c:strCache>
            </c:strRef>
          </c:tx>
          <c:spPr>
            <a:ln>
              <a:prstDash val="solid"/>
            </a:ln>
          </c:spPr>
          <c:marker>
            <c:symbol val="none"/>
          </c:marker>
          <c:val>
            <c:numRef>
              <c:f>'06_EVALUATIONS'!$D$18:$D$22</c:f>
              <c:numCache>
                <c:formatCode>General</c:formatCode>
                <c:ptCount val="5"/>
                <c:pt idx="0">
                  <c:v>5</c:v>
                </c:pt>
                <c:pt idx="1">
                  <c:v>5</c:v>
                </c:pt>
                <c:pt idx="2">
                  <c:v>5</c:v>
                </c:pt>
                <c:pt idx="3">
                  <c:v>5</c:v>
                </c:pt>
                <c:pt idx="4">
                  <c:v>5</c:v>
                </c:pt>
              </c:numCache>
            </c:numRef>
          </c:val>
          <c:smooth val="1"/>
          <c:extLst>
            <c:ext xmlns:c16="http://schemas.microsoft.com/office/drawing/2014/chart" uri="{C3380CC4-5D6E-409C-BE32-E72D297353CC}">
              <c16:uniqueId val="{00000001-3331-4D44-AF7D-9EB644D8E21B}"/>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fr-FR"/>
                  <a:t>Période d'évaluation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10"/>
          <c:min val="0"/>
        </c:scaling>
        <c:delete val="1"/>
        <c:axPos val="l"/>
        <c:majorGridlines/>
        <c:title>
          <c:tx>
            <c:rich>
              <a:bodyPr/>
              <a:lstStyle/>
              <a:p>
                <a:pPr>
                  <a:defRPr/>
                </a:pPr>
                <a:r>
                  <a:rPr lang="fr-FR"/>
                  <a:t>Score /10</a:t>
                </a:r>
              </a:p>
            </c:rich>
          </c:tx>
          <c:overlay val="1"/>
        </c:title>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0</xdr:col>
      <xdr:colOff>190499</xdr:colOff>
      <xdr:row>17</xdr:row>
      <xdr:rowOff>266700</xdr:rowOff>
    </xdr:from>
    <xdr:ext cx="3343275" cy="2162175"/>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5</xdr:col>
      <xdr:colOff>0</xdr:colOff>
      <xdr:row>15</xdr:row>
      <xdr:rowOff>0</xdr:rowOff>
    </xdr:from>
    <xdr:ext cx="6480000" cy="360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82BD338-A0A7-484F-9C7C-55081C4F0109}">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9C1C6-6AE4-4589-8E0F-861F466252D7}">
  <dimension ref="A1:F10"/>
  <sheetViews>
    <sheetView workbookViewId="0"/>
  </sheetViews>
  <sheetFormatPr baseColWidth="10" defaultRowHeight="15" x14ac:dyDescent="0.25"/>
  <cols>
    <col min="1" max="1" width="10.42578125" customWidth="1"/>
    <col min="2" max="2" width="15.28515625" customWidth="1"/>
    <col min="3" max="3" width="41.85546875" customWidth="1"/>
    <col min="4" max="4" width="34.28515625" customWidth="1"/>
    <col min="5" max="5" width="53.28515625" customWidth="1"/>
    <col min="6" max="6" width="38.140625" customWidth="1"/>
  </cols>
  <sheetData>
    <row r="1" spans="1:6" x14ac:dyDescent="0.25">
      <c r="A1" s="117" t="s">
        <v>409</v>
      </c>
      <c r="B1" s="117" t="s">
        <v>360</v>
      </c>
      <c r="C1" s="117" t="s">
        <v>410</v>
      </c>
      <c r="D1" s="117" t="s">
        <v>411</v>
      </c>
      <c r="E1" s="117" t="s">
        <v>412</v>
      </c>
      <c r="F1" s="117" t="s">
        <v>400</v>
      </c>
    </row>
    <row r="2" spans="1:6" ht="80.099999999999994" customHeight="1" x14ac:dyDescent="0.25">
      <c r="A2" s="119">
        <v>1</v>
      </c>
      <c r="B2" s="120">
        <v>46113</v>
      </c>
      <c r="C2" s="119" t="s">
        <v>413</v>
      </c>
      <c r="D2" s="119" t="s">
        <v>414</v>
      </c>
      <c r="E2" s="119" t="s">
        <v>415</v>
      </c>
      <c r="F2" s="119" t="s">
        <v>416</v>
      </c>
    </row>
    <row r="3" spans="1:6" x14ac:dyDescent="0.25">
      <c r="A3">
        <v>2</v>
      </c>
      <c r="B3" s="118">
        <v>46113</v>
      </c>
      <c r="C3" t="s">
        <v>417</v>
      </c>
      <c r="D3" t="s">
        <v>418</v>
      </c>
      <c r="E3" t="s">
        <v>419</v>
      </c>
      <c r="F3" t="s">
        <v>420</v>
      </c>
    </row>
    <row r="4" spans="1:6" x14ac:dyDescent="0.25">
      <c r="A4">
        <v>3</v>
      </c>
      <c r="B4" s="118">
        <v>46113</v>
      </c>
      <c r="C4" t="s">
        <v>421</v>
      </c>
      <c r="D4" t="s">
        <v>422</v>
      </c>
      <c r="E4" t="s">
        <v>423</v>
      </c>
      <c r="F4" t="s">
        <v>424</v>
      </c>
    </row>
    <row r="5" spans="1:6" x14ac:dyDescent="0.25">
      <c r="A5">
        <v>4</v>
      </c>
      <c r="B5" s="118">
        <v>46113</v>
      </c>
      <c r="C5" t="s">
        <v>427</v>
      </c>
      <c r="D5" t="s">
        <v>428</v>
      </c>
      <c r="E5" t="s">
        <v>429</v>
      </c>
      <c r="F5" t="s">
        <v>430</v>
      </c>
    </row>
    <row r="6" spans="1:6" x14ac:dyDescent="0.25">
      <c r="A6">
        <v>5</v>
      </c>
      <c r="B6" s="118">
        <v>46113</v>
      </c>
      <c r="C6" t="s">
        <v>552</v>
      </c>
      <c r="D6" t="s">
        <v>553</v>
      </c>
      <c r="E6" t="s">
        <v>554</v>
      </c>
      <c r="F6" t="s">
        <v>555</v>
      </c>
    </row>
    <row r="7" spans="1:6" x14ac:dyDescent="0.25">
      <c r="A7">
        <v>6</v>
      </c>
      <c r="B7" s="118">
        <v>46113</v>
      </c>
      <c r="C7" t="s">
        <v>556</v>
      </c>
      <c r="D7" t="s">
        <v>557</v>
      </c>
      <c r="E7" t="s">
        <v>558</v>
      </c>
      <c r="F7" t="s">
        <v>559</v>
      </c>
    </row>
    <row r="8" spans="1:6" x14ac:dyDescent="0.25">
      <c r="A8">
        <v>7</v>
      </c>
      <c r="B8" s="118">
        <v>46113</v>
      </c>
      <c r="C8" t="s">
        <v>561</v>
      </c>
      <c r="D8" t="s">
        <v>562</v>
      </c>
      <c r="E8" t="s">
        <v>563</v>
      </c>
      <c r="F8" t="s">
        <v>564</v>
      </c>
    </row>
    <row r="9" spans="1:6" x14ac:dyDescent="0.25">
      <c r="A9">
        <v>8</v>
      </c>
      <c r="B9" s="118">
        <v>46113</v>
      </c>
      <c r="C9" t="s">
        <v>567</v>
      </c>
      <c r="D9" t="s">
        <v>568</v>
      </c>
      <c r="E9" t="s">
        <v>569</v>
      </c>
      <c r="F9" t="s">
        <v>570</v>
      </c>
    </row>
    <row r="10" spans="1:6" x14ac:dyDescent="0.25">
      <c r="A10">
        <v>9</v>
      </c>
      <c r="B10" s="118">
        <v>46113</v>
      </c>
      <c r="C10" t="s">
        <v>572</v>
      </c>
      <c r="D10" t="s">
        <v>573</v>
      </c>
      <c r="E10" t="s">
        <v>574</v>
      </c>
      <c r="F10" t="s">
        <v>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1A2E"/>
  </sheetPr>
  <dimension ref="B1:D24"/>
  <sheetViews>
    <sheetView showGridLines="0" workbookViewId="0">
      <selection activeCell="C8" sqref="C8"/>
    </sheetView>
  </sheetViews>
  <sheetFormatPr baseColWidth="10" defaultColWidth="9.140625" defaultRowHeight="15" x14ac:dyDescent="0.25"/>
  <cols>
    <col min="1" max="1" width="3" customWidth="1"/>
    <col min="2" max="3" width="30" customWidth="1"/>
    <col min="4" max="4" width="22" customWidth="1"/>
    <col min="26" max="26" width="0" hidden="1" customWidth="1"/>
  </cols>
  <sheetData>
    <row r="1" spans="2:4" ht="6" customHeight="1" x14ac:dyDescent="0.25"/>
    <row r="2" spans="2:4" ht="32.1" customHeight="1" x14ac:dyDescent="0.25">
      <c r="B2" s="103" t="s">
        <v>35</v>
      </c>
      <c r="C2" s="92"/>
      <c r="D2" s="92"/>
    </row>
    <row r="3" spans="2:4" ht="18" customHeight="1" x14ac:dyDescent="0.25">
      <c r="B3" s="105" t="s">
        <v>36</v>
      </c>
      <c r="C3" s="92"/>
      <c r="D3" s="92"/>
    </row>
    <row r="5" spans="2:4" ht="21.95" customHeight="1" x14ac:dyDescent="0.25">
      <c r="B5" s="97" t="s">
        <v>37</v>
      </c>
      <c r="C5" s="98"/>
      <c r="D5" s="99"/>
    </row>
    <row r="6" spans="2:4" ht="20.100000000000001" customHeight="1" x14ac:dyDescent="0.25">
      <c r="B6" s="1" t="s">
        <v>7</v>
      </c>
      <c r="C6" s="2" t="s">
        <v>200</v>
      </c>
      <c r="D6" s="3" t="s">
        <v>38</v>
      </c>
    </row>
    <row r="7" spans="2:4" ht="20.100000000000001" customHeight="1" x14ac:dyDescent="0.25">
      <c r="B7" s="1" t="s">
        <v>39</v>
      </c>
      <c r="C7" s="2" t="s">
        <v>425</v>
      </c>
      <c r="D7" s="3" t="s">
        <v>40</v>
      </c>
    </row>
    <row r="8" spans="2:4" ht="20.100000000000001" customHeight="1" x14ac:dyDescent="0.25">
      <c r="B8" s="1" t="s">
        <v>41</v>
      </c>
      <c r="C8" s="2" t="s">
        <v>514</v>
      </c>
      <c r="D8" s="3" t="s">
        <v>551</v>
      </c>
    </row>
    <row r="9" spans="2:4" ht="20.100000000000001" customHeight="1" x14ac:dyDescent="0.25">
      <c r="B9" s="1" t="s">
        <v>9</v>
      </c>
      <c r="C9" s="2" t="s">
        <v>438</v>
      </c>
      <c r="D9" s="3" t="s">
        <v>38</v>
      </c>
    </row>
    <row r="10" spans="2:4" ht="20.100000000000001" customHeight="1" x14ac:dyDescent="0.25">
      <c r="B10" s="1" t="s">
        <v>42</v>
      </c>
      <c r="C10" s="2" t="s">
        <v>566</v>
      </c>
      <c r="D10" s="3" t="s">
        <v>43</v>
      </c>
    </row>
    <row r="11" spans="2:4" ht="20.100000000000001" customHeight="1" x14ac:dyDescent="0.25">
      <c r="B11" s="1" t="s">
        <v>44</v>
      </c>
      <c r="C11" s="2"/>
      <c r="D11" s="3" t="s">
        <v>45</v>
      </c>
    </row>
    <row r="12" spans="2:4" ht="20.100000000000001" customHeight="1" x14ac:dyDescent="0.25">
      <c r="B12" s="1" t="s">
        <v>11</v>
      </c>
      <c r="C12" s="2"/>
      <c r="D12" s="3" t="s">
        <v>46</v>
      </c>
    </row>
    <row r="13" spans="2:4" ht="20.100000000000001" customHeight="1" x14ac:dyDescent="0.25">
      <c r="B13" s="1" t="s">
        <v>47</v>
      </c>
      <c r="C13" s="2"/>
      <c r="D13" s="3" t="s">
        <v>48</v>
      </c>
    </row>
    <row r="16" spans="2:4" ht="21.95" customHeight="1" x14ac:dyDescent="0.25">
      <c r="B16" s="97" t="s">
        <v>49</v>
      </c>
      <c r="C16" s="98"/>
      <c r="D16" s="99"/>
    </row>
    <row r="17" spans="2:4" ht="20.100000000000001" customHeight="1" x14ac:dyDescent="0.25">
      <c r="B17" s="1" t="s">
        <v>50</v>
      </c>
      <c r="C17" s="4">
        <v>46113</v>
      </c>
    </row>
    <row r="18" spans="2:4" ht="20.100000000000001" customHeight="1" x14ac:dyDescent="0.25">
      <c r="B18" s="1" t="s">
        <v>51</v>
      </c>
      <c r="C18" s="5">
        <f>IF(C10&lt;="N3",90,120)</f>
        <v>90</v>
      </c>
    </row>
    <row r="19" spans="2:4" ht="20.100000000000001" customHeight="1" x14ac:dyDescent="0.25">
      <c r="B19" s="1" t="s">
        <v>52</v>
      </c>
      <c r="C19" s="6">
        <f>IF(C17="","",C17+C18)</f>
        <v>46203</v>
      </c>
    </row>
    <row r="20" spans="2:4" ht="20.100000000000001" customHeight="1" x14ac:dyDescent="0.25">
      <c r="B20" s="1" t="s">
        <v>53</v>
      </c>
      <c r="C20" s="7" t="s">
        <v>431</v>
      </c>
    </row>
    <row r="21" spans="2:4" ht="20.100000000000001" customHeight="1" x14ac:dyDescent="0.25">
      <c r="B21" s="1" t="s">
        <v>54</v>
      </c>
      <c r="C21" s="7" t="s">
        <v>565</v>
      </c>
    </row>
    <row r="24" spans="2:4" x14ac:dyDescent="0.25">
      <c r="B24" s="106" t="s">
        <v>55</v>
      </c>
      <c r="C24" s="92"/>
      <c r="D24" s="92"/>
    </row>
  </sheetData>
  <mergeCells count="5">
    <mergeCell ref="B3:D3"/>
    <mergeCell ref="B5:D5"/>
    <mergeCell ref="B2:D2"/>
    <mergeCell ref="B24:D24"/>
    <mergeCell ref="B16:D16"/>
  </mergeCells>
  <dataValidations count="5">
    <dataValidation type="list" allowBlank="1" sqref="C6" xr:uid="{00000000-0002-0000-0000-000000000000}">
      <formula1>"Hermès,Louis Vuitton,Chanel,Dior,Cartier,Van Cleef &amp; Arpels,Bulgari,Givenchy,Céline,Balenciaga,Saint Laurent,Bottega Veneta"</formula1>
    </dataValidation>
    <dataValidation type="list" allowBlank="1" sqref="C9" xr:uid="{00000000-0002-0000-0000-000001000000}">
      <formula1>"Maroquinerie,Sellerie,Orfèvrerie,Joaillerie,Couture,Chapellerie,Botterie,Ganterie,Soierie,Parfumerie,Horlogerie"</formula1>
    </dataValidation>
    <dataValidation type="list" allowBlank="1" sqref="C10" xr:uid="{00000000-0002-0000-0000-000002000000}">
      <formula1>"N1,N2,N3,N4,N5"</formula1>
    </dataValidation>
    <dataValidation type="list" allowBlank="1" sqref="C20" xr:uid="{00000000-0002-0000-0000-000003000000}">
      <formula1>"Oui,Non"</formula1>
    </dataValidation>
    <dataValidation type="list" allowBlank="1" sqref="C21" xr:uid="{00000000-0002-0000-0000-000004000000}">
      <formula1>"CDI,CDD,Apprentissage,Stage"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Poste non listé" error="Poste hors liste standard. Saisie libre autorisée si nécessaire." promptTitle="Poste / Fonction" prompt="Liste adaptée au métier sélectionné en C9. Saisie libre autorisée." xr:uid="{FE15CD2F-FFAB-4A5D-858E-68050B7489C0}">
          <x14:formula1>
            <xm:f>_REF_POSTES!$M$2:$M$11</xm:f>
          </x14:formula1>
          <xm:sqref>C8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4AF37"/>
  </sheetPr>
  <dimension ref="B1:H40"/>
  <sheetViews>
    <sheetView showGridLines="0" workbookViewId="0">
      <pane xSplit="1" ySplit="5" topLeftCell="B6" activePane="bottomRight" state="frozen"/>
      <selection pane="topRight"/>
      <selection pane="bottomLeft"/>
      <selection pane="bottomRight" activeCell="B3" sqref="B3:G3"/>
    </sheetView>
  </sheetViews>
  <sheetFormatPr baseColWidth="10" defaultColWidth="9.140625" defaultRowHeight="15" x14ac:dyDescent="0.25"/>
  <cols>
    <col min="1" max="1" width="3" customWidth="1"/>
    <col min="2" max="2" width="10" customWidth="1"/>
    <col min="3" max="3" width="40" customWidth="1"/>
    <col min="4" max="4" width="16" customWidth="1"/>
    <col min="5" max="5" width="26.85546875" customWidth="1"/>
    <col min="6" max="6" width="8" customWidth="1"/>
    <col min="7" max="7" width="20" customWidth="1"/>
    <col min="8" max="8" width="16.5703125" customWidth="1"/>
  </cols>
  <sheetData>
    <row r="1" spans="2:7" ht="6" customHeight="1" x14ac:dyDescent="0.25"/>
    <row r="2" spans="2:7" ht="32.1" customHeight="1" x14ac:dyDescent="0.25">
      <c r="B2" s="103" t="s">
        <v>56</v>
      </c>
      <c r="C2" s="92"/>
      <c r="D2" s="92"/>
      <c r="E2" s="92"/>
      <c r="F2" s="92"/>
      <c r="G2" s="92"/>
    </row>
    <row r="3" spans="2:7" ht="20.100000000000001" customHeight="1" x14ac:dyDescent="0.25">
      <c r="B3" s="107" t="str">
        <f>IFERROR("Avancement : "&amp;TEXT(COUNTIF(F6:F60,"☑")/(COUNTIF(F6:F60,"☑")+COUNTIF(F6:F60,"☐")),"0%")&amp;" ("&amp;COUNTIF(F6:F60,"☑")&amp;"/"&amp;(COUNTIF(F6:F60,"☑")+COUNTIF(F6:F60,"☐"))&amp;" actions complétées)","Aucune action saisie")</f>
        <v>Avancement : 0% (0/26 actions complétées)</v>
      </c>
      <c r="C3" s="92"/>
      <c r="D3" s="92"/>
      <c r="E3" s="92"/>
      <c r="F3" s="92"/>
      <c r="G3" s="92"/>
    </row>
    <row r="5" spans="2:7" ht="21.95" customHeight="1" x14ac:dyDescent="0.25">
      <c r="B5" s="9" t="s">
        <v>57</v>
      </c>
      <c r="C5" s="9" t="s">
        <v>58</v>
      </c>
      <c r="D5" s="9" t="s">
        <v>59</v>
      </c>
      <c r="E5" s="9" t="s">
        <v>60</v>
      </c>
      <c r="F5" s="9" t="s">
        <v>61</v>
      </c>
      <c r="G5" s="9" t="s">
        <v>62</v>
      </c>
    </row>
    <row r="6" spans="2:7" ht="20.100000000000001" customHeight="1" x14ac:dyDescent="0.25">
      <c r="B6" s="108" t="s">
        <v>63</v>
      </c>
      <c r="C6" s="92"/>
      <c r="D6" s="92"/>
      <c r="E6" s="92"/>
      <c r="F6" s="92"/>
      <c r="G6" s="92"/>
    </row>
    <row r="7" spans="2:7" ht="18" customHeight="1" x14ac:dyDescent="0.25">
      <c r="B7" s="10" t="s">
        <v>64</v>
      </c>
      <c r="C7" s="11" t="s">
        <v>65</v>
      </c>
      <c r="D7" s="12" t="s">
        <v>66</v>
      </c>
      <c r="E7" s="13" t="str">
        <f>IF('01_PARAMETRES'!$C$17="","—",TEXT('01_PARAMETRES'!$C$17-30,"jj/mm/aa"))</f>
        <v>02/03/26</v>
      </c>
      <c r="F7" s="14" t="s">
        <v>67</v>
      </c>
      <c r="G7" s="15" t="str">
        <f ca="1">IF(AND(F7="☐",'01_PARAMETRES'!$C$17+-30&lt;TODAY()),"⚠️ En retard","")</f>
        <v>⚠️ En retard</v>
      </c>
    </row>
    <row r="8" spans="2:7" ht="18" customHeight="1" x14ac:dyDescent="0.25">
      <c r="B8" s="10" t="s">
        <v>68</v>
      </c>
      <c r="C8" s="11" t="s">
        <v>69</v>
      </c>
      <c r="D8" s="12" t="s">
        <v>70</v>
      </c>
      <c r="E8" s="13" t="str">
        <f>IF('01_PARAMETRES'!$C$17="","—",TEXT('01_PARAMETRES'!$C$17-21,"jj/mm/aa"))</f>
        <v>11/03/26</v>
      </c>
      <c r="F8" s="14" t="s">
        <v>67</v>
      </c>
      <c r="G8" s="15" t="str">
        <f ca="1">IF(AND(F8="☐",'01_PARAMETRES'!$C$17+-21&lt;TODAY()),"⚠️ En retard","")</f>
        <v>⚠️ En retard</v>
      </c>
    </row>
    <row r="9" spans="2:7" ht="18" customHeight="1" x14ac:dyDescent="0.25">
      <c r="B9" s="10" t="s">
        <v>71</v>
      </c>
      <c r="C9" s="11" t="s">
        <v>72</v>
      </c>
      <c r="D9" s="12" t="s">
        <v>73</v>
      </c>
      <c r="E9" s="13" t="str">
        <f>IF('01_PARAMETRES'!$C$17="","—",TEXT('01_PARAMETRES'!$C$17-14,"jj/mm/aa"))</f>
        <v>18/03/26</v>
      </c>
      <c r="F9" s="14" t="s">
        <v>67</v>
      </c>
      <c r="G9" s="15" t="str">
        <f ca="1">IF(AND(F9="☐",'01_PARAMETRES'!$C$17+-14&lt;TODAY()),"⚠️ En retard","")</f>
        <v>⚠️ En retard</v>
      </c>
    </row>
    <row r="10" spans="2:7" ht="18" customHeight="1" x14ac:dyDescent="0.25">
      <c r="B10" s="10" t="s">
        <v>74</v>
      </c>
      <c r="C10" s="11" t="s">
        <v>75</v>
      </c>
      <c r="D10" s="12" t="s">
        <v>11</v>
      </c>
      <c r="E10" s="13" t="str">
        <f>IF('01_PARAMETRES'!$C$17="","—",TEXT('01_PARAMETRES'!$C$17-7,"jj/mm/aa"))</f>
        <v>25/03/26</v>
      </c>
      <c r="F10" s="14" t="s">
        <v>67</v>
      </c>
      <c r="G10" s="15" t="str">
        <f ca="1">IF(AND(F10="☐",'01_PARAMETRES'!$C$17+-7&lt;TODAY()),"⚠️ En retard","")</f>
        <v>⚠️ En retard</v>
      </c>
    </row>
    <row r="11" spans="2:7" ht="18" customHeight="1" x14ac:dyDescent="0.25">
      <c r="B11" s="10" t="s">
        <v>76</v>
      </c>
      <c r="C11" s="11" t="s">
        <v>77</v>
      </c>
      <c r="D11" s="12" t="s">
        <v>66</v>
      </c>
      <c r="E11" s="13" t="str">
        <f>IF('01_PARAMETRES'!$C$17="","—",TEXT('01_PARAMETRES'!$C$17-3,"jj/mm/aa"))</f>
        <v>29/03/26</v>
      </c>
      <c r="F11" s="14" t="s">
        <v>67</v>
      </c>
      <c r="G11" s="15" t="str">
        <f ca="1">IF(AND(F11="☐",'01_PARAMETRES'!$C$17+-3&lt;TODAY()),"⚠️ En retard","")</f>
        <v>⚠️ En retard</v>
      </c>
    </row>
    <row r="12" spans="2:7" ht="20.100000000000001" customHeight="1" x14ac:dyDescent="0.25">
      <c r="B12" s="108" t="s">
        <v>78</v>
      </c>
      <c r="C12" s="92"/>
      <c r="D12" s="92"/>
      <c r="E12" s="92"/>
      <c r="F12" s="92"/>
      <c r="G12" s="92"/>
    </row>
    <row r="13" spans="2:7" ht="18" customHeight="1" x14ac:dyDescent="0.25">
      <c r="B13" s="16" t="s">
        <v>79</v>
      </c>
      <c r="C13" s="17" t="s">
        <v>80</v>
      </c>
      <c r="D13" s="18" t="s">
        <v>66</v>
      </c>
      <c r="E13" s="19" t="str">
        <f>IF('01_PARAMETRES'!$C$17="","—",TEXT('01_PARAMETRES'!$C$17+1,"jj/mm/aa"))</f>
        <v>02/04/26</v>
      </c>
      <c r="F13" s="20" t="s">
        <v>67</v>
      </c>
      <c r="G13" s="21" t="str">
        <f ca="1">IF(AND(F13="☐",'01_PARAMETRES'!$C$17+1&lt;TODAY()),"⚠️ En retard","")</f>
        <v/>
      </c>
    </row>
    <row r="14" spans="2:7" ht="18" customHeight="1" x14ac:dyDescent="0.25">
      <c r="B14" s="16" t="s">
        <v>79</v>
      </c>
      <c r="C14" s="17" t="s">
        <v>81</v>
      </c>
      <c r="D14" s="18" t="s">
        <v>12</v>
      </c>
      <c r="E14" s="19" t="str">
        <f>IF('01_PARAMETRES'!$C$17="","—",TEXT('01_PARAMETRES'!$C$17+1,"jj/mm/aa"))</f>
        <v>02/04/26</v>
      </c>
      <c r="F14" s="20" t="s">
        <v>67</v>
      </c>
      <c r="G14" s="21" t="str">
        <f ca="1">IF(AND(F14="☐",'01_PARAMETRES'!$C$17+1&lt;TODAY()),"⚠️ En retard","")</f>
        <v/>
      </c>
    </row>
    <row r="15" spans="2:7" ht="18" customHeight="1" x14ac:dyDescent="0.25">
      <c r="B15" s="16" t="s">
        <v>82</v>
      </c>
      <c r="C15" s="17" t="s">
        <v>83</v>
      </c>
      <c r="D15" s="18" t="s">
        <v>84</v>
      </c>
      <c r="E15" s="19" t="str">
        <f>IF('01_PARAMETRES'!$C$17="","—",TEXT('01_PARAMETRES'!$C$17+2,"jj/mm/aa"))</f>
        <v>03/04/26</v>
      </c>
      <c r="F15" s="20" t="s">
        <v>67</v>
      </c>
      <c r="G15" s="21" t="str">
        <f ca="1">IF(AND(F15="☐",'01_PARAMETRES'!$C$17+2&lt;TODAY()),"⚠️ En retard","")</f>
        <v/>
      </c>
    </row>
    <row r="16" spans="2:7" ht="18" customHeight="1" x14ac:dyDescent="0.25">
      <c r="B16" s="16" t="s">
        <v>85</v>
      </c>
      <c r="C16" s="17" t="s">
        <v>86</v>
      </c>
      <c r="D16" s="18" t="s">
        <v>87</v>
      </c>
      <c r="E16" s="19" t="str">
        <f>IF('01_PARAMETRES'!$C$17="","—",TEXT('01_PARAMETRES'!$C$17+3,"jj/mm/aa"))</f>
        <v>04/04/26</v>
      </c>
      <c r="F16" s="20" t="s">
        <v>67</v>
      </c>
      <c r="G16" s="21" t="str">
        <f ca="1">IF(AND(F16="☐",'01_PARAMETRES'!$C$17+3&lt;TODAY()),"⚠️ En retard","")</f>
        <v/>
      </c>
    </row>
    <row r="17" spans="2:7" ht="18" customHeight="1" x14ac:dyDescent="0.25">
      <c r="B17" s="16" t="s">
        <v>88</v>
      </c>
      <c r="C17" s="17" t="s">
        <v>89</v>
      </c>
      <c r="D17" s="18" t="s">
        <v>90</v>
      </c>
      <c r="E17" s="19" t="str">
        <f>IF('01_PARAMETRES'!$C$17="","—",TEXT('01_PARAMETRES'!$C$17+4,"jj/mm/aa"))</f>
        <v>05/04/26</v>
      </c>
      <c r="F17" s="20" t="s">
        <v>67</v>
      </c>
      <c r="G17" s="21" t="str">
        <f ca="1">IF(AND(F17="☐",'01_PARAMETRES'!$C$17+4&lt;TODAY()),"⚠️ En retard","")</f>
        <v/>
      </c>
    </row>
    <row r="18" spans="2:7" ht="18" customHeight="1" x14ac:dyDescent="0.25">
      <c r="B18" s="16" t="s">
        <v>91</v>
      </c>
      <c r="C18" s="17" t="s">
        <v>92</v>
      </c>
      <c r="D18" s="18" t="s">
        <v>93</v>
      </c>
      <c r="E18" s="19" t="str">
        <f>IF('01_PARAMETRES'!$C$17="","—",TEXT('01_PARAMETRES'!$C$17+5,"jj/mm/aa"))</f>
        <v>06/04/26</v>
      </c>
      <c r="F18" s="20" t="s">
        <v>67</v>
      </c>
      <c r="G18" s="21" t="str">
        <f ca="1">IF(AND(F18="☐",'01_PARAMETRES'!$C$17+5&lt;TODAY()),"⚠️ En retard","")</f>
        <v/>
      </c>
    </row>
    <row r="19" spans="2:7" ht="20.100000000000001" customHeight="1" x14ac:dyDescent="0.25">
      <c r="B19" s="108" t="s">
        <v>94</v>
      </c>
      <c r="C19" s="92"/>
      <c r="D19" s="92"/>
      <c r="E19" s="92"/>
      <c r="F19" s="92"/>
      <c r="G19" s="92"/>
    </row>
    <row r="20" spans="2:7" ht="18" customHeight="1" x14ac:dyDescent="0.25">
      <c r="B20" s="22" t="s">
        <v>95</v>
      </c>
      <c r="C20" s="23" t="s">
        <v>96</v>
      </c>
      <c r="D20" s="24" t="s">
        <v>97</v>
      </c>
      <c r="E20" s="25" t="str">
        <f>IF('01_PARAMETRES'!$C$17="","—",TEXT('01_PARAMETRES'!$C$17+8,"jj/mm/aa"))</f>
        <v>09/04/26</v>
      </c>
      <c r="F20" s="26" t="s">
        <v>67</v>
      </c>
      <c r="G20" s="27" t="str">
        <f ca="1">IF(AND(F20="☐",'01_PARAMETRES'!$C$17+8&lt;TODAY()),"⚠️ En retard","")</f>
        <v/>
      </c>
    </row>
    <row r="21" spans="2:7" ht="18" customHeight="1" x14ac:dyDescent="0.25">
      <c r="B21" s="22" t="s">
        <v>98</v>
      </c>
      <c r="C21" s="23" t="s">
        <v>99</v>
      </c>
      <c r="D21" s="24" t="s">
        <v>100</v>
      </c>
      <c r="E21" s="25" t="str">
        <f>IF('01_PARAMETRES'!$C$17="","—",TEXT('01_PARAMETRES'!$C$17+10,"jj/mm/aa"))</f>
        <v>11/04/26</v>
      </c>
      <c r="F21" s="26" t="s">
        <v>67</v>
      </c>
      <c r="G21" s="27" t="str">
        <f ca="1">IF(AND(F21="☐",'01_PARAMETRES'!$C$17+10&lt;TODAY()),"⚠️ En retard","")</f>
        <v/>
      </c>
    </row>
    <row r="22" spans="2:7" ht="18" customHeight="1" x14ac:dyDescent="0.25">
      <c r="B22" s="22" t="s">
        <v>101</v>
      </c>
      <c r="C22" s="23" t="s">
        <v>102</v>
      </c>
      <c r="D22" s="24" t="s">
        <v>12</v>
      </c>
      <c r="E22" s="25" t="str">
        <f>IF('01_PARAMETRES'!$C$17="","—",TEXT('01_PARAMETRES'!$C$17+15,"jj/mm/aa"))</f>
        <v>16/04/26</v>
      </c>
      <c r="F22" s="26" t="s">
        <v>67</v>
      </c>
      <c r="G22" s="27" t="str">
        <f ca="1">IF(AND(F22="☐",'01_PARAMETRES'!$C$17+15&lt;TODAY()),"⚠️ En retard","")</f>
        <v/>
      </c>
    </row>
    <row r="23" spans="2:7" ht="18" customHeight="1" x14ac:dyDescent="0.25">
      <c r="B23" s="22" t="s">
        <v>103</v>
      </c>
      <c r="C23" s="23" t="s">
        <v>104</v>
      </c>
      <c r="D23" s="24" t="s">
        <v>105</v>
      </c>
      <c r="E23" s="25" t="str">
        <f>IF('01_PARAMETRES'!$C$17="","—",TEXT('01_PARAMETRES'!$C$17+21,"jj/mm/aa"))</f>
        <v>22/04/26</v>
      </c>
      <c r="F23" s="26" t="s">
        <v>67</v>
      </c>
      <c r="G23" s="27" t="str">
        <f ca="1">IF(AND(F23="☐",'01_PARAMETRES'!$C$17+21&lt;TODAY()),"⚠️ En retard","")</f>
        <v/>
      </c>
    </row>
    <row r="24" spans="2:7" ht="18" customHeight="1" x14ac:dyDescent="0.25">
      <c r="B24" s="22" t="s">
        <v>106</v>
      </c>
      <c r="C24" s="23" t="s">
        <v>107</v>
      </c>
      <c r="D24" s="24" t="s">
        <v>108</v>
      </c>
      <c r="E24" s="25" t="str">
        <f>IF('01_PARAMETRES'!$C$17="","—",TEXT('01_PARAMETRES'!$C$17+25,"jj/mm/aa"))</f>
        <v>26/04/26</v>
      </c>
      <c r="F24" s="26" t="s">
        <v>67</v>
      </c>
      <c r="G24" s="27" t="str">
        <f ca="1">IF(AND(F24="☐",'01_PARAMETRES'!$C$17+25&lt;TODAY()),"⚠️ En retard","")</f>
        <v/>
      </c>
    </row>
    <row r="25" spans="2:7" ht="20.100000000000001" customHeight="1" x14ac:dyDescent="0.25">
      <c r="B25" s="108" t="s">
        <v>109</v>
      </c>
      <c r="C25" s="92"/>
      <c r="D25" s="92"/>
      <c r="E25" s="92"/>
      <c r="F25" s="92"/>
      <c r="G25" s="92"/>
    </row>
    <row r="26" spans="2:7" ht="21.95" customHeight="1" x14ac:dyDescent="0.25">
      <c r="B26" s="28" t="s">
        <v>110</v>
      </c>
      <c r="C26" s="29" t="s">
        <v>111</v>
      </c>
      <c r="D26" s="28" t="s">
        <v>112</v>
      </c>
      <c r="E26" s="30" t="str">
        <f>IF('01_PARAMETRES'!$C$17="","—",TEXT('01_PARAMETRES'!$C$17+30,"jj/mm/aa"))</f>
        <v>01/05/26</v>
      </c>
      <c r="F26" s="31" t="s">
        <v>67</v>
      </c>
      <c r="G26" s="32" t="str">
        <f ca="1">IF(AND(F26="☐",'01_PARAMETRES'!$C$17+30&lt;TODAY()),"🔴 RETARD","")</f>
        <v/>
      </c>
    </row>
    <row r="27" spans="2:7" ht="18" customHeight="1" x14ac:dyDescent="0.25">
      <c r="B27" s="8" t="s">
        <v>113</v>
      </c>
      <c r="C27" s="33" t="s">
        <v>114</v>
      </c>
      <c r="D27" s="34" t="s">
        <v>93</v>
      </c>
      <c r="E27" s="30" t="str">
        <f>IF('01_PARAMETRES'!$C$17="","—",TEXT('01_PARAMETRES'!$C$17+45,"jj/mm/aa"))</f>
        <v>16/05/26</v>
      </c>
      <c r="F27" s="31" t="s">
        <v>67</v>
      </c>
      <c r="G27" s="32" t="str">
        <f ca="1">IF(AND(F27="☐",'01_PARAMETRES'!$C$17+45&lt;TODAY()),"⚠️ En retard","")</f>
        <v/>
      </c>
    </row>
    <row r="28" spans="2:7" ht="21.95" customHeight="1" x14ac:dyDescent="0.25">
      <c r="B28" s="28" t="s">
        <v>115</v>
      </c>
      <c r="C28" s="29" t="s">
        <v>116</v>
      </c>
      <c r="D28" s="28" t="s">
        <v>112</v>
      </c>
      <c r="E28" s="30" t="str">
        <f>IF('01_PARAMETRES'!$C$17="","—",TEXT('01_PARAMETRES'!$C$17+60,"jj/mm/aa"))</f>
        <v>31/05/26</v>
      </c>
      <c r="F28" s="31" t="s">
        <v>67</v>
      </c>
      <c r="G28" s="32" t="str">
        <f ca="1">IF(AND(F28="☐",'01_PARAMETRES'!$C$17+60&lt;TODAY()),"🔴 RETARD","")</f>
        <v/>
      </c>
    </row>
    <row r="29" spans="2:7" ht="18" customHeight="1" x14ac:dyDescent="0.25">
      <c r="B29" s="8" t="s">
        <v>117</v>
      </c>
      <c r="C29" s="33" t="s">
        <v>118</v>
      </c>
      <c r="D29" s="34" t="s">
        <v>119</v>
      </c>
      <c r="E29" s="30" t="str">
        <f>IF('01_PARAMETRES'!$C$17="","—",TEXT('01_PARAMETRES'!$C$17+75,"jj/mm/aa"))</f>
        <v>15/06/26</v>
      </c>
      <c r="F29" s="31" t="s">
        <v>67</v>
      </c>
      <c r="G29" s="32" t="str">
        <f ca="1">IF(AND(F29="☐",'01_PARAMETRES'!$C$17+75&lt;TODAY()),"⚠️ En retard","")</f>
        <v/>
      </c>
    </row>
    <row r="30" spans="2:7" ht="21.95" customHeight="1" x14ac:dyDescent="0.25">
      <c r="B30" s="28" t="s">
        <v>120</v>
      </c>
      <c r="C30" s="29" t="s">
        <v>121</v>
      </c>
      <c r="D30" s="28" t="s">
        <v>112</v>
      </c>
      <c r="E30" s="30" t="str">
        <f>IF('01_PARAMETRES'!$C$17="","—",TEXT('01_PARAMETRES'!$C$17+90,"jj/mm/aa"))</f>
        <v>30/06/26</v>
      </c>
      <c r="F30" s="31" t="s">
        <v>67</v>
      </c>
      <c r="G30" s="32" t="str">
        <f ca="1">IF(AND(F30="☐",'01_PARAMETRES'!$C$17+90&lt;TODAY()),"🔴 RETARD","")</f>
        <v/>
      </c>
    </row>
    <row r="31" spans="2:7" ht="20.100000000000001" customHeight="1" x14ac:dyDescent="0.25">
      <c r="B31" s="108" t="s">
        <v>122</v>
      </c>
      <c r="C31" s="92"/>
      <c r="D31" s="92"/>
      <c r="E31" s="92"/>
      <c r="F31" s="92"/>
      <c r="G31" s="92"/>
    </row>
    <row r="32" spans="2:7" ht="18" customHeight="1" x14ac:dyDescent="0.25">
      <c r="B32" s="35" t="s">
        <v>123</v>
      </c>
      <c r="C32" s="36" t="s">
        <v>124</v>
      </c>
      <c r="D32" s="37" t="s">
        <v>125</v>
      </c>
      <c r="E32" s="38" t="str">
        <f>IF('01_PARAMETRES'!$C$17="","—",TEXT('01_PARAMETRES'!$C$17+120,"jj/mm/aa"))</f>
        <v>30/07/26</v>
      </c>
      <c r="F32" s="39" t="s">
        <v>67</v>
      </c>
      <c r="G32" s="40" t="str">
        <f ca="1">IF(AND(F32="☐",'01_PARAMETRES'!$C$17+120&lt;TODAY()),"⚠️ En retard","")</f>
        <v/>
      </c>
    </row>
    <row r="33" spans="2:8" ht="18" customHeight="1" x14ac:dyDescent="0.25">
      <c r="B33" s="35" t="s">
        <v>126</v>
      </c>
      <c r="C33" s="36" t="s">
        <v>127</v>
      </c>
      <c r="D33" s="37" t="s">
        <v>128</v>
      </c>
      <c r="E33" s="38" t="str">
        <f>IF('01_PARAMETRES'!$C$17="","—",TEXT('01_PARAMETRES'!$C$17+150,"jj/mm/aa"))</f>
        <v>29/08/26</v>
      </c>
      <c r="F33" s="39" t="s">
        <v>67</v>
      </c>
      <c r="G33" s="40" t="str">
        <f ca="1">IF(AND(F33="☐",'01_PARAMETRES'!$C$17+150&lt;TODAY()),"⚠️ En retard","")</f>
        <v/>
      </c>
    </row>
    <row r="34" spans="2:8" ht="21.95" customHeight="1" x14ac:dyDescent="0.25">
      <c r="B34" s="28" t="s">
        <v>129</v>
      </c>
      <c r="C34" s="29" t="s">
        <v>130</v>
      </c>
      <c r="D34" s="28" t="s">
        <v>112</v>
      </c>
      <c r="E34" s="30" t="str">
        <f>IF('01_PARAMETRES'!$C$17="","—",TEXT('01_PARAMETRES'!$C$17+180,"jj/mm/aa"))</f>
        <v>28/09/26</v>
      </c>
      <c r="F34" s="31" t="s">
        <v>67</v>
      </c>
      <c r="G34" s="32" t="str">
        <f ca="1">IF(AND(F34="☐",'01_PARAMETRES'!$C$17+180&lt;TODAY()),"🔴 RETARD","")</f>
        <v/>
      </c>
    </row>
    <row r="35" spans="2:8" ht="18" customHeight="1" x14ac:dyDescent="0.25">
      <c r="B35" s="35" t="s">
        <v>131</v>
      </c>
      <c r="C35" s="36" t="s">
        <v>132</v>
      </c>
      <c r="D35" s="37" t="s">
        <v>133</v>
      </c>
      <c r="E35" s="38" t="str">
        <f>IF('01_PARAMETRES'!$C$17="","—",TEXT('01_PARAMETRES'!$C$17+270,"jj/mm/aa"))</f>
        <v>27/12/26</v>
      </c>
      <c r="F35" s="39" t="s">
        <v>67</v>
      </c>
      <c r="G35" s="40" t="str">
        <f ca="1">IF(AND(F35="☐",'01_PARAMETRES'!$C$17+270&lt;TODAY()),"⚠️ En retard","")</f>
        <v/>
      </c>
    </row>
    <row r="36" spans="2:8" ht="21.95" customHeight="1" x14ac:dyDescent="0.25">
      <c r="B36" s="28" t="s">
        <v>134</v>
      </c>
      <c r="C36" s="29" t="s">
        <v>135</v>
      </c>
      <c r="D36" s="28" t="s">
        <v>112</v>
      </c>
      <c r="E36" s="30" t="str">
        <f>IF('01_PARAMETRES'!$C$17="","—",TEXT('01_PARAMETRES'!$C$17+365,"jj/mm/aa"))</f>
        <v>01/04/27</v>
      </c>
      <c r="F36" s="31" t="s">
        <v>67</v>
      </c>
      <c r="G36" s="32" t="str">
        <f ca="1">IF(AND(F36="☐",'01_PARAMETRES'!$C$17+365&lt;TODAY()),"🔴 RETARD","")</f>
        <v/>
      </c>
    </row>
    <row r="39" spans="2:8" x14ac:dyDescent="0.25">
      <c r="B39" s="41" t="s">
        <v>136</v>
      </c>
      <c r="C39" s="42" t="s">
        <v>137</v>
      </c>
      <c r="D39" s="43" t="s">
        <v>138</v>
      </c>
      <c r="E39" s="44" t="s">
        <v>139</v>
      </c>
      <c r="F39" s="45" t="s">
        <v>140</v>
      </c>
      <c r="G39" s="46" t="s">
        <v>141</v>
      </c>
      <c r="H39" s="45" t="s">
        <v>142</v>
      </c>
    </row>
    <row r="40" spans="2:8" x14ac:dyDescent="0.25">
      <c r="B40" s="106" t="s">
        <v>55</v>
      </c>
      <c r="C40" s="92"/>
      <c r="D40" s="92"/>
      <c r="E40" s="92"/>
      <c r="F40" s="92"/>
      <c r="G40" s="92"/>
    </row>
  </sheetData>
  <mergeCells count="8">
    <mergeCell ref="B3:G3"/>
    <mergeCell ref="B2:G2"/>
    <mergeCell ref="B19:G19"/>
    <mergeCell ref="B31:G31"/>
    <mergeCell ref="B40:G40"/>
    <mergeCell ref="B12:G12"/>
    <mergeCell ref="B25:G25"/>
    <mergeCell ref="B6:G6"/>
  </mergeCells>
  <conditionalFormatting sqref="B6:G36">
    <cfRule type="expression" dxfId="8" priority="2">
      <formula>AND($F6="☐",$E6&lt;TODAY())</formula>
    </cfRule>
  </conditionalFormatting>
  <conditionalFormatting sqref="C6:C36">
    <cfRule type="expression" dxfId="7" priority="1">
      <formula>$F6="☑"</formula>
    </cfRule>
  </conditionalFormatting>
  <dataValidations count="1">
    <dataValidation type="list" sqref="F6:F60" xr:uid="{00000000-0002-0000-0100-000000000000}">
      <formula1>"☐,☑"</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B0000"/>
  </sheetPr>
  <dimension ref="B1:P75"/>
  <sheetViews>
    <sheetView showGridLines="0" workbookViewId="0">
      <selection activeCell="B2" sqref="B2:D2"/>
    </sheetView>
  </sheetViews>
  <sheetFormatPr baseColWidth="10" defaultColWidth="9.140625" defaultRowHeight="15" x14ac:dyDescent="0.25"/>
  <cols>
    <col min="1" max="1" width="3" customWidth="1"/>
    <col min="2" max="2" width="28" customWidth="1"/>
    <col min="3" max="3" width="59.7109375" customWidth="1"/>
    <col min="4" max="4" width="20" customWidth="1"/>
  </cols>
  <sheetData>
    <row r="1" spans="2:4" ht="6" customHeight="1" x14ac:dyDescent="0.25"/>
    <row r="2" spans="2:4" ht="32.1" customHeight="1" x14ac:dyDescent="0.25">
      <c r="B2" s="103" t="s">
        <v>143</v>
      </c>
      <c r="C2" s="92"/>
      <c r="D2" s="92"/>
    </row>
    <row r="3" spans="2:4" ht="24" customHeight="1" x14ac:dyDescent="0.25">
      <c r="B3" s="1" t="s">
        <v>144</v>
      </c>
      <c r="C3" s="47" t="str">
        <f>'01_PARAMETRES'!C6</f>
        <v>Louis Vuitton</v>
      </c>
    </row>
    <row r="5" spans="2:4" ht="21.95" customHeight="1" x14ac:dyDescent="0.25">
      <c r="B5" s="97" t="s">
        <v>145</v>
      </c>
      <c r="C5" s="98"/>
      <c r="D5" s="99"/>
    </row>
    <row r="6" spans="2:4" ht="21.95" customHeight="1" x14ac:dyDescent="0.25">
      <c r="B6" s="1" t="s">
        <v>146</v>
      </c>
      <c r="C6" s="109" t="str">
        <f>IFERROR(VLOOKUP('01_PARAMETRES'!$C$6,'03_CULTURE'!$B$62:$O$74,2,0),"—")</f>
        <v>1854</v>
      </c>
      <c r="D6" s="92"/>
    </row>
    <row r="7" spans="2:4" ht="21.95" customHeight="1" x14ac:dyDescent="0.25">
      <c r="B7" s="1" t="s">
        <v>147</v>
      </c>
      <c r="C7" s="109" t="str">
        <f>IFERROR(VLOOKUP('01_PARAMETRES'!$C$6,'03_CULTURE'!$B$62:$O$74,3,0),"—")</f>
        <v>Louis Vuitton</v>
      </c>
      <c r="D7" s="92"/>
    </row>
    <row r="8" spans="2:4" ht="21.95" customHeight="1" x14ac:dyDescent="0.25">
      <c r="B8" s="1" t="s">
        <v>148</v>
      </c>
      <c r="C8" s="109" t="str">
        <f>IFERROR(VLOOKUP('01_PARAMETRES'!$C$6,'03_CULTURE'!$B$62:$O$74,4,0),"—")</f>
        <v>Paris</v>
      </c>
      <c r="D8" s="92"/>
    </row>
    <row r="9" spans="2:4" ht="21.95" customHeight="1" x14ac:dyDescent="0.25">
      <c r="B9" s="1" t="s">
        <v>149</v>
      </c>
      <c r="C9" s="109" t="str">
        <f>IFERROR(VLOOKUP('01_PARAMETRES'!$C$6,'03_CULTURE'!$B$62:$O$74,5,0),"—")</f>
        <v>Venu à pied de Jura à Paris à 14 ans</v>
      </c>
      <c r="D9" s="92"/>
    </row>
    <row r="11" spans="2:4" ht="21.95" customHeight="1" x14ac:dyDescent="0.25">
      <c r="B11" s="97" t="s">
        <v>150</v>
      </c>
      <c r="C11" s="98"/>
      <c r="D11" s="99"/>
    </row>
    <row r="12" spans="2:4" ht="21.95" customHeight="1" x14ac:dyDescent="0.25">
      <c r="B12" s="1" t="s">
        <v>151</v>
      </c>
      <c r="C12" s="109" t="str">
        <f>IFERROR(VLOOKUP('01_PARAMETRES'!$C$6,'03_CULTURE'!$B$62:$O$74,6,0),"—")</f>
        <v>Innovation</v>
      </c>
      <c r="D12" s="92"/>
    </row>
    <row r="13" spans="2:4" ht="21.95" customHeight="1" x14ac:dyDescent="0.25">
      <c r="B13" s="1" t="s">
        <v>152</v>
      </c>
      <c r="C13" s="109" t="str">
        <f>IFERROR(VLOOKUP('01_PARAMETRES'!$C$6,'03_CULTURE'!$B$62:$O$74,7,0),"—")</f>
        <v>Savoir-faire</v>
      </c>
      <c r="D13" s="92"/>
    </row>
    <row r="14" spans="2:4" ht="21.95" customHeight="1" x14ac:dyDescent="0.25">
      <c r="B14" s="1" t="s">
        <v>153</v>
      </c>
      <c r="C14" s="109" t="str">
        <f>IFERROR(VLOOKUP('01_PARAMETRES'!$C$6,'03_CULTURE'!$B$62:$O$74,8,0),"—")</f>
        <v>Voyage</v>
      </c>
      <c r="D14" s="92"/>
    </row>
    <row r="15" spans="2:4" ht="21.95" customHeight="1" x14ac:dyDescent="0.25">
      <c r="B15" s="1" t="s">
        <v>154</v>
      </c>
      <c r="C15" s="109" t="str">
        <f>IFERROR(VLOOKUP('01_PARAMETRES'!$C$6,'03_CULTURE'!$B$62:$O$74,9,0),"—")</f>
        <v>Créer pour voyager</v>
      </c>
      <c r="D15" s="92"/>
    </row>
    <row r="17" spans="2:4" ht="21.95" customHeight="1" x14ac:dyDescent="0.25">
      <c r="B17" s="97" t="s">
        <v>155</v>
      </c>
      <c r="C17" s="98"/>
      <c r="D17" s="99"/>
    </row>
    <row r="18" spans="2:4" ht="21.95" customHeight="1" x14ac:dyDescent="0.25">
      <c r="B18" s="1" t="s">
        <v>156</v>
      </c>
      <c r="C18" s="109" t="str">
        <f>IFERROR(VLOOKUP('01_PARAMETRES'!$C$6,'03_CULTURE'!$B$62:$O$74,10,0),"—")</f>
        <v>Beige monogramme</v>
      </c>
      <c r="D18" s="92"/>
    </row>
    <row r="19" spans="2:4" ht="21.95" customHeight="1" x14ac:dyDescent="0.25">
      <c r="B19" s="1" t="s">
        <v>157</v>
      </c>
      <c r="C19" s="109" t="str">
        <f>IFERROR(VLOOKUP('01_PARAMETRES'!$C$6,'03_CULTURE'!$B$62:$O$74,11,0),"—")</f>
        <v>Toile Monogram</v>
      </c>
      <c r="D19" s="92"/>
    </row>
    <row r="20" spans="2:4" ht="21.95" customHeight="1" x14ac:dyDescent="0.25">
      <c r="B20" s="1" t="s">
        <v>158</v>
      </c>
      <c r="C20" s="109" t="str">
        <f>IFERROR(VLOOKUP('01_PARAMETRES'!$C$6,'03_CULTURE'!$B$62:$O$74,12,0),"—")</f>
        <v>Couture à cheval</v>
      </c>
      <c r="D20" s="92"/>
    </row>
    <row r="21" spans="2:4" ht="21.95" customHeight="1" x14ac:dyDescent="0.25">
      <c r="B21" s="1" t="s">
        <v>159</v>
      </c>
      <c r="C21" s="109" t="str">
        <f>IFERROR(VLOOKUP('01_PARAMETRES'!$C$6,'03_CULTURE'!$B$62:$O$74,13,0),"—")</f>
        <v>Speedy</v>
      </c>
      <c r="D21" s="92"/>
    </row>
    <row r="22" spans="2:4" ht="21.95" customHeight="1" x14ac:dyDescent="0.25">
      <c r="B22" s="1" t="s">
        <v>160</v>
      </c>
      <c r="C22" s="109" t="str">
        <f>IFERROR(VLOOKUP('01_PARAMETRES'!$C$6,'03_CULTURE'!$B$62:$O$74,14,0),"—")</f>
        <v>Blouse beige monogramme</v>
      </c>
      <c r="D22" s="92"/>
    </row>
    <row r="24" spans="2:4" ht="21.95" customHeight="1" x14ac:dyDescent="0.25">
      <c r="B24" s="97" t="s">
        <v>161</v>
      </c>
      <c r="C24" s="98"/>
      <c r="D24" s="99"/>
    </row>
    <row r="25" spans="2:4" ht="21.95" customHeight="1" x14ac:dyDescent="0.25">
      <c r="B25" s="1" t="s">
        <v>162</v>
      </c>
      <c r="C25" s="110" t="s">
        <v>163</v>
      </c>
      <c r="D25" s="92"/>
    </row>
    <row r="26" spans="2:4" ht="21.95" customHeight="1" x14ac:dyDescent="0.25">
      <c r="B26" s="1" t="s">
        <v>164</v>
      </c>
      <c r="C26" s="110" t="s">
        <v>165</v>
      </c>
      <c r="D26" s="92"/>
    </row>
    <row r="27" spans="2:4" ht="21.95" customHeight="1" x14ac:dyDescent="0.25">
      <c r="B27" s="1" t="s">
        <v>166</v>
      </c>
      <c r="C27" s="110" t="s">
        <v>167</v>
      </c>
      <c r="D27" s="92"/>
    </row>
    <row r="28" spans="2:4" ht="21.95" customHeight="1" x14ac:dyDescent="0.25">
      <c r="B28" s="1" t="s">
        <v>168</v>
      </c>
      <c r="C28" s="110" t="s">
        <v>169</v>
      </c>
      <c r="D28" s="92"/>
    </row>
    <row r="29" spans="2:4" ht="21.95" customHeight="1" x14ac:dyDescent="0.25">
      <c r="B29" s="1" t="s">
        <v>170</v>
      </c>
      <c r="C29" s="110" t="s">
        <v>171</v>
      </c>
      <c r="D29" s="92"/>
    </row>
    <row r="30" spans="2:4" ht="21.95" customHeight="1" x14ac:dyDescent="0.25">
      <c r="B30" s="1" t="s">
        <v>172</v>
      </c>
      <c r="C30" s="110" t="s">
        <v>173</v>
      </c>
      <c r="D30" s="92"/>
    </row>
    <row r="32" spans="2:4" x14ac:dyDescent="0.25">
      <c r="B32" s="106" t="s">
        <v>55</v>
      </c>
      <c r="C32" s="92"/>
      <c r="D32" s="92"/>
    </row>
    <row r="61" spans="2:16" hidden="1" x14ac:dyDescent="0.25">
      <c r="B61" s="111" t="s">
        <v>174</v>
      </c>
      <c r="C61" s="92"/>
      <c r="D61" s="92"/>
      <c r="E61" s="92"/>
      <c r="F61" s="92"/>
      <c r="G61" s="92"/>
      <c r="H61" s="92"/>
      <c r="I61" s="92"/>
      <c r="J61" s="92"/>
      <c r="K61" s="92"/>
      <c r="L61" s="92"/>
      <c r="M61" s="92"/>
      <c r="N61" s="92"/>
      <c r="O61" s="92"/>
      <c r="P61" s="92"/>
    </row>
    <row r="62" spans="2:16" hidden="1" x14ac:dyDescent="0.25">
      <c r="B62" s="9" t="s">
        <v>7</v>
      </c>
      <c r="C62" s="9" t="s">
        <v>175</v>
      </c>
      <c r="D62" s="9" t="s">
        <v>147</v>
      </c>
      <c r="E62" s="9" t="s">
        <v>176</v>
      </c>
      <c r="F62" s="9" t="s">
        <v>177</v>
      </c>
      <c r="G62" s="9" t="s">
        <v>178</v>
      </c>
      <c r="H62" s="9" t="s">
        <v>179</v>
      </c>
      <c r="I62" s="9" t="s">
        <v>180</v>
      </c>
      <c r="J62" s="9" t="s">
        <v>154</v>
      </c>
      <c r="K62" s="9" t="s">
        <v>181</v>
      </c>
      <c r="L62" s="9" t="s">
        <v>182</v>
      </c>
      <c r="M62" s="9" t="s">
        <v>183</v>
      </c>
      <c r="N62" s="9" t="s">
        <v>184</v>
      </c>
      <c r="O62" s="9" t="s">
        <v>185</v>
      </c>
    </row>
    <row r="63" spans="2:16" ht="24.95" hidden="1" customHeight="1" x14ac:dyDescent="0.25">
      <c r="B63" s="48" t="s">
        <v>186</v>
      </c>
      <c r="C63" s="48" t="s">
        <v>187</v>
      </c>
      <c r="D63" s="48" t="s">
        <v>188</v>
      </c>
      <c r="E63" s="48" t="s">
        <v>189</v>
      </c>
      <c r="F63" s="48" t="s">
        <v>190</v>
      </c>
      <c r="G63" s="48" t="s">
        <v>191</v>
      </c>
      <c r="H63" s="48" t="s">
        <v>192</v>
      </c>
      <c r="I63" s="48" t="s">
        <v>193</v>
      </c>
      <c r="J63" s="48" t="s">
        <v>194</v>
      </c>
      <c r="K63" s="48" t="s">
        <v>195</v>
      </c>
      <c r="L63" s="48" t="s">
        <v>196</v>
      </c>
      <c r="M63" s="48" t="s">
        <v>197</v>
      </c>
      <c r="N63" s="48" t="s">
        <v>198</v>
      </c>
      <c r="O63" s="48" t="s">
        <v>199</v>
      </c>
    </row>
    <row r="64" spans="2:16" ht="24.95" hidden="1" customHeight="1" x14ac:dyDescent="0.25">
      <c r="B64" s="48" t="s">
        <v>200</v>
      </c>
      <c r="C64" s="48" t="s">
        <v>201</v>
      </c>
      <c r="D64" s="48" t="s">
        <v>200</v>
      </c>
      <c r="E64" s="48" t="s">
        <v>189</v>
      </c>
      <c r="F64" s="48" t="s">
        <v>202</v>
      </c>
      <c r="G64" s="48" t="s">
        <v>203</v>
      </c>
      <c r="H64" s="48" t="s">
        <v>204</v>
      </c>
      <c r="I64" s="48" t="s">
        <v>205</v>
      </c>
      <c r="J64" s="48" t="s">
        <v>206</v>
      </c>
      <c r="K64" s="48" t="s">
        <v>207</v>
      </c>
      <c r="L64" s="48" t="s">
        <v>208</v>
      </c>
      <c r="M64" s="48" t="s">
        <v>209</v>
      </c>
      <c r="N64" s="48" t="s">
        <v>210</v>
      </c>
      <c r="O64" s="48" t="s">
        <v>211</v>
      </c>
    </row>
    <row r="65" spans="2:15" ht="24.95" hidden="1" customHeight="1" x14ac:dyDescent="0.25">
      <c r="B65" s="48" t="s">
        <v>212</v>
      </c>
      <c r="C65" s="48" t="s">
        <v>213</v>
      </c>
      <c r="D65" s="48" t="s">
        <v>214</v>
      </c>
      <c r="E65" s="48" t="s">
        <v>189</v>
      </c>
      <c r="F65" s="48" t="s">
        <v>215</v>
      </c>
      <c r="G65" s="48" t="s">
        <v>216</v>
      </c>
      <c r="H65" s="48" t="s">
        <v>217</v>
      </c>
      <c r="I65" s="48" t="s">
        <v>218</v>
      </c>
      <c r="J65" s="48" t="s">
        <v>219</v>
      </c>
      <c r="K65" s="48" t="s">
        <v>220</v>
      </c>
      <c r="L65" s="48" t="s">
        <v>221</v>
      </c>
      <c r="M65" s="48" t="s">
        <v>222</v>
      </c>
      <c r="N65" s="48" t="s">
        <v>223</v>
      </c>
      <c r="O65" s="48" t="s">
        <v>224</v>
      </c>
    </row>
    <row r="66" spans="2:15" ht="24.95" hidden="1" customHeight="1" x14ac:dyDescent="0.25">
      <c r="B66" s="48" t="s">
        <v>225</v>
      </c>
      <c r="C66" s="48" t="s">
        <v>226</v>
      </c>
      <c r="D66" s="48" t="s">
        <v>227</v>
      </c>
      <c r="E66" s="48" t="s">
        <v>189</v>
      </c>
      <c r="F66" s="48" t="s">
        <v>228</v>
      </c>
      <c r="G66" s="48" t="s">
        <v>229</v>
      </c>
      <c r="H66" s="48" t="s">
        <v>230</v>
      </c>
      <c r="I66" s="48" t="s">
        <v>231</v>
      </c>
      <c r="J66" s="48" t="s">
        <v>232</v>
      </c>
      <c r="K66" s="48" t="s">
        <v>233</v>
      </c>
      <c r="L66" s="48" t="s">
        <v>234</v>
      </c>
      <c r="M66" s="48" t="s">
        <v>235</v>
      </c>
      <c r="N66" s="48" t="s">
        <v>236</v>
      </c>
      <c r="O66" s="48" t="s">
        <v>237</v>
      </c>
    </row>
    <row r="67" spans="2:15" ht="24.95" hidden="1" customHeight="1" x14ac:dyDescent="0.25">
      <c r="B67" s="48" t="s">
        <v>238</v>
      </c>
      <c r="C67" s="48" t="s">
        <v>239</v>
      </c>
      <c r="D67" s="48" t="s">
        <v>240</v>
      </c>
      <c r="E67" s="48" t="s">
        <v>189</v>
      </c>
      <c r="F67" s="48" t="s">
        <v>241</v>
      </c>
      <c r="G67" s="48" t="s">
        <v>242</v>
      </c>
      <c r="H67" s="48" t="s">
        <v>243</v>
      </c>
      <c r="I67" s="48" t="s">
        <v>203</v>
      </c>
      <c r="J67" s="48" t="s">
        <v>244</v>
      </c>
      <c r="K67" s="48" t="s">
        <v>245</v>
      </c>
      <c r="L67" s="48" t="s">
        <v>246</v>
      </c>
      <c r="M67" s="48" t="s">
        <v>247</v>
      </c>
      <c r="N67" s="48" t="s">
        <v>248</v>
      </c>
      <c r="O67" s="48" t="s">
        <v>249</v>
      </c>
    </row>
    <row r="68" spans="2:15" ht="24.95" hidden="1" customHeight="1" x14ac:dyDescent="0.25">
      <c r="B68" s="48" t="s">
        <v>250</v>
      </c>
      <c r="C68" s="48" t="s">
        <v>251</v>
      </c>
      <c r="D68" s="48" t="s">
        <v>252</v>
      </c>
      <c r="E68" s="48" t="s">
        <v>189</v>
      </c>
      <c r="F68" s="48" t="s">
        <v>253</v>
      </c>
      <c r="G68" s="48" t="s">
        <v>254</v>
      </c>
      <c r="H68" s="48" t="s">
        <v>255</v>
      </c>
      <c r="I68" s="48" t="s">
        <v>256</v>
      </c>
      <c r="J68" s="48" t="s">
        <v>257</v>
      </c>
      <c r="K68" s="48" t="s">
        <v>258</v>
      </c>
      <c r="L68" s="48" t="s">
        <v>259</v>
      </c>
      <c r="M68" s="48" t="s">
        <v>260</v>
      </c>
      <c r="N68" s="48" t="s">
        <v>261</v>
      </c>
      <c r="O68" s="48" t="s">
        <v>262</v>
      </c>
    </row>
    <row r="69" spans="2:15" ht="24.95" hidden="1" customHeight="1" x14ac:dyDescent="0.25">
      <c r="B69" s="48" t="s">
        <v>263</v>
      </c>
      <c r="C69" s="48" t="s">
        <v>264</v>
      </c>
      <c r="D69" s="48" t="s">
        <v>265</v>
      </c>
      <c r="E69" s="48" t="s">
        <v>266</v>
      </c>
      <c r="F69" s="48" t="s">
        <v>267</v>
      </c>
      <c r="G69" s="48" t="s">
        <v>268</v>
      </c>
      <c r="H69" s="48" t="s">
        <v>269</v>
      </c>
      <c r="I69" s="48" t="s">
        <v>181</v>
      </c>
      <c r="J69" s="48" t="s">
        <v>270</v>
      </c>
      <c r="K69" s="48" t="s">
        <v>271</v>
      </c>
      <c r="L69" s="48" t="s">
        <v>272</v>
      </c>
      <c r="M69" s="48" t="s">
        <v>273</v>
      </c>
      <c r="N69" s="48" t="s">
        <v>274</v>
      </c>
      <c r="O69" s="48" t="s">
        <v>275</v>
      </c>
    </row>
    <row r="70" spans="2:15" ht="24.95" hidden="1" customHeight="1" x14ac:dyDescent="0.25">
      <c r="B70" s="48" t="s">
        <v>276</v>
      </c>
      <c r="C70" s="48" t="s">
        <v>277</v>
      </c>
      <c r="D70" s="48" t="s">
        <v>278</v>
      </c>
      <c r="E70" s="48" t="s">
        <v>189</v>
      </c>
      <c r="F70" s="48" t="s">
        <v>279</v>
      </c>
      <c r="G70" s="48" t="s">
        <v>230</v>
      </c>
      <c r="H70" s="48" t="s">
        <v>280</v>
      </c>
      <c r="I70" s="48" t="s">
        <v>281</v>
      </c>
      <c r="J70" s="48" t="s">
        <v>282</v>
      </c>
      <c r="K70" s="48" t="s">
        <v>220</v>
      </c>
      <c r="L70" s="48" t="s">
        <v>283</v>
      </c>
      <c r="M70" s="48" t="s">
        <v>284</v>
      </c>
      <c r="N70" s="48" t="s">
        <v>285</v>
      </c>
      <c r="O70" s="48" t="s">
        <v>286</v>
      </c>
    </row>
    <row r="71" spans="2:15" ht="24.95" hidden="1" customHeight="1" x14ac:dyDescent="0.25">
      <c r="B71" s="48" t="s">
        <v>287</v>
      </c>
      <c r="C71" s="48" t="s">
        <v>288</v>
      </c>
      <c r="D71" s="48" t="s">
        <v>289</v>
      </c>
      <c r="E71" s="48" t="s">
        <v>189</v>
      </c>
      <c r="F71" s="48" t="s">
        <v>290</v>
      </c>
      <c r="G71" s="48" t="s">
        <v>291</v>
      </c>
      <c r="H71" s="48" t="s">
        <v>292</v>
      </c>
      <c r="I71" s="48" t="s">
        <v>293</v>
      </c>
      <c r="J71" s="48" t="s">
        <v>294</v>
      </c>
      <c r="K71" s="48" t="s">
        <v>295</v>
      </c>
      <c r="L71" s="48" t="s">
        <v>296</v>
      </c>
      <c r="M71" s="48" t="s">
        <v>297</v>
      </c>
      <c r="N71" s="48" t="s">
        <v>298</v>
      </c>
      <c r="O71" s="48" t="s">
        <v>299</v>
      </c>
    </row>
    <row r="72" spans="2:15" ht="24.95" hidden="1" customHeight="1" x14ac:dyDescent="0.25">
      <c r="B72" s="48" t="s">
        <v>300</v>
      </c>
      <c r="C72" s="48" t="s">
        <v>301</v>
      </c>
      <c r="D72" s="48" t="s">
        <v>302</v>
      </c>
      <c r="E72" s="48" t="s">
        <v>189</v>
      </c>
      <c r="F72" s="48" t="s">
        <v>303</v>
      </c>
      <c r="G72" s="48" t="s">
        <v>203</v>
      </c>
      <c r="H72" s="48" t="s">
        <v>304</v>
      </c>
      <c r="I72" s="48" t="s">
        <v>305</v>
      </c>
      <c r="J72" s="48" t="s">
        <v>306</v>
      </c>
      <c r="K72" s="48" t="s">
        <v>307</v>
      </c>
      <c r="L72" s="48" t="s">
        <v>308</v>
      </c>
      <c r="M72" s="48" t="s">
        <v>309</v>
      </c>
      <c r="N72" s="48" t="s">
        <v>310</v>
      </c>
      <c r="O72" s="48" t="s">
        <v>311</v>
      </c>
    </row>
    <row r="73" spans="2:15" ht="24.95" hidden="1" customHeight="1" x14ac:dyDescent="0.25">
      <c r="B73" s="48" t="s">
        <v>312</v>
      </c>
      <c r="C73" s="48" t="s">
        <v>313</v>
      </c>
      <c r="D73" s="48" t="s">
        <v>314</v>
      </c>
      <c r="E73" s="48" t="s">
        <v>189</v>
      </c>
      <c r="F73" s="48" t="s">
        <v>315</v>
      </c>
      <c r="G73" s="48" t="s">
        <v>216</v>
      </c>
      <c r="H73" s="48" t="s">
        <v>316</v>
      </c>
      <c r="I73" s="48" t="s">
        <v>317</v>
      </c>
      <c r="J73" s="48" t="s">
        <v>318</v>
      </c>
      <c r="K73" s="48" t="s">
        <v>319</v>
      </c>
      <c r="L73" s="48" t="s">
        <v>320</v>
      </c>
      <c r="M73" s="48" t="s">
        <v>321</v>
      </c>
      <c r="N73" s="48" t="s">
        <v>322</v>
      </c>
      <c r="O73" s="48" t="s">
        <v>323</v>
      </c>
    </row>
    <row r="74" spans="2:15" ht="24.95" hidden="1" customHeight="1" x14ac:dyDescent="0.25">
      <c r="B74" s="48" t="s">
        <v>324</v>
      </c>
      <c r="C74" s="48" t="s">
        <v>325</v>
      </c>
      <c r="D74" s="48" t="s">
        <v>326</v>
      </c>
      <c r="E74" s="48" t="s">
        <v>327</v>
      </c>
      <c r="F74" s="48" t="s">
        <v>328</v>
      </c>
      <c r="G74" s="48" t="s">
        <v>256</v>
      </c>
      <c r="H74" s="48" t="s">
        <v>329</v>
      </c>
      <c r="I74" s="48" t="s">
        <v>292</v>
      </c>
      <c r="J74" s="48" t="s">
        <v>330</v>
      </c>
      <c r="K74" s="48" t="s">
        <v>331</v>
      </c>
      <c r="L74" s="48" t="s">
        <v>332</v>
      </c>
      <c r="M74" s="48" t="s">
        <v>333</v>
      </c>
      <c r="N74" s="48" t="s">
        <v>334</v>
      </c>
      <c r="O74" s="48" t="s">
        <v>335</v>
      </c>
    </row>
    <row r="75" spans="2:15" hidden="1" x14ac:dyDescent="0.25"/>
  </sheetData>
  <mergeCells count="26">
    <mergeCell ref="B2:D2"/>
    <mergeCell ref="B5:D5"/>
    <mergeCell ref="C21:D21"/>
    <mergeCell ref="C27:D27"/>
    <mergeCell ref="B32:D32"/>
    <mergeCell ref="C8:D8"/>
    <mergeCell ref="C7:D7"/>
    <mergeCell ref="C19:D19"/>
    <mergeCell ref="C28:D28"/>
    <mergeCell ref="C13:D13"/>
    <mergeCell ref="C18:D18"/>
    <mergeCell ref="B61:P61"/>
    <mergeCell ref="C14:D14"/>
    <mergeCell ref="C26:D26"/>
    <mergeCell ref="C20:D20"/>
    <mergeCell ref="C29:D29"/>
    <mergeCell ref="C25:D25"/>
    <mergeCell ref="C22:D22"/>
    <mergeCell ref="B24:D24"/>
    <mergeCell ref="B11:D11"/>
    <mergeCell ref="C6:D6"/>
    <mergeCell ref="C30:D30"/>
    <mergeCell ref="C15:D15"/>
    <mergeCell ref="B17:D17"/>
    <mergeCell ref="C9:D9"/>
    <mergeCell ref="C12:D1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D32"/>
  </sheetPr>
  <dimension ref="B1:G15"/>
  <sheetViews>
    <sheetView showGridLines="0" workbookViewId="0">
      <pane xSplit="1" ySplit="5" topLeftCell="B6" activePane="bottomRight" state="frozen"/>
      <selection pane="topRight"/>
      <selection pane="bottomLeft"/>
      <selection pane="bottomRight" activeCell="G7" sqref="G7"/>
    </sheetView>
  </sheetViews>
  <sheetFormatPr baseColWidth="10" defaultColWidth="9.140625" defaultRowHeight="15" x14ac:dyDescent="0.25"/>
  <cols>
    <col min="1" max="1" width="3" customWidth="1"/>
    <col min="2" max="2" width="34" customWidth="1"/>
    <col min="3" max="3" width="20" customWidth="1"/>
    <col min="4" max="4" width="14" customWidth="1"/>
    <col min="5" max="5" width="8" customWidth="1"/>
    <col min="6" max="6" width="14" customWidth="1"/>
    <col min="7" max="7" width="26" customWidth="1"/>
  </cols>
  <sheetData>
    <row r="1" spans="2:7" ht="6" customHeight="1" x14ac:dyDescent="0.25"/>
    <row r="2" spans="2:7" ht="32.1" customHeight="1" x14ac:dyDescent="0.25">
      <c r="B2" s="103" t="s">
        <v>336</v>
      </c>
      <c r="C2" s="92"/>
      <c r="D2" s="92"/>
      <c r="E2" s="92"/>
      <c r="F2" s="92"/>
      <c r="G2" s="92"/>
    </row>
    <row r="3" spans="2:7" ht="20.100000000000001" customHeight="1" x14ac:dyDescent="0.25">
      <c r="B3" s="107" t="str">
        <f>IFERROR("Complétion : "&amp;TEXT(COUNTIF(E6:E13,"☑")/8,"0%")&amp;" ("&amp;COUNTIF(E6:E13,"☑")&amp;"/8 formations validées)","En attente de saisie")</f>
        <v>Complétion : 0% (0/8 formations validées)</v>
      </c>
      <c r="C3" s="92"/>
      <c r="D3" s="92"/>
      <c r="E3" s="92"/>
      <c r="F3" s="92"/>
      <c r="G3" s="92"/>
    </row>
    <row r="5" spans="2:7" ht="21.95" customHeight="1" x14ac:dyDescent="0.25">
      <c r="B5" s="9" t="s">
        <v>337</v>
      </c>
      <c r="C5" s="9" t="s">
        <v>338</v>
      </c>
      <c r="D5" s="9" t="s">
        <v>339</v>
      </c>
      <c r="E5" s="9" t="s">
        <v>61</v>
      </c>
      <c r="F5" s="9" t="s">
        <v>340</v>
      </c>
      <c r="G5" s="9" t="s">
        <v>62</v>
      </c>
    </row>
    <row r="6" spans="2:7" ht="20.100000000000001" customHeight="1" x14ac:dyDescent="0.25">
      <c r="B6" s="49" t="s">
        <v>341</v>
      </c>
      <c r="C6" s="50" t="s">
        <v>342</v>
      </c>
      <c r="D6" s="51">
        <f>'01_PARAMETRES'!$C$17+1</f>
        <v>46114</v>
      </c>
      <c r="E6" s="52" t="s">
        <v>67</v>
      </c>
      <c r="F6" s="53"/>
      <c r="G6" s="54" t="str">
        <f ca="1">IF(E6="☑","✅ Fait",IF(TODAY()&gt;'01_PARAMETRES'!$C$17+1,"🔴 EN RETARD de "&amp;TEXT(TODAY()-('01_PARAMETRES'!$C$17+1),"0")&amp;" j",IF(TODAY()&gt;'01_PARAMETRES'!$C$17+1-7,"🟡 Échéance dans "&amp;TEXT('01_PARAMETRES'!$C$17+1-TODAY(),"0")&amp;" j","")))</f>
        <v>🟡 Échéance dans 1 j</v>
      </c>
    </row>
    <row r="7" spans="2:7" ht="20.100000000000001" customHeight="1" x14ac:dyDescent="0.25">
      <c r="B7" s="55" t="s">
        <v>343</v>
      </c>
      <c r="C7" s="56" t="s">
        <v>344</v>
      </c>
      <c r="D7" s="57">
        <f>'01_PARAMETRES'!$C$17+30</f>
        <v>46143</v>
      </c>
      <c r="E7" s="58" t="s">
        <v>67</v>
      </c>
      <c r="F7" s="59"/>
      <c r="G7" s="60" t="str">
        <f ca="1">IF(E7="☑","✅ Fait",IF(TODAY()&gt;'01_PARAMETRES'!$C$17+30,"🔴 EN RETARD de "&amp;TEXT(TODAY()-('01_PARAMETRES'!$C$17+30),"0")&amp;" j",IF(TODAY()&gt;'01_PARAMETRES'!$C$17+30-7,"🟡 Échéance dans "&amp;TEXT('01_PARAMETRES'!$C$17+30-TODAY(),"0")&amp;" j","")))</f>
        <v/>
      </c>
    </row>
    <row r="8" spans="2:7" ht="20.100000000000001" customHeight="1" x14ac:dyDescent="0.25">
      <c r="B8" s="49" t="s">
        <v>345</v>
      </c>
      <c r="C8" s="50" t="s">
        <v>346</v>
      </c>
      <c r="D8" s="51">
        <f>'01_PARAMETRES'!$C$17+30</f>
        <v>46143</v>
      </c>
      <c r="E8" s="52" t="s">
        <v>67</v>
      </c>
      <c r="F8" s="53"/>
      <c r="G8" s="54" t="str">
        <f ca="1">IF(E8="☑","✅ Fait",IF(TODAY()&gt;'01_PARAMETRES'!$C$17+30,"🔴 EN RETARD de "&amp;TEXT(TODAY()-('01_PARAMETRES'!$C$17+30),"0")&amp;" j",IF(TODAY()&gt;'01_PARAMETRES'!$C$17+30-7,"🟡 Échéance dans "&amp;TEXT('01_PARAMETRES'!$C$17+30-TODAY(),"0")&amp;" j","")))</f>
        <v/>
      </c>
    </row>
    <row r="9" spans="2:7" ht="20.100000000000001" customHeight="1" x14ac:dyDescent="0.25">
      <c r="B9" s="55" t="s">
        <v>347</v>
      </c>
      <c r="C9" s="56" t="s">
        <v>348</v>
      </c>
      <c r="D9" s="57">
        <f>'01_PARAMETRES'!$C$17+60</f>
        <v>46173</v>
      </c>
      <c r="E9" s="58" t="s">
        <v>67</v>
      </c>
      <c r="F9" s="59"/>
      <c r="G9" s="60" t="str">
        <f ca="1">IF(E9="☑","✅ Fait",IF(TODAY()&gt;'01_PARAMETRES'!$C$17+60,"🔴 EN RETARD de "&amp;TEXT(TODAY()-('01_PARAMETRES'!$C$17+60),"0")&amp;" j",IF(TODAY()&gt;'01_PARAMETRES'!$C$17+60-7,"🟡 Échéance dans "&amp;TEXT('01_PARAMETRES'!$C$17+60-TODAY(),"0")&amp;" j","")))</f>
        <v/>
      </c>
    </row>
    <row r="10" spans="2:7" ht="20.100000000000001" customHeight="1" x14ac:dyDescent="0.25">
      <c r="B10" s="49" t="s">
        <v>349</v>
      </c>
      <c r="C10" s="50" t="s">
        <v>350</v>
      </c>
      <c r="D10" s="51">
        <f>'01_PARAMETRES'!$C$17+60</f>
        <v>46173</v>
      </c>
      <c r="E10" s="52" t="s">
        <v>67</v>
      </c>
      <c r="F10" s="53"/>
      <c r="G10" s="54" t="str">
        <f ca="1">IF(E10="☑","✅ Fait",IF(TODAY()&gt;'01_PARAMETRES'!$C$17+60,"🔴 EN RETARD de "&amp;TEXT(TODAY()-('01_PARAMETRES'!$C$17+60),"0")&amp;" j",IF(TODAY()&gt;'01_PARAMETRES'!$C$17+60-7,"🟡 Échéance dans "&amp;TEXT('01_PARAMETRES'!$C$17+60-TODAY(),"0")&amp;" j","")))</f>
        <v/>
      </c>
    </row>
    <row r="11" spans="2:7" ht="20.100000000000001" customHeight="1" x14ac:dyDescent="0.25">
      <c r="B11" s="55" t="s">
        <v>351</v>
      </c>
      <c r="C11" s="56" t="s">
        <v>352</v>
      </c>
      <c r="D11" s="57">
        <f>'01_PARAMETRES'!$C$17+90</f>
        <v>46203</v>
      </c>
      <c r="E11" s="58" t="s">
        <v>67</v>
      </c>
      <c r="F11" s="59"/>
      <c r="G11" s="60" t="str">
        <f ca="1">IF(E11="☑","✅ Fait",IF(TODAY()&gt;'01_PARAMETRES'!$C$17+90,"🔴 EN RETARD de "&amp;TEXT(TODAY()-('01_PARAMETRES'!$C$17+90),"0")&amp;" j",IF(TODAY()&gt;'01_PARAMETRES'!$C$17+90-7,"🟡 Échéance dans "&amp;TEXT('01_PARAMETRES'!$C$17+90-TODAY(),"0")&amp;" j","")))</f>
        <v/>
      </c>
    </row>
    <row r="12" spans="2:7" ht="20.100000000000001" customHeight="1" x14ac:dyDescent="0.25">
      <c r="B12" s="49" t="s">
        <v>23</v>
      </c>
      <c r="C12" s="50" t="s">
        <v>353</v>
      </c>
      <c r="D12" s="51">
        <f>'01_PARAMETRES'!$C$17+90</f>
        <v>46203</v>
      </c>
      <c r="E12" s="52" t="s">
        <v>67</v>
      </c>
      <c r="F12" s="53"/>
      <c r="G12" s="54" t="str">
        <f ca="1">IF(E12="☑","✅ Fait",IF(TODAY()&gt;'01_PARAMETRES'!$C$17+90,"🔴 EN RETARD de "&amp;TEXT(TODAY()-('01_PARAMETRES'!$C$17+90),"0")&amp;" j",IF(TODAY()&gt;'01_PARAMETRES'!$C$17+90-7,"🟡 Échéance dans "&amp;TEXT('01_PARAMETRES'!$C$17+90-TODAY(),"0")&amp;" j","")))</f>
        <v/>
      </c>
    </row>
    <row r="13" spans="2:7" ht="20.100000000000001" customHeight="1" x14ac:dyDescent="0.25">
      <c r="B13" s="55" t="s">
        <v>354</v>
      </c>
      <c r="C13" s="56" t="s">
        <v>355</v>
      </c>
      <c r="D13" s="57">
        <f>'01_PARAMETRES'!$C$17+120</f>
        <v>46233</v>
      </c>
      <c r="E13" s="58" t="s">
        <v>67</v>
      </c>
      <c r="F13" s="59"/>
      <c r="G13" s="60" t="str">
        <f ca="1">IF(E13="☑","✅ Fait",IF(TODAY()&gt;'01_PARAMETRES'!$C$17+120,"🔴 EN RETARD de "&amp;TEXT(TODAY()-('01_PARAMETRES'!$C$17+120),"0")&amp;" j",IF(TODAY()&gt;'01_PARAMETRES'!$C$17+120-7,"🟡 Échéance dans "&amp;TEXT('01_PARAMETRES'!$C$17+120-TODAY(),"0")&amp;" j","")))</f>
        <v/>
      </c>
    </row>
    <row r="15" spans="2:7" x14ac:dyDescent="0.25">
      <c r="B15" s="106" t="s">
        <v>55</v>
      </c>
      <c r="C15" s="92"/>
      <c r="D15" s="92"/>
      <c r="E15" s="92"/>
      <c r="F15" s="92"/>
      <c r="G15" s="92"/>
    </row>
  </sheetData>
  <mergeCells count="3">
    <mergeCell ref="B3:G3"/>
    <mergeCell ref="B2:G2"/>
    <mergeCell ref="B15:G15"/>
  </mergeCells>
  <conditionalFormatting sqref="B6:G13">
    <cfRule type="expression" dxfId="6" priority="1">
      <formula>$E6="☑"</formula>
    </cfRule>
    <cfRule type="expression" dxfId="5" priority="2">
      <formula>AND($E6="☐",$D6&lt;TODAY())</formula>
    </cfRule>
  </conditionalFormatting>
  <dataValidations count="1">
    <dataValidation type="list" sqref="E6:E13" xr:uid="{00000000-0002-0000-0300-000000000000}">
      <formula1>"☐,☑"</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B1:I32"/>
  <sheetViews>
    <sheetView showGridLines="0" workbookViewId="0">
      <pane xSplit="1" ySplit="10" topLeftCell="B11" activePane="bottomRight" state="frozen"/>
      <selection pane="topRight"/>
      <selection pane="bottomLeft"/>
      <selection pane="bottomRight" activeCell="I11" sqref="I11"/>
    </sheetView>
  </sheetViews>
  <sheetFormatPr baseColWidth="10" defaultColWidth="9.140625" defaultRowHeight="15" x14ac:dyDescent="0.25"/>
  <cols>
    <col min="1" max="1" width="3" customWidth="1"/>
    <col min="2" max="2" width="16" customWidth="1"/>
    <col min="3" max="3" width="19.7109375" customWidth="1"/>
    <col min="4" max="4" width="8" customWidth="1"/>
    <col min="5" max="5" width="10" customWidth="1"/>
    <col min="6" max="6" width="14" customWidth="1"/>
    <col min="7" max="8" width="12" customWidth="1"/>
    <col min="9" max="9" width="35" customWidth="1"/>
  </cols>
  <sheetData>
    <row r="1" spans="2:9" ht="6" customHeight="1" x14ac:dyDescent="0.25"/>
    <row r="2" spans="2:9" ht="32.1" customHeight="1" x14ac:dyDescent="0.25">
      <c r="B2" s="103" t="s">
        <v>356</v>
      </c>
      <c r="C2" s="92"/>
      <c r="D2" s="92"/>
      <c r="E2" s="92"/>
      <c r="F2" s="92"/>
      <c r="G2" s="92"/>
      <c r="H2" s="92"/>
      <c r="I2" s="92"/>
    </row>
    <row r="4" spans="2:9" ht="21.95" customHeight="1" x14ac:dyDescent="0.25">
      <c r="B4" s="97" t="s">
        <v>357</v>
      </c>
      <c r="C4" s="98"/>
      <c r="D4" s="98"/>
      <c r="E4" s="99"/>
    </row>
    <row r="5" spans="2:9" ht="20.100000000000001" customHeight="1" x14ac:dyDescent="0.25">
      <c r="B5" s="1" t="s">
        <v>47</v>
      </c>
      <c r="C5" s="91">
        <f>'01_PARAMETRES'!C13</f>
        <v>0</v>
      </c>
      <c r="D5" s="92"/>
      <c r="E5" s="92"/>
    </row>
    <row r="6" spans="2:9" ht="20.100000000000001" customHeight="1" x14ac:dyDescent="0.25">
      <c r="B6" s="1" t="s">
        <v>7</v>
      </c>
      <c r="C6" s="91" t="str">
        <f>'01_PARAMETRES'!C6</f>
        <v>Louis Vuitton</v>
      </c>
      <c r="D6" s="92"/>
      <c r="E6" s="92"/>
    </row>
    <row r="7" spans="2:9" ht="20.100000000000001" customHeight="1" x14ac:dyDescent="0.25">
      <c r="B7" s="1" t="s">
        <v>6</v>
      </c>
      <c r="C7" s="91" t="str">
        <f>'01_PARAMETRES'!C7</f>
        <v>Labeaut Ludovic</v>
      </c>
      <c r="D7" s="92"/>
      <c r="E7" s="92"/>
    </row>
    <row r="9" spans="2:9" ht="21.95" customHeight="1" x14ac:dyDescent="0.25">
      <c r="B9" s="97" t="s">
        <v>358</v>
      </c>
      <c r="C9" s="98"/>
      <c r="D9" s="98"/>
      <c r="E9" s="98"/>
      <c r="F9" s="98"/>
      <c r="G9" s="98"/>
      <c r="H9" s="98"/>
      <c r="I9" s="99"/>
    </row>
    <row r="10" spans="2:9" ht="21.95" customHeight="1" x14ac:dyDescent="0.25">
      <c r="B10" s="9" t="s">
        <v>359</v>
      </c>
      <c r="C10" s="9" t="s">
        <v>360</v>
      </c>
      <c r="D10" s="9" t="s">
        <v>61</v>
      </c>
      <c r="E10" s="9" t="s">
        <v>361</v>
      </c>
      <c r="F10" s="9" t="s">
        <v>362</v>
      </c>
      <c r="G10" s="9" t="s">
        <v>363</v>
      </c>
      <c r="H10" s="9" t="s">
        <v>364</v>
      </c>
      <c r="I10" s="9" t="s">
        <v>365</v>
      </c>
    </row>
    <row r="11" spans="2:9" ht="20.100000000000001" customHeight="1" x14ac:dyDescent="0.25">
      <c r="B11" s="61" t="s">
        <v>366</v>
      </c>
      <c r="C11" s="51">
        <f>'01_PARAMETRES'!$C$17+15</f>
        <v>46128</v>
      </c>
      <c r="D11" s="52" t="s">
        <v>67</v>
      </c>
      <c r="E11" s="62"/>
      <c r="F11" s="62"/>
      <c r="G11" s="62"/>
      <c r="H11" s="62"/>
      <c r="I11" s="63"/>
    </row>
    <row r="12" spans="2:9" ht="20.100000000000001" customHeight="1" x14ac:dyDescent="0.25">
      <c r="B12" s="64" t="s">
        <v>367</v>
      </c>
      <c r="C12" s="57">
        <f>'01_PARAMETRES'!$C$17+30</f>
        <v>46143</v>
      </c>
      <c r="D12" s="58" t="s">
        <v>67</v>
      </c>
      <c r="E12" s="65"/>
      <c r="F12" s="65"/>
      <c r="G12" s="65"/>
      <c r="H12" s="65"/>
      <c r="I12" s="66"/>
    </row>
    <row r="13" spans="2:9" ht="20.100000000000001" customHeight="1" x14ac:dyDescent="0.25">
      <c r="B13" s="61" t="s">
        <v>368</v>
      </c>
      <c r="C13" s="51">
        <f>'01_PARAMETRES'!$C$17+60</f>
        <v>46173</v>
      </c>
      <c r="D13" s="52" t="s">
        <v>67</v>
      </c>
      <c r="E13" s="62"/>
      <c r="F13" s="62"/>
      <c r="G13" s="62"/>
      <c r="H13" s="62"/>
      <c r="I13" s="63"/>
    </row>
    <row r="14" spans="2:9" ht="20.100000000000001" customHeight="1" x14ac:dyDescent="0.25">
      <c r="B14" s="64" t="s">
        <v>369</v>
      </c>
      <c r="C14" s="57">
        <f>'01_PARAMETRES'!$C$17+90</f>
        <v>46203</v>
      </c>
      <c r="D14" s="58" t="s">
        <v>67</v>
      </c>
      <c r="E14" s="65"/>
      <c r="F14" s="65"/>
      <c r="G14" s="65"/>
      <c r="H14" s="65"/>
      <c r="I14" s="66"/>
    </row>
    <row r="15" spans="2:9" ht="20.100000000000001" customHeight="1" x14ac:dyDescent="0.25">
      <c r="B15" s="61" t="s">
        <v>370</v>
      </c>
      <c r="C15" s="51">
        <f>'01_PARAMETRES'!$C$17+120</f>
        <v>46233</v>
      </c>
      <c r="D15" s="52" t="s">
        <v>67</v>
      </c>
      <c r="E15" s="62"/>
      <c r="F15" s="62"/>
      <c r="G15" s="62"/>
      <c r="H15" s="62"/>
      <c r="I15" s="63"/>
    </row>
    <row r="16" spans="2:9" ht="20.100000000000001" customHeight="1" x14ac:dyDescent="0.25">
      <c r="B16" s="64" t="s">
        <v>371</v>
      </c>
      <c r="C16" s="57">
        <f>'01_PARAMETRES'!$C$17+180</f>
        <v>46293</v>
      </c>
      <c r="D16" s="58" t="s">
        <v>67</v>
      </c>
      <c r="E16" s="65"/>
      <c r="F16" s="65"/>
      <c r="G16" s="65"/>
      <c r="H16" s="65"/>
      <c r="I16" s="66"/>
    </row>
    <row r="18" spans="2:9" ht="21.95" customHeight="1" x14ac:dyDescent="0.25">
      <c r="B18" s="9" t="s">
        <v>372</v>
      </c>
      <c r="C18" s="67"/>
      <c r="D18" s="67"/>
      <c r="E18" s="68" t="str">
        <f>IFERROR(AVERAGE(E11:E16),"")</f>
        <v/>
      </c>
      <c r="F18" s="68" t="str">
        <f>IFERROR(AVERAGE(F11:F16),"")</f>
        <v/>
      </c>
      <c r="G18" s="68" t="str">
        <f>IFERROR(AVERAGE(G11:G16),"")</f>
        <v/>
      </c>
      <c r="H18" s="68" t="str">
        <f>IFERROR(AVERAGE(H11:H16),"")</f>
        <v/>
      </c>
    </row>
    <row r="21" spans="2:9" x14ac:dyDescent="0.25">
      <c r="B21" s="69" t="s">
        <v>373</v>
      </c>
      <c r="C21" s="69" t="s">
        <v>374</v>
      </c>
    </row>
    <row r="22" spans="2:9" x14ac:dyDescent="0.25">
      <c r="B22" s="70" t="s">
        <v>375</v>
      </c>
      <c r="C22" s="71" t="str">
        <f>IFERROR(IF(COUNTA(E11:E16)=0,"—",AVERAGEIF(E11:E16,"&gt;0")),"—")</f>
        <v>—</v>
      </c>
    </row>
    <row r="23" spans="2:9" x14ac:dyDescent="0.25">
      <c r="B23" s="70" t="s">
        <v>376</v>
      </c>
      <c r="C23" s="71" t="str">
        <f>IFERROR(IF(COUNTA(F11:F16)=0,"—",AVERAGEIF(F11:F16,"&gt;0")),"—")</f>
        <v>—</v>
      </c>
    </row>
    <row r="24" spans="2:9" x14ac:dyDescent="0.25">
      <c r="B24" s="70" t="s">
        <v>377</v>
      </c>
      <c r="C24" s="71" t="str">
        <f>IFERROR(IF(COUNTA(G11:G16)=0,"—",AVERAGEIF(G11:G16,"&gt;0")),"—")</f>
        <v>—</v>
      </c>
    </row>
    <row r="25" spans="2:9" x14ac:dyDescent="0.25">
      <c r="B25" s="70" t="s">
        <v>378</v>
      </c>
      <c r="C25" s="71" t="str">
        <f>IFERROR(IF(COUNTA(H11:H16)=0,"—",AVERAGEIF(H11:H16,"&gt;0")),"—")</f>
        <v>—</v>
      </c>
    </row>
    <row r="32" spans="2:9" x14ac:dyDescent="0.25">
      <c r="B32" s="106" t="s">
        <v>55</v>
      </c>
      <c r="C32" s="92"/>
      <c r="D32" s="92"/>
      <c r="E32" s="92"/>
      <c r="F32" s="92"/>
      <c r="G32" s="92"/>
      <c r="H32" s="92"/>
      <c r="I32" s="92"/>
    </row>
  </sheetData>
  <mergeCells count="7">
    <mergeCell ref="B32:I32"/>
    <mergeCell ref="C6:E6"/>
    <mergeCell ref="B9:I9"/>
    <mergeCell ref="C5:E5"/>
    <mergeCell ref="B4:E4"/>
    <mergeCell ref="B2:I2"/>
    <mergeCell ref="C7:E7"/>
  </mergeCells>
  <dataValidations count="2">
    <dataValidation type="list" sqref="D11:D16" xr:uid="{00000000-0002-0000-0400-000000000000}">
      <formula1>"☐,☑"</formula1>
    </dataValidation>
    <dataValidation type="whole" allowBlank="1" sqref="E11:H16" xr:uid="{00000000-0002-0000-0400-000001000000}">
      <formula1>1</formula1>
      <formula2>5</formula2>
    </dataValidation>
  </dataValidation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6B00"/>
  </sheetPr>
  <dimension ref="B1:H44"/>
  <sheetViews>
    <sheetView showGridLines="0" workbookViewId="0">
      <pane xSplit="2" ySplit="6" topLeftCell="C7" activePane="bottomRight" state="frozen"/>
      <selection pane="topRight"/>
      <selection pane="bottomLeft"/>
      <selection pane="bottomRight" activeCell="M11" sqref="M11"/>
    </sheetView>
  </sheetViews>
  <sheetFormatPr baseColWidth="10" defaultColWidth="9.140625" defaultRowHeight="15" x14ac:dyDescent="0.25"/>
  <cols>
    <col min="1" max="1" width="3" customWidth="1"/>
    <col min="2" max="2" width="24" customWidth="1"/>
    <col min="3" max="3" width="15.28515625" customWidth="1"/>
    <col min="4" max="7" width="10.42578125" bestFit="1" customWidth="1"/>
    <col min="8" max="8" width="10" customWidth="1"/>
  </cols>
  <sheetData>
    <row r="1" spans="2:8" ht="6" customHeight="1" x14ac:dyDescent="0.25"/>
    <row r="2" spans="2:8" ht="32.1" customHeight="1" x14ac:dyDescent="0.25">
      <c r="B2" s="103" t="s">
        <v>379</v>
      </c>
      <c r="C2" s="92"/>
      <c r="D2" s="92"/>
      <c r="E2" s="92"/>
      <c r="F2" s="92"/>
      <c r="G2" s="92"/>
      <c r="H2" s="92"/>
    </row>
    <row r="3" spans="2:8" ht="21.95" customHeight="1" x14ac:dyDescent="0.25">
      <c r="B3" s="112" t="str">
        <f>'01_PARAMETRES'!C7&amp;" — "&amp;'01_PARAMETRES'!C8&amp;" | "&amp;'01_PARAMETRES'!C6</f>
        <v>Labeaut Ludovic — Étireur Peaux Ganterie | Louis Vuitton</v>
      </c>
      <c r="C3" s="92"/>
      <c r="D3" s="92"/>
      <c r="E3" s="92"/>
      <c r="F3" s="92"/>
      <c r="G3" s="92"/>
      <c r="H3" s="92"/>
    </row>
    <row r="5" spans="2:8" ht="21.95" customHeight="1" x14ac:dyDescent="0.25">
      <c r="B5" s="9" t="s">
        <v>380</v>
      </c>
      <c r="C5" s="9" t="s">
        <v>110</v>
      </c>
      <c r="D5" s="9" t="s">
        <v>115</v>
      </c>
      <c r="E5" s="9" t="s">
        <v>120</v>
      </c>
      <c r="F5" s="9" t="s">
        <v>129</v>
      </c>
      <c r="G5" s="9" t="s">
        <v>134</v>
      </c>
      <c r="H5" s="9" t="s">
        <v>381</v>
      </c>
    </row>
    <row r="6" spans="2:8" ht="20.100000000000001" customHeight="1" x14ac:dyDescent="0.25">
      <c r="B6" s="1" t="s">
        <v>382</v>
      </c>
      <c r="C6" s="72">
        <f>'01_PARAMETRES'!$C$17+30</f>
        <v>46143</v>
      </c>
      <c r="D6" s="72">
        <f>'01_PARAMETRES'!$C$17+60</f>
        <v>46173</v>
      </c>
      <c r="E6" s="72">
        <f>'01_PARAMETRES'!$C$17+90</f>
        <v>46203</v>
      </c>
      <c r="F6" s="72">
        <f>'01_PARAMETRES'!$C$17+180</f>
        <v>46293</v>
      </c>
      <c r="G6" s="72">
        <f>'01_PARAMETRES'!$C$17+365</f>
        <v>46478</v>
      </c>
      <c r="H6" s="73"/>
    </row>
    <row r="7" spans="2:8" ht="20.100000000000001" customHeight="1" x14ac:dyDescent="0.25">
      <c r="B7" s="49" t="s">
        <v>383</v>
      </c>
      <c r="C7" s="62"/>
      <c r="D7" s="62"/>
      <c r="E7" s="62"/>
      <c r="F7" s="62"/>
      <c r="G7" s="62"/>
      <c r="H7" s="74"/>
    </row>
    <row r="8" spans="2:8" ht="20.100000000000001" customHeight="1" x14ac:dyDescent="0.25">
      <c r="B8" s="55" t="s">
        <v>384</v>
      </c>
      <c r="C8" s="65"/>
      <c r="D8" s="65"/>
      <c r="E8" s="65"/>
      <c r="F8" s="65"/>
      <c r="G8" s="65"/>
      <c r="H8" s="75"/>
    </row>
    <row r="9" spans="2:8" ht="20.100000000000001" customHeight="1" x14ac:dyDescent="0.25">
      <c r="B9" s="49" t="s">
        <v>385</v>
      </c>
      <c r="C9" s="62"/>
      <c r="D9" s="62"/>
      <c r="E9" s="62"/>
      <c r="F9" s="62"/>
      <c r="G9" s="62"/>
      <c r="H9" s="74"/>
    </row>
    <row r="10" spans="2:8" ht="20.100000000000001" customHeight="1" x14ac:dyDescent="0.25">
      <c r="B10" s="55" t="s">
        <v>386</v>
      </c>
      <c r="C10" s="65"/>
      <c r="D10" s="65"/>
      <c r="E10" s="65"/>
      <c r="F10" s="65"/>
      <c r="G10" s="65"/>
      <c r="H10" s="75"/>
    </row>
    <row r="11" spans="2:8" ht="20.100000000000001" customHeight="1" x14ac:dyDescent="0.25">
      <c r="B11" s="49" t="s">
        <v>387</v>
      </c>
      <c r="C11" s="62"/>
      <c r="D11" s="62"/>
      <c r="E11" s="62"/>
      <c r="F11" s="62"/>
      <c r="G11" s="62"/>
      <c r="H11" s="74"/>
    </row>
    <row r="12" spans="2:8" ht="20.100000000000001" customHeight="1" x14ac:dyDescent="0.25">
      <c r="B12" s="55" t="s">
        <v>388</v>
      </c>
      <c r="C12" s="65"/>
      <c r="D12" s="65"/>
      <c r="E12" s="65"/>
      <c r="F12" s="65"/>
      <c r="G12" s="65"/>
      <c r="H12" s="75"/>
    </row>
    <row r="14" spans="2:8" ht="24" customHeight="1" x14ac:dyDescent="0.25">
      <c r="B14" s="9" t="s">
        <v>389</v>
      </c>
      <c r="C14" s="76" t="str">
        <f>IFERROR(AVERAGE(C7:C12),"")</f>
        <v/>
      </c>
      <c r="D14" s="76" t="str">
        <f>IFERROR(AVERAGE(D7:D12),"")</f>
        <v/>
      </c>
      <c r="E14" s="76" t="str">
        <f>IFERROR(AVERAGE(E7:E12),"")</f>
        <v/>
      </c>
      <c r="F14" s="76" t="str">
        <f>IFERROR(AVERAGE(F7:F12),"")</f>
        <v/>
      </c>
      <c r="G14" s="76" t="str">
        <f>IFERROR(AVERAGE(G7:G12),"")</f>
        <v/>
      </c>
      <c r="H14" s="77" t="str">
        <f>IF(COUNT(C14:G14)&lt;2,"—",IF(G14&lt;&gt;"",IF(G14&gt;IFERROR(INDEX(C14:F14,MATCH(9E+99,C14:F14)),G14),"↗️",IF(G14=IFERROR(INDEX(C14:F14,MATCH(9E+99,C14:F14)),G14),"→","↘️")),IF(F14&gt;IFERROR(INDEX(C14:E14,MATCH(9E+99,C14:E14)),F14),"↗️",IF(F14=IFERROR(INDEX(C14:E14,MATCH(9E+99,C14:E14)),F14),"→","↘️"))))</f>
        <v>—</v>
      </c>
    </row>
    <row r="17" spans="2:4" x14ac:dyDescent="0.25">
      <c r="B17" s="69" t="s">
        <v>390</v>
      </c>
      <c r="C17" s="69" t="s">
        <v>391</v>
      </c>
      <c r="D17" s="69" t="s">
        <v>392</v>
      </c>
    </row>
    <row r="18" spans="2:4" x14ac:dyDescent="0.25">
      <c r="B18" s="70" t="s">
        <v>110</v>
      </c>
      <c r="C18" s="71" t="str">
        <f>IFERROR(C14,"")</f>
        <v/>
      </c>
      <c r="D18" s="78">
        <v>5</v>
      </c>
    </row>
    <row r="19" spans="2:4" x14ac:dyDescent="0.25">
      <c r="B19" s="70" t="s">
        <v>115</v>
      </c>
      <c r="C19" s="71" t="str">
        <f>IFERROR(D14,"")</f>
        <v/>
      </c>
      <c r="D19" s="78">
        <v>5</v>
      </c>
    </row>
    <row r="20" spans="2:4" x14ac:dyDescent="0.25">
      <c r="B20" s="70" t="s">
        <v>120</v>
      </c>
      <c r="C20" s="71" t="str">
        <f>IFERROR(E14,"")</f>
        <v/>
      </c>
      <c r="D20" s="78">
        <v>5</v>
      </c>
    </row>
    <row r="21" spans="2:4" x14ac:dyDescent="0.25">
      <c r="B21" s="70" t="s">
        <v>129</v>
      </c>
      <c r="C21" s="71" t="str">
        <f>IFERROR(F14,"")</f>
        <v/>
      </c>
      <c r="D21" s="78">
        <v>5</v>
      </c>
    </row>
    <row r="22" spans="2:4" x14ac:dyDescent="0.25">
      <c r="B22" s="70" t="s">
        <v>134</v>
      </c>
      <c r="C22" s="71" t="str">
        <f>IFERROR(G14,"")</f>
        <v/>
      </c>
      <c r="D22" s="78">
        <v>5</v>
      </c>
    </row>
    <row r="44" spans="2:8" x14ac:dyDescent="0.25">
      <c r="B44" s="106" t="s">
        <v>55</v>
      </c>
      <c r="C44" s="92"/>
      <c r="D44" s="92"/>
      <c r="E44" s="92"/>
      <c r="F44" s="92"/>
      <c r="G44" s="92"/>
      <c r="H44" s="92"/>
    </row>
  </sheetData>
  <mergeCells count="3">
    <mergeCell ref="B3:H3"/>
    <mergeCell ref="B2:H2"/>
    <mergeCell ref="B44:H44"/>
  </mergeCells>
  <conditionalFormatting sqref="C7:G12">
    <cfRule type="colorScale" priority="1">
      <colorScale>
        <cfvo type="num" val="0"/>
        <cfvo type="num" val="5"/>
        <cfvo type="num" val="10"/>
        <color rgb="FFF8696B"/>
        <color rgb="FFFFEB84"/>
        <color rgb="FF63BE7B"/>
      </colorScale>
    </cfRule>
  </conditionalFormatting>
  <dataValidations count="1">
    <dataValidation type="decimal" allowBlank="1" sqref="C7:G12" xr:uid="{00000000-0002-0000-0500-000000000000}">
      <formula1>0</formula1>
      <formula2>10</formula2>
    </dataValidation>
  </dataValidation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E35B1"/>
  </sheetPr>
  <dimension ref="B1:E24"/>
  <sheetViews>
    <sheetView showGridLines="0" workbookViewId="0">
      <selection activeCell="B22" sqref="B22:D22"/>
    </sheetView>
  </sheetViews>
  <sheetFormatPr baseColWidth="10" defaultColWidth="9.140625" defaultRowHeight="15" x14ac:dyDescent="0.25"/>
  <cols>
    <col min="1" max="1" width="3" customWidth="1"/>
    <col min="2" max="2" width="36" customWidth="1"/>
    <col min="3" max="3" width="14" customWidth="1"/>
    <col min="4" max="4" width="30" customWidth="1"/>
  </cols>
  <sheetData>
    <row r="1" spans="2:5" ht="6" customHeight="1" x14ac:dyDescent="0.25"/>
    <row r="2" spans="2:5" ht="32.1" customHeight="1" x14ac:dyDescent="0.25">
      <c r="B2" s="103" t="s">
        <v>393</v>
      </c>
      <c r="C2" s="92"/>
      <c r="D2" s="92"/>
    </row>
    <row r="4" spans="2:5" ht="21.95" customHeight="1" x14ac:dyDescent="0.25">
      <c r="B4" s="97" t="s">
        <v>394</v>
      </c>
      <c r="C4" s="98"/>
      <c r="D4" s="99"/>
    </row>
    <row r="5" spans="2:5" ht="20.100000000000001" customHeight="1" x14ac:dyDescent="0.25">
      <c r="B5" s="1" t="s">
        <v>50</v>
      </c>
      <c r="C5" s="79">
        <f>'01_PARAMETRES'!C17</f>
        <v>46113</v>
      </c>
      <c r="D5" s="80"/>
    </row>
    <row r="6" spans="2:5" ht="20.100000000000001" customHeight="1" x14ac:dyDescent="0.25">
      <c r="B6" s="1" t="s">
        <v>52</v>
      </c>
      <c r="C6" s="79">
        <f>'01_PARAMETRES'!C19</f>
        <v>46203</v>
      </c>
      <c r="D6" s="80"/>
    </row>
    <row r="7" spans="2:5" ht="20.100000000000001" customHeight="1" x14ac:dyDescent="0.25">
      <c r="B7" s="1" t="s">
        <v>395</v>
      </c>
      <c r="C7" s="81">
        <f ca="1">IFERROR(IF('01_PARAMETRES'!C17="","—",TODAY()-'01_PARAMETRES'!C17),"—")</f>
        <v>0</v>
      </c>
      <c r="D7" s="80"/>
    </row>
    <row r="8" spans="2:5" ht="20.100000000000001" customHeight="1" x14ac:dyDescent="0.25">
      <c r="B8" s="1" t="s">
        <v>396</v>
      </c>
      <c r="C8" s="81">
        <f ca="1">IFERROR(IF('01_PARAMETRES'!C19="","—",'01_PARAMETRES'!C19-TODAY()),"—")</f>
        <v>90</v>
      </c>
      <c r="D8" s="80"/>
    </row>
    <row r="9" spans="2:5" ht="20.100000000000001" customHeight="1" x14ac:dyDescent="0.25">
      <c r="B9" s="1" t="s">
        <v>397</v>
      </c>
      <c r="C9" s="82">
        <f ca="1">IFERROR(IF(OR('01_PARAMETRES'!C17="",'01_PARAMETRES'!C19=""),"",(TODAY()-'01_PARAMETRES'!C17)/('01_PARAMETRES'!C19-'01_PARAMETRES'!C17)),"")</f>
        <v>0</v>
      </c>
      <c r="D9" s="80"/>
    </row>
    <row r="11" spans="2:5" ht="21.95" customHeight="1" x14ac:dyDescent="0.25">
      <c r="B11" s="113" t="s">
        <v>398</v>
      </c>
      <c r="C11" s="92"/>
      <c r="D11" s="92"/>
    </row>
    <row r="12" spans="2:5" ht="26.1" customHeight="1" x14ac:dyDescent="0.25">
      <c r="B12" s="115" t="str">
        <f ca="1">IFERROR("["&amp;REPT(CHAR(9608),ROUND(C9*20,0))&amp;REPT(CHAR(9617),20-ROUND(C9*20,0))&amp;"]  "&amp;TEXT(C9,"0%")&amp;" - "&amp;TEXT(C8,"0")&amp;" jours restants","En attente de date d'entrée")</f>
        <v>En attente de date d'entrée</v>
      </c>
      <c r="C12" s="92"/>
      <c r="D12" s="92"/>
    </row>
    <row r="14" spans="2:5" ht="21.95" customHeight="1" x14ac:dyDescent="0.25">
      <c r="B14" s="97" t="s">
        <v>399</v>
      </c>
      <c r="C14" s="98"/>
      <c r="D14" s="99"/>
    </row>
    <row r="15" spans="2:5" ht="21.95" customHeight="1" x14ac:dyDescent="0.25">
      <c r="B15" s="9" t="s">
        <v>373</v>
      </c>
      <c r="C15" s="9" t="s">
        <v>400</v>
      </c>
      <c r="D15" s="9" t="s">
        <v>401</v>
      </c>
      <c r="E15" s="121" t="s">
        <v>571</v>
      </c>
    </row>
    <row r="16" spans="2:5" ht="21.95" customHeight="1" x14ac:dyDescent="0.25">
      <c r="B16" s="49" t="s">
        <v>402</v>
      </c>
      <c r="C16" s="83" t="str">
        <f>IFERROR(IF('06_EVALUATIONS'!E14&gt;=6,"✅","❌"),"⏳ En attente")</f>
        <v>✅</v>
      </c>
      <c r="D16" s="84" t="str">
        <f>IFERROR("Score actuel : "&amp;TEXT('06_EVALUATIONS'!E14,"0.0")&amp;"/10","Eval J+90 non saisie")</f>
        <v>Score actuel : /10</v>
      </c>
      <c r="E16">
        <v>0.3</v>
      </c>
    </row>
    <row r="17" spans="2:5" ht="21.95" customHeight="1" x14ac:dyDescent="0.25">
      <c r="B17" s="55" t="s">
        <v>403</v>
      </c>
      <c r="C17" s="85" t="str">
        <f>IFERROR(IF(COUNTIF('04_CHECKLIST'!E6:E13,"☑")=8,"✅","❌"),"⏳")</f>
        <v>❌</v>
      </c>
      <c r="D17" s="86" t="str">
        <f>IFERROR(TEXT(COUNTIF('04_CHECKLIST'!E6:E13,"☑")/8,"0%")&amp;" ("&amp;COUNTIF('04_CHECKLIST'!E6:E13,"☑")&amp;"/8)","Checklist vide")</f>
        <v>0% (0/8)</v>
      </c>
      <c r="E17">
        <v>0.15</v>
      </c>
    </row>
    <row r="18" spans="2:5" ht="21.95" customHeight="1" x14ac:dyDescent="0.25">
      <c r="B18" s="49" t="s">
        <v>404</v>
      </c>
      <c r="C18" s="83" t="str">
        <f>IFERROR(IF('06_EVALUATIONS'!E11&gt;=7,"✅","❌"),"⏳ En attente")</f>
        <v>❌</v>
      </c>
      <c r="D18" s="84" t="str">
        <f>IFERROR("Culture J+90 : "&amp;TEXT('06_EVALUATIONS'!E11,"0.0")&amp;"/10","Eval non saisie")</f>
        <v>Culture J+90 : 0.0/10</v>
      </c>
      <c r="E18">
        <v>0.25</v>
      </c>
    </row>
    <row r="19" spans="2:5" ht="21.95" customHeight="1" x14ac:dyDescent="0.25">
      <c r="B19" s="55" t="s">
        <v>405</v>
      </c>
      <c r="C19" s="85" t="str">
        <f>IFERROR(IF(AVERAGE('05_BUDDY'!E11:H16)&gt;=3,"✅","❌"),"⏳ En attente")</f>
        <v>⏳ En attente</v>
      </c>
      <c r="D19" s="86" t="str">
        <f>IFERROR("Moy. buddy : "&amp;TEXT(AVERAGE('05_BUDDY'!E11:H16),"0.0")&amp;"/5","Points buddy vides")</f>
        <v>Points buddy vides</v>
      </c>
      <c r="E19">
        <v>0.15</v>
      </c>
    </row>
    <row r="20" spans="2:5" ht="27.75" customHeight="1" x14ac:dyDescent="0.25">
      <c r="B20" s="49" t="s">
        <v>406</v>
      </c>
      <c r="C20" s="83" t="s">
        <v>407</v>
      </c>
      <c r="D20" s="84" t="s">
        <v>408</v>
      </c>
      <c r="E20">
        <v>0.15</v>
      </c>
    </row>
    <row r="22" spans="2:5" ht="30" customHeight="1" x14ac:dyDescent="0.25">
      <c r="B22" s="114" t="str" cm="1">
        <f t="array" ref="B22">IFERROR(_xlfn.LET(_xlpm.sc,SUMPRODUCT((C16:C20="✅")*E16:E20),_xlpm.crit,AND(C16="✅",C18="✅"),_xlpm.faibles,IF(C16&lt;&gt;"✅",B16&amp;" ","")&amp;IF(C17&lt;&gt;"✅",B17&amp;" ","")&amp;IF(C18&lt;&gt;"✅",B18&amp;" ","")&amp;IF(C19&lt;&gt;"✅",B19&amp;" ","")&amp;IF(C20&lt;&gt;"✅",B20&amp;" ",""),IF(AND(_xlpm.sc&gt;=0.85,_xlpm.crit),"🟢  VALIDER (≥ 85%) — Score : "&amp;TEXT(_xlpm.sc,"0%"),IF(NOT(_xlpm.crit),"🔴  NE PAS VALIDER — Critères critiques : "&amp;IF(C16&lt;&gt;"✅","Technique ","")&amp;IF(C18&lt;&gt;"✅","Culture",""),IF(_xlpm.sc&gt;=0.6,"🟡  PROLONGER (60–85%) — Score : "&amp;TEXT(_xlpm.sc,"0%")&amp;" — Travailler : "&amp;TRIM(_xlpm.faibles),"🔴  NE PAS VALIDER — Score insuffisant : "&amp;TEXT(_xlpm.sc,"0%"))))),"Critères non encore évalués")</f>
        <v>🔴  NE PAS VALIDER — Critères critiques : Culture</v>
      </c>
      <c r="C22" s="92"/>
      <c r="D22" s="92" t="str" cm="1">
        <f t="array" ref="D22">IFERROR("Score pondéré : "&amp;TEXT(SUMPRODUCT((C16:C20="✅")*E16:E20),"0%")&amp;" (seuil VALIDER ≥85%, PROLONGER ≥60%)","")</f>
        <v>Score pondéré : 45% (seuil VALIDER ≥85%, PROLONGER ≥60%)</v>
      </c>
    </row>
    <row r="24" spans="2:5" x14ac:dyDescent="0.25">
      <c r="B24" s="106" t="s">
        <v>55</v>
      </c>
      <c r="C24" s="92"/>
      <c r="D24" s="92"/>
    </row>
  </sheetData>
  <mergeCells count="7">
    <mergeCell ref="B24:D24"/>
    <mergeCell ref="B2:D2"/>
    <mergeCell ref="B11:D11"/>
    <mergeCell ref="B14:D14"/>
    <mergeCell ref="B22:D22"/>
    <mergeCell ref="B4:D4"/>
    <mergeCell ref="B12:D12"/>
  </mergeCells>
  <conditionalFormatting sqref="B22:D22">
    <cfRule type="expression" dxfId="4" priority="1">
      <formula>COUNTIF(C16:C20,"✅")=5</formula>
    </cfRule>
    <cfRule type="expression" dxfId="3" priority="2">
      <formula>AND(COUNTIF(C16:C20,"✅")&gt;=3,COUNTIF(C16:C20,"✅")&lt;5)</formula>
    </cfRule>
    <cfRule type="expression" dxfId="2" priority="3">
      <formula>COUNTIF(C16:C20,"✅")&lt;3</formula>
    </cfRule>
  </conditionalFormatting>
  <dataValidations count="1">
    <dataValidation type="list" sqref="C16:C20" xr:uid="{00000000-0002-0000-0600-000000000000}">
      <formula1>"✅,❌,⏳ En attente"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4AF37"/>
  </sheetPr>
  <dimension ref="B1:F35"/>
  <sheetViews>
    <sheetView showGridLines="0" tabSelected="1" workbookViewId="0">
      <selection activeCell="D6" sqref="D6"/>
    </sheetView>
  </sheetViews>
  <sheetFormatPr baseColWidth="10" defaultColWidth="9.140625" defaultRowHeight="15" x14ac:dyDescent="0.25"/>
  <cols>
    <col min="1" max="1" width="3" customWidth="1"/>
    <col min="2" max="4" width="22" customWidth="1"/>
    <col min="5" max="5" width="27.140625" customWidth="1"/>
    <col min="6" max="6" width="18" customWidth="1"/>
  </cols>
  <sheetData>
    <row r="1" spans="2:6" ht="6" customHeight="1" x14ac:dyDescent="0.25"/>
    <row r="2" spans="2:6" ht="33.950000000000003" customHeight="1" x14ac:dyDescent="0.25">
      <c r="B2" s="103" t="str">
        <f>IFERROR("Onboarding — "&amp;'01_PARAMETRES'!C7&amp;" | "&amp;'01_PARAMETRES'!C8&amp;" | "&amp;'01_PARAMETRES'!C6&amp;" — Entré le "&amp;TEXT('01_PARAMETRES'!C17,"jj/mm/aaaa"),"NEURAL — LuxeOnboarding Dashboard")</f>
        <v>Onboarding — Labeaut Ludovic | Étireur Peaux Ganterie | Louis Vuitton — Entré le 01/04/2026</v>
      </c>
      <c r="C2" s="92"/>
      <c r="D2" s="92"/>
      <c r="E2" s="92"/>
      <c r="F2" s="92"/>
    </row>
    <row r="3" spans="2:6" ht="18" customHeight="1" x14ac:dyDescent="0.25">
      <c r="B3" s="96" t="s">
        <v>0</v>
      </c>
      <c r="C3" s="92"/>
      <c r="D3" s="92"/>
      <c r="E3" s="92"/>
      <c r="F3" s="92"/>
    </row>
    <row r="5" spans="2:6" ht="21.95" customHeight="1" x14ac:dyDescent="0.25">
      <c r="B5" s="87" t="s">
        <v>1</v>
      </c>
      <c r="C5" s="87" t="s">
        <v>2</v>
      </c>
      <c r="D5" s="87" t="s">
        <v>3</v>
      </c>
      <c r="E5" s="87" t="s">
        <v>4</v>
      </c>
    </row>
    <row r="6" spans="2:6" ht="32.1" customHeight="1" x14ac:dyDescent="0.25">
      <c r="B6" s="88" t="str">
        <f>IFERROR(TEXT(COUNTIF('04_CHECKLIST'!E6:E13,"☑")/8,"0%"),"—")</f>
        <v>0%</v>
      </c>
      <c r="C6" s="88" t="str">
        <f>IFERROR(TEXT(MAX('06_EVALUATIONS'!C14:G14),"0.0")&amp;"/10","—")</f>
        <v>0.0/10</v>
      </c>
      <c r="D6" s="88" t="str">
        <f ca="1">IFERROR(TEXT('01_PARAMETRES'!C19-TODAY(),"0")&amp;" j","—")</f>
        <v>90 j</v>
      </c>
      <c r="E6" s="88" t="str" cm="1">
        <f t="array" ref="E6">IFERROR(_xlfn.LET(_xlpm.sc,SUMPRODUCT(('07_PROBATION'!C16:C20="✅")*'07_PROBATION'!E16:E20),_xlpm.crit,AND('07_PROBATION'!C16="✅",'07_PROBATION'!C18="✅"),IF(AND(_xlpm.sc&gt;=0.85,_xlpm.crit),"🟢 VALIDER — "&amp;TEXT(_xlpm.sc,"0%"),IF(NOT(_xlpm.crit),"🔴 À RISQUE — "&amp;TEXT(_xlpm.sc,"0%"),IF(_xlpm.sc&gt;=0.6,"🟡 PROLONGER — "&amp;TEXT(_xlpm.sc,"0%"),"🔴 À RISQUE — "&amp;TEXT(_xlpm.sc,"0%"))))),"⏳ En cours")</f>
        <v>🔴 À RISQUE — 45%</v>
      </c>
    </row>
    <row r="7" spans="2:6" ht="18" customHeight="1" x14ac:dyDescent="0.25">
      <c r="B7" s="89" t="str">
        <f>IFERROR(COUNTIF('04_CHECKLIST'!E6:E13,"☑")&amp;"/8 formations","")</f>
        <v>0/8 formations</v>
      </c>
      <c r="C7" s="89" t="str">
        <f>IFERROR("Dernière évaluation saisie","")</f>
        <v>Dernière évaluation saisie</v>
      </c>
      <c r="D7" s="89" t="str">
        <f>IFERROR("Fin : "&amp;TEXT('01_PARAMETRES'!C19,"jj/mm/aa"),"")</f>
        <v>Fin : 30/06/26</v>
      </c>
      <c r="E7" s="89" t="str">
        <f>IFERROR(COUNTIF('07_PROBATION'!C16:C20,"✅")&amp;"/5 critères OK","")</f>
        <v>2/5 critères OK</v>
      </c>
    </row>
    <row r="9" spans="2:6" ht="21.95" customHeight="1" x14ac:dyDescent="0.25">
      <c r="B9" s="97" t="s">
        <v>5</v>
      </c>
      <c r="C9" s="98"/>
      <c r="D9" s="98"/>
      <c r="E9" s="98"/>
      <c r="F9" s="99"/>
    </row>
    <row r="10" spans="2:6" ht="20.100000000000001" customHeight="1" x14ac:dyDescent="0.25">
      <c r="B10" s="1" t="s">
        <v>6</v>
      </c>
      <c r="C10" s="91" t="str">
        <f>'01_PARAMETRES'!C7</f>
        <v>Labeaut Ludovic</v>
      </c>
      <c r="D10" s="92"/>
      <c r="E10" s="92"/>
      <c r="F10" s="92"/>
    </row>
    <row r="11" spans="2:6" ht="20.100000000000001" customHeight="1" x14ac:dyDescent="0.25">
      <c r="B11" s="1" t="s">
        <v>7</v>
      </c>
      <c r="C11" s="91" t="str">
        <f>'01_PARAMETRES'!C6</f>
        <v>Louis Vuitton</v>
      </c>
      <c r="D11" s="92"/>
      <c r="E11" s="92"/>
      <c r="F11" s="92"/>
    </row>
    <row r="12" spans="2:6" ht="20.100000000000001" customHeight="1" x14ac:dyDescent="0.25">
      <c r="B12" s="1" t="s">
        <v>8</v>
      </c>
      <c r="C12" s="91" t="str">
        <f>'01_PARAMETRES'!C8</f>
        <v>Étireur Peaux Ganterie</v>
      </c>
      <c r="D12" s="92"/>
      <c r="E12" s="92"/>
      <c r="F12" s="92"/>
    </row>
    <row r="13" spans="2:6" ht="20.100000000000001" customHeight="1" x14ac:dyDescent="0.25">
      <c r="B13" s="1" t="s">
        <v>9</v>
      </c>
      <c r="C13" s="91" t="str">
        <f>'01_PARAMETRES'!C9</f>
        <v>Ganterie</v>
      </c>
      <c r="D13" s="92"/>
      <c r="E13" s="92"/>
      <c r="F13" s="92"/>
    </row>
    <row r="14" spans="2:6" ht="20.100000000000001" customHeight="1" x14ac:dyDescent="0.25">
      <c r="B14" s="1" t="s">
        <v>10</v>
      </c>
      <c r="C14" s="91" t="str">
        <f>'01_PARAMETRES'!C10</f>
        <v>N1</v>
      </c>
      <c r="D14" s="92"/>
      <c r="E14" s="92"/>
      <c r="F14" s="92"/>
    </row>
    <row r="15" spans="2:6" ht="20.100000000000001" customHeight="1" x14ac:dyDescent="0.25">
      <c r="B15" s="1" t="s">
        <v>11</v>
      </c>
      <c r="C15" s="91">
        <f>'01_PARAMETRES'!C12</f>
        <v>0</v>
      </c>
      <c r="D15" s="92"/>
      <c r="E15" s="92"/>
      <c r="F15" s="92"/>
    </row>
    <row r="16" spans="2:6" ht="20.100000000000001" customHeight="1" x14ac:dyDescent="0.25">
      <c r="B16" s="1" t="s">
        <v>12</v>
      </c>
      <c r="C16" s="91">
        <f>'01_PARAMETRES'!C13</f>
        <v>0</v>
      </c>
      <c r="D16" s="92"/>
      <c r="E16" s="92"/>
      <c r="F16" s="92"/>
    </row>
    <row r="17" spans="2:6" ht="20.100000000000001" customHeight="1" x14ac:dyDescent="0.25">
      <c r="B17" s="1" t="s">
        <v>13</v>
      </c>
      <c r="C17" s="91" t="str">
        <f>IFERROR(IF('01_PARAMETRES'!C17="","Non renseignée",TEXT('01_PARAMETRES'!C17,"jj/mm/aa")),"Non renseignée")</f>
        <v>01/04/26</v>
      </c>
      <c r="D17" s="92"/>
      <c r="E17" s="92"/>
      <c r="F17" s="92"/>
    </row>
    <row r="18" spans="2:6" ht="20.100000000000001" customHeight="1" x14ac:dyDescent="0.25">
      <c r="B18" s="1" t="s">
        <v>14</v>
      </c>
      <c r="C18" s="91" t="str">
        <f>IFERROR(IF('01_PARAMETRES'!C19="","—",TEXT('01_PARAMETRES'!C19,"jj/mm/aa")),"—")</f>
        <v>30/06/26</v>
      </c>
      <c r="D18" s="92"/>
      <c r="E18" s="92"/>
      <c r="F18" s="92"/>
    </row>
    <row r="19" spans="2:6" ht="20.100000000000001" customHeight="1" x14ac:dyDescent="0.25">
      <c r="B19" s="1" t="s">
        <v>15</v>
      </c>
      <c r="C19" s="91" t="str">
        <f>'01_PARAMETRES'!C21</f>
        <v>CDD</v>
      </c>
      <c r="D19" s="92"/>
      <c r="E19" s="92"/>
      <c r="F19" s="92"/>
    </row>
    <row r="21" spans="2:6" ht="21.95" customHeight="1" x14ac:dyDescent="0.25">
      <c r="B21" s="97" t="s">
        <v>16</v>
      </c>
      <c r="C21" s="98"/>
      <c r="D21" s="98"/>
      <c r="E21" s="98"/>
      <c r="F21" s="99"/>
    </row>
    <row r="22" spans="2:6" ht="20.100000000000001" customHeight="1" x14ac:dyDescent="0.25">
      <c r="B22" s="49" t="s">
        <v>17</v>
      </c>
      <c r="C22" s="74" t="str">
        <f>'04_CHECKLIST'!E6</f>
        <v>☐</v>
      </c>
      <c r="D22" s="100" t="str">
        <f ca="1">'04_CHECKLIST'!G6</f>
        <v>🟡 Échéance dans 1 j</v>
      </c>
      <c r="E22" s="101"/>
      <c r="F22" s="102"/>
    </row>
    <row r="23" spans="2:6" ht="20.100000000000001" customHeight="1" x14ac:dyDescent="0.25">
      <c r="B23" s="55" t="s">
        <v>18</v>
      </c>
      <c r="C23" s="75" t="str">
        <f>'04_CHECKLIST'!E7</f>
        <v>☐</v>
      </c>
      <c r="D23" s="93" t="str">
        <f ca="1">'04_CHECKLIST'!G7</f>
        <v/>
      </c>
      <c r="E23" s="94"/>
      <c r="F23" s="95"/>
    </row>
    <row r="24" spans="2:6" ht="20.100000000000001" customHeight="1" x14ac:dyDescent="0.25">
      <c r="B24" s="49" t="s">
        <v>19</v>
      </c>
      <c r="C24" s="74" t="str">
        <f>'04_CHECKLIST'!E8</f>
        <v>☐</v>
      </c>
      <c r="D24" s="100" t="str">
        <f ca="1">'04_CHECKLIST'!G8</f>
        <v/>
      </c>
      <c r="E24" s="101"/>
      <c r="F24" s="102"/>
    </row>
    <row r="25" spans="2:6" ht="20.100000000000001" customHeight="1" x14ac:dyDescent="0.25">
      <c r="B25" s="55" t="s">
        <v>20</v>
      </c>
      <c r="C25" s="75" t="str">
        <f>'04_CHECKLIST'!E9</f>
        <v>☐</v>
      </c>
      <c r="D25" s="93" t="str">
        <f ca="1">'04_CHECKLIST'!G9</f>
        <v/>
      </c>
      <c r="E25" s="94"/>
      <c r="F25" s="95"/>
    </row>
    <row r="26" spans="2:6" ht="20.100000000000001" customHeight="1" x14ac:dyDescent="0.25">
      <c r="B26" s="49" t="s">
        <v>21</v>
      </c>
      <c r="C26" s="74" t="str">
        <f>'04_CHECKLIST'!E10</f>
        <v>☐</v>
      </c>
      <c r="D26" s="100" t="str">
        <f ca="1">'04_CHECKLIST'!G10</f>
        <v/>
      </c>
      <c r="E26" s="101"/>
      <c r="F26" s="102"/>
    </row>
    <row r="27" spans="2:6" ht="20.100000000000001" customHeight="1" x14ac:dyDescent="0.25">
      <c r="B27" s="55" t="s">
        <v>22</v>
      </c>
      <c r="C27" s="75" t="str">
        <f>'04_CHECKLIST'!E11</f>
        <v>☐</v>
      </c>
      <c r="D27" s="93" t="str">
        <f ca="1">'04_CHECKLIST'!G11</f>
        <v/>
      </c>
      <c r="E27" s="94"/>
      <c r="F27" s="95"/>
    </row>
    <row r="28" spans="2:6" ht="20.100000000000001" customHeight="1" x14ac:dyDescent="0.25">
      <c r="B28" s="49" t="s">
        <v>23</v>
      </c>
      <c r="C28" s="74" t="str">
        <f>'04_CHECKLIST'!E12</f>
        <v>☐</v>
      </c>
      <c r="D28" s="100" t="str">
        <f ca="1">'04_CHECKLIST'!G12</f>
        <v/>
      </c>
      <c r="E28" s="101"/>
      <c r="F28" s="102"/>
    </row>
    <row r="29" spans="2:6" ht="20.100000000000001" customHeight="1" x14ac:dyDescent="0.25">
      <c r="B29" s="55" t="s">
        <v>24</v>
      </c>
      <c r="C29" s="75" t="str">
        <f>'04_CHECKLIST'!E13</f>
        <v>☐</v>
      </c>
      <c r="D29" s="93" t="str">
        <f ca="1">'04_CHECKLIST'!G13</f>
        <v/>
      </c>
      <c r="E29" s="94"/>
      <c r="F29" s="95"/>
    </row>
    <row r="31" spans="2:6" ht="21.95" customHeight="1" x14ac:dyDescent="0.25">
      <c r="B31" s="97" t="s">
        <v>25</v>
      </c>
      <c r="C31" s="98"/>
      <c r="D31" s="98"/>
      <c r="E31" s="98"/>
      <c r="F31" s="99"/>
    </row>
    <row r="32" spans="2:6" ht="21.95" customHeight="1" x14ac:dyDescent="0.25">
      <c r="B32" s="90" t="s">
        <v>26</v>
      </c>
      <c r="C32" s="90" t="s">
        <v>27</v>
      </c>
      <c r="D32" s="90" t="s">
        <v>28</v>
      </c>
      <c r="E32" s="90" t="s">
        <v>29</v>
      </c>
    </row>
    <row r="33" spans="2:6" ht="21.95" customHeight="1" x14ac:dyDescent="0.25">
      <c r="B33" s="90" t="s">
        <v>30</v>
      </c>
      <c r="C33" s="90" t="s">
        <v>31</v>
      </c>
      <c r="D33" s="90" t="s">
        <v>32</v>
      </c>
      <c r="E33" s="90" t="s">
        <v>33</v>
      </c>
    </row>
    <row r="35" spans="2:6" x14ac:dyDescent="0.25">
      <c r="B35" s="104" t="s">
        <v>34</v>
      </c>
      <c r="C35" s="92"/>
      <c r="D35" s="92"/>
      <c r="E35" s="92"/>
      <c r="F35" s="92"/>
    </row>
  </sheetData>
  <mergeCells count="24">
    <mergeCell ref="B35:F35"/>
    <mergeCell ref="B2:F2"/>
    <mergeCell ref="C15:F15"/>
    <mergeCell ref="D25:F25"/>
    <mergeCell ref="C14:F14"/>
    <mergeCell ref="D24:F24"/>
    <mergeCell ref="D23:F23"/>
    <mergeCell ref="C16:F16"/>
    <mergeCell ref="C10:F10"/>
    <mergeCell ref="B9:F9"/>
    <mergeCell ref="C12:F12"/>
    <mergeCell ref="D22:F22"/>
    <mergeCell ref="C11:F11"/>
    <mergeCell ref="C17:F17"/>
    <mergeCell ref="D27:F27"/>
    <mergeCell ref="B3:F3"/>
    <mergeCell ref="B31:F31"/>
    <mergeCell ref="C19:F19"/>
    <mergeCell ref="C13:F13"/>
    <mergeCell ref="B21:F21"/>
    <mergeCell ref="C18:F18"/>
    <mergeCell ref="D28:F28"/>
    <mergeCell ref="D29:F29"/>
    <mergeCell ref="D26:F26"/>
  </mergeCells>
  <conditionalFormatting sqref="C22:C29">
    <cfRule type="expression" dxfId="1" priority="1">
      <formula>C22="☑"</formula>
    </cfRule>
    <cfRule type="expression" dxfId="0" priority="2">
      <formula>C22="☐"</formula>
    </cfRule>
  </conditionalFormatting>
  <hyperlinks>
    <hyperlink ref="B32" location="'01_PARAMETRES'!B2" display="⚙️ Paramètres" xr:uid="{00000000-0004-0000-0700-000000000000}"/>
    <hyperlink ref="C32" location="'02_PARCOURS'!B2" display="📋 Parcours" xr:uid="{00000000-0004-0000-0700-000001000000}"/>
    <hyperlink ref="D32" location="'03_CULTURE'!B2" display="🏛️ Culture" xr:uid="{00000000-0004-0000-0700-000002000000}"/>
    <hyperlink ref="E32" location="'04_CHECKLIST'!B2" display="✅ Checklist" xr:uid="{00000000-0004-0000-0700-000003000000}"/>
    <hyperlink ref="B33" location="'05_BUDDY'!B2" display="🤝 Buddy" xr:uid="{00000000-0004-0000-0700-000004000000}"/>
    <hyperlink ref="C33" location="'06_EVALUATIONS'!B2" display="🎯 Évaluations" xr:uid="{00000000-0004-0000-0700-000005000000}"/>
    <hyperlink ref="D33" location="'07_PROBATION'!B2" display="⚖️ Probation" xr:uid="{00000000-0004-0000-0700-000006000000}"/>
    <hyperlink ref="E33" location="'08_DASHBOARD'!B2" display="📊 Dashboard" xr:uid="{00000000-0004-0000-0700-000007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53F82-7D2E-42EB-A178-15414B634AD4}">
  <dimension ref="A1:M11"/>
  <sheetViews>
    <sheetView workbookViewId="0"/>
  </sheetViews>
  <sheetFormatPr baseColWidth="10" defaultRowHeight="15" x14ac:dyDescent="0.25"/>
  <sheetData>
    <row r="1" spans="1:13" x14ac:dyDescent="0.25">
      <c r="A1" s="116" t="s">
        <v>432</v>
      </c>
      <c r="B1" s="116" t="s">
        <v>433</v>
      </c>
      <c r="C1" s="116" t="s">
        <v>434</v>
      </c>
      <c r="D1" s="116" t="s">
        <v>435</v>
      </c>
      <c r="E1" s="116" t="s">
        <v>280</v>
      </c>
      <c r="F1" s="116" t="s">
        <v>436</v>
      </c>
      <c r="G1" s="116" t="s">
        <v>437</v>
      </c>
      <c r="H1" s="116" t="s">
        <v>438</v>
      </c>
      <c r="I1" s="116" t="s">
        <v>439</v>
      </c>
      <c r="J1" s="116" t="s">
        <v>426</v>
      </c>
      <c r="K1" s="116" t="s">
        <v>440</v>
      </c>
      <c r="M1" s="116" t="s">
        <v>560</v>
      </c>
    </row>
    <row r="2" spans="1:13" x14ac:dyDescent="0.25">
      <c r="A2" t="s">
        <v>441</v>
      </c>
      <c r="B2" t="s">
        <v>451</v>
      </c>
      <c r="C2" t="s">
        <v>461</v>
      </c>
      <c r="D2" t="s">
        <v>471</v>
      </c>
      <c r="E2" t="s">
        <v>481</v>
      </c>
      <c r="F2" t="s">
        <v>491</v>
      </c>
      <c r="G2" t="s">
        <v>501</v>
      </c>
      <c r="H2" t="s">
        <v>511</v>
      </c>
      <c r="I2" t="s">
        <v>521</v>
      </c>
      <c r="J2" t="s">
        <v>531</v>
      </c>
      <c r="K2" t="s">
        <v>541</v>
      </c>
      <c r="M2" t="str" cm="1">
        <f t="array" ref="M2">IFERROR(INDEX($A$2:$K$11,ROW()-1,MATCH('01_PARAMETRES'!$C$9,$A$1:$K$1,0)),"")</f>
        <v>Gantier</v>
      </c>
    </row>
    <row r="3" spans="1:13" x14ac:dyDescent="0.25">
      <c r="A3" t="s">
        <v>442</v>
      </c>
      <c r="B3" t="s">
        <v>452</v>
      </c>
      <c r="C3" t="s">
        <v>462</v>
      </c>
      <c r="D3" t="s">
        <v>472</v>
      </c>
      <c r="E3" t="s">
        <v>482</v>
      </c>
      <c r="F3" t="s">
        <v>492</v>
      </c>
      <c r="G3" t="s">
        <v>502</v>
      </c>
      <c r="H3" t="s">
        <v>512</v>
      </c>
      <c r="I3" t="s">
        <v>522</v>
      </c>
      <c r="J3" t="s">
        <v>532</v>
      </c>
      <c r="K3" t="s">
        <v>542</v>
      </c>
      <c r="M3" t="str" cm="1">
        <f t="array" ref="M3">IFERROR(INDEX($A$2:$K$11,ROW()-1,MATCH('01_PARAMETRES'!$C$9,$A$1:$K$1,0)),"")</f>
        <v>Coupeur Ganterie</v>
      </c>
    </row>
    <row r="4" spans="1:13" x14ac:dyDescent="0.25">
      <c r="A4" t="s">
        <v>443</v>
      </c>
      <c r="B4" t="s">
        <v>453</v>
      </c>
      <c r="C4" t="s">
        <v>463</v>
      </c>
      <c r="D4" t="s">
        <v>473</v>
      </c>
      <c r="E4" t="s">
        <v>483</v>
      </c>
      <c r="F4" t="s">
        <v>493</v>
      </c>
      <c r="G4" t="s">
        <v>503</v>
      </c>
      <c r="H4" t="s">
        <v>513</v>
      </c>
      <c r="I4" t="s">
        <v>523</v>
      </c>
      <c r="J4" t="s">
        <v>533</v>
      </c>
      <c r="K4" t="s">
        <v>543</v>
      </c>
      <c r="M4" t="str" cm="1">
        <f t="array" ref="M4">IFERROR(INDEX($A$2:$K$11,ROW()-1,MATCH('01_PARAMETRES'!$C$9,$A$1:$K$1,0)),"")</f>
        <v>Couseur Gants</v>
      </c>
    </row>
    <row r="5" spans="1:13" x14ac:dyDescent="0.25">
      <c r="A5" t="s">
        <v>444</v>
      </c>
      <c r="B5" t="s">
        <v>454</v>
      </c>
      <c r="C5" t="s">
        <v>464</v>
      </c>
      <c r="D5" t="s">
        <v>474</v>
      </c>
      <c r="E5" t="s">
        <v>484</v>
      </c>
      <c r="F5" t="s">
        <v>494</v>
      </c>
      <c r="G5" t="s">
        <v>504</v>
      </c>
      <c r="H5" t="s">
        <v>514</v>
      </c>
      <c r="I5" t="s">
        <v>524</v>
      </c>
      <c r="J5" t="s">
        <v>534</v>
      </c>
      <c r="K5" t="s">
        <v>544</v>
      </c>
      <c r="M5" t="str" cm="1">
        <f t="array" ref="M5">IFERROR(INDEX($A$2:$K$11,ROW()-1,MATCH('01_PARAMETRES'!$C$9,$A$1:$K$1,0)),"")</f>
        <v>Étireur Peaux Ganterie</v>
      </c>
    </row>
    <row r="6" spans="1:13" x14ac:dyDescent="0.25">
      <c r="A6" t="s">
        <v>445</v>
      </c>
      <c r="B6" t="s">
        <v>455</v>
      </c>
      <c r="C6" t="s">
        <v>465</v>
      </c>
      <c r="D6" t="s">
        <v>475</v>
      </c>
      <c r="E6" t="s">
        <v>485</v>
      </c>
      <c r="F6" t="s">
        <v>495</v>
      </c>
      <c r="G6" t="s">
        <v>505</v>
      </c>
      <c r="H6" t="s">
        <v>515</v>
      </c>
      <c r="I6" t="s">
        <v>525</v>
      </c>
      <c r="J6" t="s">
        <v>535</v>
      </c>
      <c r="K6" t="s">
        <v>545</v>
      </c>
      <c r="M6" t="str" cm="1">
        <f t="array" ref="M6">IFERROR(INDEX($A$2:$K$11,ROW()-1,MATCH('01_PARAMETRES'!$C$9,$A$1:$K$1,0)),"")</f>
        <v>Finisseur Gants</v>
      </c>
    </row>
    <row r="7" spans="1:13" x14ac:dyDescent="0.25">
      <c r="A7" t="s">
        <v>446</v>
      </c>
      <c r="B7" t="s">
        <v>456</v>
      </c>
      <c r="C7" t="s">
        <v>466</v>
      </c>
      <c r="D7" t="s">
        <v>476</v>
      </c>
      <c r="E7" t="s">
        <v>486</v>
      </c>
      <c r="F7" t="s">
        <v>496</v>
      </c>
      <c r="G7" t="s">
        <v>506</v>
      </c>
      <c r="H7" t="s">
        <v>516</v>
      </c>
      <c r="I7" t="s">
        <v>526</v>
      </c>
      <c r="J7" t="s">
        <v>536</v>
      </c>
      <c r="K7" t="s">
        <v>546</v>
      </c>
      <c r="M7" t="str" cm="1">
        <f t="array" ref="M7">IFERROR(INDEX($A$2:$K$11,ROW()-1,MATCH('01_PARAMETRES'!$C$9,$A$1:$K$1,0)),"")</f>
        <v>Prototypiste Ganterie</v>
      </c>
    </row>
    <row r="8" spans="1:13" x14ac:dyDescent="0.25">
      <c r="A8" t="s">
        <v>447</v>
      </c>
      <c r="B8" t="s">
        <v>457</v>
      </c>
      <c r="C8" t="s">
        <v>467</v>
      </c>
      <c r="D8" t="s">
        <v>477</v>
      </c>
      <c r="E8" t="s">
        <v>487</v>
      </c>
      <c r="F8" t="s">
        <v>497</v>
      </c>
      <c r="G8" t="s">
        <v>507</v>
      </c>
      <c r="H8" t="s">
        <v>517</v>
      </c>
      <c r="I8" t="s">
        <v>527</v>
      </c>
      <c r="J8" t="s">
        <v>537</v>
      </c>
      <c r="K8" t="s">
        <v>547</v>
      </c>
      <c r="M8" t="str" cm="1">
        <f t="array" ref="M8">IFERROR(INDEX($A$2:$K$11,ROW()-1,MATCH('01_PARAMETRES'!$C$9,$A$1:$K$1,0)),"")</f>
        <v>Chef d'Atelier Ganterie</v>
      </c>
    </row>
    <row r="9" spans="1:13" x14ac:dyDescent="0.25">
      <c r="A9" t="s">
        <v>448</v>
      </c>
      <c r="B9" t="s">
        <v>458</v>
      </c>
      <c r="C9" t="s">
        <v>468</v>
      </c>
      <c r="D9" t="s">
        <v>478</v>
      </c>
      <c r="E9" t="s">
        <v>488</v>
      </c>
      <c r="F9" t="s">
        <v>498</v>
      </c>
      <c r="G9" t="s">
        <v>508</v>
      </c>
      <c r="H9" t="s">
        <v>518</v>
      </c>
      <c r="I9" t="s">
        <v>528</v>
      </c>
      <c r="J9" t="s">
        <v>538</v>
      </c>
      <c r="K9" t="s">
        <v>548</v>
      </c>
      <c r="M9" t="str" cm="1">
        <f t="array" ref="M9">IFERROR(INDEX($A$2:$K$11,ROW()-1,MATCH('01_PARAMETRES'!$C$9,$A$1:$K$1,0)),"")</f>
        <v>Contrôleur Qualité Ganterie</v>
      </c>
    </row>
    <row r="10" spans="1:13" x14ac:dyDescent="0.25">
      <c r="A10" t="s">
        <v>449</v>
      </c>
      <c r="B10" t="s">
        <v>459</v>
      </c>
      <c r="C10" t="s">
        <v>469</v>
      </c>
      <c r="D10" t="s">
        <v>479</v>
      </c>
      <c r="E10" t="s">
        <v>489</v>
      </c>
      <c r="F10" t="s">
        <v>499</v>
      </c>
      <c r="G10" t="s">
        <v>509</v>
      </c>
      <c r="H10" t="s">
        <v>519</v>
      </c>
      <c r="I10" t="s">
        <v>529</v>
      </c>
      <c r="J10" t="s">
        <v>539</v>
      </c>
      <c r="K10" t="s">
        <v>549</v>
      </c>
      <c r="M10" t="str" cm="1">
        <f t="array" ref="M10">IFERROR(INDEX($A$2:$K$11,ROW()-1,MATCH('01_PARAMETRES'!$C$9,$A$1:$K$1,0)),"")</f>
        <v>Coloriste Ganterie</v>
      </c>
    </row>
    <row r="11" spans="1:13" x14ac:dyDescent="0.25">
      <c r="A11" t="s">
        <v>450</v>
      </c>
      <c r="B11" t="s">
        <v>460</v>
      </c>
      <c r="C11" t="s">
        <v>470</v>
      </c>
      <c r="D11" t="s">
        <v>480</v>
      </c>
      <c r="E11" t="s">
        <v>490</v>
      </c>
      <c r="F11" t="s">
        <v>500</v>
      </c>
      <c r="G11" t="s">
        <v>510</v>
      </c>
      <c r="H11" t="s">
        <v>520</v>
      </c>
      <c r="I11" t="s">
        <v>530</v>
      </c>
      <c r="J11" t="s">
        <v>540</v>
      </c>
      <c r="K11" t="s">
        <v>550</v>
      </c>
      <c r="M11" t="str" cm="1">
        <f t="array" ref="M11">IFERROR(INDEX($A$2:$K$11,ROW()-1,MATCH('01_PARAMETRES'!$C$9,$A$1:$K$1,0)),"")</f>
        <v>Responsable Production Ganterie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Claude Log</vt:lpstr>
      <vt:lpstr>01_PARAMETRES</vt:lpstr>
      <vt:lpstr>02_PARCOURS</vt:lpstr>
      <vt:lpstr>03_CULTURE</vt:lpstr>
      <vt:lpstr>04_CHECKLIST</vt:lpstr>
      <vt:lpstr>05_BUDDY</vt:lpstr>
      <vt:lpstr>06_EVALUATIONS</vt:lpstr>
      <vt:lpstr>07_PROBATION</vt:lpstr>
      <vt:lpstr>08_DASHBOARD</vt:lpstr>
      <vt:lpstr>_REF_POSTES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Ludovic Labeaut</cp:lastModifiedBy>
  <dcterms:created xsi:type="dcterms:W3CDTF">2026-04-01T14:18:35Z</dcterms:created>
  <dcterms:modified xsi:type="dcterms:W3CDTF">2026-04-01T19:33:59Z</dcterms:modified>
</cp:coreProperties>
</file>