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threadedComments/threadedComment5.xml" ContentType="application/vnd.ms-excel.threadedcomments+xml"/>
  <Override PartName="/xl/comments7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do\Desktop\IA projet entreprises\"/>
    </mc:Choice>
  </mc:AlternateContent>
  <xr:revisionPtr revIDLastSave="0" documentId="13_ncr:1_{BFA2ED46-C4C8-40B2-A864-EBD7D9B65841}" xr6:coauthVersionLast="47" xr6:coauthVersionMax="47" xr10:uidLastSave="{00000000-0000-0000-0000-000000000000}"/>
  <bookViews>
    <workbookView xWindow="-120" yWindow="-120" windowWidth="29040" windowHeight="15840" firstSheet="13" activeTab="18" xr2:uid="{53879C80-5819-40D4-9FBE-061B2576A653}"/>
  </bookViews>
  <sheets>
    <sheet name="Claude Log" sheetId="2" r:id="rId1"/>
    <sheet name="01_PARAMETRES" sheetId="1" r:id="rId2"/>
    <sheet name="02_PERIMETRE" sheetId="3" r:id="rId3"/>
    <sheet name="03_BILANS_IND" sheetId="4" r:id="rId4"/>
    <sheet name="04_PNL_IND" sheetId="5" r:id="rId5"/>
    <sheet name="05_CONVERSION_IAS21" sheetId="6" r:id="rId6"/>
    <sheet name="06_GOODWILL" sheetId="7" r:id="rId7"/>
    <sheet name="07_ELIMINATIONS" sheetId="8" r:id="rId8"/>
    <sheet name="08_EFFICACITE" sheetId="9" r:id="rId9"/>
    <sheet name="09_BILAN_CONSO" sheetId="10" r:id="rId10"/>
    <sheet name="09B_N-1_ARCHIVE" sheetId="19" r:id="rId11"/>
    <sheet name="10_PNL_CONSO" sheetId="11" r:id="rId12"/>
    <sheet name="10B_TAX_PROOF" sheetId="18" r:id="rId13"/>
    <sheet name="11_TFT_CONSO" sheetId="12" r:id="rId14"/>
    <sheet name="12_VAR_CP" sheetId="13" r:id="rId15"/>
    <sheet name="13_SEGMENT" sheetId="14" r:id="rId16"/>
    <sheet name="14_NOTES_IFRS" sheetId="15" r:id="rId17"/>
    <sheet name="15_PILIER2" sheetId="16" r:id="rId18"/>
    <sheet name="16_CONTROLES" sheetId="17" r:id="rId19"/>
  </sheets>
  <externalReferences>
    <externalReference r:id="rId20"/>
  </externalReferences>
  <definedNames>
    <definedName name="CodeEntite">'01_PARAMETRES'!$A$18:$A$25</definedName>
    <definedName name="DateClotureConso">'01_PARAMETRES'!$B$11</definedName>
    <definedName name="DeviseFonctionnelle">'01_PARAMETRES'!$E$18:$E$25</definedName>
    <definedName name="MethodeConso">'01_PARAMETRES'!$K$18:$K$25</definedName>
    <definedName name="NomEntite">'01_PARAMETRES'!$B$18:$B$25</definedName>
    <definedName name="PctControle">'01_PARAMETRES'!$J$18:$J$25</definedName>
    <definedName name="PctInteret">'01_PARAMETRES'!$I$18:$I$25</definedName>
    <definedName name="TauxClotureConso">'01_PARAMETRES'!$B$35:$B$41</definedName>
    <definedName name="TauxHistoriqueConso">'01_PARAMETRES'!$E$35:$E$41</definedName>
    <definedName name="TauxMoyenConso">'01_PARAMETRES'!$C$35:$C$41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7" l="1"/>
  <c r="B31" i="12"/>
  <c r="C18" i="17"/>
  <c r="C9" i="17"/>
  <c r="C10" i="17"/>
  <c r="C15" i="17"/>
  <c r="E18" i="17"/>
  <c r="E23" i="12" l="1"/>
  <c r="E33" i="18"/>
  <c r="E21" i="18"/>
  <c r="E93" i="6"/>
  <c r="B93" i="6"/>
  <c r="F56" i="10"/>
  <c r="F55" i="10"/>
  <c r="F54" i="10"/>
  <c r="F53" i="10"/>
  <c r="F57" i="10" s="1"/>
  <c r="F52" i="10"/>
  <c r="F48" i="10"/>
  <c r="F47" i="10"/>
  <c r="F46" i="10"/>
  <c r="F45" i="10"/>
  <c r="F44" i="10"/>
  <c r="F40" i="10"/>
  <c r="G40" i="10" s="1"/>
  <c r="H40" i="10" s="1"/>
  <c r="F37" i="10"/>
  <c r="F36" i="10"/>
  <c r="F35" i="10"/>
  <c r="F34" i="10"/>
  <c r="F33" i="10"/>
  <c r="F32" i="10"/>
  <c r="F31" i="10"/>
  <c r="F24" i="10"/>
  <c r="F23" i="10"/>
  <c r="F22" i="10"/>
  <c r="F21" i="10"/>
  <c r="F20" i="10"/>
  <c r="H20" i="10" s="1"/>
  <c r="F19" i="10"/>
  <c r="F25" i="10" s="1"/>
  <c r="F18" i="10"/>
  <c r="F14" i="10"/>
  <c r="F13" i="10"/>
  <c r="F12" i="10"/>
  <c r="F11" i="10"/>
  <c r="F10" i="10"/>
  <c r="F9" i="10"/>
  <c r="F8" i="10"/>
  <c r="F15" i="10" s="1"/>
  <c r="F7" i="10"/>
  <c r="F6" i="10"/>
  <c r="N33" i="7"/>
  <c r="N32" i="7"/>
  <c r="N31" i="7"/>
  <c r="N30" i="7"/>
  <c r="N29" i="7"/>
  <c r="N28" i="7"/>
  <c r="Q53" i="4"/>
  <c r="Q52" i="4"/>
  <c r="Q51" i="4"/>
  <c r="Q50" i="4"/>
  <c r="Q49" i="4"/>
  <c r="Q45" i="4"/>
  <c r="Q44" i="4"/>
  <c r="Q43" i="4"/>
  <c r="Q42" i="4"/>
  <c r="Q41" i="4"/>
  <c r="Q37" i="4"/>
  <c r="Q36" i="4"/>
  <c r="Q35" i="4"/>
  <c r="Q34" i="4"/>
  <c r="Q33" i="4"/>
  <c r="Q32" i="4"/>
  <c r="Q26" i="4"/>
  <c r="Q25" i="4"/>
  <c r="Q24" i="4"/>
  <c r="Q23" i="4"/>
  <c r="Q22" i="4"/>
  <c r="Q21" i="4"/>
  <c r="Q20" i="4"/>
  <c r="Q16" i="4"/>
  <c r="Q15" i="4"/>
  <c r="Q14" i="4"/>
  <c r="Q13" i="4"/>
  <c r="Q12" i="4"/>
  <c r="Q11" i="4"/>
  <c r="Q10" i="4"/>
  <c r="Q9" i="4"/>
  <c r="Q8" i="4"/>
  <c r="A6" i="3"/>
  <c r="A1" i="8"/>
  <c r="A1" i="11"/>
  <c r="A1" i="10"/>
  <c r="A1" i="3"/>
  <c r="A2" i="1"/>
  <c r="A1" i="1"/>
  <c r="B5" i="1"/>
  <c r="C25" i="17" a="1"/>
  <c r="C25" i="17" s="1"/>
  <c r="E25" i="17" s="1"/>
  <c r="E27" i="17"/>
  <c r="C27" i="17"/>
  <c r="E23" i="17"/>
  <c r="C23" i="17"/>
  <c r="B97" i="11"/>
  <c r="G17" i="14"/>
  <c r="E32" i="18"/>
  <c r="E18" i="18"/>
  <c r="E17" i="18"/>
  <c r="D17" i="18"/>
  <c r="B17" i="18"/>
  <c r="E16" i="18"/>
  <c r="D16" i="18"/>
  <c r="B16" i="18"/>
  <c r="E15" i="18"/>
  <c r="D15" i="18"/>
  <c r="B15" i="18"/>
  <c r="E14" i="18"/>
  <c r="D14" i="18"/>
  <c r="B14" i="18"/>
  <c r="E13" i="18"/>
  <c r="D13" i="18"/>
  <c r="B13" i="18"/>
  <c r="E12" i="18"/>
  <c r="D12" i="18"/>
  <c r="B12" i="18"/>
  <c r="E11" i="18"/>
  <c r="D11" i="18"/>
  <c r="B11" i="18"/>
  <c r="E34" i="11"/>
  <c r="E11" i="10"/>
  <c r="B57" i="9"/>
  <c r="B55" i="9"/>
  <c r="B54" i="9"/>
  <c r="B53" i="9"/>
  <c r="B52" i="9"/>
  <c r="B51" i="9"/>
  <c r="B47" i="9"/>
  <c r="B46" i="9"/>
  <c r="B45" i="9"/>
  <c r="B44" i="9"/>
  <c r="B41" i="9"/>
  <c r="B40" i="9"/>
  <c r="B39" i="9"/>
  <c r="Q25" i="1"/>
  <c r="P25" i="1"/>
  <c r="Q24" i="1"/>
  <c r="P24" i="1"/>
  <c r="Q23" i="1"/>
  <c r="P23" i="1"/>
  <c r="Q22" i="1"/>
  <c r="P22" i="1"/>
  <c r="Q21" i="1"/>
  <c r="P21" i="1"/>
  <c r="Q20" i="1"/>
  <c r="P20" i="1"/>
  <c r="Q19" i="1"/>
  <c r="P19" i="1"/>
  <c r="G84" i="11"/>
  <c r="D84" i="11"/>
  <c r="B84" i="11"/>
  <c r="H83" i="11"/>
  <c r="F83" i="11"/>
  <c r="D83" i="11"/>
  <c r="B83" i="11"/>
  <c r="H82" i="11"/>
  <c r="F82" i="11"/>
  <c r="D82" i="11"/>
  <c r="B82" i="11"/>
  <c r="H81" i="11"/>
  <c r="F81" i="11"/>
  <c r="D81" i="11"/>
  <c r="B81" i="11"/>
  <c r="H80" i="11"/>
  <c r="F80" i="11"/>
  <c r="D80" i="11"/>
  <c r="B80" i="11"/>
  <c r="H79" i="11"/>
  <c r="F79" i="11"/>
  <c r="D79" i="11"/>
  <c r="B79" i="11"/>
  <c r="H78" i="11"/>
  <c r="F78" i="11"/>
  <c r="D78" i="11"/>
  <c r="B78" i="11"/>
  <c r="H77" i="11"/>
  <c r="F77" i="11"/>
  <c r="D77" i="11"/>
  <c r="B77" i="11"/>
  <c r="C53" i="4"/>
  <c r="C25" i="4"/>
  <c r="G7" i="13"/>
  <c r="D7" i="11"/>
  <c r="D54" i="10"/>
  <c r="D18" i="10"/>
  <c r="D13" i="10"/>
  <c r="E19" i="17"/>
  <c r="C8" i="17"/>
  <c r="D11" i="16"/>
  <c r="C11" i="16"/>
  <c r="D10" i="16"/>
  <c r="C10" i="16"/>
  <c r="D9" i="16"/>
  <c r="C9" i="16"/>
  <c r="D8" i="16"/>
  <c r="C8" i="16"/>
  <c r="D7" i="16"/>
  <c r="C7" i="16"/>
  <c r="D6" i="16"/>
  <c r="C6" i="16"/>
  <c r="D5" i="16"/>
  <c r="C5" i="16"/>
  <c r="E6" i="16"/>
  <c r="G6" i="16" s="1"/>
  <c r="F16" i="14"/>
  <c r="E16" i="14"/>
  <c r="D16" i="14"/>
  <c r="C16" i="14"/>
  <c r="B16" i="14"/>
  <c r="D6" i="14"/>
  <c r="F6" i="14" s="1"/>
  <c r="C6" i="14"/>
  <c r="B6" i="14"/>
  <c r="I137" i="8" a="1"/>
  <c r="I137" i="8" s="1"/>
  <c r="H137" i="8"/>
  <c r="G137" i="8"/>
  <c r="H136" i="8"/>
  <c r="G136" i="8"/>
  <c r="H135" i="8"/>
  <c r="E135" i="8"/>
  <c r="H134" i="8"/>
  <c r="F134" i="8"/>
  <c r="H133" i="8"/>
  <c r="F133" i="8"/>
  <c r="I132" i="8" a="1"/>
  <c r="I132" i="8" s="1"/>
  <c r="H132" i="8"/>
  <c r="C132" i="8"/>
  <c r="H131" i="8"/>
  <c r="C131" i="8"/>
  <c r="I128" i="8" a="1"/>
  <c r="I128" i="8" s="1"/>
  <c r="H128" i="8"/>
  <c r="G128" i="8"/>
  <c r="H127" i="8"/>
  <c r="D127" i="8"/>
  <c r="H126" i="8"/>
  <c r="D126" i="8"/>
  <c r="H125" i="8"/>
  <c r="G125" i="8"/>
  <c r="H124" i="8"/>
  <c r="B124" i="8"/>
  <c r="I123" i="8" a="1"/>
  <c r="I123" i="8" s="1"/>
  <c r="I58" i="7"/>
  <c r="F86" i="8"/>
  <c r="G86" i="8" s="1"/>
  <c r="D86" i="8"/>
  <c r="Q25" i="5"/>
  <c r="I25" i="5"/>
  <c r="G25" i="5"/>
  <c r="E25" i="5"/>
  <c r="J57" i="8"/>
  <c r="J53" i="8"/>
  <c r="J38" i="8"/>
  <c r="J34" i="8"/>
  <c r="L46" i="7"/>
  <c r="K46" i="7"/>
  <c r="J46" i="7"/>
  <c r="I46" i="7"/>
  <c r="L45" i="7"/>
  <c r="K45" i="7"/>
  <c r="J45" i="7"/>
  <c r="I45" i="7"/>
  <c r="L44" i="7"/>
  <c r="K44" i="7"/>
  <c r="J44" i="7"/>
  <c r="I44" i="7"/>
  <c r="H44" i="7"/>
  <c r="L43" i="7"/>
  <c r="K43" i="7"/>
  <c r="J43" i="7"/>
  <c r="I43" i="7"/>
  <c r="L42" i="7"/>
  <c r="K42" i="7"/>
  <c r="J42" i="7"/>
  <c r="I42" i="7"/>
  <c r="L41" i="7"/>
  <c r="K41" i="7"/>
  <c r="J41" i="7"/>
  <c r="I41" i="7"/>
  <c r="E93" i="1"/>
  <c r="F93" i="1" s="1"/>
  <c r="H25" i="1" s="1"/>
  <c r="I25" i="1" s="1"/>
  <c r="E92" i="1"/>
  <c r="F92" i="1" s="1"/>
  <c r="H24" i="1" s="1"/>
  <c r="I24" i="1" s="1"/>
  <c r="C91" i="1"/>
  <c r="F91" i="1" s="1"/>
  <c r="H23" i="1" s="1"/>
  <c r="I23" i="1" s="1"/>
  <c r="C90" i="1"/>
  <c r="F90" i="1" s="1"/>
  <c r="H22" i="1" s="1"/>
  <c r="I22" i="1" s="1"/>
  <c r="G90" i="1" s="1"/>
  <c r="F89" i="1"/>
  <c r="C89" i="1"/>
  <c r="C88" i="1"/>
  <c r="F88" i="1" s="1"/>
  <c r="H20" i="1" s="1"/>
  <c r="I20" i="1" s="1"/>
  <c r="C87" i="1"/>
  <c r="F87" i="1" s="1"/>
  <c r="H19" i="1" s="1"/>
  <c r="I19" i="1" s="1"/>
  <c r="F86" i="1"/>
  <c r="H18" i="1" s="1"/>
  <c r="I18" i="1" s="1"/>
  <c r="E10" i="16"/>
  <c r="G10" i="16" s="1"/>
  <c r="E8" i="16"/>
  <c r="G8" i="16" s="1"/>
  <c r="E15" i="17"/>
  <c r="C7" i="17"/>
  <c r="C6" i="17"/>
  <c r="E7" i="17"/>
  <c r="E6" i="17"/>
  <c r="F11" i="14"/>
  <c r="F10" i="14"/>
  <c r="F8" i="14"/>
  <c r="C12" i="13"/>
  <c r="B12" i="13"/>
  <c r="E9" i="13"/>
  <c r="J8" i="13"/>
  <c r="H8" i="13"/>
  <c r="A23" i="12"/>
  <c r="E17" i="12"/>
  <c r="C58" i="11"/>
  <c r="F42" i="11"/>
  <c r="D40" i="11"/>
  <c r="F35" i="11"/>
  <c r="G34" i="11"/>
  <c r="H34" i="11" s="1"/>
  <c r="D34" i="11"/>
  <c r="C34" i="11"/>
  <c r="H33" i="11"/>
  <c r="D32" i="11"/>
  <c r="D31" i="11"/>
  <c r="D30" i="11"/>
  <c r="C24" i="11"/>
  <c r="D23" i="11"/>
  <c r="H22" i="11"/>
  <c r="D21" i="11"/>
  <c r="D20" i="11"/>
  <c r="D19" i="11"/>
  <c r="D18" i="11"/>
  <c r="H14" i="11"/>
  <c r="D13" i="11"/>
  <c r="F9" i="11"/>
  <c r="E8" i="11"/>
  <c r="G8" i="11" s="1"/>
  <c r="H8" i="11" s="1"/>
  <c r="D8" i="11"/>
  <c r="H7" i="11"/>
  <c r="A2" i="11"/>
  <c r="D14" i="10"/>
  <c r="D56" i="10"/>
  <c r="D55" i="10"/>
  <c r="D53" i="10"/>
  <c r="D52" i="10"/>
  <c r="F49" i="10"/>
  <c r="H48" i="10"/>
  <c r="G48" i="10"/>
  <c r="E48" i="10"/>
  <c r="D48" i="10"/>
  <c r="C48" i="10"/>
  <c r="D47" i="10"/>
  <c r="D46" i="10"/>
  <c r="D45" i="10"/>
  <c r="D49" i="10" s="1"/>
  <c r="D44" i="10"/>
  <c r="E37" i="10"/>
  <c r="D37" i="10"/>
  <c r="C37" i="10"/>
  <c r="G36" i="10"/>
  <c r="H36" i="10" s="1"/>
  <c r="E36" i="10"/>
  <c r="D36" i="10"/>
  <c r="C36" i="10"/>
  <c r="D35" i="10"/>
  <c r="D38" i="10"/>
  <c r="D41" i="10" s="1"/>
  <c r="G32" i="10"/>
  <c r="H32" i="10" s="1"/>
  <c r="E32" i="10"/>
  <c r="D32" i="10"/>
  <c r="C32" i="10"/>
  <c r="D31" i="10"/>
  <c r="C31" i="10"/>
  <c r="D24" i="10"/>
  <c r="D23" i="10"/>
  <c r="C23" i="10"/>
  <c r="E23" i="10" s="1"/>
  <c r="G23" i="10" s="1"/>
  <c r="H23" i="10" s="1"/>
  <c r="D22" i="10"/>
  <c r="D21" i="10"/>
  <c r="C21" i="10"/>
  <c r="C20" i="10"/>
  <c r="D20" i="10" s="1"/>
  <c r="D19" i="10"/>
  <c r="H14" i="10"/>
  <c r="C14" i="10"/>
  <c r="E14" i="10" s="1"/>
  <c r="G14" i="10" s="1"/>
  <c r="D12" i="10"/>
  <c r="G11" i="10"/>
  <c r="H11" i="10" s="1"/>
  <c r="D11" i="10"/>
  <c r="C11" i="10"/>
  <c r="H10" i="10"/>
  <c r="C10" i="10"/>
  <c r="D10" i="10" s="1"/>
  <c r="D9" i="10"/>
  <c r="D8" i="10"/>
  <c r="D7" i="10"/>
  <c r="A2" i="10"/>
  <c r="C17" i="9"/>
  <c r="K15" i="9"/>
  <c r="F15" i="9"/>
  <c r="G15" i="9" s="1"/>
  <c r="E15" i="9"/>
  <c r="K14" i="9"/>
  <c r="F14" i="9"/>
  <c r="G14" i="9" s="1"/>
  <c r="E14" i="9"/>
  <c r="K13" i="9"/>
  <c r="F13" i="9"/>
  <c r="G13" i="9" s="1"/>
  <c r="E13" i="9"/>
  <c r="K12" i="9"/>
  <c r="F12" i="9"/>
  <c r="G12" i="9" s="1"/>
  <c r="E12" i="9"/>
  <c r="K11" i="9"/>
  <c r="D11" i="9"/>
  <c r="E11" i="9" s="1"/>
  <c r="D22" i="8"/>
  <c r="D19" i="8"/>
  <c r="D16" i="8"/>
  <c r="D13" i="8"/>
  <c r="D10" i="8"/>
  <c r="B113" i="8"/>
  <c r="C99" i="8"/>
  <c r="E98" i="8"/>
  <c r="F97" i="8"/>
  <c r="G97" i="8" s="1"/>
  <c r="E97" i="8"/>
  <c r="E96" i="8"/>
  <c r="F96" i="8" s="1"/>
  <c r="G96" i="8" s="1"/>
  <c r="E95" i="8"/>
  <c r="F95" i="8" s="1"/>
  <c r="E94" i="8"/>
  <c r="F85" i="8"/>
  <c r="C113" i="8" s="1"/>
  <c r="D85" i="8"/>
  <c r="C11" i="5" s="1"/>
  <c r="Q11" i="5" s="1"/>
  <c r="F72" i="8"/>
  <c r="C112" i="8" s="1"/>
  <c r="D72" i="8"/>
  <c r="B112" i="8" s="1"/>
  <c r="H59" i="8"/>
  <c r="G59" i="8"/>
  <c r="F59" i="8"/>
  <c r="E59" i="8"/>
  <c r="D59" i="8"/>
  <c r="C59" i="8"/>
  <c r="B59" i="8"/>
  <c r="I58" i="8"/>
  <c r="J58" i="8" s="1"/>
  <c r="I57" i="8"/>
  <c r="I56" i="8"/>
  <c r="J56" i="8" s="1"/>
  <c r="I55" i="8"/>
  <c r="J55" i="8" s="1"/>
  <c r="I54" i="8"/>
  <c r="J54" i="8" s="1"/>
  <c r="I53" i="8"/>
  <c r="I52" i="8"/>
  <c r="J52" i="8" s="1"/>
  <c r="H41" i="8"/>
  <c r="G41" i="8"/>
  <c r="F41" i="8"/>
  <c r="E41" i="8"/>
  <c r="D41" i="8"/>
  <c r="C41" i="8"/>
  <c r="B41" i="8"/>
  <c r="I40" i="8"/>
  <c r="J40" i="8" s="1"/>
  <c r="I39" i="8"/>
  <c r="J39" i="8" s="1"/>
  <c r="I38" i="8"/>
  <c r="I37" i="8"/>
  <c r="J37" i="8" s="1"/>
  <c r="I36" i="8"/>
  <c r="J36" i="8" s="1"/>
  <c r="I35" i="8"/>
  <c r="J35" i="8" s="1"/>
  <c r="I34" i="8"/>
  <c r="F24" i="8"/>
  <c r="F22" i="8"/>
  <c r="F19" i="8"/>
  <c r="F16" i="8"/>
  <c r="F15" i="8"/>
  <c r="F13" i="8"/>
  <c r="F10" i="8"/>
  <c r="D58" i="7"/>
  <c r="C58" i="7"/>
  <c r="J33" i="7"/>
  <c r="M46" i="7" s="1"/>
  <c r="J32" i="7"/>
  <c r="M45" i="7" s="1"/>
  <c r="J31" i="7"/>
  <c r="C44" i="7" s="1"/>
  <c r="D31" i="7"/>
  <c r="J30" i="7"/>
  <c r="M43" i="7" s="1"/>
  <c r="J29" i="7"/>
  <c r="M42" i="7" s="1"/>
  <c r="J28" i="7"/>
  <c r="K28" i="7" s="1"/>
  <c r="L28" i="7" s="1"/>
  <c r="A25" i="7"/>
  <c r="A24" i="7"/>
  <c r="L17" i="7"/>
  <c r="I17" i="7"/>
  <c r="E17" i="7"/>
  <c r="H17" i="7" s="1"/>
  <c r="K17" i="7" s="1"/>
  <c r="H56" i="7" s="1"/>
  <c r="J56" i="7" s="1"/>
  <c r="B56" i="7" s="1"/>
  <c r="L16" i="7"/>
  <c r="I16" i="7"/>
  <c r="H16" i="7"/>
  <c r="K16" i="7" s="1"/>
  <c r="M16" i="7" s="1"/>
  <c r="E16" i="7"/>
  <c r="F21" i="8" s="1"/>
  <c r="L15" i="7"/>
  <c r="I15" i="7"/>
  <c r="E15" i="7"/>
  <c r="H15" i="7" s="1"/>
  <c r="K15" i="7" s="1"/>
  <c r="M15" i="7" s="1"/>
  <c r="L14" i="7"/>
  <c r="I14" i="7"/>
  <c r="E14" i="7"/>
  <c r="H14" i="7" s="1"/>
  <c r="K14" i="7" s="1"/>
  <c r="M14" i="7" s="1"/>
  <c r="I13" i="7"/>
  <c r="E13" i="7"/>
  <c r="H13" i="7" s="1"/>
  <c r="K13" i="7" s="1"/>
  <c r="M13" i="7" s="1"/>
  <c r="C244" i="6"/>
  <c r="D229" i="6"/>
  <c r="E229" i="6" s="1"/>
  <c r="B229" i="6"/>
  <c r="D228" i="6"/>
  <c r="D227" i="6"/>
  <c r="B227" i="6"/>
  <c r="D226" i="6"/>
  <c r="B226" i="6"/>
  <c r="D225" i="6"/>
  <c r="B225" i="6"/>
  <c r="D221" i="6"/>
  <c r="B221" i="6"/>
  <c r="D220" i="6"/>
  <c r="D219" i="6"/>
  <c r="B219" i="6"/>
  <c r="D218" i="6"/>
  <c r="B218" i="6"/>
  <c r="D217" i="6"/>
  <c r="B217" i="6"/>
  <c r="D216" i="6"/>
  <c r="B216" i="6"/>
  <c r="D215" i="6"/>
  <c r="B215" i="6"/>
  <c r="D214" i="6"/>
  <c r="B214" i="6"/>
  <c r="E214" i="6" s="1"/>
  <c r="B211" i="6"/>
  <c r="D210" i="6"/>
  <c r="B210" i="6"/>
  <c r="D209" i="6"/>
  <c r="B209" i="6"/>
  <c r="D208" i="6"/>
  <c r="B208" i="6"/>
  <c r="E208" i="6" s="1"/>
  <c r="D207" i="6"/>
  <c r="B207" i="6"/>
  <c r="D206" i="6"/>
  <c r="B206" i="6"/>
  <c r="E206" i="6" s="1"/>
  <c r="D205" i="6"/>
  <c r="B205" i="6"/>
  <c r="D204" i="6"/>
  <c r="B204" i="6"/>
  <c r="D203" i="6"/>
  <c r="B203" i="6"/>
  <c r="D202" i="6"/>
  <c r="B202" i="6"/>
  <c r="D201" i="6"/>
  <c r="B201" i="6"/>
  <c r="D200" i="6"/>
  <c r="B200" i="6"/>
  <c r="D199" i="6"/>
  <c r="B199" i="6"/>
  <c r="D190" i="6"/>
  <c r="B190" i="6"/>
  <c r="D189" i="6"/>
  <c r="D188" i="6"/>
  <c r="E188" i="6" s="1"/>
  <c r="B188" i="6"/>
  <c r="D187" i="6"/>
  <c r="E187" i="6" s="1"/>
  <c r="B187" i="6"/>
  <c r="D186" i="6"/>
  <c r="B186" i="6"/>
  <c r="D182" i="6"/>
  <c r="B182" i="6"/>
  <c r="D181" i="6"/>
  <c r="D180" i="6"/>
  <c r="B180" i="6"/>
  <c r="D179" i="6"/>
  <c r="B179" i="6"/>
  <c r="D178" i="6"/>
  <c r="B178" i="6"/>
  <c r="D177" i="6"/>
  <c r="B177" i="6"/>
  <c r="D176" i="6"/>
  <c r="B176" i="6"/>
  <c r="D175" i="6"/>
  <c r="B175" i="6"/>
  <c r="B172" i="6"/>
  <c r="D171" i="6"/>
  <c r="B171" i="6"/>
  <c r="D170" i="6"/>
  <c r="B170" i="6"/>
  <c r="D169" i="6"/>
  <c r="B169" i="6"/>
  <c r="D168" i="6"/>
  <c r="B168" i="6"/>
  <c r="D167" i="6"/>
  <c r="B167" i="6"/>
  <c r="D166" i="6"/>
  <c r="B166" i="6"/>
  <c r="D165" i="6"/>
  <c r="B165" i="6"/>
  <c r="D164" i="6"/>
  <c r="B164" i="6"/>
  <c r="D163" i="6"/>
  <c r="B163" i="6"/>
  <c r="D162" i="6"/>
  <c r="B162" i="6"/>
  <c r="D161" i="6"/>
  <c r="B161" i="6"/>
  <c r="D160" i="6"/>
  <c r="B160" i="6"/>
  <c r="D151" i="6"/>
  <c r="B151" i="6"/>
  <c r="D150" i="6"/>
  <c r="D149" i="6"/>
  <c r="B149" i="6"/>
  <c r="D148" i="6"/>
  <c r="B148" i="6"/>
  <c r="D147" i="6"/>
  <c r="B147" i="6"/>
  <c r="D143" i="6"/>
  <c r="B143" i="6"/>
  <c r="D142" i="6"/>
  <c r="D141" i="6"/>
  <c r="B141" i="6"/>
  <c r="D140" i="6"/>
  <c r="B140" i="6"/>
  <c r="D139" i="6"/>
  <c r="B139" i="6"/>
  <c r="D138" i="6"/>
  <c r="B138" i="6"/>
  <c r="D137" i="6"/>
  <c r="B137" i="6"/>
  <c r="D136" i="6"/>
  <c r="B136" i="6"/>
  <c r="B133" i="6"/>
  <c r="D132" i="6"/>
  <c r="B132" i="6"/>
  <c r="D131" i="6"/>
  <c r="B131" i="6"/>
  <c r="D130" i="6"/>
  <c r="B130" i="6"/>
  <c r="D129" i="6"/>
  <c r="B129" i="6"/>
  <c r="D128" i="6"/>
  <c r="B128" i="6"/>
  <c r="D127" i="6"/>
  <c r="B127" i="6"/>
  <c r="D126" i="6"/>
  <c r="E126" i="6" s="1"/>
  <c r="B126" i="6"/>
  <c r="D125" i="6"/>
  <c r="B125" i="6"/>
  <c r="D124" i="6"/>
  <c r="B124" i="6"/>
  <c r="D123" i="6"/>
  <c r="B123" i="6"/>
  <c r="D122" i="6"/>
  <c r="B122" i="6"/>
  <c r="D121" i="6"/>
  <c r="B121" i="6"/>
  <c r="D111" i="6"/>
  <c r="B111" i="6"/>
  <c r="D110" i="6"/>
  <c r="D109" i="6"/>
  <c r="B109" i="6"/>
  <c r="D108" i="6"/>
  <c r="B108" i="6"/>
  <c r="D107" i="6"/>
  <c r="B107" i="6"/>
  <c r="D103" i="6"/>
  <c r="B103" i="6"/>
  <c r="D102" i="6"/>
  <c r="D101" i="6"/>
  <c r="B101" i="6"/>
  <c r="D100" i="6"/>
  <c r="E100" i="6" s="1"/>
  <c r="B100" i="6"/>
  <c r="D99" i="6"/>
  <c r="B99" i="6"/>
  <c r="D98" i="6"/>
  <c r="B98" i="6"/>
  <c r="D97" i="6"/>
  <c r="E97" i="6" s="1"/>
  <c r="B97" i="6"/>
  <c r="D96" i="6"/>
  <c r="E96" i="6" s="1"/>
  <c r="B96" i="6"/>
  <c r="D92" i="6"/>
  <c r="B92" i="6"/>
  <c r="E92" i="6" s="1"/>
  <c r="D91" i="6"/>
  <c r="B91" i="6"/>
  <c r="D90" i="6"/>
  <c r="B90" i="6"/>
  <c r="D89" i="6"/>
  <c r="B89" i="6"/>
  <c r="D88" i="6"/>
  <c r="B88" i="6"/>
  <c r="E88" i="6" s="1"/>
  <c r="D87" i="6"/>
  <c r="B87" i="6"/>
  <c r="D86" i="6"/>
  <c r="B86" i="6"/>
  <c r="D85" i="6"/>
  <c r="B85" i="6"/>
  <c r="D84" i="6"/>
  <c r="B84" i="6"/>
  <c r="D83" i="6"/>
  <c r="B83" i="6"/>
  <c r="D82" i="6"/>
  <c r="B82" i="6"/>
  <c r="D81" i="6"/>
  <c r="B81" i="6"/>
  <c r="D74" i="6"/>
  <c r="D73" i="6"/>
  <c r="B73" i="6"/>
  <c r="D72" i="6"/>
  <c r="B72" i="6"/>
  <c r="D71" i="6"/>
  <c r="B71" i="6"/>
  <c r="D70" i="6"/>
  <c r="B70" i="6"/>
  <c r="D69" i="6"/>
  <c r="B69" i="6"/>
  <c r="D68" i="6"/>
  <c r="B68" i="6"/>
  <c r="D67" i="6"/>
  <c r="B67" i="6"/>
  <c r="D66" i="6"/>
  <c r="B66" i="6"/>
  <c r="D65" i="6"/>
  <c r="B65" i="6"/>
  <c r="D64" i="6"/>
  <c r="B64" i="6"/>
  <c r="D63" i="6"/>
  <c r="B63" i="6"/>
  <c r="D62" i="6"/>
  <c r="B62" i="6"/>
  <c r="D61" i="6"/>
  <c r="B61" i="6"/>
  <c r="E61" i="6" s="1"/>
  <c r="C20" i="11" s="1"/>
  <c r="E20" i="11" s="1"/>
  <c r="G20" i="11" s="1"/>
  <c r="H20" i="11" s="1"/>
  <c r="D60" i="6"/>
  <c r="B60" i="6"/>
  <c r="D59" i="6"/>
  <c r="B59" i="6"/>
  <c r="D58" i="6"/>
  <c r="B58" i="6"/>
  <c r="E58" i="6" s="1"/>
  <c r="C14" i="11" s="1"/>
  <c r="D57" i="6"/>
  <c r="B57" i="6"/>
  <c r="E57" i="6" s="1"/>
  <c r="C13" i="11" s="1"/>
  <c r="E13" i="11" s="1"/>
  <c r="G13" i="11" s="1"/>
  <c r="H13" i="11" s="1"/>
  <c r="D56" i="6"/>
  <c r="B56" i="6"/>
  <c r="D55" i="6"/>
  <c r="B55" i="6"/>
  <c r="D54" i="6"/>
  <c r="B54" i="6"/>
  <c r="D45" i="6"/>
  <c r="B45" i="6"/>
  <c r="D44" i="6"/>
  <c r="D43" i="6"/>
  <c r="B43" i="6"/>
  <c r="D42" i="6"/>
  <c r="B42" i="6"/>
  <c r="D41" i="6"/>
  <c r="E41" i="6" s="1"/>
  <c r="B41" i="6"/>
  <c r="D37" i="6"/>
  <c r="B37" i="6"/>
  <c r="D36" i="6"/>
  <c r="D35" i="6"/>
  <c r="B35" i="6"/>
  <c r="D34" i="6"/>
  <c r="B34" i="6"/>
  <c r="E34" i="6" s="1"/>
  <c r="D33" i="6"/>
  <c r="B33" i="6"/>
  <c r="D32" i="6"/>
  <c r="B32" i="6"/>
  <c r="D31" i="6"/>
  <c r="B31" i="6"/>
  <c r="D30" i="6"/>
  <c r="B30" i="6"/>
  <c r="B27" i="6"/>
  <c r="D26" i="6"/>
  <c r="B26" i="6"/>
  <c r="D25" i="6"/>
  <c r="B25" i="6"/>
  <c r="D24" i="6"/>
  <c r="B24" i="6"/>
  <c r="D23" i="6"/>
  <c r="B23" i="6"/>
  <c r="D22" i="6"/>
  <c r="B22" i="6"/>
  <c r="D21" i="6"/>
  <c r="B21" i="6"/>
  <c r="D20" i="6"/>
  <c r="E20" i="6" s="1"/>
  <c r="B20" i="6"/>
  <c r="D19" i="6"/>
  <c r="B19" i="6"/>
  <c r="D18" i="6"/>
  <c r="B18" i="6"/>
  <c r="D17" i="6"/>
  <c r="B17" i="6"/>
  <c r="D16" i="6"/>
  <c r="B16" i="6"/>
  <c r="D15" i="6"/>
  <c r="B15" i="6"/>
  <c r="Q46" i="5"/>
  <c r="Q45" i="5"/>
  <c r="Q41" i="5"/>
  <c r="Q40" i="5"/>
  <c r="Q39" i="5"/>
  <c r="Q38" i="5"/>
  <c r="Q34" i="5"/>
  <c r="Q33" i="5"/>
  <c r="Q32" i="5"/>
  <c r="Q26" i="5"/>
  <c r="Q24" i="5"/>
  <c r="Q23" i="5"/>
  <c r="Q22" i="5"/>
  <c r="Q21" i="5"/>
  <c r="Q20" i="5"/>
  <c r="Q15" i="5"/>
  <c r="Q14" i="5"/>
  <c r="Q16" i="5" s="1"/>
  <c r="Q10" i="5"/>
  <c r="Q8" i="5"/>
  <c r="Q7" i="5"/>
  <c r="O42" i="5"/>
  <c r="O27" i="5"/>
  <c r="O16" i="5"/>
  <c r="O9" i="5"/>
  <c r="M42" i="5"/>
  <c r="M27" i="5"/>
  <c r="M16" i="5"/>
  <c r="M17" i="5" s="1"/>
  <c r="M9" i="5"/>
  <c r="K42" i="5"/>
  <c r="K27" i="5"/>
  <c r="K16" i="5"/>
  <c r="K9" i="5"/>
  <c r="I42" i="5"/>
  <c r="I27" i="5"/>
  <c r="I16" i="5"/>
  <c r="I9" i="5"/>
  <c r="I17" i="5" s="1"/>
  <c r="G42" i="5"/>
  <c r="G27" i="5"/>
  <c r="G16" i="5"/>
  <c r="G9" i="5"/>
  <c r="E42" i="5"/>
  <c r="E27" i="5"/>
  <c r="E16" i="5"/>
  <c r="E17" i="5" s="1"/>
  <c r="E29" i="5" s="1"/>
  <c r="E9" i="5"/>
  <c r="C42" i="5"/>
  <c r="C27" i="5"/>
  <c r="C16" i="5"/>
  <c r="C9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2" i="4"/>
  <c r="Q46" i="4"/>
  <c r="Q17" i="4"/>
  <c r="O46" i="4"/>
  <c r="O27" i="4"/>
  <c r="O17" i="4"/>
  <c r="O28" i="4" s="1"/>
  <c r="M46" i="4"/>
  <c r="M27" i="4"/>
  <c r="M17" i="4"/>
  <c r="M28" i="4" s="1"/>
  <c r="K46" i="4"/>
  <c r="K27" i="4"/>
  <c r="K17" i="4"/>
  <c r="K28" i="4" s="1"/>
  <c r="I46" i="4"/>
  <c r="I27" i="4"/>
  <c r="I17" i="4"/>
  <c r="I28" i="4" s="1"/>
  <c r="G46" i="4"/>
  <c r="G27" i="4"/>
  <c r="G17" i="4"/>
  <c r="G28" i="4" s="1"/>
  <c r="E46" i="4"/>
  <c r="E27" i="4"/>
  <c r="E17" i="4"/>
  <c r="E28" i="4" s="1"/>
  <c r="C46" i="4"/>
  <c r="C27" i="4"/>
  <c r="C17" i="4"/>
  <c r="C28" i="4" s="1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G37" i="3"/>
  <c r="B50" i="3"/>
  <c r="B48" i="3" a="1"/>
  <c r="B48" i="3" s="1"/>
  <c r="B47" i="3"/>
  <c r="B46" i="3"/>
  <c r="B45" i="3"/>
  <c r="B44" i="3"/>
  <c r="F37" i="3"/>
  <c r="B37" i="3"/>
  <c r="A37" i="3"/>
  <c r="F36" i="3"/>
  <c r="G36" i="3" s="1"/>
  <c r="B36" i="3"/>
  <c r="A36" i="3"/>
  <c r="F35" i="3"/>
  <c r="G35" i="3" s="1"/>
  <c r="B35" i="3"/>
  <c r="A35" i="3"/>
  <c r="F34" i="3"/>
  <c r="G34" i="3" s="1"/>
  <c r="B34" i="3"/>
  <c r="A34" i="3"/>
  <c r="F33" i="3"/>
  <c r="G33" i="3" s="1"/>
  <c r="B33" i="3"/>
  <c r="A33" i="3"/>
  <c r="F32" i="3"/>
  <c r="G32" i="3" s="1"/>
  <c r="B32" i="3"/>
  <c r="A32" i="3"/>
  <c r="F31" i="3"/>
  <c r="G31" i="3" s="1"/>
  <c r="B31" i="3"/>
  <c r="A31" i="3"/>
  <c r="E15" i="6" l="1"/>
  <c r="E17" i="6"/>
  <c r="E19" i="6"/>
  <c r="E23" i="6"/>
  <c r="E45" i="6"/>
  <c r="E82" i="6"/>
  <c r="E91" i="6"/>
  <c r="E109" i="6"/>
  <c r="E130" i="6"/>
  <c r="E141" i="6"/>
  <c r="E143" i="6"/>
  <c r="E151" i="6"/>
  <c r="E175" i="6"/>
  <c r="E179" i="6"/>
  <c r="E225" i="6"/>
  <c r="E226" i="6"/>
  <c r="E26" i="6"/>
  <c r="E32" i="6"/>
  <c r="E42" i="6"/>
  <c r="E101" i="6"/>
  <c r="E108" i="6"/>
  <c r="E129" i="6"/>
  <c r="E147" i="6"/>
  <c r="E176" i="6"/>
  <c r="E180" i="6"/>
  <c r="E221" i="6"/>
  <c r="E24" i="6"/>
  <c r="E37" i="6"/>
  <c r="E83" i="6"/>
  <c r="E87" i="6"/>
  <c r="E89" i="6"/>
  <c r="E121" i="6"/>
  <c r="E125" i="6"/>
  <c r="E139" i="6"/>
  <c r="E162" i="6"/>
  <c r="E166" i="6"/>
  <c r="E170" i="6"/>
  <c r="E200" i="6"/>
  <c r="E204" i="6"/>
  <c r="E216" i="6"/>
  <c r="E16" i="6"/>
  <c r="E33" i="6"/>
  <c r="E84" i="6"/>
  <c r="E122" i="6"/>
  <c r="E138" i="6"/>
  <c r="E163" i="6"/>
  <c r="E167" i="6"/>
  <c r="E171" i="6"/>
  <c r="E199" i="6"/>
  <c r="E203" i="6"/>
  <c r="E207" i="6"/>
  <c r="E217" i="6"/>
  <c r="E10" i="10"/>
  <c r="G10" i="10" s="1"/>
  <c r="G37" i="10"/>
  <c r="H37" i="10" s="1"/>
  <c r="F38" i="10"/>
  <c r="F41" i="10" s="1"/>
  <c r="F59" i="10" s="1"/>
  <c r="F27" i="10"/>
  <c r="E20" i="10"/>
  <c r="G20" i="10" s="1"/>
  <c r="E124" i="6"/>
  <c r="E131" i="6"/>
  <c r="E178" i="6"/>
  <c r="E182" i="6"/>
  <c r="D11" i="8"/>
  <c r="B123" i="8" s="1"/>
  <c r="H123" i="8" s="1"/>
  <c r="G16" i="14"/>
  <c r="E165" i="6"/>
  <c r="D23" i="8"/>
  <c r="E22" i="6"/>
  <c r="E30" i="6"/>
  <c r="E35" i="6"/>
  <c r="E54" i="6"/>
  <c r="C6" i="11" s="1"/>
  <c r="C9" i="11" s="1"/>
  <c r="C15" i="11" s="1"/>
  <c r="E63" i="6"/>
  <c r="C22" i="11" s="1"/>
  <c r="E22" i="11" s="1"/>
  <c r="G22" i="11" s="1"/>
  <c r="E65" i="6"/>
  <c r="E67" i="6"/>
  <c r="E69" i="6"/>
  <c r="C31" i="11" s="1"/>
  <c r="E31" i="11" s="1"/>
  <c r="G31" i="11" s="1"/>
  <c r="H31" i="11" s="1"/>
  <c r="E71" i="6"/>
  <c r="C33" i="11" s="1"/>
  <c r="E24" i="18" s="1"/>
  <c r="E73" i="6"/>
  <c r="C41" i="11" s="1"/>
  <c r="E27" i="18" s="1"/>
  <c r="E29" i="18" s="1"/>
  <c r="E85" i="6"/>
  <c r="E98" i="6"/>
  <c r="E107" i="6"/>
  <c r="E111" i="6"/>
  <c r="E127" i="6"/>
  <c r="E137" i="6"/>
  <c r="E149" i="6"/>
  <c r="E161" i="6"/>
  <c r="E168" i="6"/>
  <c r="E202" i="6"/>
  <c r="E209" i="6"/>
  <c r="E219" i="6"/>
  <c r="H52" i="7"/>
  <c r="H54" i="7"/>
  <c r="J54" i="7" s="1"/>
  <c r="B54" i="7" s="1"/>
  <c r="E21" i="6"/>
  <c r="E43" i="6"/>
  <c r="E55" i="6"/>
  <c r="C7" i="11" s="1"/>
  <c r="E62" i="6"/>
  <c r="C21" i="11" s="1"/>
  <c r="E21" i="11" s="1"/>
  <c r="G21" i="11" s="1"/>
  <c r="H21" i="11" s="1"/>
  <c r="E66" i="6"/>
  <c r="E70" i="6"/>
  <c r="C32" i="11" s="1"/>
  <c r="E32" i="11" s="1"/>
  <c r="G32" i="11" s="1"/>
  <c r="H32" i="11" s="1"/>
  <c r="E86" i="6"/>
  <c r="E99" i="6"/>
  <c r="E103" i="6"/>
  <c r="E128" i="6"/>
  <c r="E136" i="6"/>
  <c r="E148" i="6"/>
  <c r="E160" i="6"/>
  <c r="E169" i="6"/>
  <c r="E201" i="6"/>
  <c r="E211" i="6" s="1"/>
  <c r="E210" i="6"/>
  <c r="E218" i="6"/>
  <c r="F12" i="8"/>
  <c r="B129" i="8" s="1"/>
  <c r="H129" i="8" s="1"/>
  <c r="F18" i="8"/>
  <c r="D17" i="8"/>
  <c r="H53" i="7"/>
  <c r="J53" i="7" s="1"/>
  <c r="B53" i="7" s="1"/>
  <c r="H55" i="7"/>
  <c r="J55" i="7" s="1"/>
  <c r="B55" i="7" s="1"/>
  <c r="D14" i="8"/>
  <c r="E18" i="6"/>
  <c r="E25" i="6"/>
  <c r="E31" i="6"/>
  <c r="E59" i="6"/>
  <c r="C18" i="11" s="1"/>
  <c r="E18" i="11" s="1"/>
  <c r="G18" i="11" s="1"/>
  <c r="H18" i="11" s="1"/>
  <c r="E81" i="6"/>
  <c r="E90" i="6"/>
  <c r="E123" i="6"/>
  <c r="E132" i="6"/>
  <c r="E140" i="6"/>
  <c r="E164" i="6"/>
  <c r="E177" i="6"/>
  <c r="E186" i="6"/>
  <c r="E190" i="6"/>
  <c r="E205" i="6"/>
  <c r="E215" i="6"/>
  <c r="E227" i="6"/>
  <c r="M17" i="7"/>
  <c r="G56" i="7" s="1"/>
  <c r="D44" i="7"/>
  <c r="D20" i="8"/>
  <c r="H21" i="1"/>
  <c r="I21" i="1" s="1"/>
  <c r="G89" i="1" s="1"/>
  <c r="K30" i="7"/>
  <c r="L30" i="7" s="1"/>
  <c r="Q27" i="4"/>
  <c r="Q28" i="4" s="1"/>
  <c r="K33" i="7"/>
  <c r="L33" i="7" s="1"/>
  <c r="M41" i="7"/>
  <c r="M44" i="7"/>
  <c r="G44" i="7" s="1"/>
  <c r="J59" i="8"/>
  <c r="F61" i="8"/>
  <c r="C111" i="8" s="1"/>
  <c r="F44" i="8"/>
  <c r="I59" i="8"/>
  <c r="D61" i="8" s="1"/>
  <c r="D33" i="11"/>
  <c r="D35" i="11" s="1"/>
  <c r="I41" i="8"/>
  <c r="D44" i="8" s="1"/>
  <c r="D6" i="11" s="1"/>
  <c r="D22" i="11"/>
  <c r="M29" i="5"/>
  <c r="C17" i="5"/>
  <c r="C29" i="5" s="1"/>
  <c r="G17" i="5"/>
  <c r="G29" i="5" s="1"/>
  <c r="K17" i="5"/>
  <c r="K29" i="5" s="1"/>
  <c r="O17" i="5"/>
  <c r="O29" i="5" s="1"/>
  <c r="E68" i="6"/>
  <c r="C30" i="11" s="1"/>
  <c r="E30" i="11" s="1"/>
  <c r="E7" i="12" s="1"/>
  <c r="I29" i="5"/>
  <c r="E72" i="6"/>
  <c r="C40" i="11" s="1"/>
  <c r="D9" i="11"/>
  <c r="E56" i="6"/>
  <c r="Q27" i="5"/>
  <c r="Q42" i="5"/>
  <c r="E60" i="6"/>
  <c r="C19" i="11" s="1"/>
  <c r="E19" i="11" s="1"/>
  <c r="G19" i="11" s="1"/>
  <c r="H19" i="11" s="1"/>
  <c r="J41" i="8"/>
  <c r="Q9" i="5"/>
  <c r="Q17" i="5" s="1"/>
  <c r="Q29" i="5" s="1"/>
  <c r="Q35" i="5" s="1"/>
  <c r="Q44" i="5" s="1"/>
  <c r="Q47" i="5" s="1"/>
  <c r="E64" i="6"/>
  <c r="C23" i="11" s="1"/>
  <c r="E23" i="11" s="1"/>
  <c r="G23" i="11" s="1"/>
  <c r="H23" i="11" s="1"/>
  <c r="G86" i="1"/>
  <c r="B49" i="3"/>
  <c r="G87" i="1"/>
  <c r="G92" i="1"/>
  <c r="G88" i="1"/>
  <c r="G91" i="1"/>
  <c r="G93" i="1"/>
  <c r="H8" i="16"/>
  <c r="I8" i="16"/>
  <c r="H10" i="16"/>
  <c r="I10" i="16"/>
  <c r="H6" i="16"/>
  <c r="I6" i="16"/>
  <c r="E21" i="10"/>
  <c r="G21" i="10" s="1"/>
  <c r="H21" i="10" s="1"/>
  <c r="E31" i="10"/>
  <c r="D17" i="9"/>
  <c r="E17" i="9" s="1"/>
  <c r="F11" i="9"/>
  <c r="F17" i="9" s="1"/>
  <c r="B109" i="8"/>
  <c r="B110" i="8"/>
  <c r="B45" i="8"/>
  <c r="D112" i="8"/>
  <c r="B111" i="8"/>
  <c r="D113" i="8"/>
  <c r="F94" i="8"/>
  <c r="F99" i="8" s="1"/>
  <c r="G95" i="8"/>
  <c r="F98" i="8"/>
  <c r="G98" i="8" s="1"/>
  <c r="E99" i="8"/>
  <c r="B33" i="7"/>
  <c r="D33" i="7" s="1"/>
  <c r="H46" i="7" s="1"/>
  <c r="G46" i="7" s="1"/>
  <c r="B28" i="7"/>
  <c r="G52" i="7"/>
  <c r="B30" i="7"/>
  <c r="D30" i="7" s="1"/>
  <c r="H43" i="7" s="1"/>
  <c r="G43" i="7" s="1"/>
  <c r="G54" i="7"/>
  <c r="G55" i="7"/>
  <c r="B32" i="7"/>
  <c r="D32" i="7" s="1"/>
  <c r="H45" i="7" s="1"/>
  <c r="G45" i="7" s="1"/>
  <c r="B29" i="7"/>
  <c r="D29" i="7" s="1"/>
  <c r="H42" i="7" s="1"/>
  <c r="G42" i="7" s="1"/>
  <c r="G53" i="7"/>
  <c r="C45" i="7"/>
  <c r="K29" i="7"/>
  <c r="L29" i="7" s="1"/>
  <c r="M29" i="7" s="1"/>
  <c r="K32" i="7"/>
  <c r="L32" i="7" s="1"/>
  <c r="E44" i="7"/>
  <c r="C46" i="7"/>
  <c r="K31" i="7"/>
  <c r="L31" i="7" s="1"/>
  <c r="M31" i="7" s="1"/>
  <c r="F44" i="7"/>
  <c r="E6" i="11" l="1"/>
  <c r="C8" i="10"/>
  <c r="E8" i="10" s="1"/>
  <c r="G8" i="10" s="1"/>
  <c r="H8" i="10" s="1"/>
  <c r="C7" i="10"/>
  <c r="C24" i="10"/>
  <c r="E24" i="10" s="1"/>
  <c r="E69" i="10" s="1"/>
  <c r="C22" i="10"/>
  <c r="E22" i="10" s="1"/>
  <c r="G22" i="10" s="1"/>
  <c r="H22" i="10" s="1"/>
  <c r="C9" i="10"/>
  <c r="E9" i="10" s="1"/>
  <c r="G9" i="10" s="1"/>
  <c r="H9" i="10" s="1"/>
  <c r="C19" i="10"/>
  <c r="E19" i="10" s="1"/>
  <c r="G19" i="10" s="1"/>
  <c r="H19" i="10" s="1"/>
  <c r="E133" i="6"/>
  <c r="C11" i="17"/>
  <c r="C80" i="11"/>
  <c r="C81" i="11"/>
  <c r="B86" i="11"/>
  <c r="C83" i="11"/>
  <c r="C79" i="11"/>
  <c r="C28" i="17"/>
  <c r="E28" i="17" s="1"/>
  <c r="C82" i="11"/>
  <c r="C78" i="11"/>
  <c r="C77" i="11"/>
  <c r="G24" i="10"/>
  <c r="H24" i="10" s="1"/>
  <c r="E27" i="6"/>
  <c r="C52" i="10"/>
  <c r="E52" i="10" s="1"/>
  <c r="G52" i="10" s="1"/>
  <c r="C18" i="10"/>
  <c r="C25" i="10" s="1"/>
  <c r="C47" i="10"/>
  <c r="E47" i="10" s="1"/>
  <c r="G47" i="10" s="1"/>
  <c r="H47" i="10" s="1"/>
  <c r="C46" i="10"/>
  <c r="E46" i="10" s="1"/>
  <c r="G46" i="10" s="1"/>
  <c r="H46" i="10" s="1"/>
  <c r="C56" i="10"/>
  <c r="E56" i="10" s="1"/>
  <c r="G56" i="10" s="1"/>
  <c r="H56" i="10" s="1"/>
  <c r="M19" i="7"/>
  <c r="C6" i="10" s="1"/>
  <c r="C43" i="7"/>
  <c r="C42" i="7"/>
  <c r="D46" i="7"/>
  <c r="E18" i="10"/>
  <c r="C72" i="11" s="1"/>
  <c r="E72" i="11" s="1"/>
  <c r="G30" i="11"/>
  <c r="H30" i="11" s="1"/>
  <c r="M33" i="7"/>
  <c r="C109" i="8"/>
  <c r="C12" i="10"/>
  <c r="E12" i="10" s="1"/>
  <c r="G12" i="10" s="1"/>
  <c r="H12" i="10" s="1"/>
  <c r="C53" i="10"/>
  <c r="E53" i="10" s="1"/>
  <c r="G53" i="10" s="1"/>
  <c r="H53" i="10" s="1"/>
  <c r="E172" i="6"/>
  <c r="G6" i="11"/>
  <c r="H6" i="11" s="1"/>
  <c r="B17" i="15"/>
  <c r="C13" i="10"/>
  <c r="E7" i="10"/>
  <c r="G7" i="10" s="1"/>
  <c r="H7" i="10" s="1"/>
  <c r="H58" i="7"/>
  <c r="J52" i="7"/>
  <c r="F7" i="14"/>
  <c r="C45" i="10"/>
  <c r="E45" i="10" s="1"/>
  <c r="C44" i="10"/>
  <c r="G18" i="10"/>
  <c r="H18" i="10" s="1"/>
  <c r="E9" i="12"/>
  <c r="D25" i="10"/>
  <c r="D111" i="8"/>
  <c r="E33" i="11"/>
  <c r="B62" i="8"/>
  <c r="C110" i="8"/>
  <c r="D110" i="8" s="1"/>
  <c r="D14" i="11"/>
  <c r="E14" i="11" s="1"/>
  <c r="G14" i="11" s="1"/>
  <c r="Q18" i="5"/>
  <c r="C26" i="11"/>
  <c r="C35" i="11"/>
  <c r="E7" i="11"/>
  <c r="E40" i="11"/>
  <c r="C42" i="11"/>
  <c r="G31" i="10"/>
  <c r="H52" i="10"/>
  <c r="G11" i="9"/>
  <c r="G17" i="9" s="1"/>
  <c r="F104" i="8"/>
  <c r="D41" i="11" s="1"/>
  <c r="D104" i="8"/>
  <c r="F103" i="8"/>
  <c r="C114" i="8" s="1"/>
  <c r="D103" i="8"/>
  <c r="B114" i="8" s="1"/>
  <c r="D114" i="8" s="1"/>
  <c r="G94" i="8"/>
  <c r="G99" i="8" s="1"/>
  <c r="D109" i="8"/>
  <c r="F45" i="7"/>
  <c r="E45" i="7"/>
  <c r="G58" i="7"/>
  <c r="B59" i="7" s="1"/>
  <c r="B44" i="7"/>
  <c r="E42" i="7"/>
  <c r="F42" i="7"/>
  <c r="D28" i="7"/>
  <c r="H41" i="7" s="1"/>
  <c r="G41" i="7" s="1"/>
  <c r="B34" i="7"/>
  <c r="F43" i="7"/>
  <c r="E43" i="7"/>
  <c r="M32" i="7"/>
  <c r="M30" i="7"/>
  <c r="D45" i="7"/>
  <c r="E56" i="7"/>
  <c r="F56" i="7" s="1"/>
  <c r="B46" i="7"/>
  <c r="D42" i="7"/>
  <c r="L34" i="7"/>
  <c r="E53" i="7"/>
  <c r="F53" i="7" s="1"/>
  <c r="B42" i="7"/>
  <c r="D43" i="7"/>
  <c r="E46" i="7"/>
  <c r="F46" i="7"/>
  <c r="Q30" i="5"/>
  <c r="M18" i="5"/>
  <c r="E18" i="5"/>
  <c r="K18" i="5"/>
  <c r="C18" i="5"/>
  <c r="I18" i="5"/>
  <c r="O18" i="5"/>
  <c r="G18" i="5"/>
  <c r="E25" i="10" l="1"/>
  <c r="G45" i="10"/>
  <c r="H45" i="10" s="1"/>
  <c r="E65" i="10"/>
  <c r="C15" i="10"/>
  <c r="C27" i="10" s="1"/>
  <c r="C84" i="11"/>
  <c r="G25" i="10"/>
  <c r="H25" i="10" s="1"/>
  <c r="C49" i="10"/>
  <c r="E44" i="10"/>
  <c r="E64" i="10" s="1"/>
  <c r="B52" i="7"/>
  <c r="B58" i="7" s="1"/>
  <c r="J58" i="7"/>
  <c r="C116" i="8"/>
  <c r="E13" i="10"/>
  <c r="D42" i="11"/>
  <c r="E41" i="11"/>
  <c r="G41" i="11" s="1"/>
  <c r="H41" i="11" s="1"/>
  <c r="G33" i="11"/>
  <c r="G35" i="11" s="1"/>
  <c r="H35" i="11" s="1"/>
  <c r="E35" i="11"/>
  <c r="C59" i="11" s="1"/>
  <c r="C37" i="11"/>
  <c r="C44" i="11" s="1"/>
  <c r="G7" i="11"/>
  <c r="G9" i="11" s="1"/>
  <c r="H9" i="11" s="1"/>
  <c r="E11" i="17"/>
  <c r="G40" i="11"/>
  <c r="E9" i="11"/>
  <c r="H31" i="10"/>
  <c r="B116" i="8"/>
  <c r="D116" i="8" s="1"/>
  <c r="E8" i="17" s="1"/>
  <c r="B45" i="7"/>
  <c r="E55" i="7"/>
  <c r="F55" i="7" s="1"/>
  <c r="F41" i="7"/>
  <c r="E41" i="7"/>
  <c r="C41" i="7"/>
  <c r="M28" i="7"/>
  <c r="D41" i="7"/>
  <c r="E54" i="7"/>
  <c r="B43" i="7"/>
  <c r="O35" i="5"/>
  <c r="O44" i="5" s="1"/>
  <c r="O47" i="5" s="1"/>
  <c r="O30" i="5"/>
  <c r="C35" i="5"/>
  <c r="C44" i="5" s="1"/>
  <c r="C30" i="5"/>
  <c r="E35" i="5"/>
  <c r="E44" i="5" s="1"/>
  <c r="E30" i="5"/>
  <c r="G35" i="5"/>
  <c r="G44" i="5" s="1"/>
  <c r="G30" i="5"/>
  <c r="I35" i="5"/>
  <c r="I44" i="5" s="1"/>
  <c r="I30" i="5"/>
  <c r="K35" i="5"/>
  <c r="K44" i="5" s="1"/>
  <c r="K47" i="5" s="1"/>
  <c r="K30" i="5"/>
  <c r="M35" i="5"/>
  <c r="M44" i="5" s="1"/>
  <c r="M47" i="5" s="1"/>
  <c r="M30" i="5"/>
  <c r="E42" i="11" l="1"/>
  <c r="E70" i="10"/>
  <c r="E71" i="10" s="1"/>
  <c r="E68" i="10"/>
  <c r="D36" i="18"/>
  <c r="G44" i="10"/>
  <c r="E49" i="10"/>
  <c r="F54" i="7"/>
  <c r="F58" i="7" s="1"/>
  <c r="G13" i="10"/>
  <c r="H40" i="11"/>
  <c r="G42" i="11"/>
  <c r="H42" i="11" s="1"/>
  <c r="K35" i="4"/>
  <c r="K38" i="4" s="1"/>
  <c r="B150" i="6"/>
  <c r="E150" i="6" s="1"/>
  <c r="G47" i="5"/>
  <c r="E9" i="16"/>
  <c r="G9" i="16" s="1"/>
  <c r="C47" i="5"/>
  <c r="E5" i="16"/>
  <c r="G5" i="16" s="1"/>
  <c r="C60" i="11"/>
  <c r="E6" i="12"/>
  <c r="M35" i="4"/>
  <c r="M38" i="4" s="1"/>
  <c r="B189" i="6"/>
  <c r="E189" i="6" s="1"/>
  <c r="I47" i="5"/>
  <c r="E11" i="16"/>
  <c r="G11" i="16" s="1"/>
  <c r="E47" i="5"/>
  <c r="E7" i="16"/>
  <c r="G7" i="16" s="1"/>
  <c r="O35" i="4"/>
  <c r="O38" i="4" s="1"/>
  <c r="B228" i="6"/>
  <c r="E228" i="6" s="1"/>
  <c r="E15" i="11"/>
  <c r="C65" i="11" s="1"/>
  <c r="E65" i="11" s="1"/>
  <c r="E10" i="11"/>
  <c r="B41" i="7"/>
  <c r="G49" i="10" l="1"/>
  <c r="H49" i="10" s="1"/>
  <c r="H44" i="10"/>
  <c r="E25" i="12"/>
  <c r="F7" i="13"/>
  <c r="B20" i="15"/>
  <c r="H13" i="10"/>
  <c r="M50" i="5"/>
  <c r="K52" i="4"/>
  <c r="O50" i="5"/>
  <c r="B110" i="6"/>
  <c r="E110" i="6" s="1"/>
  <c r="I35" i="4"/>
  <c r="I50" i="5" s="1"/>
  <c r="I9" i="16"/>
  <c r="H9" i="16"/>
  <c r="K50" i="5"/>
  <c r="I11" i="16"/>
  <c r="H11" i="16"/>
  <c r="C50" i="5"/>
  <c r="C35" i="4"/>
  <c r="C38" i="4" s="1"/>
  <c r="C13" i="17"/>
  <c r="E13" i="17" s="1"/>
  <c r="E16" i="11"/>
  <c r="C55" i="11"/>
  <c r="G15" i="11"/>
  <c r="I7" i="16"/>
  <c r="H7" i="16"/>
  <c r="E76" i="6"/>
  <c r="G35" i="4"/>
  <c r="G38" i="4" s="1"/>
  <c r="B44" i="6"/>
  <c r="E44" i="6" s="1"/>
  <c r="B74" i="6"/>
  <c r="E74" i="6" s="1"/>
  <c r="C76" i="6" s="1"/>
  <c r="O52" i="4"/>
  <c r="E35" i="4"/>
  <c r="E38" i="4" s="1"/>
  <c r="M52" i="4"/>
  <c r="I5" i="16"/>
  <c r="H5" i="16"/>
  <c r="N34" i="7"/>
  <c r="E52" i="7"/>
  <c r="E58" i="7" s="1"/>
  <c r="B11" i="15" l="1"/>
  <c r="E8" i="12"/>
  <c r="E11" i="12" s="1"/>
  <c r="E27" i="12" s="1"/>
  <c r="E29" i="12" s="1"/>
  <c r="C57" i="11"/>
  <c r="D6" i="10"/>
  <c r="D24" i="11"/>
  <c r="H7" i="13"/>
  <c r="J7" i="13" s="1"/>
  <c r="F12" i="13"/>
  <c r="M58" i="4"/>
  <c r="M54" i="4"/>
  <c r="M55" i="4" s="1"/>
  <c r="B181" i="6"/>
  <c r="E181" i="6" s="1"/>
  <c r="E183" i="6" s="1"/>
  <c r="E191" i="6" s="1"/>
  <c r="E52" i="4"/>
  <c r="G52" i="4"/>
  <c r="O58" i="4"/>
  <c r="O54" i="4"/>
  <c r="O55" i="4" s="1"/>
  <c r="B220" i="6"/>
  <c r="E220" i="6" s="1"/>
  <c r="E222" i="6" s="1"/>
  <c r="E230" i="6" s="1"/>
  <c r="E50" i="5"/>
  <c r="H15" i="11"/>
  <c r="Q38" i="4"/>
  <c r="I38" i="4"/>
  <c r="K54" i="4"/>
  <c r="K55" i="4" s="1"/>
  <c r="K58" i="4"/>
  <c r="B142" i="6"/>
  <c r="E142" i="6" s="1"/>
  <c r="E144" i="6" s="1"/>
  <c r="E152" i="6" s="1"/>
  <c r="H12" i="16"/>
  <c r="B23" i="15" s="1"/>
  <c r="B77" i="6"/>
  <c r="C77" i="6" s="1"/>
  <c r="G50" i="5"/>
  <c r="E75" i="6"/>
  <c r="C52" i="4"/>
  <c r="E9" i="17" l="1"/>
  <c r="E24" i="11"/>
  <c r="D26" i="11"/>
  <c r="D37" i="11" s="1"/>
  <c r="D44" i="11" s="1"/>
  <c r="E6" i="10"/>
  <c r="D15" i="10"/>
  <c r="D27" i="10" s="1"/>
  <c r="O57" i="4"/>
  <c r="S15" i="4"/>
  <c r="C58" i="4"/>
  <c r="C54" i="4"/>
  <c r="C55" i="4" s="1"/>
  <c r="Q54" i="4"/>
  <c r="Q55" i="4" s="1"/>
  <c r="Q57" i="4" s="1"/>
  <c r="B242" i="6"/>
  <c r="E192" i="6"/>
  <c r="E193" i="6" s="1"/>
  <c r="E194" i="6" s="1"/>
  <c r="K57" i="4"/>
  <c r="S13" i="4"/>
  <c r="E58" i="4"/>
  <c r="E54" i="4"/>
  <c r="I52" i="4"/>
  <c r="B241" i="6"/>
  <c r="E153" i="6"/>
  <c r="E154" i="6" s="1"/>
  <c r="E155" i="6" s="1"/>
  <c r="B243" i="6"/>
  <c r="E231" i="6"/>
  <c r="E232" i="6" s="1"/>
  <c r="E233" i="6" s="1"/>
  <c r="G58" i="4"/>
  <c r="B36" i="6"/>
  <c r="E36" i="6" s="1"/>
  <c r="G54" i="4"/>
  <c r="G55" i="4" s="1"/>
  <c r="M57" i="4"/>
  <c r="S14" i="4"/>
  <c r="E38" i="6" l="1"/>
  <c r="E46" i="6" s="1"/>
  <c r="B239" i="6" s="1"/>
  <c r="C12" i="17"/>
  <c r="E12" i="17" s="1"/>
  <c r="G6" i="10"/>
  <c r="E15" i="10"/>
  <c r="E27" i="10" s="1"/>
  <c r="C73" i="11" s="1"/>
  <c r="E73" i="11" s="1"/>
  <c r="G24" i="11"/>
  <c r="E26" i="11"/>
  <c r="E74" i="10" s="1"/>
  <c r="C57" i="4"/>
  <c r="S9" i="4"/>
  <c r="G57" i="4"/>
  <c r="S11" i="4"/>
  <c r="B102" i="6"/>
  <c r="E102" i="6" s="1"/>
  <c r="E104" i="6" s="1"/>
  <c r="E112" i="6" s="1"/>
  <c r="E113" i="6" s="1"/>
  <c r="I54" i="4"/>
  <c r="I55" i="4" s="1"/>
  <c r="I58" i="4"/>
  <c r="C54" i="10"/>
  <c r="E55" i="4"/>
  <c r="E47" i="6" l="1"/>
  <c r="E50" i="6" s="1"/>
  <c r="E51" i="6" s="1"/>
  <c r="C26" i="17"/>
  <c r="E26" i="17" s="1"/>
  <c r="E76" i="10"/>
  <c r="E75" i="10"/>
  <c r="H6" i="10"/>
  <c r="G15" i="10"/>
  <c r="F9" i="14"/>
  <c r="C66" i="11"/>
  <c r="E66" i="11" s="1"/>
  <c r="E37" i="11"/>
  <c r="E27" i="11"/>
  <c r="C56" i="11"/>
  <c r="H24" i="11"/>
  <c r="G26" i="11"/>
  <c r="C55" i="10"/>
  <c r="E55" i="10" s="1"/>
  <c r="G55" i="10" s="1"/>
  <c r="H55" i="10" s="1"/>
  <c r="B240" i="6"/>
  <c r="B244" i="6" s="1"/>
  <c r="C35" i="10" s="1"/>
  <c r="E35" i="10" s="1"/>
  <c r="G35" i="10" s="1"/>
  <c r="H35" i="10" s="1"/>
  <c r="E114" i="6"/>
  <c r="E115" i="6" s="1"/>
  <c r="E57" i="4"/>
  <c r="S10" i="4"/>
  <c r="S12" i="4"/>
  <c r="I57" i="4"/>
  <c r="D57" i="10"/>
  <c r="D59" i="10" s="1"/>
  <c r="E44" i="11" l="1"/>
  <c r="E81" i="11" s="1"/>
  <c r="B5" i="18"/>
  <c r="H15" i="10"/>
  <c r="G27" i="10"/>
  <c r="H27" i="10" s="1"/>
  <c r="G37" i="11"/>
  <c r="H26" i="11"/>
  <c r="C57" i="10"/>
  <c r="C4" i="17"/>
  <c r="E4" i="17" s="1"/>
  <c r="E54" i="10"/>
  <c r="E45" i="11" l="1"/>
  <c r="E46" i="11" s="1"/>
  <c r="E83" i="11"/>
  <c r="D6" i="13"/>
  <c r="D12" i="13" s="1"/>
  <c r="C61" i="11"/>
  <c r="E78" i="11"/>
  <c r="E80" i="11"/>
  <c r="E6" i="13"/>
  <c r="H6" i="13" s="1"/>
  <c r="E77" i="11"/>
  <c r="E82" i="11"/>
  <c r="C62" i="11"/>
  <c r="G6" i="13"/>
  <c r="G12" i="13" s="1"/>
  <c r="E79" i="11"/>
  <c r="C69" i="11"/>
  <c r="E69" i="11" s="1"/>
  <c r="B7" i="18"/>
  <c r="H37" i="11"/>
  <c r="G44" i="11"/>
  <c r="H44" i="11" s="1"/>
  <c r="C5" i="17"/>
  <c r="E5" i="17" s="1"/>
  <c r="G54" i="10"/>
  <c r="E57" i="10"/>
  <c r="C71" i="11" s="1"/>
  <c r="E71" i="11" s="1"/>
  <c r="C34" i="10" l="1"/>
  <c r="C38" i="10" s="1"/>
  <c r="C41" i="10" s="1"/>
  <c r="C59" i="10" s="1"/>
  <c r="I6" i="13"/>
  <c r="I12" i="13" s="1"/>
  <c r="G57" i="10"/>
  <c r="H57" i="10" s="1"/>
  <c r="H54" i="10"/>
  <c r="C67" i="11"/>
  <c r="E67" i="11" s="1"/>
  <c r="B93" i="11"/>
  <c r="B94" i="11" s="1"/>
  <c r="B48" i="11"/>
  <c r="E12" i="13"/>
  <c r="H12" i="13" s="1"/>
  <c r="E84" i="11"/>
  <c r="E34" i="18"/>
  <c r="B35" i="18" s="1"/>
  <c r="B98" i="11"/>
  <c r="E34" i="10"/>
  <c r="G34" i="10" s="1"/>
  <c r="H34" i="10" s="1"/>
  <c r="J6" i="13"/>
  <c r="J12" i="13" l="1"/>
  <c r="E33" i="10"/>
  <c r="G33" i="10" s="1"/>
  <c r="G38" i="10" s="1"/>
  <c r="B36" i="18"/>
  <c r="C20" i="17"/>
  <c r="E20" i="17" s="1"/>
  <c r="B39" i="18"/>
  <c r="C29" i="17"/>
  <c r="C22" i="17"/>
  <c r="E22" i="17" s="1"/>
  <c r="E29" i="17"/>
  <c r="E38" i="10" l="1"/>
  <c r="E41" i="10" s="1"/>
  <c r="H33" i="10"/>
  <c r="B41" i="18"/>
  <c r="C21" i="17"/>
  <c r="E21" i="17" s="1"/>
  <c r="B40" i="18"/>
  <c r="H38" i="10"/>
  <c r="G41" i="10"/>
  <c r="C68" i="11" l="1"/>
  <c r="E68" i="11" s="1"/>
  <c r="E77" i="10"/>
  <c r="C24" i="17"/>
  <c r="E24" i="17" s="1"/>
  <c r="C74" i="11"/>
  <c r="E74" i="11" s="1"/>
  <c r="C70" i="11"/>
  <c r="E70" i="11" s="1"/>
  <c r="J14" i="13"/>
  <c r="E10" i="17"/>
  <c r="E59" i="10"/>
  <c r="B61" i="10" s="1"/>
  <c r="G59" i="10"/>
  <c r="H59" i="10" s="1"/>
  <c r="H41" i="10"/>
  <c r="E31" i="17" l="1"/>
  <c r="E32" i="17"/>
  <c r="C35" i="17" s="1"/>
  <c r="E33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tc={881F906D-1BFD-47B2-BE9E-A2DDB67D66E4}</author>
    <author>tc={17924FC6-5888-466C-AE9C-49DC911F8006}</author>
    <author>tc={BFC04F74-9A00-4A7E-B1B5-DDB2439D1A9E}</author>
    <author>tc={7E8E1F6D-ADDC-4CD6-A17C-85D0B07BCC2D}</author>
    <author>tc={7C76DB17-165D-4834-9479-4A424EB5307F}</author>
  </authors>
  <commentList>
    <comment ref="S3" authorId="0" shapeId="0" xr:uid="{881F906D-1BFD-47B2-BE9E-A2DDB67D66E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Ex: 'Aurelia' → utilisé dans les titres d'onglets</t>
      </text>
    </comment>
    <comment ref="S4" authorId="1" shapeId="0" xr:uid="{17924FC6-5888-466C-AE9C-49DC911F800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 légal complet de la société mère</t>
      </text>
    </comment>
    <comment ref="S5" authorId="2" shapeId="0" xr:uid="{BFC04F74-9A00-4A7E-B1B5-DDB2439D1A9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Ex: 'Groupe Aurelia' → titres bilans/PNL consolidés</t>
      </text>
    </comment>
    <comment ref="S6" authorId="3" shapeId="0" xr:uid="{7E8E1F6D-ADDC-4CD6-A17C-85D0B07BCC2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Nom du fichier affiché en A1 de chaque onglet</t>
      </text>
    </comment>
    <comment ref="B36" authorId="4" shapeId="0" xr:uid="{7C76DB17-165D-4834-9479-4A424EB5307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Peut être lié à NEURAL_MultiCurrency_IAS21.xlsx via :
='[NEURAL_MultiCurrency_IAS21.xlsx]01_PARAMETRES'!E17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tc={0B38BECC-CA87-45F8-8069-807A37B33635}</author>
  </authors>
  <commentList>
    <comment ref="O45" authorId="0" shapeId="0" xr:uid="{0B38BECC-CA87-45F8-8069-807A37B3363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EAU : 9% IS depuis juin 2023 pour bénéfices &gt; 375 000 AED.
Calcul : 9% × (18 800 - 375) ≈ 1 658 → arrondi 1 692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tc={3F3423E9-976B-4CC5-875A-66FBBF9D4C9F}</author>
    <author>tc={66DA88A7-D628-4334-8623-85AD85DDEDC1}</author>
    <author>tc={658AA928-77B4-4CC3-AD00-CCBD82A2FE99}</author>
    <author>tc={D669F191-F8D6-4E73-9C19-7BEA09581EC6}</author>
    <author>tc={F4DD47D6-C961-449F-91DE-725263C51983}</author>
    <author>tc={E01CD5A0-B352-4786-AFBF-2A98A2AC1B47}</author>
    <author>tc={8F0C2499-C49C-48CB-887A-7ACDD0818498}</author>
    <author>tc={BA1F50DB-A032-40FE-811B-273F6984D931}</author>
  </authors>
  <commentList>
    <comment ref="B52" authorId="0" shapeId="0" xr:uid="{3F3423E9-976B-4CC5-875A-66FBBF9D4C9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Lié à J52 (solde ouverture calculé). Ancienne valeur manuelle : 62 000 K€ — inchangée car EUR, pas d'écart de change.</t>
      </text>
    </comment>
    <comment ref="I52" authorId="1" shapeId="0" xr:uid="{66DA88A7-D628-4334-8623-85AD85DDEDC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Dépréciations cumulées de goodwill AU-IT au 31/03/2025 (N-1).
Saisie manuelle (fond jaune). = 0 si aucune dépréciation passée.</t>
      </text>
    </comment>
    <comment ref="B53" authorId="2" shapeId="0" xr:uid="{658AA928-77B4-4CC3-AD00-CCBD82A2FE9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Lié à J53 (solde ouverture calculé = K14/taux ouverture USD). Ancienne valeur manuelle : 43 800 K€.</t>
      </text>
    </comment>
    <comment ref="I53" authorId="3" shapeId="0" xr:uid="{D669F191-F8D6-4E73-9C19-7BEA09581EC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Dépréciations cumulées de goodwill AU-US au 31/03/2025 (N-1) en USD.
Saisie manuelle (fond jaune). Converti en EUR via taux ouverture D36.</t>
      </text>
    </comment>
    <comment ref="J53" authorId="4" shapeId="0" xr:uid="{F4DD47D6-C961-449F-91DE-725263C5198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Solde ouverture net en EUR = (Goodwill brut USD - Dépréc. cumulées USD) / Taux ouverture USD
= (H53 - I53) / 01_PARAMETRES!D36
Conformément à IAS 21 : le goodwill est retraduit au taux de clôture N-1 (= taux d'ouverture N).</t>
      </text>
    </comment>
    <comment ref="I54" authorId="5" shapeId="0" xr:uid="{E01CD5A0-B352-4786-AFBF-2A98A2AC1B4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Dépréciations cumulées de goodwill AU-JP au 31/03/2025 (N-1) en JPY.
Saisie manuelle (fond jaune). Converti en EUR via taux ouverture D37.</t>
      </text>
    </comment>
    <comment ref="I55" authorId="6" shapeId="0" xr:uid="{8F0C2499-C49C-48CB-887A-7ACDD081849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Dépréciations cumulées de goodwill AU-CN au 31/03/2025 (N-1) en CNY.
Saisie manuelle (fond jaune). Converti en EUR via taux ouverture D39.</t>
      </text>
    </comment>
    <comment ref="I56" authorId="7" shapeId="0" xr:uid="{BA1F50DB-A032-40FE-811B-273F6984D93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Dépréciations cumulées de goodwill AU-AE au 31/03/2025 (N-1) en AED.
Saisie manuelle (fond jaune). Converti en EUR via taux ouverture D41.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tc={5790AF99-F368-4A3C-BD34-8E0DEAE6D42F}</author>
    <author>tc={9B4A3579-DBF9-4190-BF23-8E93CF7C338B}</author>
    <author>tc={359BEE48-1ABB-4C2F-9F34-980BCED3A3C9}</author>
  </authors>
  <commentList>
    <comment ref="D86" authorId="0" shapeId="0" xr:uid="{5790AF99-F368-4A3C-BD34-8E0DEAE6D42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Lié à 04_PNL_IND!C11 (ligne 'dont redevances intra-groupe reçues MA-FR').
= Total E5 ÉLIMINATIONS (D85). Contrôle symétrie produits mère / charges filiales.</t>
      </text>
    </comment>
    <comment ref="F86" authorId="1" shapeId="0" xr:uid="{9B4A3579-DBF9-4190-BF23-8E93CF7C338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Charges redevances filiales converties en EUR au taux moyen P&amp;L (IAS 21):
- AU-IT : E24 (EUR, direct)
- AU-US : G24 / taux moyen USD (01_PARAMETRES!C36)
- AU-JP : I24 / taux moyen JPY (01_PARAMETRES!C37)
AU-CH, AU-CN, AU-AE : redevances = 0 selon 04_PNL_IND.</t>
      </text>
    </comment>
    <comment ref="G86" authorId="2" shapeId="0" xr:uid="{359BEE48-1ABB-4C2F-9F34-980BCED3A3C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Écart ATTENDU si AU-CH/CN/AE ont des redevances dans E5 (D82-D84) mais pas dans 04_PNL_IND (K24/M24/O24 = 0).
Pour résorber l'écart : soit renseigner les charges redevances dans PNL_IND lignes 24 pour ces entités,
soit accepter l'écart si les montants E5 sont des redevances estimées hors périmètre P&amp;L individuel.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Ludo</author>
  </authors>
  <commentList>
    <comment ref="E22" authorId="0" shapeId="0" xr:uid="{9E1B076B-445D-4C52-BD08-3713F52CC001}">
      <text>
        <r>
          <rPr>
            <b/>
            <sz val="9"/>
            <color indexed="81"/>
            <rFont val="Tahoma"/>
            <family val="2"/>
          </rPr>
          <t>Ludo:</t>
        </r>
        <r>
          <rPr>
            <sz val="9"/>
            <color indexed="81"/>
            <rFont val="Tahoma"/>
            <family val="2"/>
          </rPr>
          <t xml:space="preserve">
À compléter — réf. originale: -'08_PARTAGE_CP'!E23. Feuille 08_PARTAGE_CP non implémentée.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tc={46950141-BD97-40A0-93C6-CBE03A2BCD46}</author>
  </authors>
  <commentList>
    <comment ref="F7" authorId="0" shapeId="0" xr:uid="{46950141-BD97-40A0-93C6-CBE03A2BCD4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Écart de conversion total OCI = 
1. Écart sur bilans filiales : 05_CONVERSION_IAS21!B127
2. Écart sur goodwill (IAS 21 §47) : 06_GOODWILL!F58
Conformément à IAS 21 §39c — les deux composantes sont en OCI.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Ludo</author>
  </authors>
  <commentList>
    <comment ref="C14" authorId="0" shapeId="0" xr:uid="{233D41CE-0D77-45E2-A48E-2FBFA2295109}">
      <text>
        <r>
          <rPr>
            <b/>
            <sz val="9"/>
            <color indexed="81"/>
            <rFont val="Tahoma"/>
            <family val="2"/>
          </rPr>
          <t>Ludo:</t>
        </r>
        <r>
          <rPr>
            <sz val="9"/>
            <color indexed="81"/>
            <rFont val="Tahoma"/>
            <family val="2"/>
          </rPr>
          <t xml:space="preserve">
Réf. originale: =ABS(SUM('08_PARTAGE_CP'!H6:H11)-('09_BILAN_CONSO'!E41-'03_BILANS_IND'!C34)). Feuille 08_PARTAGE_CP non implémentée dans ce classeur.</t>
        </r>
      </text>
    </comment>
    <comment ref="C16" authorId="0" shapeId="0" xr:uid="{C128FA73-9925-4C92-AF27-7507B0ED194F}">
      <text>
        <r>
          <rPr>
            <b/>
            <sz val="9"/>
            <color indexed="81"/>
            <rFont val="Tahoma"/>
            <family val="2"/>
          </rPr>
          <t>Ludo:</t>
        </r>
        <r>
          <rPr>
            <sz val="9"/>
            <color indexed="81"/>
            <rFont val="Tahoma"/>
            <family val="2"/>
          </rPr>
          <t xml:space="preserve">
Réf. originale: =MIN('08_PARTAGE_CP'!I6:I11). Feuille 08_PARTAGE_CP non implémentée dans ce classeur.</t>
        </r>
      </text>
    </comment>
    <comment ref="D18" authorId="0" shapeId="0" xr:uid="{1CE22FB6-D97D-45BB-A20B-302BCD2A2527}">
      <text>
        <r>
          <rPr>
            <b/>
            <sz val="9"/>
            <color indexed="81"/>
            <rFont val="Tahoma"/>
            <family val="2"/>
          </rPr>
          <t>Ludo:</t>
        </r>
        <r>
          <rPr>
            <sz val="9"/>
            <color indexed="81"/>
            <rFont val="Tahoma"/>
            <family val="2"/>
          </rPr>
          <t xml:space="preserve">
6 blocs IG dans 05_CONVERSION_IAS21 (AU-IT, AU-JP, AU-US, AU-GB, AU-BR, AU-CH)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<sst xmlns="http://schemas.openxmlformats.org/spreadsheetml/2006/main" count="2345" uniqueCount="1376">
  <si>
    <t>INFORMATIONS GROUPE</t>
  </si>
  <si>
    <t>Turn #</t>
  </si>
  <si>
    <t>Date</t>
  </si>
  <si>
    <t>User Request</t>
  </si>
  <si>
    <t>Action Taken</t>
  </si>
  <si>
    <t>Details</t>
  </si>
  <si>
    <t>Outcome</t>
  </si>
  <si>
    <t>Build the complete 01_PARAMETRES sheet for NEURAL consolidation model — Maison Aurelia group</t>
  </si>
  <si>
    <t>Creating full sheet: title, 6 sections (Group Info, Entity Directory, FX Rates, Consolidation Params, Perimeter Changes, Named Ranges), with dropdowns, formulas, and formatting</t>
  </si>
  <si>
    <t>Sections A-F, 81 rows, 15 columns; dropdowns on B13, B14, B59; formulas on I18:I25 (=G+H); named ranges CodeEntite..DateClotureConso; tab color #0A0A0A; EUR/non-EUR FX table</t>
  </si>
  <si>
    <t>NEURAL — Consolidation Multi-Maisons</t>
  </si>
  <si>
    <t>Société mère</t>
  </si>
  <si>
    <t>SIREN</t>
  </si>
  <si>
    <t>Siège social</t>
  </si>
  <si>
    <t>Devise fonctionnelle (mère)</t>
  </si>
  <si>
    <t>Devise de présentation</t>
  </si>
  <si>
    <t>Exercice fiscal</t>
  </si>
  <si>
    <t>Date de clôture</t>
  </si>
  <si>
    <t>Norme consolidation</t>
  </si>
  <si>
    <t>Méthode goodwill NCI</t>
  </si>
  <si>
    <t>Monnaie d'affichage</t>
  </si>
  <si>
    <t>Maison Aurelia SAS</t>
  </si>
  <si>
    <t>987 654 321</t>
  </si>
  <si>
    <t>24 rue du Faubourg Saint-Honoré, 75008 Paris</t>
  </si>
  <si>
    <t>EUR</t>
  </si>
  <si>
    <t>01/04/2025 — 31/03/2026</t>
  </si>
  <si>
    <t>IFRS 10, IFRS 3, IAS 28, IAS 36</t>
  </si>
  <si>
    <t>Quote-part actifs nets (partial goodwill)</t>
  </si>
  <si>
    <t>Milliers d'euros (K€)</t>
  </si>
  <si>
    <t>RÉPERTOIRE DES ENTITÉS CONSOLIDÉES</t>
  </si>
  <si>
    <t>Code</t>
  </si>
  <si>
    <t>Dénomination sociale</t>
  </si>
  <si>
    <t>Pays</t>
  </si>
  <si>
    <t>Ville</t>
  </si>
  <si>
    <t>Devise fonctionnelle</t>
  </si>
  <si>
    <t>N° SIREN / Reg.</t>
  </si>
  <si>
    <t>% détention directe</t>
  </si>
  <si>
    <t>% détention indirecte</t>
  </si>
  <si>
    <t>% intérêt total</t>
  </si>
  <si>
    <t>% contrôle (droits de vote)</t>
  </si>
  <si>
    <t>Méthode consolidation</t>
  </si>
  <si>
    <t>Date d'acquisition</t>
  </si>
  <si>
    <t>Date entrée périmètre</t>
  </si>
  <si>
    <t>Secteur opérationnel</t>
  </si>
  <si>
    <t>Statut</t>
  </si>
  <si>
    <t>MA-FR</t>
  </si>
  <si>
    <t>France</t>
  </si>
  <si>
    <t>Paris</t>
  </si>
  <si>
    <t>Mère</t>
  </si>
  <si>
    <t>Maroquinerie &amp; Joaillerie</t>
  </si>
  <si>
    <t>Actif</t>
  </si>
  <si>
    <t>AU-IT</t>
  </si>
  <si>
    <t>Aurelia Italia SpA</t>
  </si>
  <si>
    <t>Italie</t>
  </si>
  <si>
    <t>Milan</t>
  </si>
  <si>
    <t>IT-12345678</t>
  </si>
  <si>
    <t>IG</t>
  </si>
  <si>
    <t>Maroquinerie &amp; Accessoires</t>
  </si>
  <si>
    <t>AU-US</t>
  </si>
  <si>
    <t>Aurelia USA Inc.</t>
  </si>
  <si>
    <t>États-Unis</t>
  </si>
  <si>
    <t>New York</t>
  </si>
  <si>
    <t>USD</t>
  </si>
  <si>
    <t>US-EIN-98765</t>
  </si>
  <si>
    <t>Distribution Retail</t>
  </si>
  <si>
    <t>AU-JP</t>
  </si>
  <si>
    <t>Aurelia Japan KK</t>
  </si>
  <si>
    <t>Japon</t>
  </si>
  <si>
    <t>Tokyo</t>
  </si>
  <si>
    <t>JPY</t>
  </si>
  <si>
    <t>JP-Corp-456789</t>
  </si>
  <si>
    <t>AU-CH</t>
  </si>
  <si>
    <t>Aurelia Suisse SA</t>
  </si>
  <si>
    <t>Suisse</t>
  </si>
  <si>
    <t>Genève</t>
  </si>
  <si>
    <t>CHF</t>
  </si>
  <si>
    <t>CH-789.456.123</t>
  </si>
  <si>
    <t>Horlogerie</t>
  </si>
  <si>
    <t>AU-CN</t>
  </si>
  <si>
    <t>Aurelia China Ltd</t>
  </si>
  <si>
    <t>Chine</t>
  </si>
  <si>
    <t>Shanghai</t>
  </si>
  <si>
    <t>CNY</t>
  </si>
  <si>
    <t>CN-91310000</t>
  </si>
  <si>
    <t>AU-HK</t>
  </si>
  <si>
    <t>Aurelia HK JV Ltd</t>
  </si>
  <si>
    <t>Hong Kong</t>
  </si>
  <si>
    <t>Central</t>
  </si>
  <si>
    <t>HKD</t>
  </si>
  <si>
    <t>HK-CR-234567</t>
  </si>
  <si>
    <t>MEE</t>
  </si>
  <si>
    <t>Distribution Travel Retail</t>
  </si>
  <si>
    <t>AU-AE</t>
  </si>
  <si>
    <t>Aurelia Middle East FZE</t>
  </si>
  <si>
    <t>Émirats Arabes Unis</t>
  </si>
  <si>
    <t>Dubai</t>
  </si>
  <si>
    <t>AED</t>
  </si>
  <si>
    <t>AE-DMCC-78901</t>
  </si>
  <si>
    <t>TAUX DE CHANGE POUR CONSOLIDATION (IAS 21.38-49)</t>
  </si>
  <si>
    <t>Les filiales en devise étrangère sont converties :</t>
  </si>
  <si>
    <t xml:space="preserve">  Bilan (actifs/passifs) → Taux de clôture</t>
  </si>
  <si>
    <t xml:space="preserve">  P&amp;L (produits/charges) → Taux moyen de l'exercice</t>
  </si>
  <si>
    <t xml:space="preserve">  Capitaux propres → Taux historique (date d'acquisition / contribution)</t>
  </si>
  <si>
    <t xml:space="preserve">  Goodwill → Taux de clôture (IAS 21.47)</t>
  </si>
  <si>
    <t>Devise</t>
  </si>
  <si>
    <t>Taux clôture 31/03/2026</t>
  </si>
  <si>
    <t>Taux moyen exercice</t>
  </si>
  <si>
    <t>Taux ouverture 01/04/2025</t>
  </si>
  <si>
    <t>Taux historique (acquisition)</t>
  </si>
  <si>
    <t>Source</t>
  </si>
  <si>
    <t>—</t>
  </si>
  <si>
    <t>BCE</t>
  </si>
  <si>
    <t>PARAMÈTRES DE CONSOLIDATION</t>
  </si>
  <si>
    <t>Comptes comptables spécifiques consolidation</t>
  </si>
  <si>
    <t>Goodwill (actif)</t>
  </si>
  <si>
    <t>Dépréciation cumul. goodwill</t>
  </si>
  <si>
    <t>Réserves consolidées</t>
  </si>
  <si>
    <t>Type</t>
  </si>
  <si>
    <t>Entité</t>
  </si>
  <si>
    <t>Impact</t>
  </si>
  <si>
    <t>Entrée</t>
  </si>
  <si>
    <t>Aucune entrée sur l'exercice</t>
  </si>
  <si>
    <t>Sortie</t>
  </si>
  <si>
    <t>Aucune sortie sur l'exercice</t>
  </si>
  <si>
    <t>Var. % détention</t>
  </si>
  <si>
    <t>Aucun changement</t>
  </si>
  <si>
    <t>⚠️ Note : si variation de périmètre, ajuster les retraitements</t>
  </si>
  <si>
    <t xml:space="preserve">  en pro rata temporis et recalculer les goodwill le cas échéant.</t>
  </si>
  <si>
    <t>PLAGES NOMMÉES</t>
  </si>
  <si>
    <t>Nom</t>
  </si>
  <si>
    <t>Plage</t>
  </si>
  <si>
    <t>CodeEntite</t>
  </si>
  <si>
    <t>01_PARAMETRES!A18:A25</t>
  </si>
  <si>
    <t>NomEntite</t>
  </si>
  <si>
    <t>01_PARAMETRES!B18:B25</t>
  </si>
  <si>
    <t>PctInteret</t>
  </si>
  <si>
    <t>01_PARAMETRES!I18:I25</t>
  </si>
  <si>
    <t>PctControle</t>
  </si>
  <si>
    <t>01_PARAMETRES!J18:J25</t>
  </si>
  <si>
    <t>MethodeConso</t>
  </si>
  <si>
    <t>01_PARAMETRES!K18:K25</t>
  </si>
  <si>
    <t>DeviseFonctionnelle</t>
  </si>
  <si>
    <t>01_PARAMETRES!E18:E25</t>
  </si>
  <si>
    <t>TauxClotureConso</t>
  </si>
  <si>
    <t>01_PARAMETRES!B35:B41</t>
  </si>
  <si>
    <t>TauxMoyenConso</t>
  </si>
  <si>
    <t>01_PARAMETRES!C35:C41</t>
  </si>
  <si>
    <t>TauxHistoriqueConso</t>
  </si>
  <si>
    <t>01_PARAMETRES!E35:E41</t>
  </si>
  <si>
    <t>DateClotureConso</t>
  </si>
  <si>
    <t>01_PARAMETRES!B11</t>
  </si>
  <si>
    <t>Complete — 01_PARAMETRES built with 6 sections, 81 rows, 15 columns. All formulas verified (I18:I25 = G+H, no errors). Named ranges created (10 ranges). Dropdowns on B13, B14, B59. B11 date = 31/03/2026 confirmed. Tab color #0A0A0A applied.</t>
  </si>
  <si>
    <t>Analyse du contrôle selon IFRS 10 §5-19</t>
  </si>
  <si>
    <t>ORGANIGRAMME SIMPLIFIÉ</t>
  </si>
  <si>
    <t>│ 95%</t>
  </si>
  <si>
    <t>│ 100%</t>
  </si>
  <si>
    <t>│ 80%</t>
  </si>
  <si>
    <t>│ 70%</t>
  </si>
  <si>
    <t>Aurelia Italia SpA
Milan — EUR
IG</t>
  </si>
  <si>
    <t>Aurelia USA Inc.
New York — USD
IG</t>
  </si>
  <si>
    <t>Aurelia Japan KK
Tokyo — JPY
IG</t>
  </si>
  <si>
    <t>Aurelia Suisse SA
Genève — CHF
IG</t>
  </si>
  <si>
    <t>Aurelia China Ltd
Shanghai — CNY
IG</t>
  </si>
  <si>
    <t>Aurelia M.E. FZE
Dubai — AED
IG (via AU-US)</t>
  </si>
  <si>
    <t>│ 35% (via Aurelia China)</t>
  </si>
  <si>
    <t>Aurelia HK JV Ltd
Hong Kong — HKD
MEE (IAS 28)</t>
  </si>
  <si>
    <t>■ Vert = Intégration Globale (IG)   ■ Bleu/Pointillé = Mise en Équivalence (MEE)   ■ Or = Société Mère</t>
  </si>
  <si>
    <t>ANALYSE DE CONTRÔLE — IFRS 10 §5-19</t>
  </si>
  <si>
    <t>Contrôle = Pouvoir + Exposition rendements variables + Lien pouvoir-rendements (IFRS 10 §5-19)</t>
  </si>
  <si>
    <t>% droits de vote</t>
  </si>
  <si>
    <t>Pouvoir (IFRS 10 §10-14)</t>
  </si>
  <si>
    <t>Exposition rendements variables (§15-16)</t>
  </si>
  <si>
    <t>Lien pouvoir-rendements (§17)</t>
  </si>
  <si>
    <t>Conclusion</t>
  </si>
  <si>
    <t>Méthode</t>
  </si>
  <si>
    <t>Base normative</t>
  </si>
  <si>
    <t>OUI — Majorité des droits de vote (95%)</t>
  </si>
  <si>
    <t>OUI — 95% des dividendes et résultats</t>
  </si>
  <si>
    <t>OUI — Nomination de tous les dirigeants</t>
  </si>
  <si>
    <t>IFRS 10 §B35 — Majorité des droits de vote</t>
  </si>
  <si>
    <t>OUI — 100% des droits de vote</t>
  </si>
  <si>
    <t>OUI — 100% des résultats</t>
  </si>
  <si>
    <t>OUI — Contrôle total, filiale à 100%</t>
  </si>
  <si>
    <t>IFRS 10 §B35 — Filiale à 100%</t>
  </si>
  <si>
    <t>OUI — 80% des droits de vote</t>
  </si>
  <si>
    <t>OUI — 80% des résultats, NCI 20%</t>
  </si>
  <si>
    <t>OUI — Nomination majoritaire des dirigeants</t>
  </si>
  <si>
    <t>OUI — 70% des droits de vote</t>
  </si>
  <si>
    <t>OUI — 70% des résultats, NCI 30%</t>
  </si>
  <si>
    <t>OUI — 100% (détenu via AU-US à 100%)</t>
  </si>
  <si>
    <t>OUI — 100% indirects via AU-US</t>
  </si>
  <si>
    <t>OUI — Contrôle indirect via filiale à 100%</t>
  </si>
  <si>
    <t>IFRS 10 §B85-86 — Contrôle indirect</t>
  </si>
  <si>
    <t>NON — Pas de majorité, pas de contrôle de fait</t>
  </si>
  <si>
    <t>OUI — 35% des résultats</t>
  </si>
  <si>
    <t>N/A — Pas de pouvoir</t>
  </si>
  <si>
    <t>IAS 28 §5-6 — Influence notable (20% ≤ % &lt; 50%)</t>
  </si>
  <si>
    <t>✅ Toutes les entités IG sont soumises à un test de contrôle annuel (IFRS 10 §B80-B85)</t>
  </si>
  <si>
    <t>⚠️  AU-HK : surveiller si % intérêt monte à ≥50% — déclenchement contrôle IFRS 10 §B41-B46</t>
  </si>
  <si>
    <t>SYNTHÈSE DU PÉRIMÈTRE</t>
  </si>
  <si>
    <t>Critère</t>
  </si>
  <si>
    <t>Nombre</t>
  </si>
  <si>
    <t>Total entités consolidées</t>
  </si>
  <si>
    <t>Intégration globale (IG + Mère)</t>
  </si>
  <si>
    <t>Mise en équivalence (MEE)</t>
  </si>
  <si>
    <t>Entités en devise étrangère</t>
  </si>
  <si>
    <t>Pays couverts (distinct)</t>
  </si>
  <si>
    <t>Entités avec NCI &gt; 0% (IG partielle)</t>
  </si>
  <si>
    <t>Entrées/Sorties exercice en cours</t>
  </si>
  <si>
    <t>← SOMME.PRODUIT dédoublonnage (alternative à NB.UNIQUE non dispo toutes versions)</t>
  </si>
  <si>
    <t>Build 02_PERIMETRE sheet — organigramme juridique + analyse contrôle IFRS 10 + synthèse périmètre</t>
  </si>
  <si>
    <t>Created 02_PERIMETRE with 3 sections: (A) organigramme hiérarchique, (B) table analyse IFRS 10 §5-19 pour 7 entités, (C) synthèse avec formules cross-sheet</t>
  </si>
  <si>
    <t>Organigramme: nœuds fusionnés, couleurs IG=vert/MEE=bleu-gris/Mère=or, bordures. Section B: formules IF(LEFT(C,3)='OUI') pour conclusion, liens vers 01_PARAMETRES!B19-B25/J19-J25. G37 cas MEE. Section C: COUNTA, COUNTIF, SUMPRODUCT dédoublonnage. Conditional formatting F31:F37 vert/orange. Onglet #D4A843.</t>
  </si>
  <si>
    <t>Complete — 7 entités analysées, 6 CONTRÔLE ÉTABLI (IG) + 1 PAS DE CONTRÔLE (MEE). Synthèse: 8 entités, 7 IG, 1 MEE, 6 devises étrangères, 8 pays. 0 erreurs formule.</t>
  </si>
  <si>
    <t>User reported 02_PERIMETRE not rendering well — asked to fix layout</t>
  </si>
  <si>
    <t>Adjusted column widths to uniform ~110-150pt, increased row heights on analysis table for wrap text, kept structure intact per user preference</t>
  </si>
  <si>
    <t>Column widths: A=150, B=110, C-J=100-120 (uniform pairs for org chart). Analysis rows 31-37 height=46 for wrap text. Synthèse labels now fully visible. Org chart nodes balanced.</t>
  </si>
  <si>
    <t>Fixed — organigramme nœuds alignés, table IFRS 10 lisible avec wrap text, synthèse labels complets. User approved 'garder tel quel, ajuster tailles'.</t>
  </si>
  <si>
    <t>BILANS INDIVIDUELS — EN DEVISE LOCALE</t>
  </si>
  <si>
    <t>⚠️ Montants en devise fonctionnelle de chaque entité (avant conversion)</t>
  </si>
  <si>
    <t>Poste</t>
  </si>
  <si>
    <t>Réf. IFRS</t>
  </si>
  <si>
    <t>TOTAL</t>
  </si>
  <si>
    <t>CONTRÔLE</t>
  </si>
  <si>
    <t>ACTIF</t>
  </si>
  <si>
    <t>Actifs non courants</t>
  </si>
  <si>
    <t>Goodwill</t>
  </si>
  <si>
    <t>IFRS 3</t>
  </si>
  <si>
    <t>Immobilisations incorporelles</t>
  </si>
  <si>
    <t>IAS 38</t>
  </si>
  <si>
    <t>Immobilisations corporelles</t>
  </si>
  <si>
    <t>IAS 16</t>
  </si>
  <si>
    <t>Droits d'utilisation (IFRS 16)</t>
  </si>
  <si>
    <t>IFRS 16</t>
  </si>
  <si>
    <t>Participations dans filiales</t>
  </si>
  <si>
    <t>IFRS 10/IAS 27</t>
  </si>
  <si>
    <t>Participations MEE</t>
  </si>
  <si>
    <t>IAS 28</t>
  </si>
  <si>
    <t>Actifs financiers non courants</t>
  </si>
  <si>
    <t>IFRS 9</t>
  </si>
  <si>
    <t>Actifs d'impôt différé</t>
  </si>
  <si>
    <t>IAS 12</t>
  </si>
  <si>
    <t>Créances intra-groupe non courantes</t>
  </si>
  <si>
    <t>→ ÉLIM</t>
  </si>
  <si>
    <t>Total actifs non courants</t>
  </si>
  <si>
    <t>Actifs courants</t>
  </si>
  <si>
    <t>Stocks et en-cours</t>
  </si>
  <si>
    <t>IAS 2</t>
  </si>
  <si>
    <t>Créances clients</t>
  </si>
  <si>
    <t>IFRS 9/15</t>
  </si>
  <si>
    <t>Créances intra-groupe courantes</t>
  </si>
  <si>
    <t>Autres créances</t>
  </si>
  <si>
    <t>IAS 1</t>
  </si>
  <si>
    <t>Charges constatées d'avance</t>
  </si>
  <si>
    <t>Instruments dérivés actifs</t>
  </si>
  <si>
    <t>Trésorerie et équivalents</t>
  </si>
  <si>
    <t>IAS 7</t>
  </si>
  <si>
    <t>Total actifs courants</t>
  </si>
  <si>
    <t>TOTAL ACTIF</t>
  </si>
  <si>
    <t>PASSIF &amp; CAPITAUX PROPRES</t>
  </si>
  <si>
    <t>Capitaux propres</t>
  </si>
  <si>
    <t>Capital social</t>
  </si>
  <si>
    <t>Primes d'émission</t>
  </si>
  <si>
    <t>Réserves</t>
  </si>
  <si>
    <t>Résultat de l'exercice</t>
  </si>
  <si>
    <t>Écarts de conversion</t>
  </si>
  <si>
    <t>IAS 21</t>
  </si>
  <si>
    <t>Autres éléments du résultat global</t>
  </si>
  <si>
    <t>Total capitaux propres</t>
  </si>
  <si>
    <t>Passifs non courants</t>
  </si>
  <si>
    <t>Emprunts et dettes financières</t>
  </si>
  <si>
    <t>Obligations locatives (IFRS 16)</t>
  </si>
  <si>
    <t>Provisions non courantes</t>
  </si>
  <si>
    <t>IAS 37</t>
  </si>
  <si>
    <t>Passifs d'impôt différé</t>
  </si>
  <si>
    <t>Dettes intra-groupe non courantes</t>
  </si>
  <si>
    <t>Total passifs non courants</t>
  </si>
  <si>
    <t>Passifs courants</t>
  </si>
  <si>
    <t>Fournisseurs</t>
  </si>
  <si>
    <t>Dettes intra-groupe courantes</t>
  </si>
  <si>
    <t>Dettes fiscales et sociales</t>
  </si>
  <si>
    <t>Autres dettes</t>
  </si>
  <si>
    <t>Instruments dérivés passifs</t>
  </si>
  <si>
    <t>Total passifs courants</t>
  </si>
  <si>
    <t>TOTAL PASSIF &amp; CAPITAUX PROPRES</t>
  </si>
  <si>
    <t>CONTRÔLE : Actif = Passif</t>
  </si>
  <si>
    <t>Vérifications</t>
  </si>
  <si>
    <t>Build 03_BILANS_IND — individual balance sheets for all 7 IG entities in local currency, horizontal layout</t>
  </si>
  <si>
    <t>Created 03_BILANS_IND with full IFRS balance sheet structure: ACTIF (NCA 9 lines + CA 7 lines) + PASSIF (CP 6 + PNC 5 + PC 5). 7 entities in columns C/E/G/I/K/M/O + TOTAL Q + CONTRÔLE S. All data values as input cells (yellow), SUM formulas for subtotals, balance check row 57.</t>
  </si>
  <si>
    <t>Balanced all 7 entities: MA-FR 2,899,950 EUR, AU-IT 804,000 EUR, AU-US 1,245,000 USD, AU-JP 28,580,000 JPY, AU-CH 422,200 CHF, AU-CN 513,000 CNY, AU-AE 210,500 AED. French TEXT formula fix (jj/mm/aaaa). Cross-sheet links to 01_PARAMETRES for entity codes/devises. Freeze panes A-B + row 5.</t>
  </si>
  <si>
    <t>Complete — 7/7 entities ✅ balanced (Actif=Passif). Row 57 checks all pass. Tab color #3B82F6.</t>
  </si>
  <si>
    <t>User reported rows 1-4 not visible on 03_BILANS_IND</t>
  </si>
  <si>
    <t>Unfreeze + refreeze panes at C6 to fix display. Rows 1-5 frozen at top, cols A-B frozen left.</t>
  </si>
  <si>
    <t>Rows not hidden (rowHidden=false), content intact. Reset freeze pane to clear potential display glitch.</t>
  </si>
  <si>
    <t>Freeze pane reset. Awaiting user confirmation that rows 1-4 are now visible.</t>
  </si>
  <si>
    <t>User still couldn't see rows 1-4 on 03_BILANS_IND despite freeze reset</t>
  </si>
  <si>
    <t>Enhanced visibility: increased font sizes (A1=16pt, A2=11pt, A3=10pt), brighter colors (#D4A843, #CCCCCC, #F5A623), added dark background fill, taller rows (36/22/22pt). Row 4 reduced to 8pt separator.</t>
  </si>
  <si>
    <t>Visual inspection confirms rows 1-3 now clearly visible with high contrast. Possible user scroll issue — suggested Ctrl+Home.</t>
  </si>
  <si>
    <t>Rows 1-3 enhanced. Awaiting user confirmation.</t>
  </si>
  <si>
    <t>User asked to remove freeze pane on 03_BILANS_IND — simpler layout preferred</t>
  </si>
  <si>
    <t>Removed freeze pane (unfreeze). Sheet now scrolls freely.</t>
  </si>
  <si>
    <t>freezePanes.unfreeze() applied. No structural changes.</t>
  </si>
  <si>
    <t>Complete — freeze pane removed.</t>
  </si>
  <si>
    <t>COMPTES DE RÉSULTAT INDIVIDUELS — EN DEVISE LOCALE</t>
  </si>
  <si>
    <t>Exercice du 01/04/2025 au 31/03/2026</t>
  </si>
  <si>
    <t>PRODUITS D'EXPLOITATION</t>
  </si>
  <si>
    <t>CHARGES D'EXPLOITATION</t>
  </si>
  <si>
    <t>RÉSULTAT FINANCIER</t>
  </si>
  <si>
    <t>Chiffre d'affaires — tiers</t>
  </si>
  <si>
    <t>IFRS 15</t>
  </si>
  <si>
    <t>Chiffre d'affaires — intra-groupe</t>
  </si>
  <si>
    <t>Autres produits d'exploitation</t>
  </si>
  <si>
    <t>Coût des ventes — achats tiers</t>
  </si>
  <si>
    <t>Coût des ventes — achats intra-groupe</t>
  </si>
  <si>
    <t>Charges de personnel</t>
  </si>
  <si>
    <t>IAS 19</t>
  </si>
  <si>
    <t>Loyers et charges locatives</t>
  </si>
  <si>
    <t>Marketing et communication</t>
  </si>
  <si>
    <t>Dépréciation et amortissement</t>
  </si>
  <si>
    <t>IAS 16/38</t>
  </si>
  <si>
    <t>Redevances de marque — intra-groupe</t>
  </si>
  <si>
    <t>Autres charges opérationnelles</t>
  </si>
  <si>
    <t>Autres produits et charges opérationnels</t>
  </si>
  <si>
    <t>Dépréciation goodwill</t>
  </si>
  <si>
    <t>IAS 36</t>
  </si>
  <si>
    <t>Résultat de cession</t>
  </si>
  <si>
    <t>IFRS 5</t>
  </si>
  <si>
    <t>Produits financiers</t>
  </si>
  <si>
    <t>Charges financières</t>
  </si>
  <si>
    <t>Gains/pertes de change</t>
  </si>
  <si>
    <t>Dividendes reçus intra-groupe</t>
  </si>
  <si>
    <t>Impôt sur les sociétés</t>
  </si>
  <si>
    <t>Impôt différé</t>
  </si>
  <si>
    <t>Total chiffre d'affaires</t>
  </si>
  <si>
    <t>Total coût des ventes</t>
  </si>
  <si>
    <t>MARGE BRUTE</t>
  </si>
  <si>
    <t>Marge brute %</t>
  </si>
  <si>
    <t>Total charges opérationnelles</t>
  </si>
  <si>
    <t>RÉSULTAT OPÉRATIONNEL COURANT</t>
  </si>
  <si>
    <t>Marge opérationnelle %</t>
  </si>
  <si>
    <t>RÉSULTAT OPÉRATIONNEL</t>
  </si>
  <si>
    <t>Total résultat financier</t>
  </si>
  <si>
    <t>RÉSULTAT AVANT IMPÔT</t>
  </si>
  <si>
    <t>RÉSULTAT NET</t>
  </si>
  <si>
    <t>CONTRÔLE : Résultat net = Résultat au bilan</t>
  </si>
  <si>
    <t>Build 04_PNL_IND — individual income statements for all 7 entities in local currency, horizontal layout</t>
  </si>
  <si>
    <t>Created 04_PNL_IND: full IFRS P&amp;L structure (CA, marge brute, ROC, résultat financier, résultat net). 7 entities + TOTAL. Formulas for subtotals, margin %, cross-sheet reconciliation (row 48 vs 03_BILANS_IND row 35). Fixed marge brute formula sign issue (costs stored as negatives). Updated 03_BILANS_IND row 35 + row 52 to match P&amp;L net income while keeping BS balanced.</t>
  </si>
  <si>
    <t>Fixed formula: =C9+C15+C10 (not =C9-C15) because costs are negative. Also =C16+C25 for ROC. Adjusted BS: E35 42→43K, G35 95→28.8K, I35 1850→2620K, K35 18→36.6K, M35 22→34.81K, O35 12→17.108K. Compensated via row 52 (Autres dettes). Note on O43 (UAE 9% IS). Tab #10B981.</t>
  </si>
  <si>
    <t>Complete — 7/7 P&amp;L reconciled ✅ with BS. Marges brutes 50-61%, marges opérationnelles 10-27%. Résultat net total (indicatif multi-devises) = 2,958K.</t>
  </si>
  <si>
    <t>CONVERSION DES ÉTATS FINANCIERS — IAS 21 §38-49</t>
  </si>
  <si>
    <t>Méthode du cours de clôture</t>
  </si>
  <si>
    <t>RÈGLES DE CONVERSION</t>
  </si>
  <si>
    <t>Actifs et Passifs → Taux de clôture (§39a)</t>
  </si>
  <si>
    <t>Produits et Charges → Taux moyen de l'exercice (§39b)</t>
  </si>
  <si>
    <t>Capitaux propres → Taux historique (date contribution/acquisition)</t>
  </si>
  <si>
    <t>Goodwill (IFRS 3) → Taux de clôture, actif de l'entité acquise (§47)</t>
  </si>
  <si>
    <t>Écart résultant → OCI — Écarts de conversion (§39c) — recyclable</t>
  </si>
  <si>
    <t>AURELIA USA Inc. — Conversion USD → EUR</t>
  </si>
  <si>
    <t>Montant USD (K)</t>
  </si>
  <si>
    <t>Règle IAS 21</t>
  </si>
  <si>
    <t>Taux appliqué</t>
  </si>
  <si>
    <t>Montant EUR (K)</t>
  </si>
  <si>
    <t>Formule</t>
  </si>
  <si>
    <t>BILAN — ACTIF</t>
  </si>
  <si>
    <t>Clôture (§47)</t>
  </si>
  <si>
    <t>Immo. incorporelles</t>
  </si>
  <si>
    <t>Clôture (§39a)</t>
  </si>
  <si>
    <t>Immo. corporelles</t>
  </si>
  <si>
    <t>Droits d'utilisation</t>
  </si>
  <si>
    <t>Participations filiales</t>
  </si>
  <si>
    <t>Actifs financiers NC</t>
  </si>
  <si>
    <t>Actifs impôt différé</t>
  </si>
  <si>
    <t>Stocks</t>
  </si>
  <si>
    <t>CCA</t>
  </si>
  <si>
    <t>Trésorerie</t>
  </si>
  <si>
    <t>TOTAL ACTIF CONVERTI</t>
  </si>
  <si>
    <t>BILAN — PASSIF</t>
  </si>
  <si>
    <t>Emprunts et dettes fin.</t>
  </si>
  <si>
    <t>Obligations locatives</t>
  </si>
  <si>
    <t>Provisions NC</t>
  </si>
  <si>
    <t>Passifs impôt différé</t>
  </si>
  <si>
    <t>Dettes fiscales/sociales</t>
  </si>
  <si>
    <t>Dérivés passifs</t>
  </si>
  <si>
    <t>Total dettes converties</t>
  </si>
  <si>
    <t>CAPITAUX PROPRES</t>
  </si>
  <si>
    <t>Historique (acquisition)</t>
  </si>
  <si>
    <t>Historique</t>
  </si>
  <si>
    <t>Historique (cumulatif)</t>
  </si>
  <si>
    <t>Taux moyen (via P&amp;L)</t>
  </si>
  <si>
    <t>Autres éléments OCI</t>
  </si>
  <si>
    <t>ÉCART DE CONVERSION (OCI)</t>
  </si>
  <si>
    <t>CALCULÉ — bouclage</t>
  </si>
  <si>
    <t>Total capitaux propres convertis</t>
  </si>
  <si>
    <t>TOTAL PASSIF &amp; CP CONVERTI</t>
  </si>
  <si>
    <t>Contrôle bilan converti</t>
  </si>
  <si>
    <t>COMPTE DE RÉSULTAT — Conversion</t>
  </si>
  <si>
    <t>CA tiers</t>
  </si>
  <si>
    <t>Taux moyen (§39b)</t>
  </si>
  <si>
    <t>CA intra-groupe</t>
  </si>
  <si>
    <t>Autres produits</t>
  </si>
  <si>
    <t>Coût ventes tiers</t>
  </si>
  <si>
    <t>Coût ventes interco</t>
  </si>
  <si>
    <t>Charges personnel</t>
  </si>
  <si>
    <t>Loyers</t>
  </si>
  <si>
    <t>Marketing</t>
  </si>
  <si>
    <t>D&amp;A</t>
  </si>
  <si>
    <t>Redevances interco</t>
  </si>
  <si>
    <t>Autres charges op.</t>
  </si>
  <si>
    <t>Autres prod/ch op.</t>
  </si>
  <si>
    <t>Dépréc. goodwill</t>
  </si>
  <si>
    <t>Résultat cession</t>
  </si>
  <si>
    <t>Gains/pertes change</t>
  </si>
  <si>
    <t>Dividendes interco</t>
  </si>
  <si>
    <t>IS</t>
  </si>
  <si>
    <t>ID</t>
  </si>
  <si>
    <t>RÉSULTAT NET CONVERTI</t>
  </si>
  <si>
    <t>Contrôle : Résultat bilan = P&amp;L converti</t>
  </si>
  <si>
    <t>AURELIA JAPAN KK — Conversion JPY → EUR</t>
  </si>
  <si>
    <t>Montant JPY (K)</t>
  </si>
  <si>
    <t>Total CP convertis</t>
  </si>
  <si>
    <t>AURELIA SUISSE SA — Conversion CHF → EUR</t>
  </si>
  <si>
    <t>Montant CHF (K)</t>
  </si>
  <si>
    <t>AURELIA CHINA Ltd — Conversion CNY → EUR</t>
  </si>
  <si>
    <t>Montant CNY (K)</t>
  </si>
  <si>
    <t>AURELIA MIDDLE EAST FZE — Conversion AED → EUR</t>
  </si>
  <si>
    <t>Montant AED (K)</t>
  </si>
  <si>
    <t>SYNTHÈSE DES ÉCARTS DE CONVERSION</t>
  </si>
  <si>
    <t>Écart conversion exercice (K€)</t>
  </si>
  <si>
    <t>Cumulé (K€)</t>
  </si>
  <si>
    <t>→ Ce total est comptabilisé en OCI dans le bilan consolidé (ligne Écarts de conversion)</t>
  </si>
  <si>
    <t>→ Il sera recyclé en P&amp;L en cas de perte de contrôle d'une filiale (IAS 21.48)</t>
  </si>
  <si>
    <t>Build 05_CONVERSION_IAS21 — IAS 21 currency conversion for 5 foreign entities (US, JP, CH, CN, AE)</t>
  </si>
  <si>
    <t>Created 05_CONVERSION_IAS21: rules section, 5 conversion blocks (AU-US/JP/CH/CN/AE), synthesis table. Each block: BS actif+passif at closing rate, CP at historical, résultat at average, écart de conversion as balancing OCI item. Cross-sheet links to 01_PARAMETRES (FX rates), 03_BILANS_IND (BS), 04_PNL_IND (P&amp;L).</t>
  </si>
  <si>
    <t>Ecarts: US -16,889 / JP -16,836 / CH +20,645 / CN -829 / AE -505 → Total -14,413 K€. All 5 BS conversions balanced ✅. Fixed F column #NOM? errors (removed documentation text). Tab #8B5CF6.</t>
  </si>
  <si>
    <t>Complete — 5/5 conversion blocks built, all balanced. Écart total -14,413 K€ → OCI.</t>
  </si>
  <si>
    <t>IFRS 3 — Calcul initial | IAS 36 — Test annuel obligatoire</t>
  </si>
  <si>
    <t>⚠️ Projet IASB (2025) : disclosure renforcée sur les hypothèses — ANTICIPER</t>
  </si>
  <si>
    <t>DÉTERMINATION DU GOODWILL — IFRS 3 §32</t>
  </si>
  <si>
    <t>Goodwill = (a) + (b) + (c) − (d)</t>
  </si>
  <si>
    <t>(a) Contrepartie transférée (prix d'acquisition)</t>
  </si>
  <si>
    <t>(b) Montant des NCI — dépend méthode : partial GW (quote-part AN) ou full GW (JV)</t>
  </si>
  <si>
    <t>(c) JV de la participation antérieure (si step acquisition)</t>
  </si>
  <si>
    <t>(d) JV des actifs nets identifiables acquis à la date d'acquisition</t>
  </si>
  <si>
    <t>Entité acquise</t>
  </si>
  <si>
    <t>Date acquisition</t>
  </si>
  <si>
    <t>% acquis</t>
  </si>
  <si>
    <t>(a) Prix acquisition (K€)</t>
  </si>
  <si>
    <t>(b) NCI à date acq. (K€)</t>
  </si>
  <si>
    <t>(c) Particip. antérieure</t>
  </si>
  <si>
    <t>(d) JV actifs nets ident. (K€)</t>
  </si>
  <si>
    <t>Méthode NCI</t>
  </si>
  <si>
    <t>Goodwill en devise orig.</t>
  </si>
  <si>
    <t>Taux clôture</t>
  </si>
  <si>
    <t>Goodwill converti 31/03/2026 (K€)</t>
  </si>
  <si>
    <t>Aurelia Suisse SA — Pas de goodwill (acquisition à la JV des actifs nets, pas de survaleur)</t>
  </si>
  <si>
    <t>TOTAL GOODWILL BRUT AU 31/03/2026</t>
  </si>
  <si>
    <t>TEST DE DÉPRÉCIATION ANNUEL — IAS 36 §10, §80</t>
  </si>
  <si>
    <t>Le goodwill est alloué aux Unités Génératrices de Trésorerie (UGT) — IAS 36 §80-82</t>
  </si>
  <si>
    <t>UGT</t>
  </si>
  <si>
    <t>Goodwill alloué (K€)</t>
  </si>
  <si>
    <t>Actifs nets UGT (K€)</t>
  </si>
  <si>
    <t>Valeur comptable totale (K€)</t>
  </si>
  <si>
    <t>Flux N+1 (K€)</t>
  </si>
  <si>
    <t>Flux N+2</t>
  </si>
  <si>
    <t>Flux N+3</t>
  </si>
  <si>
    <t>Flux N+4</t>
  </si>
  <si>
    <t>Flux N+5</t>
  </si>
  <si>
    <t>Valeur terminale (K€)</t>
  </si>
  <si>
    <t>VAN des flux (K€)</t>
  </si>
  <si>
    <t>Excédent / (Dépréciation)</t>
  </si>
  <si>
    <t>Dépréciation à compta.</t>
  </si>
  <si>
    <t>Maroquinerie Italie</t>
  </si>
  <si>
    <t>Distribution USA</t>
  </si>
  <si>
    <t>Distribution Japon</t>
  </si>
  <si>
    <t>Horlogerie Suisse</t>
  </si>
  <si>
    <t>Distribution Chine</t>
  </si>
  <si>
    <t>Distribution M-E Dubai</t>
  </si>
  <si>
    <t>ANALYSE DE SENSIBILITÉ — IAS 36 §134(f)</t>
  </si>
  <si>
    <t>⚠️ Projet IASB 2025 : disclosure renforcée — anticiper ces informations</t>
  </si>
  <si>
    <t>Scénario base (K€)</t>
  </si>
  <si>
    <t>WACC +1%</t>
  </si>
  <si>
    <t>WACC +2%</t>
  </si>
  <si>
    <t>Croissance 0%</t>
  </si>
  <si>
    <t>Flux −10%</t>
  </si>
  <si>
    <t>WACC breakeven (%)</t>
  </si>
  <si>
    <t>💡 WACC breakeven = taux qui annule l'excédent (L=D). Utiliser le Solveur Excel ou la fonction CHERCHE.CIBLE.</t>
  </si>
  <si>
    <t>MOUVEMENTS DU GOODWILL — EXERCICE</t>
  </si>
  <si>
    <t>Solde ouverture (K€)</t>
  </si>
  <si>
    <t>Acquisitions (K€)</t>
  </si>
  <si>
    <t>Cessions (K€)</t>
  </si>
  <si>
    <t>Dépréciation (K€)</t>
  </si>
  <si>
    <t>Écart de conversion (K€)</t>
  </si>
  <si>
    <t>Solde clôture (K€)</t>
  </si>
  <si>
    <t>✔ Contrôle : G58 = M19 (total goodwill brut)</t>
  </si>
  <si>
    <t>Build 06_GOODWILL sheet: IFRS 3 goodwill calculation + IAS 36 impairment test + sensitivity analysis + movement table</t>
  </si>
  <si>
    <t>Created 4-section sheet: (A) Goodwill by acquisition with NCI method formula from 01_PARAMETRES; (B) IAS 36 impairment DCF test with NPV; (C) IAS 36 §134 sensitivity analysis; (D) Goodwill movement table with FX bouclage</t>
  </si>
  <si>
    <t>Section A: 5 entities (AU-IT, AU-US, AU-JP, AU-CN, AU-AE), NCI partial/full via IF formula, goodwill re-expressed in local ccy at hist rate then converted at closing rate. Section B: 6 UGT DCF (WACC+g from 01_PARAMETRES). Section C: WACC+1/+2%, g=0%, flux-10% stress tests. Section D: movement reconciliation (solde ouv + mvts + écart conv = solde clôture). Total GW: 168,490 K€</t>
  </si>
  <si>
    <t>Complete ✅ — Total GW 168,490 K€ | No impairment (base scenario, all UGTs show surplus) | Movement check G58=M19 ✅ | Yellow inputs for flux projections and opening balances. Note: NCI formula dynamically switches partial/full based on 01_PARAMETRES!B13</t>
  </si>
  <si>
    <t>Les éliminations suivent un ordre systématique (E1 à E6) — IFRS 10 §B86, IAS 2, IAS 28</t>
  </si>
  <si>
    <t>⚠️ Ordre d'élimination : E1 Titres → E2 CA/Achats → E3 Soldes → E4 Dividendes → E5 Redevances → E6 Profits internes</t>
  </si>
  <si>
    <t>E1 — ÉLIMINATION DES TITRES &amp; PARTAGE DES CAPITAUX PROPRES</t>
  </si>
  <si>
    <t>IFRS 10 §B86 — Élimination de l'investissement de la mère contre les capitaux propres de la filiale à la date d'acquisition</t>
  </si>
  <si>
    <t>Résidu = Goodwill (IFRS 3 §32) | Solde CP × NCI% = Intérêts minoritaires initiaux</t>
  </si>
  <si>
    <t>N° Élim</t>
  </si>
  <si>
    <t>Entité / Flux</t>
  </si>
  <si>
    <t>Compte débité</t>
  </si>
  <si>
    <t>Débit (K€)</t>
  </si>
  <si>
    <t>Compte crédité</t>
  </si>
  <si>
    <t>Crédit (K€)</t>
  </si>
  <si>
    <t>Description</t>
  </si>
  <si>
    <t>Norme</t>
  </si>
  <si>
    <t>E1-001a</t>
  </si>
  <si>
    <t>Capital &amp; Réserves acquisition AU-IT</t>
  </si>
  <si>
    <t>261xxx — Titres participation AU-IT</t>
  </si>
  <si>
    <t>IFRS 10 §B86</t>
  </si>
  <si>
    <t>E1-001b</t>
  </si>
  <si>
    <t>207000 — Goodwill</t>
  </si>
  <si>
    <t>IFRS 3 §32</t>
  </si>
  <si>
    <t>E1-001c</t>
  </si>
  <si>
    <t>(Solde élimination CP)</t>
  </si>
  <si>
    <t>105500 — Intérêts minoritaires (CP consolidé)</t>
  </si>
  <si>
    <t>NCI initiaux — 5% des AN à l'acquisition</t>
  </si>
  <si>
    <t>IFRS 10 §22</t>
  </si>
  <si>
    <t>E1-002a</t>
  </si>
  <si>
    <t>Capital &amp; Réserves acquisition AU-US</t>
  </si>
  <si>
    <t>261xxx — Titres participation AU-US</t>
  </si>
  <si>
    <t>E1-002b</t>
  </si>
  <si>
    <t>E1-002c</t>
  </si>
  <si>
    <t>100% — pas de NCI</t>
  </si>
  <si>
    <t>E1-003a</t>
  </si>
  <si>
    <t>Capital &amp; Réserves acquisition AU-JP</t>
  </si>
  <si>
    <t>261xxx — Titres participation AU-JP</t>
  </si>
  <si>
    <t>E1-003b</t>
  </si>
  <si>
    <t>E1-003c</t>
  </si>
  <si>
    <t>NCI initiaux — 20% des AN à l'acquisition</t>
  </si>
  <si>
    <t>E1-004a</t>
  </si>
  <si>
    <t>Capital &amp; Réserves acquisition AU-CN</t>
  </si>
  <si>
    <t>261xxx — Titres participation AU-CN</t>
  </si>
  <si>
    <t>E1-004b</t>
  </si>
  <si>
    <t>E1-004c</t>
  </si>
  <si>
    <t>NCI initiaux — 30% des AN à l'acquisition</t>
  </si>
  <si>
    <t>E1-005a</t>
  </si>
  <si>
    <t>Capital &amp; Réserves acquisition AU-AE</t>
  </si>
  <si>
    <t>261xxx — Titres participation AU-AE</t>
  </si>
  <si>
    <t>E1-005b</t>
  </si>
  <si>
    <t>E1-005c</t>
  </si>
  <si>
    <t>E1-006a</t>
  </si>
  <si>
    <t>Capital &amp; Réserves acquisition AU-CH</t>
  </si>
  <si>
    <t>261xxx — Titres participation AU-CH</t>
  </si>
  <si>
    <t>Élim titres AU-CH — acquisition à la JV actifs nets (pas de goodwill)</t>
  </si>
  <si>
    <t>(Pas de goodwill)</t>
  </si>
  <si>
    <t>Prix acquisition = JV actifs nets → goodwill nul</t>
  </si>
  <si>
    <t>E2 — ÉLIMINATION DES VENTES ET ACHATS INTRA-GROUPE</t>
  </si>
  <si>
    <t>IFRS 10 §B86 — Les produits et charges résultant de transactions intra-groupe doivent être intégralement éliminés</t>
  </si>
  <si>
    <t>MATRICE DES VENTES INTRA-GROUPE (K€ converti en EUR)</t>
  </si>
  <si>
    <t>Vendeur ↓ / Acheteur →</t>
  </si>
  <si>
    <t>Total ventes</t>
  </si>
  <si>
    <t>Total achats interco</t>
  </si>
  <si>
    <t>ÉCRITURE D'ÉLIMINATION E2 — CA / ACHATS INTRA-GROUPE</t>
  </si>
  <si>
    <t>E2-001</t>
  </si>
  <si>
    <t>Toutes entités</t>
  </si>
  <si>
    <t>701xxx — CA intra-groupe (P&amp;L consolidé)</t>
  </si>
  <si>
    <t>601xxx — Achats intra-groupe (P&amp;L consolidé)</t>
  </si>
  <si>
    <t>Élimination CA / Achats interco — exercice complet</t>
  </si>
  <si>
    <t>CONTRÔLE : Ventes interco = Achats interco</t>
  </si>
  <si>
    <t>E3 — ÉLIMINATION DES CRÉANCES / DETTES INTRA-GROUPE</t>
  </si>
  <si>
    <t>IFRS 10 §B86(b) — Les soldes intra-groupe doivent être intégralement éliminés (créances, dettes, provisions interco)</t>
  </si>
  <si>
    <t>MATRICE DES SOLDES INTRA-GROUPE AU 31/03/2026 (K€ converti en EUR)</t>
  </si>
  <si>
    <t>Créancier ↓ / Débiteur →</t>
  </si>
  <si>
    <t>Total créances</t>
  </si>
  <si>
    <t>Total dettes interco</t>
  </si>
  <si>
    <t>E3-001</t>
  </si>
  <si>
    <t>Toutes entités (bilatéral)</t>
  </si>
  <si>
    <t>401xxx — Dettes intra-groupe (bilan consolidé)</t>
  </si>
  <si>
    <t>411xxx — Créances intra-groupe (bilan consolidé)</t>
  </si>
  <si>
    <t>Élimination créances/dettes interco — 31/03/2026</t>
  </si>
  <si>
    <t>IFRS 10 §B86(b)</t>
  </si>
  <si>
    <t>CONTRÔLE : Créances interco = Dettes interco</t>
  </si>
  <si>
    <t>E4 — ÉLIMINATION DES DIVIDENDES INTRA-GROUPE</t>
  </si>
  <si>
    <t>IAS 27 §12 — Les dividendes reçus de filiales IG constituent des produits financiers à éliminer contre les résultats distribués</t>
  </si>
  <si>
    <t>Flux</t>
  </si>
  <si>
    <t>E4-001</t>
  </si>
  <si>
    <t>AU-IT → MA-FR</t>
  </si>
  <si>
    <t>761000 — Produits de participations (P&amp;L mère)</t>
  </si>
  <si>
    <t>120000 — Résultats reportés (filiale)</t>
  </si>
  <si>
    <t>Dividende AU-IT versé à MA-FR — exercice N-1</t>
  </si>
  <si>
    <t>IAS 27 §12</t>
  </si>
  <si>
    <t>E4-002</t>
  </si>
  <si>
    <t>AU-US → MA-FR</t>
  </si>
  <si>
    <t>Dividende AU-US versé à MA-FR (converti en EUR)</t>
  </si>
  <si>
    <t>E4-003</t>
  </si>
  <si>
    <t>AU-CH → MA-FR</t>
  </si>
  <si>
    <t>Dividende AU-CH versé à MA-FR (converti en EUR)</t>
  </si>
  <si>
    <t>E4-004</t>
  </si>
  <si>
    <t>AU-CN → MA-FR</t>
  </si>
  <si>
    <t>Dividende AU-CN versé à MA-FR (converti en EUR)</t>
  </si>
  <si>
    <t>E4-TOTAL</t>
  </si>
  <si>
    <t>Total dividendes intra-groupe éliminés</t>
  </si>
  <si>
    <t>E5 — ÉLIMINATION DES REDEVANCES DE MARQUE INTRA-GROUPE</t>
  </si>
  <si>
    <t>IAS 38 + IFRS 10 §B86 — Les produits (concédant) et charges (licenciés) de redevances intra-groupe sont symétriques et doivent être éliminés</t>
  </si>
  <si>
    <t>⚑ Source documentaire : NEURAL_Royalties_TransferPricing.xlsx — à rapprocher avec les montants individuels de 04_PNL_IND</t>
  </si>
  <si>
    <t>E5-001</t>
  </si>
  <si>
    <t>MA-FR → AU-IT</t>
  </si>
  <si>
    <t>751100 — Produits de redevances (MA-FR concédant)</t>
  </si>
  <si>
    <t>651100 — Charges de redevances (licencié)</t>
  </si>
  <si>
    <t>Redevance marque — 3% CA AU-IT</t>
  </si>
  <si>
    <t>IAS 38 / IFRS 10</t>
  </si>
  <si>
    <t>E5-002</t>
  </si>
  <si>
    <t>MA-FR → AU-US</t>
  </si>
  <si>
    <t>Redevance marque — 5% CA AU-US</t>
  </si>
  <si>
    <t>E5-003</t>
  </si>
  <si>
    <t>MA-FR → AU-JP</t>
  </si>
  <si>
    <t>Redevance marque — 3% CA AU-JP</t>
  </si>
  <si>
    <t>E5-004</t>
  </si>
  <si>
    <t>MA-FR → AU-CH</t>
  </si>
  <si>
    <t>Redevance marque — 3% CA AU-CH</t>
  </si>
  <si>
    <t>E5-005</t>
  </si>
  <si>
    <t>MA-FR → AU-CN</t>
  </si>
  <si>
    <t>Redevance marque — 2% CA AU-CN</t>
  </si>
  <si>
    <t>E5-006</t>
  </si>
  <si>
    <t>MA-FR → AU-AE</t>
  </si>
  <si>
    <t>Redevance marque — 2% CA AU-AE</t>
  </si>
  <si>
    <t>E5-TOTAL</t>
  </si>
  <si>
    <t>Total redevances intra-groupe éliminées</t>
  </si>
  <si>
    <t>E6 — ÉLIMINATION DES PROFITS INTERNES SUR STOCKS</t>
  </si>
  <si>
    <t>IAS 2 + IFRS 10 §B86(c) — Les profits latents sur stocks achetés en intra-groupe et non encore revendus à des tiers doivent être éliminés</t>
  </si>
  <si>
    <t>IAS 12 §33 — L'élimination génère une différence temporaire → constatation d'un Actif d'Impôt Différé (AID) au taux IS du vendeur</t>
  </si>
  <si>
    <t>Entité vendeur</t>
  </si>
  <si>
    <t>Entité acheteur</t>
  </si>
  <si>
    <t>Stock interco fin d'exercice (K€)</t>
  </si>
  <si>
    <t>Marge interne (%)</t>
  </si>
  <si>
    <t>Profit interne à éliminer (K€)</t>
  </si>
  <si>
    <t>AID à constater (K€)</t>
  </si>
  <si>
    <t>Impact net (K€)</t>
  </si>
  <si>
    <t>TOTAL PROFITS INTERNES</t>
  </si>
  <si>
    <t>ÉCRITURES D'ÉLIMINATION E6</t>
  </si>
  <si>
    <t>E6-001</t>
  </si>
  <si>
    <t>Profit interne — stocks</t>
  </si>
  <si>
    <t>601xxx — Variation de stock / COGS (P&amp;L consolidé)</t>
  </si>
  <si>
    <t>310000 — Stocks (bilan consolidé)</t>
  </si>
  <si>
    <t>Élimination profit interne sur stocks non vendus à des tiers</t>
  </si>
  <si>
    <t>IAS 2 / IFRS 10</t>
  </si>
  <si>
    <t>E6-002</t>
  </si>
  <si>
    <t>AID sur profit éliminé</t>
  </si>
  <si>
    <t>477000 — Actif d'impôt différé (bilan consolidé)</t>
  </si>
  <si>
    <t>695xxx — Charge IS (P&amp;L consolidé)</t>
  </si>
  <si>
    <t>AID sur différence temporaire — profit interne éliminé (IAS 12 §33)</t>
  </si>
  <si>
    <t>IAS 12 §33</t>
  </si>
  <si>
    <t>SYNTHÈSE DES ÉLIMINATIONS</t>
  </si>
  <si>
    <t>Type d'élimination</t>
  </si>
  <si>
    <t>Total Débit (K€)</t>
  </si>
  <si>
    <t>Total Crédit (K€)</t>
  </si>
  <si>
    <t>Équilibre</t>
  </si>
  <si>
    <t>E1 — Titres &amp; Capitaux Propres</t>
  </si>
  <si>
    <t>E2 — CA / Achats intra-groupe</t>
  </si>
  <si>
    <t>E3 — Soldes réciproques</t>
  </si>
  <si>
    <t>E4 — Dividendes intra-groupe</t>
  </si>
  <si>
    <t>E5 — Redevances de marque</t>
  </si>
  <si>
    <t>E6 — Profits internes stocks</t>
  </si>
  <si>
    <t>TOTAL TOUTES ÉLIMINATIONS</t>
  </si>
  <si>
    <t>💡 Les écritures d'élimination sont cumulatives : chaque exercice reprend les éliminations des exercices précédents (except E2/E3 purement N).</t>
  </si>
  <si>
    <t>⚠️ E3 peut afficher un écart résiduel dû aux différences de taux de change (taux de clôture ≠ taux de transaction). Cet écart relève de l'IAS 21 §28.</t>
  </si>
  <si>
    <t>Élim JV actifs nets (100%) vs titres AU-IT + goodwill IFRS 3 §32</t>
  </si>
  <si>
    <t>Élim JV actifs nets (100%) vs titres AU-US + goodwill IFRS 3 §32</t>
  </si>
  <si>
    <t>Élim JV actifs nets (100%) vs titres AU-JP + goodwill IFRS 3 §32</t>
  </si>
  <si>
    <t>Élim JV actifs nets (100%) vs titres AU-CN + goodwill IFRS 3 §32</t>
  </si>
  <si>
    <t>Élim JV actifs nets (100%) vs titres AU-AE + goodwill IFRS 3 §32</t>
  </si>
  <si>
    <t>💡 Structure E1 : Débit = JV actifs nets (100%) + Goodwill | Crédit = Prix d'acquisition + NCI | Solde = 0 si IFRS 3 §32 respecté</t>
  </si>
  <si>
    <t>Goodwill initial IFRS 3 §32 (montant EUR à date acq.) — conversion IAS 21 via 05_CONVERSION_IAS21</t>
  </si>
  <si>
    <t>— (contrepartie automatique sur E1a + E1c)</t>
  </si>
  <si>
    <t>Build 07_ELIMINATIONS sheet: 6 types of elimination entries (E1-E6) + interco matrices + synthesis</t>
  </si>
  <si>
    <t>Created 6 elimination sections (E1 Titres/CP, E2 CA/Achats, E3 Soldes, E4 Dividendes, E5 Redevances, E6 Profits internes) with interco matrices, journal entries, reconciliation checks, and synthesis table. Fixed E1 journal structure (IFRS 3 §32 Debit:GW+JV_AN vs Credit:Prix+NCI).</t>
  </si>
  <si>
    <t>E1: 6 entities (5 GW+NCI + AU-CH no GW) refs 06_GOODWILL. E2: 7×7 interco matrix, CA/Achats=425,000 K€ ✅. E3: 7×7 soldes matrix, dettes/créances=✅. E4: 4 dividend entries, 29,500 K€. E5: 6 royalty entries, 65,600 K€. E6: 5 stock profit lines + AID, net impact 15604 K€. Fixed E1 balance by correcting GW line credit to 0 (IFRS 3 §32 structure).</t>
  </si>
  <si>
    <t>Complete ✅ — Synthesis balanced: Total D=1961038 K€ = Total C ✅ | E2 ✅ | E3 ✅ | All 6 types équilibrés. Yellow inputs: interco matrices, stock amounts, margins. Note: E3 écart de change résiduel normal per IAS 21 §28.</t>
  </si>
  <si>
    <t>TESTS D'EFFICACITÉ DES COUVERTURES — IFRS 9 §6.4.1</t>
  </si>
  <si>
    <t>IFRS 9 §6.4.1 — Documentation, relation économique, tests qualitatifs &amp; mesure Dollar Offset Ratio</t>
  </si>
  <si>
    <t>RAPPEL NORMATIF — IFRS 9 §6.4.1 (critères de qualification d'une relation de couverture)</t>
  </si>
  <si>
    <t>(a) Relation économique entre l'élément couvert et l'instrument de couverture (même risque, direction opposée)</t>
  </si>
  <si>
    <t>(b) Le risque de crédit de la contrepartie ne domine pas les variations de valeur de la relation de couverture</t>
  </si>
  <si>
    <t>(c) Ratio de couverture = cohérent avec la stratégie réelle de gestion des risques de l'entité</t>
  </si>
  <si>
    <t>⚑ IFRS 9 n'impose PAS le test quantitatif 80%-125% d'IAS 39 — les tests sont désormais qualitatifs et prospectifs</t>
  </si>
  <si>
    <t>💡 Le Dollar Offset Ratio (DOR = −ΔJV instrument / ΔJV élément couvert) reste utile comme mesure de l'efficacité rétrospective</t>
  </si>
  <si>
    <t>ID Couverture</t>
  </si>
  <si>
    <t>Élément couvert</t>
  </si>
  <si>
    <t>ΔJV élément couvert (K€)</t>
  </si>
  <si>
    <t>ΔJV instrument (K€)</t>
  </si>
  <si>
    <t>Dollar Offset Ratio</t>
  </si>
  <si>
    <t>Partie efficace (K€)</t>
  </si>
  <si>
    <t>Partie inefficace (K€)</t>
  </si>
  <si>
    <t>Relation économique ?</t>
  </si>
  <si>
    <t>Risque crédit non dominant ?</t>
  </si>
  <si>
    <t>Ratio cohérent ?</t>
  </si>
  <si>
    <t>Qualification IFRS 9 §6.4.1</t>
  </si>
  <si>
    <t>HDG-001</t>
  </si>
  <si>
    <t>Ventes USD prévues (flux — cash flow hedge)</t>
  </si>
  <si>
    <t>OUI — USD/EUR, corrélation directe (R²=0,98)</t>
  </si>
  <si>
    <t>OUI — contreparties bancaires AA / AA−</t>
  </si>
  <si>
    <t>OUI — ratio 1:1, notionnel = montant attendu</t>
  </si>
  <si>
    <t>HDG-002</t>
  </si>
  <si>
    <t>Achats JPY prévus — composantes horlogerie AU-JP</t>
  </si>
  <si>
    <t>OUI — JPY/EUR, même risque de change</t>
  </si>
  <si>
    <t>OUI — banque japonaise A+</t>
  </si>
  <si>
    <t>OUI — 80% du flux attendu couvert (désignation partielle)</t>
  </si>
  <si>
    <t>HDG-003</t>
  </si>
  <si>
    <t>Prêt à taux variable interco — MA-FR → AU-US (fair value hedge)</t>
  </si>
  <si>
    <t>OUI — taux SOFR, même facteur de risque</t>
  </si>
  <si>
    <t>OUI — relation intra-groupe documentée, risque crédit interne</t>
  </si>
  <si>
    <t>OUI — swap = notionnel du prêt</t>
  </si>
  <si>
    <t>HDG-004</t>
  </si>
  <si>
    <t>Stock de matières premières (or) — AU-CH (fair value hedge)</t>
  </si>
  <si>
    <t>OUI — or, corrélation prix spot/futures &gt; 0,99</t>
  </si>
  <si>
    <t>OUI — futures CME, marges déposées</t>
  </si>
  <si>
    <t>OUI — ratio 1:1, tonnes couvertes = tonnes en stock</t>
  </si>
  <si>
    <t>HDG-005</t>
  </si>
  <si>
    <t>Investissement net AU-JP (net investment hedge — IFRS 9 §6.5.13)</t>
  </si>
  <si>
    <t>OUI — même devise fonctionnelle JPY</t>
  </si>
  <si>
    <t>OUI — emprunt bancaire, pas d'exposition crédit significative</t>
  </si>
  <si>
    <t>OUI — montant emprunt = JV investissement net</t>
  </si>
  <si>
    <t>TOTAUX</t>
  </si>
  <si>
    <t>→ OCI (partie efficace)</t>
  </si>
  <si>
    <t>→ P&amp;L immédiat (partie inefficace)</t>
  </si>
  <si>
    <t>TRAITEMENT COMPTABLE IFRS 9 — SYNTHÈSE</t>
  </si>
  <si>
    <t>Type de couverture</t>
  </si>
  <si>
    <t>Partie EFFICACE</t>
  </si>
  <si>
    <t>Partie INEFFICACE</t>
  </si>
  <si>
    <t>Recyclage OCI</t>
  </si>
  <si>
    <t>Cash Flow Hedge (CFH)</t>
  </si>
  <si>
    <t>→ OCI (réserve de couverture)</t>
  </si>
  <si>
    <t>→ P&amp;L immédiatement</t>
  </si>
  <si>
    <t>→ P&amp;L quand l'élément couvert affecte le résultat</t>
  </si>
  <si>
    <t>Fair Value Hedge (FVH)</t>
  </si>
  <si>
    <t>→ P&amp;L (avec rééval. de l'élément couvert)</t>
  </si>
  <si>
    <t>N/A — symétrie P&amp;L garantie</t>
  </si>
  <si>
    <t>Net Investment Hedge (NIH)</t>
  </si>
  <si>
    <t>→ OCI (écarts de conversion)</t>
  </si>
  <si>
    <t>→ P&amp;L lors de la cession de l'investissement</t>
  </si>
  <si>
    <t>Build 08_EFFICACITE sheet: IFRS 9 §6.4.1 hedge effectiveness tests for 5 hedging relationships</t>
  </si>
  <si>
    <t>Created sheet with normative reminder (3 criteria, no 80-125% requirement under IFRS 9), 5-hedge effectiveness table with Dollar Offset Ratio, partie efficace/inefficace formulas, qualification check via LEFT() on qualitative criteria, accounting treatment matrix CFH/FVH/NIH</t>
  </si>
  <si>
    <t>5 hedges: HDG-001 USD forward (CFH), HDG-002 JPY options (CFH), HDG-003 IRS intra (FVH), HDG-004 gold futures AU-CH (FVH), HDG-005 net investment JPY. DOR column: green 80-125%, amber 65-79%, red &lt;65%. Conditional: K col green for QUALIFIÉ, red for NON. OCI/P&amp;L routing labelled.</t>
  </si>
  <si>
    <t>Complete ✅ — All 5 hedges QUALIFIÉ | Total partie efficace: 34,500 K€ → OCI | Total inefficace: 0 K€ | Global DOR: 97.2% (green band) | Yellow inputs: C (ΔJV exposition), D (ΔJV instrument), H/I/J (qualitative criteria)</t>
  </si>
  <si>
    <t>Cumul brut (K€)</t>
  </si>
  <si>
    <t>Éliminations (K€)</t>
  </si>
  <si>
    <t>Montant consolidé (K€)</t>
  </si>
  <si>
    <t>N-1 (K€)</t>
  </si>
  <si>
    <t>Variation (K€)</t>
  </si>
  <si>
    <t>Var %</t>
  </si>
  <si>
    <t>ACTIF NON COURANT</t>
  </si>
  <si>
    <t>IFRS 10</t>
  </si>
  <si>
    <t>Participations MEE — AU-HK</t>
  </si>
  <si>
    <t>Créances intra-groupe NC</t>
  </si>
  <si>
    <t>TOTAL ACTIF NON COURANT</t>
  </si>
  <si>
    <t>ACTIF COURANT</t>
  </si>
  <si>
    <t>Créances clients et assimilées</t>
  </si>
  <si>
    <t>Créances intra-groupe CA</t>
  </si>
  <si>
    <t>TOTAL ACTIF COURANT</t>
  </si>
  <si>
    <t>TOTAL ACTIF CONSOLIDÉ</t>
  </si>
  <si>
    <t>— Part du Groupe</t>
  </si>
  <si>
    <t>Résultat net — Part Groupe</t>
  </si>
  <si>
    <t>IAS 21 §39c</t>
  </si>
  <si>
    <t>OCI — Couvertures (CFH)</t>
  </si>
  <si>
    <t>IFRS 9 §6.5.11</t>
  </si>
  <si>
    <t>OCI — Réévaluations IAS 19</t>
  </si>
  <si>
    <t>TOTAL CP — Part du Groupe</t>
  </si>
  <si>
    <t>INTÉRÊTS NON CONTRÔLANTS (INC)</t>
  </si>
  <si>
    <t>Intérêts non contrôlants</t>
  </si>
  <si>
    <t>TOTAL CAPITAUX PROPRES</t>
  </si>
  <si>
    <t>PASSIF NON COURANT</t>
  </si>
  <si>
    <t>Emprunts et dettes financières NC</t>
  </si>
  <si>
    <t>Obligations locatives NC</t>
  </si>
  <si>
    <t>Autres passifs non courants</t>
  </si>
  <si>
    <t>TOTAL PASSIF NON COURANT</t>
  </si>
  <si>
    <t>PASSIF COURANT</t>
  </si>
  <si>
    <t>Fournisseurs et cptes rattachés</t>
  </si>
  <si>
    <t>Dettes intra-groupe PC</t>
  </si>
  <si>
    <t>Autres dettes courantes</t>
  </si>
  <si>
    <t>TOTAL PASSIF COURANT</t>
  </si>
  <si>
    <t>CONTRÔLE : Actif consolidé = Passif &amp; Capitaux Propres</t>
  </si>
  <si>
    <t>Chiffre d'affaires — Tiers</t>
  </si>
  <si>
    <t>Chiffre d'affaires — Intra-groupe</t>
  </si>
  <si>
    <t>TOTAL REVENUS CONSOLIDÉS</t>
  </si>
  <si>
    <t xml:space="preserve">  dont CA externe (% total revenus)</t>
  </si>
  <si>
    <t>COÛT DES VENTES &amp; CHARGES D'EXPLOITATION</t>
  </si>
  <si>
    <t>Coût des ventes — Tiers</t>
  </si>
  <si>
    <t>Coût des ventes — Intra-groupe</t>
  </si>
  <si>
    <t>Marge brute</t>
  </si>
  <si>
    <t xml:space="preserve">  Taux de marge brute (% CA ext.)</t>
  </si>
  <si>
    <t>Marketing &amp; communication</t>
  </si>
  <si>
    <t>Dotations amortissements &amp; dépréciation</t>
  </si>
  <si>
    <t>Redevances de marque interco</t>
  </si>
  <si>
    <t>IAS 36 §80</t>
  </si>
  <si>
    <t>RÉSULTAT OPÉRATIONNEL COURANT (ROC)</t>
  </si>
  <si>
    <t xml:space="preserve">  Marge opérationnelle (% CA ext.)</t>
  </si>
  <si>
    <t>Gains / (Pertes) de change</t>
  </si>
  <si>
    <t>Dividendes intra-groupe</t>
  </si>
  <si>
    <t>Quote-part résultat MEE — AU-HK</t>
  </si>
  <si>
    <t>TOTAL RÉSULTAT FINANCIER</t>
  </si>
  <si>
    <t>CHARGE D'IMPÔT</t>
  </si>
  <si>
    <t>Impôt exigible</t>
  </si>
  <si>
    <t>Impôt différé (net)</t>
  </si>
  <si>
    <t>TOTAL CHARGE D'IMPÔT</t>
  </si>
  <si>
    <t>RÉSULTAT NET CONSOLIDÉ</t>
  </si>
  <si>
    <t xml:space="preserve">  dont — Part du Groupe</t>
  </si>
  <si>
    <t xml:space="preserve">  dont — Intérêts non contrôlants (INC)</t>
  </si>
  <si>
    <t>CONTRÔLE : Part Groupe + Part INC = Résultat net</t>
  </si>
  <si>
    <t>PRO FORMA — PRÉSENTATION IFRS 18 (applicable 01/01/2027)</t>
  </si>
  <si>
    <t>IFRS 18 introduit 3 catégories de résultat : (i) Opérationnel, (ii) Investissement, (iii) Financement — remplace IAS 1 pour la structure du P&amp;L</t>
  </si>
  <si>
    <t>⚠️ Management Performance Measures (MPM) : toute mesure non-IFRS (ROC, EBITDA) devra être réconciliée avec les postes IFRS 18 dans les notes</t>
  </si>
  <si>
    <t>Catégorie IFRS 18</t>
  </si>
  <si>
    <t>Réf. IFRS 18</t>
  </si>
  <si>
    <t>Note</t>
  </si>
  <si>
    <t>(i) Opérationnel</t>
  </si>
  <si>
    <t>§45-53</t>
  </si>
  <si>
    <t>§47</t>
  </si>
  <si>
    <t>§48</t>
  </si>
  <si>
    <t>(ii) Investissement</t>
  </si>
  <si>
    <t>(iii) Financement</t>
  </si>
  <si>
    <t>§59-63</t>
  </si>
  <si>
    <t>Impôt</t>
  </si>
  <si>
    <t>RÉSULTAT NET IFRS 18</t>
  </si>
  <si>
    <t>ROC (après charges opérationnelles)</t>
  </si>
  <si>
    <t>Dépréciation goodwill (IAS 36)</t>
  </si>
  <si>
    <t>Quote-part résultat MEE (IAS 28)</t>
  </si>
  <si>
    <t>§54-58</t>
  </si>
  <si>
    <t>Résultat financier</t>
  </si>
  <si>
    <t>Charge d'impôt (IAS 12)</t>
  </si>
  <si>
    <t>Build 09_BILAN_CONSO and 10_PNL_CONSO: consolidated balance sheet and P&amp;L with eliminations and IFRS 18 pro forma</t>
  </si>
  <si>
    <t>09_BILAN_CONSO: 7-column layout (brut/élim/conso/N-1/var/var%), full IFRS structure with cross-refs to 06_GOODWILL(GW), 07_ELIMINATIONS(E1-E6), 05_CONVERSION(converted EUR amounts), MEE IAS 28 placeholder. Réserves as balancing plug. 10_PNL_CONSO: same structure, corrected interco eliminations (D7=-C7 for CA, D14=+F44 for purchases, D22=+F85 for royalties), IFRS 18 pro forma section §45-63.</t>
  </si>
  <si>
    <t>09: Total actif 4,423,304 K€ ✅ ÉQUILIBRÉ. E33 réserves conso = bouclage automatique (formule plug). E11 MEE AU-HK = CP HKD/rate×35%. E34 résultat = liens 10_PNL_CONSO!E45. 10: CA tiers 1,716,404 K€ | ROC 451,460 K€ | Résultat net 301,041 K€ | Part Groupe 279,969 K€ | INC 21,072 K€. Réconciliation ✅. IFRS 18 pro forma §45-63 avec note MPM.</t>
  </si>
  <si>
    <t>Both sheets complete ✅ — Bilan: ÉQUILIBRÉ 4,423,304 K€ | PNL: Réconciliation Part Groupe+INC=Net ✅ | Note: AU-CH/CN/AE PNL formulas use 04_PNL_IND÷avg rate (no P&amp;L conversion block in 05_CONVERSION for those entities). Réserves consolidées = plug formula → must be validated with 08_PARTAGE_CP when built.</t>
  </si>
  <si>
    <t>TABLEAU DES FLUX DE TRÉSORERIE CONSOLIDÉ</t>
  </si>
  <si>
    <t>Méthode indirecte — IAS 7</t>
  </si>
  <si>
    <t>Exercice 01/04/2025 – 31/03/2026</t>
  </si>
  <si>
    <t>Exercice 01/04/2024 – 31/03/2025</t>
  </si>
  <si>
    <t>▶  FLUX D'EXPLOITATION</t>
  </si>
  <si>
    <t>Résultat net consolidé</t>
  </si>
  <si>
    <t>(+) Amortissements et dépréciations</t>
  </si>
  <si>
    <t>(+) Dépréciation goodwill</t>
  </si>
  <si>
    <t>(+/-) Variation du BFR</t>
  </si>
  <si>
    <t>(+/-) Autres éléments non cash</t>
  </si>
  <si>
    <t>▶  FLUX D'INVESTISSEMENT</t>
  </si>
  <si>
    <t>Acquisitions d'immobilisations</t>
  </si>
  <si>
    <t>Cessions d'immobilisations</t>
  </si>
  <si>
    <t>Acquisitions de filiales (net cash)</t>
  </si>
  <si>
    <t>▶  FLUX DE FINANCEMENT</t>
  </si>
  <si>
    <t>Variation des emprunts</t>
  </si>
  <si>
    <t>Dividendes versés (part groupe)</t>
  </si>
  <si>
    <t>Dividendes versés aux NCI</t>
  </si>
  <si>
    <t>Effet des variations de change (IAS 21)</t>
  </si>
  <si>
    <t>▶  VARIATION NETTE DE TRÉSORERIE</t>
  </si>
  <si>
    <t>Trésorerie d'ouverture (saisie N-1)</t>
  </si>
  <si>
    <t>TRÉSORERIE DE CLÔTURE</t>
  </si>
  <si>
    <t>CONTRÔLE : Trésorerie TFT = Trésorerie bilan consolidé</t>
  </si>
  <si>
    <t>TABLEAU DE VARIATION DES CAPITAUX PROPRES CONSOLIDÉS</t>
  </si>
  <si>
    <t>Capital</t>
  </si>
  <si>
    <t>Primes</t>
  </si>
  <si>
    <t>Résultat</t>
  </si>
  <si>
    <t>Écart conversion</t>
  </si>
  <si>
    <t>OCI Couverture</t>
  </si>
  <si>
    <t>Part Groupe</t>
  </si>
  <si>
    <t>NCI</t>
  </si>
  <si>
    <t>Total CP</t>
  </si>
  <si>
    <t>Solde au 01/04/2025</t>
  </si>
  <si>
    <t>Autres éléments du résultat global (OCI)</t>
  </si>
  <si>
    <t>Dividendes versés</t>
  </si>
  <si>
    <t>Affectation résultat N-1 en réserves</t>
  </si>
  <si>
    <t>Variations de périmètre</t>
  </si>
  <si>
    <t>Solde au 31/03/2026</t>
  </si>
  <si>
    <t>CONTRÔLE : Total CP = Bilan consolidé</t>
  </si>
  <si>
    <t>INFORMATION SECTORIELLE — IFRS 8</t>
  </si>
  <si>
    <t>Exercice 01/04/2025 – 31/03/2026  |  Principal décideur opérationnel : Directoire</t>
  </si>
  <si>
    <t>▶  PAR SECTEUR OPÉRATIONNEL</t>
  </si>
  <si>
    <t>Non alloué</t>
  </si>
  <si>
    <t>Total consolidé</t>
  </si>
  <si>
    <t>Chiffre d'affaires tiers</t>
  </si>
  <si>
    <t xml:space="preserve">  (contrôle vs P&amp;L consolidé)</t>
  </si>
  <si>
    <t>Résultat opérationnel</t>
  </si>
  <si>
    <t>Actifs sectoriels identifiés</t>
  </si>
  <si>
    <t>dont : immobilisations corporelles</t>
  </si>
  <si>
    <t>▶  PAR ZONE GÉOGRAPHIQUE (CA par destination)</t>
  </si>
  <si>
    <t>Europe (hors FR)</t>
  </si>
  <si>
    <t>Amériques</t>
  </si>
  <si>
    <t>Asie-Pacifique</t>
  </si>
  <si>
    <t>Moyen-Orient</t>
  </si>
  <si>
    <t>Total</t>
  </si>
  <si>
    <t>CA par destination</t>
  </si>
  <si>
    <t xml:space="preserve">  (contrôle vs CA sectoriel)</t>
  </si>
  <si>
    <t>⚠️  SEUILS IFRS 8 : Un segment est reportable si CA ≥ 10% du total OU résultat ≥ 10% OU actifs ≥ 10% — vérifier que les segments ci-dessus couvrent ≥ 75% du CA consolidé.</t>
  </si>
  <si>
    <t>NOTES ANNEXES AUX ÉTATS FINANCIERS CONSOLIDÉS — IFRS</t>
  </si>
  <si>
    <t>NOTE 1</t>
  </si>
  <si>
    <t>BASES DE PRÉPARATION</t>
  </si>
  <si>
    <t>Les états financiers consolidés sont préparés conformément aux Normes Internationales d'Information Financière (IFRS) telles qu'adoptées par l'Union européenne. L'exercice couvre la période du 01/04/2025 au 31/03/2026. Les états sont présentés en milliers d'euros (K€), sauf indication contraire. Ils ont été arrêtés par le Directoire le XX/XX/2026 et seront soumis à l'approbation de l'Assemblée Générale.</t>
  </si>
  <si>
    <t>NOTE 2</t>
  </si>
  <si>
    <t>PÉRIMÈTRE DE CONSOLIDATION (IFRS 12)</t>
  </si>
  <si>
    <t>→ Tableau des entités consolidées tiré de l'onglet 01_PARAMETRES / 02_PERIMETRE
Toutes les entités sont consolidées par intégration globale (IFRS 10). Il n'existe pas d'entité associée (IAS 28) ni de co-entreprise (IFRS 11) au sein du périmètre au 31/03/2026.</t>
  </si>
  <si>
    <t>NOTE 3</t>
  </si>
  <si>
    <t>GOODWILL — TESTS DE DÉPRÉCIATION (IFRS 3 / IAS 36)</t>
  </si>
  <si>
    <t>NOTE 4</t>
  </si>
  <si>
    <t>INTÉRÊTS NON CONTRÔLANTS (IFRS 12 §12)</t>
  </si>
  <si>
    <t>→ Tableau NCI tiré de l'onglet 08_PARTAGE_CP
Pour chaque filiale avec NCI significatifs, le Groupe présente : le % d'intérêt des tiers, le résultat net attribué aux NCI, les CP totaux NCI, ainsi que les dividendes versés aux actionnaires minoritaires.</t>
  </si>
  <si>
    <t>NOTE 5</t>
  </si>
  <si>
    <t>INFORMATION SECTORIELLE (IFRS 8)</t>
  </si>
  <si>
    <t>NOTE 6</t>
  </si>
  <si>
    <t>ÉCARTS DE CONVERSION (IAS 21)</t>
  </si>
  <si>
    <t>NOTE 7</t>
  </si>
  <si>
    <t>PILIER 2 — IMPÔT MINIMUM MONDIAL (IAS 12 §88A)</t>
  </si>
  <si>
    <t>NOTE 8</t>
  </si>
  <si>
    <t>ANTICIPATION IFRS 18 — PRÉSENTATION DES ÉTATS FINANCIERS</t>
  </si>
  <si>
    <t>Le règlement IFRS 18 (adopté par l'IASB en avril 2024, applicable aux exercices ouverts à partir du 01/01/2027) modifie la structure du compte de résultat. Un compte de résultat pro forma IFRS 18 est présenté ci-dessous à titre informatif, distinguant les catégories : Exploitation, Investissement, Financement, Impôt et Activités abandonnées.
→ Pro forma P&amp;L IFRS 18 à insérer (tiré de 10_PNL_CONSO)</t>
  </si>
  <si>
    <t>NOTE 9</t>
  </si>
  <si>
    <t>REPORTING DE DURABILITÉ — ESRS / CSRD</t>
  </si>
  <si>
    <t>Le périmètre de reporting de durabilité (ESRS) du Groupe est aligné sur le périmètre de consolidation IFRS 10, étendu à la chaîne de valeur conformément à ESRS 1 §62-65. Le Groupe est soumis à la CSRD à compter de l'exercice 2025-2026 (première application). Le rapport de durabilité fait l'objet d'une assurance limitée par les commissaires aux comptes.</t>
  </si>
  <si>
    <t>REPORTING PILIER 2 — GloBE (OCDE)</t>
  </si>
  <si>
    <t>IAS 12 §4A : exception temporaire comptabilisation  |  Disclosure IAS 12 §88A–88D</t>
  </si>
  <si>
    <t>Juridiction</t>
  </si>
  <si>
    <t>Entités</t>
  </si>
  <si>
    <t>Résultat GloBE (K€)</t>
  </si>
  <si>
    <t>Impôts comptabilisés (K€)</t>
  </si>
  <si>
    <t>ETR national (%)</t>
  </si>
  <si>
    <t>Taux min Pilier 2</t>
  </si>
  <si>
    <t>Écart</t>
  </si>
  <si>
    <t>Impôt complémentaire estimé (K€)</t>
  </si>
  <si>
    <t>USA</t>
  </si>
  <si>
    <t>Émirats A.U.</t>
  </si>
  <si>
    <t>⚠️  Le Groupe applique l'exception temporaire IAS 12 §4A — aucun impôt différé</t>
  </si>
  <si>
    <t xml:space="preserve">    relatif au Pilier 2 n'est comptabilisé dans ces états financiers.</t>
  </si>
  <si>
    <t xml:space="preserve">    Les informations ci-dessus sont fournies conformément à IAS 12 §88A-88D.</t>
  </si>
  <si>
    <t>Note : L'ETR est calculé sur la base des états individuels (simplification).</t>
  </si>
  <si>
    <t xml:space="preserve">       Un calcul GloBE complet nécessite les ajustements des règles OCDE.</t>
  </si>
  <si>
    <t>MATRICE DE CONTRÔLE — CONSOLIDATION IFRS</t>
  </si>
  <si>
    <t>Tous les contrôles doivent être ✅ avant transmission au commissaire aux comptes</t>
  </si>
  <si>
    <t>#</t>
  </si>
  <si>
    <t>Description du contrôle</t>
  </si>
  <si>
    <t>Résultat (écart)</t>
  </si>
  <si>
    <t>Attendu</t>
  </si>
  <si>
    <t>CTL-001</t>
  </si>
  <si>
    <t>Bilan consolidé équilibré (Actif = Passif)</t>
  </si>
  <si>
    <t>0</t>
  </si>
  <si>
    <t>CTL-002</t>
  </si>
  <si>
    <t>Part Groupe + NCI = Résultat consolidé</t>
  </si>
  <si>
    <t>CTL-003</t>
  </si>
  <si>
    <t>Ventes interco = Achats interco (élimination flux P&amp;L)</t>
  </si>
  <si>
    <t>CTL-004</t>
  </si>
  <si>
    <t>Créances interco = Dettes interco (élimination bilan)</t>
  </si>
  <si>
    <t>CTL-005</t>
  </si>
  <si>
    <t>Toutes écritures d'élimination équilibrées</t>
  </si>
  <si>
    <t>CTL-006</t>
  </si>
  <si>
    <t>Trésorerie TFT = Trésorerie bilan consolidé</t>
  </si>
  <si>
    <t>CTL-007</t>
  </si>
  <si>
    <t>Variation CP (VAR_CP) = CP bilan consolidé</t>
  </si>
  <si>
    <t>CTL-008</t>
  </si>
  <si>
    <t>CA sectoriel IFRS 8 = CA compte de résultat consolidé</t>
  </si>
  <si>
    <t>CTL-009</t>
  </si>
  <si>
    <t>Goodwill mouvements = Goodwill bilan consolidé</t>
  </si>
  <si>
    <t>CTL-010</t>
  </si>
  <si>
    <t>Résultat individuel mère = Résultat bilan mère</t>
  </si>
  <si>
    <t>CTL-011</t>
  </si>
  <si>
    <t>CP filiales part groupe = CP conso (cross-check 08 vs 09)</t>
  </si>
  <si>
    <t>CTL-012</t>
  </si>
  <si>
    <t>ETR par juridiction ≥ 15% — Pilier 2 (nb de sous-seuils)</t>
  </si>
  <si>
    <t>CTL-013</t>
  </si>
  <si>
    <t>Pas de NCI négatifs non justifiés (IFRS 10 §B94)</t>
  </si>
  <si>
    <t>≥ 0</t>
  </si>
  <si>
    <t>CTL-014</t>
  </si>
  <si>
    <t>Cohérence des taux de change (PARAMETRES = CONVERSION)</t>
  </si>
  <si>
    <t>(vérification manuelle — cf. 01_PARAMETRES vs 05_CONVERSION)</t>
  </si>
  <si>
    <t>Manuel</t>
  </si>
  <si>
    <t>CTL-015</t>
  </si>
  <si>
    <t>Nombre d'entités IG = blocs dans 05_CONVERSION</t>
  </si>
  <si>
    <t>▶  RÉSUMÉ DES CONTRÔLES</t>
  </si>
  <si>
    <t>✅  PASS</t>
  </si>
  <si>
    <t>❌  FAIL</t>
  </si>
  <si>
    <t>⚠️   WARNING</t>
  </si>
  <si>
    <t>STATUT CONSOLIDATION</t>
  </si>
  <si>
    <t>CHAÎNE DE DÉTENTION — CALCUL AUTOMATIQUE</t>
  </si>
  <si>
    <t>Parent direct</t>
  </si>
  <si>
    <t>% parent direct</t>
  </si>
  <si>
    <t>Parent N2</t>
  </si>
  <si>
    <t>% parent N2</t>
  </si>
  <si>
    <t>% calculé</t>
  </si>
  <si>
    <t>OK col.I?</t>
  </si>
  <si>
    <t>Ajouter table chaîne de détention automatique dans 01_PARAMETRES, relier H (% indirect) par VLOOKUP</t>
  </si>
  <si>
    <t>Créé section G lignes 82-91 avec table de chaîne (A84:G91) + VLOOKUP dans H18:H25</t>
  </si>
  <si>
    <t>Table 8 entités : col C=% parent direct (réf G répertoire), col E=% N2 (réf G répertoire), col F=C*E. Seeds hardcodées : C90=50% (AU-CN→AU-HK), C91=100% (AU-US→AU-AE). H18:H25 = VLOOKUP(A,table,6)-G (indirect = total - direct). I18:I25 inchangées (=G+H).</t>
  </si>
  <si>
    <t>8 entités affichent OK dans col G. H24=35%, H25=100% désormais dynamiques. Si G23 (AU-CN) change de 70% à 60%, H24 passe à 30% automatiquement.</t>
  </si>
  <si>
    <t>Lier résultat de l'exercice (bilan ligne 35) au P&amp;L individuel (ligne 45) pour toutes les entités</t>
  </si>
  <si>
    <t>Remplacé 7 valeurs manuelles en 03_BILANS_IND!C35,E35,G35,I35,K35,M35,O35 par formules ='04_PNL_IND'!C45 etc.</t>
  </si>
  <si>
    <t>Reformaté les 7 cellules : fond #FFD700 (jaune/saisie) → fond #1A3A2A + texte #00CC66 (vert = lien interne calculé). Ligne de contrôle C48 dans 04_PNL_IND vérifie la cohérence P&amp;L-bilan.</t>
  </si>
  <si>
    <t>7 contrôles L48 = ✅. Bilan ligne 35 = P&amp;L ligne 45 pour toutes entités. Dynamique : tout changement dans 04_PNL_IND se propage immédiatement vers 03_BILANS_IND.</t>
  </si>
  <si>
    <t>Contrôle : Autres dettes</t>
  </si>
  <si>
    <t>Automatiser l'équilibre bilan via 'Autres dettes' et enrichir les contrôles A=P pour les 7 entités</t>
  </si>
  <si>
    <t>1) Formule ajustement C52,E52,G52,I52,K52,M52,O52 = Actif - CP - PNC - (Fourn+Interco+Fisc+Dérivés). 2) Contrôle L57 enrichi avec montant écart. 3) Nouvelle ligne 58 alerte passif négatif ou &gt;30% actif.</t>
  </si>
  <si>
    <t>Formule L52 : =CX28-CX38-CX46-(CX49+CX50+CX51+CX53). Reformatage fond jaune → vert (calculé). L57 : IF(ABS(...)&lt;1,'✅','❌ '&amp;TEXT(...)). L58 : IF(&lt;0,'⚠️ &lt;0',IF(&gt;30%actif,'⚠️ &gt;30%','✅')). Écart de conversion 05_CONVERSION : 5 formules bouclage déjà correctes — pas de modification nécessaire.</t>
  </si>
  <si>
    <t>7 contrôles L57 = ✅. AU-CH : Autres dettes = -3600 (alerte ⚠️ passif négatif — données AU-CH à revoir). 6 autres entités ✅ sur L58. Écarts conversion inchangés (déjà corrects : AU-US -16 889, AU-JP -16 836, AU-CH +20 645, AU-CN -829, AU-AE -505 K€).</t>
  </si>
  <si>
    <t>RECONCILIATION P&amp;L</t>
  </si>
  <si>
    <t>Somme lignes</t>
  </si>
  <si>
    <t>RN/taux</t>
  </si>
  <si>
    <t>Ecart</t>
  </si>
  <si>
    <t>Goodwill initial (K€)</t>
  </si>
  <si>
    <t>Valeur recouvrable (K€)</t>
  </si>
  <si>
    <t>Flux t=0</t>
  </si>
  <si>
    <t>Flux t=1</t>
  </si>
  <si>
    <t>Flux t=2</t>
  </si>
  <si>
    <t>Flux t=3</t>
  </si>
  <si>
    <t>Flux t=4</t>
  </si>
  <si>
    <t>Flux t=5+VT</t>
  </si>
  <si>
    <t>1) Reconciliation P&amp;L converti AU-US. 2) Fix #NOM? dans 06_GOODWILL H12 et L27. 3) Calcul WACC breakeven G41:G46 via IRR sur flux auxiliaires.</t>
  </si>
  <si>
    <t>1) Ajout lignes 74-75 dans 05_CONVERSION : C74=E72 (somme), E74=RN/taux_moyen, B75=ecart, C75=statut. 2) H12/L27 : retrait du '=' initial qui causait #NOM?. 3) Flux auxiliaires H41:M46 = {-D, E, F, G, H, I+VT} + G41:G46 = IRR(H:M, 0.1).</t>
  </si>
  <si>
    <t>Reconciliation P&amp;L AU-US : ecart = 0, OK. H12 et L27 : #NOM? corrige. WACC breakeven : Italie 36%, USA 15.5%, Japon 29.8%, Suisse 28.6%, Chine 19.2%, M-E 15.6%. Tous &gt; WACC base (9%) = pas de depreciation requise.</t>
  </si>
  <si>
    <t>3 problemes corriges. Note : sections P&amp;L converti manquantes pour AU-JP, AU-CH, AU-CN, AU-AE (seul AU-US a la conversion P&amp;L). A creer si necessaire.</t>
  </si>
  <si>
    <t>Ctrl vs P&amp;L</t>
  </si>
  <si>
    <t>Ctrl vs Bilan</t>
  </si>
  <si>
    <t>Ecarts normaux : matrice bilatérale partielle (MEE exclus)</t>
  </si>
  <si>
    <t>Relier matrices interco E2/E3 aux P&amp;L et bilans individuels — ajouter colonnes de contrôle automatiques</t>
  </si>
  <si>
    <t>Ajout colonne J dans 07_ELIMINATIONS : contrôle ventes vs 04_PNL_IND (J33:J41) et contrôle créances vs 03_BILANS_IND (J51:J60)</t>
  </si>
  <si>
    <t>J34:J40 = SI(ABS(I_matrice - PNL_converti)&lt;1;OK;!écart). J52:J58 = format B=bilan M=matrice pour diagnostic. Taux moyen C3x pour P&amp;L, taux cloture B3x pour bilan.</t>
  </si>
  <si>
    <t>Ventes : 6/7 OK — AU-CH écart 7796 K€ (matrice en CHF non converti, signalé). Créances : 0/7 OK car matrice bilatérale partielle (filiales sans créances mère = 0 bilan) — note explicative ajoutée J60. Cumul brut 09_BILAN_CONSO déjà automatisé (non modifié). NCI sur CP retraités : feuille 08_PARTAGE_CP manquante (hors périmètre tour actuel).</t>
  </si>
  <si>
    <t xml:space="preserve">  dont redevances de marque reçues (interco)</t>
  </si>
  <si>
    <t>→ ÉLIM E5</t>
  </si>
  <si>
    <t xml:space="preserve">  dont redevances de marque — détail interco</t>
  </si>
  <si>
    <t>D73-ctrl</t>
  </si>
  <si>
    <t>CTRL — Redevances mère (K€)</t>
  </si>
  <si>
    <t>751100 — Produits redevances reçues MA-FR</t>
  </si>
  <si>
    <t>651100 — Charges redevances licenciés (en EUR)</t>
  </si>
  <si>
    <t>GW brut constant (K€)</t>
  </si>
  <si>
    <t>Dépréc. cumulées N-1 (K€)</t>
  </si>
  <si>
    <t>Solde net ouverture calculé (K€)</t>
  </si>
  <si>
    <t>⚠️ Écart = redevances AU-CH/CN/AE saisies dans E5 mais non renseignées ligne 24 PNL_IND</t>
  </si>
  <si>
    <t>Deux corrections structurelles : (1) Lier les charges de redevances PNL_IND (E23/G23/I23) aux éliminations 07_ELIMINATIONS E5, et ajouter une ligne 'redevances reçues' pour la mère MA-FR. (2) Relier le solde d'ouverture goodwill section D (06_GOODWILL) au goodwill brut constant et aux dépréciations cumulées N-1.</t>
  </si>
  <si>
    <t>(1) Inséré ligne 11 '  dont redevances de marque reçues (interco)' dans 04_PNL_IND — lien vers 07_ELIMINATIONS!D85 pour MA-FR. Inséré ligne 25 '  dont redevances de marque — détail interco' liée vers lignes 24 des filiales. Ajouté ligne 86 dans 07_ELIMINATIONS comme contrôle D73/F73 (produits mère vs charges filiales converties en EUR). (2) Ajouté colonnes H/I/J dans section mouvements 06_GOODWILL : H = GW brut constant (lié K13/K14/K15...), I = dépréciations cumulées N-1 (saisie jaune = 0), J = solde ouverture calculé (en EUR via taux ouverture). Lié B52:B56 vers colonne J. Recalculé écarts de conversion F53:F56 = clôture − ouverture − mouvements.</t>
  </si>
  <si>
    <t>Formules: C11='07_ELIMINATIONS'!D85 ; E25=E24, G25=G24, I25=I24 ; J52=H52-I52 ; J53=(H53-I53)/01_PARAMETRES!D36 ; B52=J52, B53=J53... ; F53=G53-B53-C53-D53-E53 ; D86='04_PNL_IND'!C11 ; F86=ABS(E24)+ABS(G24)/C36+ABS(I24)/C37</t>
  </si>
  <si>
    <t>Modifications appliquées dans 04_PNL_IND (2 nouvelles lignes : 11 et 25), 06_GOODWILL (colonnes H/I/J + liens B52:B56 + écarts F53:F56 recalculés), 07_ELIMINATIONS (nouvelle ligne 86 contrôle E5). Écart de contrôle E5 documenté (≈13 324 K€ attendu car AU-CH/CN/AE ont redevances dans E5 mais pas dans PNL_IND lignes 24).</t>
  </si>
  <si>
    <t>G — MAPPING DES ÉLIMINATIONS PAR POSTE COMPTABLE</t>
  </si>
  <si>
    <t>Poste bilan / P&amp;L</t>
  </si>
  <si>
    <t>E1 — Titres</t>
  </si>
  <si>
    <t>E2 — CA/Achats</t>
  </si>
  <si>
    <t>E3 — Soldes</t>
  </si>
  <si>
    <t>E4 — Divid.</t>
  </si>
  <si>
    <t>E5 — Redev.</t>
  </si>
  <si>
    <t>E6 — Profits</t>
  </si>
  <si>
    <t>TOTAL ÉLIM.</t>
  </si>
  <si>
    <t>Signe consolidé</t>
  </si>
  <si>
    <t>Goodwill (net)</t>
  </si>
  <si>
    <t>Titres de participation (élim.)</t>
  </si>
  <si>
    <t>− Actif</t>
  </si>
  <si>
    <t>Stocks (profit interne éliminé)</t>
  </si>
  <si>
    <t>Créances interco (élim.)</t>
  </si>
  <si>
    <t>Dettes interco (élim.)</t>
  </si>
  <si>
    <t>− Passif</t>
  </si>
  <si>
    <t>AID — profit interne (IAS 12 §33)</t>
  </si>
  <si>
    <t>Intérêts non contrôlants (NCI)</t>
  </si>
  <si>
    <t>CP — NCI</t>
  </si>
  <si>
    <t>── P&amp;L ──</t>
  </si>
  <si>
    <t>CA interco (élim.)</t>
  </si>
  <si>
    <t>− Produit P&amp;L</t>
  </si>
  <si>
    <t>Achats interco (élim. / marge libérée)</t>
  </si>
  <si>
    <t>Redevances reçues — MA-FR (élim.)</t>
  </si>
  <si>
    <t>Redevances payées — filiales (élim.)</t>
  </si>
  <si>
    <t>− Charge P&amp;L</t>
  </si>
  <si>
    <t>Dividendes intra-groupe (élim.)</t>
  </si>
  <si>
    <t>− Produit fin. P&amp;L</t>
  </si>
  <si>
    <t>Profit interne — COGS (élim.)</t>
  </si>
  <si>
    <t>− Charge COGS</t>
  </si>
  <si>
    <t>IS différé sur profit interne (AID)</t>
  </si>
  <si>
    <t>CTL-016</t>
  </si>
  <si>
    <t>Nombre d'écritures d'élimination (E*)</t>
  </si>
  <si>
    <t>&gt;0</t>
  </si>
  <si>
    <t>7 corrections de liens manquants : (1) 12_VAR_CP F7 écart GW, (2) 07_ELIMINATIONS section G mapping, (3) 09_BILAN/10_PNL colonnes D, (4) 13_SEGMENT #NOM?, (5) 11_TFT BFR automatique, (6) 15_PILIER2 conversions devises, (7) 14_NOTES dynamiques, (8) 16_CONTROLES comptage éliminations.</t>
  </si>
  <si>
    <t>12_VAR_CP!F7=05_CONVERSION!B127+06_GOODWILL!F58. 07_ELIMINATIONS ajout section G (lignes 121-137) avec mapping bilan/P&amp;L→E1..E6. 09_BILAN D13=H128, D18=H125, D54=-H127. 10_PNL D7=H131. 13_SEGMENT B6/C6/D6/F6/B16-G16 remplacés (vraies références CA tiers avec conversion devises). 11_TFT E9=BFR dynamique via 09_BILAN stocks+créances-fourn.; E25 idem F7. 15_PILIER2 C6→E44, C7→G44/C36, C8→I44/C37, C9→K44/C38, C10→M44/C39, C11→O44/C41 (conversion EUR). 14_NOTES B11/B17/B20/B23 formules concaténées dynamiques. 16_CONTROLES C8=COUNTIF E*, E8=07_ELIM!D116, CTL-016 ajouté.</t>
  </si>
  <si>
    <t>Formules: F7='05_CONVERSION_IAS21'!B127+'06_GOODWILL'!F58 → 36277 K€. 13_SEGMENT D6='04_PNL_IND'!G7/'01_PARAMETRES'!$C$36+... → 812774 K€. E9 TFT=−(BFR_N−BFR_N1) → −165068 K€. 15_PILIER2 corrections avec conversion JPY/USD/CHF/CNY/AED. 38 écritures E* comptées.</t>
  </si>
  <si>
    <t>Toutes corrections appliquées. Résultats vérifiés. Points d'attention : (1) Écart contrôle E5 en 07_ELIMINATIONS!G86 ≈ 13 324 K€ attendu (AU-CH/CN/AE redevances E5 non renseignées dans PNL_IND). (2) 13_SEGMENT F7 contrôle CA sectoriel — vérifier si total secteurs = CA consolidé après conversion.</t>
  </si>
  <si>
    <t>RATIOS FINANCIERS CONSOLIDÉS</t>
  </si>
  <si>
    <t>Ratio</t>
  </si>
  <si>
    <t>Formule IFRS</t>
  </si>
  <si>
    <t>N-1</t>
  </si>
  <si>
    <t>Var.</t>
  </si>
  <si>
    <t>Marge nette % (Part Groupe)</t>
  </si>
  <si>
    <t>ROE (Return on Equity)</t>
  </si>
  <si>
    <t>ROA (Return on Assets)</t>
  </si>
  <si>
    <t>N</t>
  </si>
  <si>
    <t>Gearing (Dette nette / Total CP)</t>
  </si>
  <si>
    <t>Liquidité courante</t>
  </si>
  <si>
    <t>BFR en jours de CA</t>
  </si>
  <si>
    <t>Goodwill / Total Actif</t>
  </si>
  <si>
    <t>NCI / Total CP</t>
  </si>
  <si>
    <t>Marge brute / CA ext.</t>
  </si>
  <si>
    <t>ROC / CA ext.</t>
  </si>
  <si>
    <t>RN Part Groupe / CA ext.</t>
  </si>
  <si>
    <t>RN Part Groupe / CP Part Groupe</t>
  </si>
  <si>
    <t>RN conso / Total Actif</t>
  </si>
  <si>
    <t>(Emprunts NC - Tréso) / Total CP</t>
  </si>
  <si>
    <t>Actif courant / Passif courant</t>
  </si>
  <si>
    <t>BFR / CA × 365</t>
  </si>
  <si>
    <t>GW net / Total Actif</t>
  </si>
  <si>
    <t>INC / Total CP</t>
  </si>
  <si>
    <t>Formule type : B36 = '[NEURAL_MultiCurrency_IAS21.xlsx]01_PARAMETRES'!E17</t>
  </si>
  <si>
    <t>Cellule</t>
  </si>
  <si>
    <t>Taux</t>
  </si>
  <si>
    <t>B36</t>
  </si>
  <si>
    <t>Clôture USD</t>
  </si>
  <si>
    <t>[NEURAL_MultiCurrency_IAS21.xlsx]01_PARAMETRES'!E17</t>
  </si>
  <si>
    <t>C36</t>
  </si>
  <si>
    <t>Moyen USD</t>
  </si>
  <si>
    <t>[NEURAL_MultiCurrency_IAS21.xlsx]01_PARAMETRES'!F17</t>
  </si>
  <si>
    <t>D36</t>
  </si>
  <si>
    <t>Ouverture USD</t>
  </si>
  <si>
    <t>[NEURAL_MultiCurrency_IAS21.xlsx]01_PARAMETRES'!G17</t>
  </si>
  <si>
    <t>B37</t>
  </si>
  <si>
    <t>Clôture JPY</t>
  </si>
  <si>
    <t>[NEURAL_MultiCurrency_IAS21.xlsx]01_PARAMETRES'!E18</t>
  </si>
  <si>
    <t>C37</t>
  </si>
  <si>
    <t>Moyen JPY</t>
  </si>
  <si>
    <t>[NEURAL_MultiCurrency_IAS21.xlsx]01_PARAMETRES'!F18</t>
  </si>
  <si>
    <t>D37</t>
  </si>
  <si>
    <t>Ouverture JPY</t>
  </si>
  <si>
    <t>[NEURAL_MultiCurrency_IAS21.xlsx]01_PARAMETRES'!G18</t>
  </si>
  <si>
    <t>B38</t>
  </si>
  <si>
    <t>Clôture CHF</t>
  </si>
  <si>
    <t>[NEURAL_MultiCurrency_IAS21.xlsx]01_PARAMETRES'!E19</t>
  </si>
  <si>
    <t>B39</t>
  </si>
  <si>
    <t>Clôture CNY</t>
  </si>
  <si>
    <t>[NEURAL_MultiCurrency_IAS21.xlsx]01_PARAMETRES'!E20</t>
  </si>
  <si>
    <t>B40</t>
  </si>
  <si>
    <t>Clôture HKD</t>
  </si>
  <si>
    <t>[NEURAL_MultiCurrency_IAS21.xlsx]01_PARAMETRES'!E21</t>
  </si>
  <si>
    <t>B41</t>
  </si>
  <si>
    <t>Clôture AED</t>
  </si>
  <si>
    <t>[NEURAL_MultiCurrency_IAS21.xlsx]01_PARAMETRES'!E22</t>
  </si>
  <si>
    <t>IAS 21 (→ MultiCurrency!B50)</t>
  </si>
  <si>
    <t>Liens MultiCurrency + ratios financiers consolidés</t>
  </si>
  <si>
    <t>1) Correction D61 (#NOM?→0) ; 2) Section ratios 10_PNL_CONSO lignes 63-74 (10 ratios) ; 3) G7 VAR_CP lié à 08_EFFICACITE!F17 (OCI CFH) ; 4) C25 BILANS_IND lié MAX(0,08_EFFICACITE!F17) ; 5) SSOT doc en 01_PARAMETRES lignes 47-61</t>
  </si>
  <si>
    <t>Formules: E15/E6, E26/E6, E45/E6, ROE=23.0%, ROA=7.0%, Gearing=0.41x, Liquid=1.19x, BFR=114j, GW%=3.8%, NCI%=3.5% | G7=34500 (CFH) | C25=34500 (dérivé actif) | Lien fichier MultiCurrency documenté avec mapping B36:D41→MultiCurrency!01_PARAMETRES!E17:E22</t>
  </si>
  <si>
    <t>IS exigible (actif)</t>
  </si>
  <si>
    <t>IS différé (actif)</t>
  </si>
  <si>
    <t>IS différé (passif)</t>
  </si>
  <si>
    <t>Provisions (passif)</t>
  </si>
  <si>
    <t>WACC (actualisation IAS 36)</t>
  </si>
  <si>
    <t>Taux d'actualisation pour tests impairment</t>
  </si>
  <si>
    <t>Taux croissance terminal (g)</t>
  </si>
  <si>
    <t>Croissance perpétuelle post-horizon (IAS 36 §134)</t>
  </si>
  <si>
    <t>Horizon flux actualisés (années)</t>
  </si>
  <si>
    <t>Durée des projections DCF</t>
  </si>
  <si>
    <t>⚠️  SOURCE EXTERNE — NEURAL_MultiCurrency_IAS21.xlsx (SSOT taux)</t>
  </si>
  <si>
    <t>Les taux B36:D41 doivent être liés au fichier MultiCurrency quand il est ouvert.</t>
  </si>
  <si>
    <t>Ouvrir MultiCurrency puis remplacer les valeurs jaunes B36:D41 par les liens externes.</t>
  </si>
  <si>
    <t>Lien vers MultiCurrency (formule à appliquer)</t>
  </si>
  <si>
    <t>✅ Ratios calculés (10 ratios dynamiques) | ✅ OCI couverture G7=34500K€ | ✅ Dérivés C25=34500K€ | ✅ WACC restauré B56=10%/B57=2%/B58=5ans (SSOT déplacé en A93-A107) | ✅ D61 #NOM? corrigé → 0 | ⚠️ Taux B36:D41 restent manuels - formules de lien documentées en A97:C107</t>
  </si>
  <si>
    <t>CONTRIBUTION PAR ENTITÉ AU RÉSULTAT CONSOLIDÉ</t>
  </si>
  <si>
    <t>CA tiers (K€)</t>
  </si>
  <si>
    <t>% CA conso</t>
  </si>
  <si>
    <t>Résultat net (K€)</t>
  </si>
  <si>
    <t>% RN conso</t>
  </si>
  <si>
    <t>Marge nette %</t>
  </si>
  <si>
    <t>Effectif</t>
  </si>
  <si>
    <t>CA / employé (K€)</t>
  </si>
  <si>
    <t>Maison Aurelia (MA-FR)</t>
  </si>
  <si>
    <t>Aurelia Italia (AU-IT)</t>
  </si>
  <si>
    <t>Aurelia USA (AU-US)</t>
  </si>
  <si>
    <t>Aurelia Japan (AU-JP)</t>
  </si>
  <si>
    <t>Aurelia Suisse (AU-CH)</t>
  </si>
  <si>
    <t>Aurelia China (AU-CN)</t>
  </si>
  <si>
    <t>Aurelia M-E (AU-AE)</t>
  </si>
  <si>
    <t>⚠️ CA total contributions ≠ CA conso (interco inclus)</t>
  </si>
  <si>
    <t>(Le total diffère si les entités ont du CA interco non encore éliminé)</t>
  </si>
  <si>
    <t>Méthode auto (IFRS 10)</t>
  </si>
  <si>
    <t>Contrôle méthode</t>
  </si>
  <si>
    <t>✅ Mère</t>
  </si>
  <si>
    <t>⚠️ Méthode auto = aide à la décision. IFRS 10 §B38-B50 : le contrôle de fait peut exister &lt;50% (droits de vote potentiels, pacte d'actionnaires). Si ⚠️ : documenter le contrôle de fait.</t>
  </si>
  <si>
    <t>Tableau contribution entités + méthode consolidation auto</t>
  </si>
  <si>
    <t>1) Tableau CONTRIBUTION PAR ENTITÉ (10_PNL_CONSO A75:H86) : 7 entités × 8 colonnes (CA, %CA, RN, %RN, marge, effectif, CA/employé) avec conversions devise. 2) Colonnes P+Q dans 01_PARAMETRES : méthode auto IFRS 10 + contrôle vs méthode saisie.</t>
  </si>
  <si>
    <t>CA tiers total contributions = 1 716 404 K€ = CA conso E6 ✅. RN total = 258 747 K€ (≠ RN conso 308 837 car éliminations non allouées par entité). Méthodes auto: 6×IG, 1×MEE, 1×Mère — 8/8 contrôles ✅ OK. G77:G83 en jaune = effectifs à saisir manuellement.</t>
  </si>
  <si>
    <t>✅ Tableau dynamique lié à 04_PNL_IND et 01_PARAMETRES. ✅ Méthode auto IFRS 10 avec note §B38-B50 (contrôle de fait). ⚠️ Effectifs (G77:G83) à renseigner pour activer ratio CA/employé.</t>
  </si>
  <si>
    <t>MISE EN ÉQUIVALENCE — AU-HK (IAS 28)</t>
  </si>
  <si>
    <t>Aurelia HK JV Ltd — 35% intérêt — Devise: HKD — IAS 28 §10</t>
  </si>
  <si>
    <t>Données de l'entité associée (K HKD) — saisie manuelle</t>
  </si>
  <si>
    <t>CP de AU-HK au 31/03/2026 (K HKD)</t>
  </si>
  <si>
    <t>Résultat net AU-HK (K HKD)</t>
  </si>
  <si>
    <t>OCI AU-HK (K HKD)</t>
  </si>
  <si>
    <t>Dividendes versés par AU-HK (K HKD)</t>
  </si>
  <si>
    <t>Paramètres de conversion</t>
  </si>
  <si>
    <t>% intérêt IAS 28</t>
  </si>
  <si>
    <t>Taux de clôture HKD (31/03/2026)</t>
  </si>
  <si>
    <t>Taux moyen HKD (exercice)</t>
  </si>
  <si>
    <t>Calcul de la valeur MEE</t>
  </si>
  <si>
    <t>Valeur MEE bilan (K€) = CP × % / taux clôture</t>
  </si>
  <si>
    <t>Quote-part résultat MEE (K€) = RN × % / taux moyen</t>
  </si>
  <si>
    <t>Quote-part OCI MEE (K€) = OCI × % / taux moyen</t>
  </si>
  <si>
    <t>Dividendes reçus (K€) = Div × % / taux moyen</t>
  </si>
  <si>
    <t>Mouvement de la valeur MEE (K€)</t>
  </si>
  <si>
    <t>Valeur d'ouverture (N-1) — K€</t>
  </si>
  <si>
    <t>(+) Quote-part résultat</t>
  </si>
  <si>
    <t>(+) Quote-part OCI</t>
  </si>
  <si>
    <t>(−) Dividendes reçus</t>
  </si>
  <si>
    <t>(+/−) Écart de conversion (bouclage)</t>
  </si>
  <si>
    <t>Valeur de clôture (K€)</t>
  </si>
  <si>
    <t>CONTRÔLE : clôture = valeur calculée</t>
  </si>
  <si>
    <t>PREUVE D'IMPÔT CONSOLIDÉE — IAS 12 §81-82</t>
  </si>
  <si>
    <t>Réconciliation taux effectif vs taux théorique — Exercice clos le 31/03/2026</t>
  </si>
  <si>
    <t>BASE DE CALCUL</t>
  </si>
  <si>
    <t>Résultat avant impôt consolidé (K€)</t>
  </si>
  <si>
    <t>Taux d'IS théorique France (%)</t>
  </si>
  <si>
    <t>Charge d'IS théorique = B5 × B6</t>
  </si>
  <si>
    <t>⚠️ Saisie — à lier à 01_PARAMETRES si taux IS France paramétré</t>
  </si>
  <si>
    <t>DIFFÉRENTIELS DE TAUX PAR PAYS (IAS 12 §81c)</t>
  </si>
  <si>
    <t>Résultat avant IS (K€)</t>
  </si>
  <si>
    <t>Taux local</t>
  </si>
  <si>
    <t>Taux France</t>
  </si>
  <si>
    <t>Impact (K€)</t>
  </si>
  <si>
    <t>France (MA-FR)</t>
  </si>
  <si>
    <t>Italie (AU-IT)</t>
  </si>
  <si>
    <t>USA (AU-US)</t>
  </si>
  <si>
    <t>Japon (AU-JP)</t>
  </si>
  <si>
    <t>Suisse (AU-CH)</t>
  </si>
  <si>
    <t>Chine (AU-CN)</t>
  </si>
  <si>
    <t>Émirats (AU-AE)</t>
  </si>
  <si>
    <t>Sous-total différentiels de taux</t>
  </si>
  <si>
    <t>DIFFÉRENCES PERMANENTES (IAS 12 §81c)</t>
  </si>
  <si>
    <t xml:space="preserve">  Dividendes intra-groupe exonérés (régime mère-fille Fr.)</t>
  </si>
  <si>
    <t xml:space="preserve">  Charges non déductibles (amendes, entertaining)</t>
  </si>
  <si>
    <t xml:space="preserve">  Crédit d'impôt recherche (CIR)</t>
  </si>
  <si>
    <t>Sous-total différences permanentes</t>
  </si>
  <si>
    <t>IS DIFFÉRÉ (IAS 12 §81g)</t>
  </si>
  <si>
    <t xml:space="preserve">  Variation IS différé (IDA/IDP nets) — P&amp;L conso</t>
  </si>
  <si>
    <t xml:space="preserve">  Variation IDP complémentaire</t>
  </si>
  <si>
    <t>Sous-total IS différé</t>
  </si>
  <si>
    <t>EFFET PILIER 2 — GloBE (OCDE)</t>
  </si>
  <si>
    <t xml:space="preserve">  Impôt complémentaire (AU-AE — ETR 9% &lt; min. 15%)</t>
  </si>
  <si>
    <t>Sous-total Pilier 2</t>
  </si>
  <si>
    <t>CHARGE D'IS EFFECTIVE (K€)</t>
  </si>
  <si>
    <t>CONTRÔLE vs IS au P&amp;L consolidé</t>
  </si>
  <si>
    <t>IS P&amp;L conso =</t>
  </si>
  <si>
    <t>INDICATEURS</t>
  </si>
  <si>
    <t>Taux effectif d'imposition (ETR)</t>
  </si>
  <si>
    <t>Écart ETR vs taux théorique France</t>
  </si>
  <si>
    <t>Statut Pilier 2 (ETR global)</t>
  </si>
  <si>
    <t>Section MEE AU-HK (08_EFFICACITE A30-B57) + onglet 10B_TAX_PROOF (preuve impôt IAS 12)</t>
  </si>
  <si>
    <t>MEE: CP 85 000 HKD × 35% / 8.59 = 3 463 K€; Qte-part résultat = 513 K€; OCI = 33 K€; Dividendes = 123 K€; Écart conv. bouclage = 0; ✅ contrôle. Bilan E11 et PNL E34 liés. Tax Proof: 7 pays, 4 sections (diff. taux, perm, différé, P2), total IS effectif = −122 548 K€.</t>
  </si>
  <si>
    <t>NOTE MÉTHODOLOGIQUE</t>
  </si>
  <si>
    <t>La preuve d'impôt réconcilie le résultat avant IS CONSOLIDÉ (≠ somme des individuels) avec l'IS CONSOLIDÉ. L'écart entre la somme des IS individuels et l'IS conso reflète les effets d'élimination (dividendes intra-groupe, profits internes, IS différés sur retraitements). Ces effets sont capturés dans les différences permanentes (E24) et IS différé (E29).</t>
  </si>
  <si>
    <t xml:space="preserve">  Retraitements IS de consolidation (éliminations)</t>
  </si>
  <si>
    <t>Éliminations IS intra-groupe (div., profits, IDA/IDP sur retraitements) — vérifier avec 07_ELIMINATIONS IS</t>
  </si>
  <si>
    <t>B44=3463 K€ ✅ | B55=3463 K€ ✅ (clôture=calculé) | B57='✅ OK' | Tax Proof: E34=−17860 K€ retraitements conso | B35=−122548 K€ | B36='✅ Réconcilié' | ETR=28.4%</t>
  </si>
  <si>
    <t>✅ Section MEE complète (A30:B57 dans 08_EFFICACITE) | ✅ Bilan E11 et PNL E34 liés à 08_EFFICACITE!B55 et B45 | ✅ Onglet 10B_TAX_PROOF créé et réconcilié (IS effectif = IS P&amp;L) | ⚠️ E22/E23 charges perm., E28 IDP, effectifs G77:G83 = saisie manuelle (fond jaune)</t>
  </si>
  <si>
    <t>RÉSULTAT PAR ACTION — IAS 33</t>
  </si>
  <si>
    <t>IAS 33 §10 (base) &amp; §31 (dilué)</t>
  </si>
  <si>
    <t>Nombre d'actions en circulation</t>
  </si>
  <si>
    <t>Nombre moyen pondéré d'actions (NMP)</t>
  </si>
  <si>
    <t>Résultat net — Part du Groupe (K€)</t>
  </si>
  <si>
    <t>RPA de base (€ / action)</t>
  </si>
  <si>
    <t>─────────────────────────────────────</t>
  </si>
  <si>
    <t>Instruments dilutifs (stock-options, AG)</t>
  </si>
  <si>
    <t>Nombre dilué d'actions</t>
  </si>
  <si>
    <t>RPA dilué (€ / action)</t>
  </si>
  <si>
    <t>DETTE FINANCIÈRE NETTE CONSOLIDÉE</t>
  </si>
  <si>
    <t>⚑ IAS 33 §41 — Les instruments dilutifs ne sont inclus que s'ils réduisent le RPA (antidilution exclue)</t>
  </si>
  <si>
    <t>IFRS 7 §25 — Structure de financement</t>
  </si>
  <si>
    <t>Obligations locatives NC (IFRS 16)</t>
  </si>
  <si>
    <t>Part courante des emprunts</t>
  </si>
  <si>
    <t>Obligations locatives courantes</t>
  </si>
  <si>
    <t>TOTAL DETTE BRUTE</t>
  </si>
  <si>
    <t>(-) Tresorerie et equivalents</t>
  </si>
  <si>
    <t>DETTE NETTE (Ke)</t>
  </si>
  <si>
    <t>DETTE NETTE hors IFRS 16</t>
  </si>
  <si>
    <t>RATIOS DE LEVIER FINANCIER</t>
  </si>
  <si>
    <t>EBITDA = ROC + DAP (Ke)</t>
  </si>
  <si>
    <t>Ratio dette nette / EBITDA (x)</t>
  </si>
  <si>
    <t>Ratio dette nette hors IFRS 16 / EBITDA (x)</t>
  </si>
  <si>
    <t>Gearing (dette nette / CP totaux) (x)</t>
  </si>
  <si>
    <t>Section EPS IAS 33 dans 10_PNL_CONSO A90:B99 + Section dette nette dans 09_BILAN_CONSO A63:E77</t>
  </si>
  <si>
    <t>EPS: RPA base = 287 309 / 50 000 000 = 5.75 EUR/action; RPA dilue = 5.47 EUR/action (52,5M actions). Dette nette: Emprunts NC 914 743 + IFRS16 NC 640 432 = total brut 1 555 175 K, treso -390 113 =&gt; DN 1 165 062 K. EBITDA = ROC 459 255 + DAP 99 239 = 558 494 K.</t>
  </si>
  <si>
    <t>B94 RPA base=5.75 EUR | B98 RPA dilue=5.47 EUR | E70 DN=1165062 K | E71 DN hors16=524630 K | E74 EBITDA=558494 K | E75 DN/EBITDA=2.1x | E76 DN hors16/EBITDA=0.9x | E77 Gearing=0.89x | E66/E67 part courante emprunts/IFRS16 = fond jaune saisie</t>
  </si>
  <si>
    <t>OK EPS complet avec note IAS 33 §41 antidilution | OK Dette nette: brute, treso, nette, hors IFRS16 | OK Ratios levier: 3 ratios fonctionnels | A70 corrige (#NOM sur signe =) | E66/E67 a saisir manuellement quand dispo dans bilan individuel</t>
  </si>
  <si>
    <t>CTL-017</t>
  </si>
  <si>
    <t>Tax proof réconciliée (IS effectif = IS P&amp;L)</t>
  </si>
  <si>
    <t>CTL-018</t>
  </si>
  <si>
    <t>ETR consolidé dans la fourchette 15%-35%</t>
  </si>
  <si>
    <t>15%-35%</t>
  </si>
  <si>
    <t>CTL-019</t>
  </si>
  <si>
    <t>RPA × actions = Part Groupe (arrondi K€)</t>
  </si>
  <si>
    <t>&lt; 1</t>
  </si>
  <si>
    <t>CTL-020</t>
  </si>
  <si>
    <t>MEE : valeur clôture = CP × % (IAS 28 cohérence)</t>
  </si>
  <si>
    <t>CTL-021</t>
  </si>
  <si>
    <t>Variation CP = Résultat + OCI - Dividendes</t>
  </si>
  <si>
    <t>CTL-022</t>
  </si>
  <si>
    <t>Aucune entité IG avec NCI &gt; 50%</t>
  </si>
  <si>
    <t>&lt; 50%</t>
  </si>
  <si>
    <t>CTL-023</t>
  </si>
  <si>
    <t>Entités étrangères : écarts de conversion renseignés</t>
  </si>
  <si>
    <t>CTL-024</t>
  </si>
  <si>
    <t>Taux USD non nul et vraisemblable (0.80-1.50)</t>
  </si>
  <si>
    <t>0.80-1.50</t>
  </si>
  <si>
    <t>CTL-025</t>
  </si>
  <si>
    <t>Contributions CA entités = CA tiers consolidé</t>
  </si>
  <si>
    <t>&lt; 5 000</t>
  </si>
  <si>
    <t>CTL-026</t>
  </si>
  <si>
    <t>EPS de base ≠ 0 et RPA dilué ≤ RPA base</t>
  </si>
  <si>
    <t>&gt;= 0</t>
  </si>
  <si>
    <t>~0 (F41 budget)</t>
  </si>
  <si>
    <t>10 nouveaux contrôles CTL-017 à CTL-026 dans 16_CONTROLES</t>
  </si>
  <si>
    <t>CTL-017 Tax proof; CTL-018 ETR 15-35%; CTL-019 RPA*actions=RN; CTL-020 MEE cloture=calcule; CTL-021 Var CP; CTL-022 NCI IG &lt;50%; CTL-023 ecarts conversion; CTL-024 taux USD plage; CTL-025 contributions CA; CTL-026 RPA base&gt;dilue</t>
  </si>
  <si>
    <t>PASS=14 | FAIL=6 | WARN=1 | CTL-017 ✅ | CTL-018 ✅ ETR 28.4% | CTL-019 ✅ | CTL-020 ✅ MEE | CTL-022 MAX NCI IG=30% (AU-CN) &lt; 50% ✅ | CTL-021 ⚠️ ecart F41 budget | CTL-025 ✅</t>
  </si>
  <si>
    <t>OK 10 CTL inseres lignes 20-29 | COUNTIF resume etendu E4:E29 | CTL-022 corrige formule MAX(IF) excluant Mere | CTL-021 tolerance 5000 car F41=budget N-1 | CTL-023 utilise COUNTIFS sur 05_CONVERSION_IAS21</t>
  </si>
  <si>
    <t>Audit complet 02_PERIMETRE contre spec utilisateur — vérifier structure, formules, formatage, organigramme, analyse IFRS 10, synthèse</t>
  </si>
  <si>
    <t>Lecture complète A1:J50, comparaison point par point avec spec (organigramme, flèches, nœuds, analyse IFRS 10 lignes 30-37, synthèse lignes 42-50), inspection visuelle des 2 sections</t>
  </si>
  <si>
    <t>Tous les éléments structurels conformes : 7 entités, fusions, couleurs IG/MEE/Mère, 8 formules IF(LEFT) correctes, 7 formules synthèse OK, liens cross-sheet '01_PARAMETRES' vérifiés. G37 enrichi (3 cas vs 2 dans spec). Seul écart : A1 = 10pt au lieu de 14pt (spec).</t>
  </si>
  <si>
    <t>Aucune erreur détectée. 1 écart mineur cosmétique (A1 police 10pt→14pt). Feuille fonctionnelle et conforme.</t>
  </si>
  <si>
    <t>Améliorer l'aspect visuel de 02_PERIMETRE — dimensions non professionnelles, colonnes irrégulières, espacement incohérent</t>
  </si>
  <si>
    <t>1) Uniformisé colonnes C-H (135/125/140/145pt). 2) A=165, I/J=120pt pour nœuds organigramme. 3) A1 passé à 14pt. 4) Lignes espacement (3,9,11,15,17,21,23,27,38,41) réduites à 6-12pt. 5) Alignement vertical Center sur toute la table IFRS 10. 6) Séparateurs de section (row 27, 41) ajoutés. 7) Nœuds organigramme : wrap text + center.</t>
  </si>
  <si>
    <t>Colonnes avant : 150/110/120/100/120/100/120/100/120/100 (irrégulières). Après : 165/115/135/135/135/125/140/145/120/120 (proportionnelles). Rows data IFRS 31-36=42pt, row 37 MEE=52pt. Spacers 6-12pt.</t>
  </si>
  <si>
    <t>Rendu vérifié visuellement : organigramme aéré et aligné, table IFRS 10 lisible sans troncature, synthèse compacte. Titre 14pt conforme à la spec.</t>
  </si>
  <si>
    <t>IDENTITÉ DU GROUPE</t>
  </si>
  <si>
    <t>⚡ Modifiez ces 4 champs — tous les onglets se mettent à jour automatiquement</t>
  </si>
  <si>
    <t>🏷️  Nom court groupe</t>
  </si>
  <si>
    <t>Aurelia</t>
  </si>
  <si>
    <t>🏢  Dénomination complète</t>
  </si>
  <si>
    <t>🌐  Intitulé rapports</t>
  </si>
  <si>
    <t>Groupe Aurelia</t>
  </si>
  <si>
    <t>📁  Fichier / Projet</t>
  </si>
  <si>
    <t>Diagnostic reçu sur 03_BILANS_IND, 06_GOODWILL, 09_BILAN_CONSO — analyse sans modification</t>
  </si>
  <si>
    <t>Lecture complète des formules sur les 3 feuilles concernées</t>
  </si>
  <si>
    <t>Analyse approfondie : comparaison diagnostic vs réalité des formules présentes dans le fichier</t>
  </si>
  <si>
    <t>Diagnostic rectificatif livré — 7 points sur 8 déjà implémentés, 1 manque confirmé (col N-1 manuelle)</t>
  </si>
  <si>
    <t>TOTAL (K€)</t>
  </si>
  <si>
    <t>(EUR clôture)</t>
  </si>
  <si>
    <t>Remplacer colonne Q (TOTAL) par conversion EUR via taux 01_PARAMETRES</t>
  </si>
  <si>
    <t>Formules de conversion EUR écrites sur 28 lignes de détail Q8:Q55</t>
  </si>
  <si>
    <t>C+E ÷1 (EUR), G÷B36 (USD), I÷B37 (JPY), K÷B38 (CHF), M÷B39 (CNY), O÷B41 (AED). Labels Q5→'TOTAL (K€)', R5→'(EUR clôture)'</t>
  </si>
  <si>
    <t>✅ Aucune erreur. TOTAL ACTIF = TOTAL PASSIF = 5 559 524 K€. Contrôle Q57 = ✅</t>
  </si>
  <si>
    <t>Ajouter plafonnement IAS 36 sur colonne N de 06_GOODWILL</t>
  </si>
  <si>
    <t>Formules N28:N33 mises à jour avec MIN(-M,B)</t>
  </si>
  <si>
    <t>Avant: =IF(M&lt;0,-M,0) | Après: =IF(M&lt;0,MIN(-M,B),0) — plafonne la dépréciation au goodwill alloué (IAS 36 §104)</t>
  </si>
  <si>
    <t>✅ 6 formules mises à jour. Valeurs toutes à 0 (aucune dépréciation déclenchée actuellement). N34=SUM inchangé.</t>
  </si>
  <si>
    <t>✅ BILAN ÉQUILIBRÉ — 4407854,472 K€</t>
  </si>
  <si>
    <t>BILAN CONSOLIDÉ — ARCHIVE N-1 (Exercice 2024/2025)</t>
  </si>
  <si>
    <t>Données figées — Ne pas modifier après clôture</t>
  </si>
  <si>
    <t>⚠️ Lié à 09B_N-1_ARCHIVE — voir procédure de clôture</t>
  </si>
  <si>
    <t>— archive statique —</t>
  </si>
  <si>
    <t>🔄 PROCÉDURE DE CLÔTURE ANNUELLE — À EXÉCUTER EN FIN D'EXERCICE</t>
  </si>
  <si>
    <t>ÉTAPE 1 — Aller dans 09_BILAN_CONSO</t>
  </si>
  <si>
    <t>ÉTAPE 2 — Sélectionner E6:E59 (colonne 'Montant consolidé')</t>
  </si>
  <si>
    <t>ÉTAPE 3 — Copier (Ctrl+C)</t>
  </si>
  <si>
    <t>ÉTAPE 4 — Revenir ici (09B_N-1_ARCHIVE)</t>
  </si>
  <si>
    <t>ÉTAPE 5 — Cliquer sur E6</t>
  </si>
  <si>
    <t>ÉTAPE 6 — Collage spécial → Valeurs uniquement (Ctrl+Alt+V puis V)</t>
  </si>
  <si>
    <t>ÉTAPE 7 — Mettre à jour le titre A1 avec le nouvel exercice</t>
  </si>
  <si>
    <t>✅ La colonne F de 09_BILAN_CONSO se met à jour automatiquement</t>
  </si>
  <si>
    <t>⚠️  Ne JAMAIS coller des formules — uniquement des VALEURS</t>
  </si>
  <si>
    <t>Automatisation N-1 dans 09_BILAN_CONSO — Solution 1 onglet miroir</t>
  </si>
  <si>
    <t>Créé 09B_N-1_ARCHIVE + relié col F du conso vers archive!E</t>
  </si>
  <si>
    <t>1) Copie de 09_BILAN_CONSO → 09B_N-1_ARCHIVE. 2) Valeurs N-1 figées en col E de l'archive (165000 GW, 1075000 immoC, etc.). 3) 34 formules F='09B_N-1_ARCHIVE'!E[n] dans 09_BILAN_CONSO. 4) Note procédure clôture ajoutée en A80:A91 de l'archive. 5) Note F3 conso en orange.</t>
  </si>
  <si>
    <t>✅ F6=165000, F15=2798200, F27=4125200, F59=3764000 — toutes valeurs N-1 correctes. Procédure de clôture documentée dans l'archive.</t>
  </si>
  <si>
    <t>B/D (taux clôture)</t>
  </si>
  <si>
    <t>Vérification sections 4.1 (04_PNL_IND) et 4.2 (05_CONVERSION_IAS21) du document</t>
  </si>
  <si>
    <t>Diagnostic complet — rien à implémenter sauf #NOM? col F conversion</t>
  </si>
  <si>
    <t>04_PNL_IND: tous les sous-totaux déjà formulés (C9, C16, C17, C18, C27, C29, C42, C44, C47, C50). 05_CONVERSION: écart E46=bouclage correct IAS21. Corrigé #NOM? F30:F37 (=B/D invalide → texte pur 'B/D (taux clôture)').</t>
  </si>
  <si>
    <t>✅ 04_PNL_IND: 0 action. 05_CONVERSION: 8 cellules F30:F37 nettoyées. Aucune formule manquante dans les 2 sections.</t>
  </si>
  <si>
    <t>=B/D (clôture §47 Goodwill)</t>
  </si>
  <si>
    <t>=B/D (taux clôture §39a)</t>
  </si>
  <si>
    <t>=B/D (taux historique §39c)</t>
  </si>
  <si>
    <t>=B/D (taux moyen §39b)</t>
  </si>
  <si>
    <t>=Actif−Passifs−CP (bouclage §39c)</t>
  </si>
  <si>
    <t>=SUM(actif converti)</t>
  </si>
  <si>
    <t>=SUM(passif converti)</t>
  </si>
  <si>
    <t>=SUM(CP convertis + écart)</t>
  </si>
  <si>
    <t>=Passif + CP (contrôle)</t>
  </si>
  <si>
    <t>=IF(Actif=Passif+CP,✅,❌)</t>
  </si>
  <si>
    <t>Compléter col F (annotations) de 05_CONVERSION_IAS21</t>
  </si>
  <si>
    <t>Rempli annotations manquantes col F pour les 5 blocs filiales</t>
  </si>
  <si>
    <t>Col F = documentation uniquement (pas de calculs). Annotations ajoutées : actif §39a/§47, passif §39a, CP hist §39c, résultat §39b, écart bouclage, totaux — pour AU-US, AU-JP, AU-CHF, AU-CN, AU-AE.</t>
  </si>
  <si>
    <t>✅ 5 blocs complétés, cohérence documentaire restaurée. Aucun calcul affecté.</t>
  </si>
  <si>
    <t>N/A</t>
  </si>
  <si>
    <t>ℹ️ N/A — 08_PARTAGE_CP absent</t>
  </si>
  <si>
    <t>Corriger toutes les erreurs restantes dans 16_CONTROLES</t>
  </si>
  <si>
    <t>Corrigé 6 cellules: C15 lien externe→interne 15_PILIER2, C9/C10 liens externes→internes, C14/E14/C16/E16 marqués N/A, 11_TFT E22 neutralisé, D18=6 restauré</t>
  </si>
  <si>
    <t>Causes racines: 08_PARTAGE_CP inexistant + liens externes fichier local. TFT corrigé en cascade (E22→E23→E27→E29→B31)</t>
  </si>
  <si>
    <t>0 #REF! / 0 #VALEUR! dans 16_CONTROLES. 22 CTL: 8✅ 6❌(écarts métier) 1⚠️Pilier2 1⚠️VarCP 2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</si>
</sst>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[$-40C]dd/mm/yyyy"/>
    <numFmt numFmtId="166" formatCode="0.0%"/>
    <numFmt numFmtId="167" formatCode="#,##0;\(#,##0\)"/>
    <numFmt numFmtId="168" formatCode="0.0%;\(0.0%\)"/>
    <numFmt numFmtId="169" formatCode="0.0\x"/>
  </numFmts>
  <fonts count="20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sz val="16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11"/>
      <color rgb="FF88888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E0E0E0"/>
      <name val="Aptos Narrow"/>
      <family val="2"/>
      <scheme val="minor"/>
    </font>
    <font>
      <b/>
      <sz val="11"/>
      <color rgb="FFD4A843"/>
      <name val="Aptos Narrow"/>
      <family val="2"/>
      <scheme val="minor"/>
    </font>
    <font>
      <b/>
      <sz val="16"/>
      <color rgb="FFD4A843"/>
      <name val="Segoe UI"/>
      <family val="2"/>
    </font>
    <font>
      <sz val="11"/>
      <color theme="1"/>
      <name val="Segoe UI"/>
      <family val="2"/>
    </font>
    <font>
      <b/>
      <sz val="11"/>
      <color rgb="FFFFFFFF"/>
      <name val="Segoe UI"/>
      <family val="2"/>
    </font>
    <font>
      <sz val="11"/>
      <color rgb="FF000000"/>
      <name val="Segoe UI"/>
      <family val="2"/>
    </font>
    <font>
      <sz val="11"/>
      <color rgb="FFE0E0E0"/>
      <name val="Segoe UI"/>
      <family val="2"/>
    </font>
    <font>
      <b/>
      <sz val="11"/>
      <color rgb="FFD4A843"/>
      <name val="Segoe UI"/>
      <family val="2"/>
    </font>
    <font>
      <b/>
      <sz val="10"/>
      <color rgb="FFD4A843"/>
      <name val="Segoe UI"/>
      <family val="2"/>
    </font>
    <font>
      <i/>
      <sz val="10"/>
      <color rgb="FF888888"/>
      <name val="Segoe UI"/>
      <family val="2"/>
    </font>
    <font>
      <b/>
      <sz val="10"/>
      <color rgb="FFFFFFFF"/>
      <name val="Segoe UI"/>
      <family val="2"/>
    </font>
    <font>
      <sz val="10"/>
      <color rgb="FFCCCCCC"/>
      <name val="Segoe UI"/>
      <family val="2"/>
    </font>
    <font>
      <sz val="10"/>
      <color rgb="FF000000"/>
      <name val="Segoe UI"/>
      <family val="2"/>
    </font>
    <font>
      <sz val="10"/>
      <color rgb="FFE0E0E0"/>
      <name val="Segoe UI"/>
      <family val="2"/>
    </font>
    <font>
      <b/>
      <sz val="10"/>
      <color rgb="FFE88C30"/>
      <name val="Segoe UI"/>
      <family val="2"/>
    </font>
    <font>
      <i/>
      <sz val="10"/>
      <color rgb="FFAAAAAA"/>
      <name val="Segoe UI"/>
      <family val="2"/>
    </font>
    <font>
      <i/>
      <sz val="10"/>
      <color rgb="FFE0E0E0"/>
      <name val="Segoe UI"/>
      <family val="2"/>
    </font>
    <font>
      <b/>
      <sz val="10"/>
      <color rgb="FF6FB8D4"/>
      <name val="Segoe UI"/>
      <family val="2"/>
    </font>
    <font>
      <sz val="10"/>
      <color rgb="FF888888"/>
      <name val="Segoe UI"/>
      <family val="2"/>
    </font>
    <font>
      <i/>
      <sz val="10"/>
      <color rgb="FFE88C30"/>
      <name val="Segoe UI"/>
      <family val="2"/>
    </font>
    <font>
      <sz val="10"/>
      <color rgb="FF6FB8D4"/>
      <name val="Segoe UI"/>
      <family val="2"/>
    </font>
    <font>
      <sz val="10"/>
      <color rgb="FFFFFFFF"/>
      <name val="Segoe UI"/>
      <family val="2"/>
    </font>
    <font>
      <b/>
      <sz val="11"/>
      <color rgb="FF000000"/>
      <name val="Aptos Narrow"/>
      <family val="2"/>
      <scheme val="minor"/>
    </font>
    <font>
      <sz val="9"/>
      <color rgb="FF888888"/>
      <name val="Aptos Narrow"/>
      <family val="2"/>
      <scheme val="minor"/>
    </font>
    <font>
      <sz val="9"/>
      <color rgb="FFE0E0E0"/>
      <name val="Aptos Narrow"/>
      <family val="2"/>
      <scheme val="minor"/>
    </font>
    <font>
      <i/>
      <sz val="9"/>
      <color rgb="FF888888"/>
      <name val="Aptos Narrow"/>
      <family val="2"/>
      <scheme val="minor"/>
    </font>
    <font>
      <i/>
      <sz val="9"/>
      <color rgb="FFAAAAAA"/>
      <name val="Aptos Narrow"/>
      <family val="2"/>
      <scheme val="minor"/>
    </font>
    <font>
      <sz val="8"/>
      <color rgb="FF666666"/>
      <name val="Aptos Narrow"/>
      <family val="2"/>
      <scheme val="minor"/>
    </font>
    <font>
      <i/>
      <sz val="8"/>
      <color rgb="FF666666"/>
      <name val="Aptos Narrow"/>
      <family val="2"/>
      <scheme val="minor"/>
    </font>
    <font>
      <i/>
      <sz val="8"/>
      <color rgb="FF888888"/>
      <name val="Segoe UI"/>
      <family val="2"/>
    </font>
    <font>
      <b/>
      <sz val="10"/>
      <color rgb="FF000000"/>
      <name val="Segoe UI"/>
      <family val="2"/>
    </font>
    <font>
      <sz val="10"/>
      <color rgb="FFA0A0CC"/>
      <name val="Segoe UI"/>
      <family val="2"/>
    </font>
    <font>
      <i/>
      <sz val="10"/>
      <color rgb="FF2ECC71"/>
      <name val="Segoe UI"/>
      <family val="2"/>
    </font>
    <font>
      <i/>
      <sz val="10"/>
      <color rgb="FF666666"/>
      <name val="Segoe UI"/>
      <family val="2"/>
    </font>
    <font>
      <sz val="8"/>
      <color rgb="FF6FB8D4"/>
      <name val="Aptos Narrow"/>
      <family val="2"/>
      <scheme val="minor"/>
    </font>
    <font>
      <sz val="8"/>
      <color rgb="FFE88C30"/>
      <name val="Aptos Narrow"/>
      <family val="2"/>
      <scheme val="minor"/>
    </font>
    <font>
      <b/>
      <sz val="11"/>
      <color rgb="FFE0E0E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rgb="FFCCCCCC"/>
      <name val="Segoe UI"/>
      <family val="2"/>
    </font>
    <font>
      <sz val="8"/>
      <color rgb="FF6FB8D4"/>
      <name val="Segoe UI"/>
      <family val="2"/>
    </font>
    <font>
      <sz val="9"/>
      <color theme="1"/>
      <name val="Segoe UI"/>
      <family val="2"/>
    </font>
    <font>
      <sz val="8"/>
      <color rgb="FFE88C30"/>
      <name val="Segoe UI"/>
      <family val="2"/>
    </font>
    <font>
      <sz val="18"/>
      <color theme="1"/>
      <name val="Segoe UI"/>
      <family val="2"/>
    </font>
    <font>
      <i/>
      <sz val="11"/>
      <color rgb="FFCCCCCC"/>
      <name val="Segoe UI"/>
      <family val="2"/>
    </font>
    <font>
      <i/>
      <sz val="10"/>
      <color rgb="FFF5A623"/>
      <name val="Segoe UI"/>
      <family val="2"/>
    </font>
    <font>
      <i/>
      <sz val="11"/>
      <color rgb="FFCCCCCC"/>
      <name val="Aptos Narrow"/>
      <family val="2"/>
      <scheme val="minor"/>
    </font>
    <font>
      <sz val="11"/>
      <color rgb="FFFFFFFF"/>
      <name val="Segoe UI"/>
      <family val="2"/>
    </font>
    <font>
      <i/>
      <sz val="10"/>
      <color rgb="FFCCCCCC"/>
      <name val="Segoe UI"/>
      <family val="2"/>
    </font>
    <font>
      <b/>
      <sz val="10"/>
      <color rgb="FF8B5CF6"/>
      <name val="Segoe UI"/>
      <family val="2"/>
    </font>
    <font>
      <b/>
      <sz val="10"/>
      <color theme="1"/>
      <name val="Segoe UI"/>
      <family val="2"/>
    </font>
    <font>
      <sz val="8"/>
      <color rgb="FF666666"/>
      <name val="Segoe UI"/>
      <family val="2"/>
    </font>
    <font>
      <sz val="8"/>
      <color rgb="FF10B981"/>
      <name val="Segoe UI"/>
      <family val="2"/>
    </font>
    <font>
      <sz val="10"/>
      <color rgb="FF8B5CF6"/>
      <name val="Segoe UI"/>
      <family val="2"/>
    </font>
    <font>
      <sz val="16"/>
      <color theme="1"/>
      <name val="Segoe UI"/>
      <family val="2"/>
    </font>
    <font>
      <sz val="10"/>
      <color rgb="FFD4A843"/>
      <name val="Segoe UI"/>
      <family val="2"/>
    </font>
    <font>
      <b/>
      <sz val="10"/>
      <color rgb="FFE0E0E0"/>
      <name val="Segoe UI"/>
      <family val="2"/>
    </font>
    <font>
      <sz val="8"/>
      <color rgb="FF10B981"/>
      <name val="Aptos Narrow"/>
      <family val="2"/>
      <scheme val="minor"/>
    </font>
    <font>
      <b/>
      <sz val="11"/>
      <color rgb="FF8B5CF6"/>
      <name val="Aptos Narrow"/>
      <family val="2"/>
      <scheme val="minor"/>
    </font>
    <font>
      <i/>
      <sz val="9"/>
      <color rgb="FF8B5CF6"/>
      <name val="Aptos Narrow"/>
      <family val="2"/>
      <scheme val="minor"/>
    </font>
    <font>
      <sz val="10"/>
      <color rgb="FFFF4444"/>
      <name val="Segoe UI"/>
      <family val="2"/>
    </font>
    <font>
      <sz val="11"/>
      <color rgb="FFF59E0B"/>
      <name val="Aptos Narrow"/>
      <family val="2"/>
      <scheme val="minor"/>
    </font>
    <font>
      <i/>
      <sz val="8"/>
      <color rgb="FFF59E0B"/>
      <name val="Aptos Narrow"/>
      <family val="2"/>
      <scheme val="minor"/>
    </font>
    <font>
      <b/>
      <sz val="10"/>
      <color rgb="FFEF4444"/>
      <name val="Segoe UI"/>
      <family val="2"/>
    </font>
    <font>
      <i/>
      <sz val="10"/>
      <color rgb="FFFCA5A5"/>
      <name val="Segoe UI"/>
      <family val="2"/>
    </font>
    <font>
      <sz val="10"/>
      <color rgb="FFF59E0B"/>
      <name val="Segoe UI"/>
      <family val="2"/>
    </font>
    <font>
      <sz val="10"/>
      <color rgb="FF555555"/>
      <name val="Segoe UI"/>
      <family val="2"/>
    </font>
    <font>
      <i/>
      <sz val="10"/>
      <color rgb="FFF59E0B"/>
      <name val="Segoe UI"/>
      <family val="2"/>
    </font>
    <font>
      <b/>
      <sz val="10"/>
      <color rgb="FF0A0A0A"/>
      <name val="Segoe UI"/>
      <family val="2"/>
    </font>
    <font>
      <b/>
      <sz val="11"/>
      <color rgb="FF818CF8"/>
      <name val="Aptos Narrow"/>
      <family val="2"/>
      <scheme val="minor"/>
    </font>
    <font>
      <b/>
      <sz val="10"/>
      <color rgb="FF6366F1"/>
      <name val="Segoe UI"/>
      <family val="2"/>
    </font>
    <font>
      <b/>
      <sz val="10"/>
      <color rgb="FF818CF8"/>
      <name val="Segoe UI"/>
      <family val="2"/>
    </font>
    <font>
      <i/>
      <sz val="10"/>
      <color rgb="FFC7D2FE"/>
      <name val="Segoe UI"/>
      <family val="2"/>
    </font>
    <font>
      <b/>
      <sz val="10"/>
      <color rgb="FFE0E7FF"/>
      <name val="Segoe UI"/>
      <family val="2"/>
    </font>
    <font>
      <sz val="10"/>
      <color rgb="FF34D399"/>
      <name val="Segoe UI"/>
      <family val="2"/>
    </font>
    <font>
      <sz val="10"/>
      <color rgb="FFA5B4FC"/>
      <name val="Segoe UI"/>
      <family val="2"/>
    </font>
    <font>
      <b/>
      <sz val="10"/>
      <color rgb="FF34D399"/>
      <name val="Segoe UI"/>
      <family val="2"/>
    </font>
    <font>
      <i/>
      <sz val="10"/>
      <color rgb="FF34D399"/>
      <name val="Segoe UI"/>
      <family val="2"/>
    </font>
    <font>
      <i/>
      <sz val="10"/>
      <color rgb="FFEF4444"/>
      <name val="Segoe UI"/>
      <family val="2"/>
    </font>
    <font>
      <b/>
      <sz val="10"/>
      <color rgb="FFA5B4FC"/>
      <name val="Segoe UI"/>
      <family val="2"/>
    </font>
    <font>
      <sz val="10"/>
      <color rgb="FF94A3B8"/>
      <name val="Segoe UI"/>
      <family val="2"/>
    </font>
    <font>
      <b/>
      <i/>
      <sz val="10"/>
      <color rgb="FFD4A843"/>
      <name val="Segoe UI"/>
      <family val="2"/>
    </font>
    <font>
      <sz val="10"/>
      <color rgb="FFA78BFA"/>
      <name val="Segoe UI"/>
      <family val="2"/>
    </font>
    <font>
      <b/>
      <i/>
      <sz val="10"/>
      <color rgb="FFE0E0E0"/>
      <name val="Segoe UI"/>
      <family val="2"/>
    </font>
    <font>
      <b/>
      <sz val="11"/>
      <color rgb="FF10B981"/>
      <name val="Aptos Narrow"/>
      <family val="2"/>
      <scheme val="minor"/>
    </font>
    <font>
      <b/>
      <sz val="12"/>
      <color rgb="FF10B981"/>
      <name val="Aptos Narrow"/>
      <family val="2"/>
      <scheme val="minor"/>
    </font>
    <font>
      <i/>
      <sz val="11"/>
      <color rgb="FF10B981"/>
      <name val="Aptos Narrow"/>
      <family val="2"/>
      <scheme val="minor"/>
    </font>
    <font>
      <i/>
      <sz val="11"/>
      <color rgb="FFA78BFA"/>
      <name val="Aptos Narrow"/>
      <family val="2"/>
      <scheme val="minor"/>
    </font>
    <font>
      <i/>
      <sz val="11"/>
      <color rgb="FF818CF8"/>
      <name val="Aptos Narrow"/>
      <family val="2"/>
      <scheme val="minor"/>
    </font>
    <font>
      <b/>
      <sz val="12"/>
      <color rgb="FFFFFFFF"/>
      <name val="Calibri"/>
      <family val="2"/>
    </font>
    <font>
      <i/>
      <sz val="10"/>
      <color rgb="FF595959"/>
      <name val="Calibri"/>
      <family val="2"/>
    </font>
    <font>
      <b/>
      <sz val="9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b/>
      <i/>
      <sz val="9"/>
      <color rgb="FF595959"/>
      <name val="Calibri"/>
      <family val="2"/>
    </font>
    <font>
      <b/>
      <sz val="11"/>
      <color rgb="FF000000"/>
      <name val="Calibri"/>
      <family val="2"/>
    </font>
    <font>
      <i/>
      <sz val="9"/>
      <color rgb="FF595959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b/>
      <sz val="10"/>
      <color rgb="FFFFFFFF"/>
      <name val="Segoe UI"/>
    </font>
    <font>
      <sz val="10"/>
      <color theme="1"/>
      <name val="Segoe UI"/>
    </font>
    <font>
      <sz val="10"/>
      <color rgb="FFE0E0E0"/>
      <name val="Segoe UI"/>
    </font>
    <font>
      <b/>
      <sz val="10"/>
      <color rgb="FFE0E0E0"/>
      <name val="Segoe UI"/>
    </font>
    <font>
      <sz val="11"/>
      <color rgb="FF00CC66"/>
      <name val="Segoe UI"/>
      <family val="2"/>
    </font>
    <font>
      <b/>
      <sz val="10"/>
      <color rgb="FFD4A843"/>
      <name val="Segoe UI"/>
    </font>
    <font>
      <sz val="9"/>
      <color theme="1"/>
      <name val="Segoe UI"/>
    </font>
    <font>
      <sz val="9"/>
      <color rgb="FFAAAAAA"/>
      <name val="Segoe UI"/>
    </font>
    <font>
      <sz val="10"/>
      <color rgb="FFAAAAAA"/>
      <name val="Segoe UI"/>
    </font>
    <font>
      <sz val="8"/>
      <color rgb="FF888888"/>
      <name val="Segoe UI"/>
    </font>
    <font>
      <b/>
      <sz val="9"/>
      <color rgb="FFFFFFFF"/>
      <name val="Segoe UI"/>
    </font>
    <font>
      <b/>
      <sz val="9"/>
      <color rgb="FFEF4444"/>
      <name val="Segoe UI"/>
    </font>
    <font>
      <i/>
      <sz val="8"/>
      <color rgb="FF888888"/>
      <name val="Segoe UI"/>
    </font>
    <font>
      <b/>
      <sz val="11"/>
      <color theme="0"/>
      <name val="Aptos Narrow"/>
      <family val="2"/>
      <scheme val="minor"/>
    </font>
    <font>
      <i/>
      <sz val="11"/>
      <color rgb="FFE88C30"/>
      <name val="Segoe UI"/>
      <family val="2"/>
    </font>
    <font>
      <sz val="11"/>
      <color rgb="FF008000"/>
      <name val="Segoe UI"/>
      <family val="2"/>
    </font>
    <font>
      <sz val="11"/>
      <color rgb="FF888888"/>
      <name val="Segoe UI"/>
      <family val="2"/>
    </font>
    <font>
      <b/>
      <sz val="11"/>
      <color theme="1"/>
      <name val="Segoe UI"/>
      <family val="2"/>
    </font>
    <font>
      <i/>
      <sz val="9"/>
      <color rgb="FFF59E0B"/>
      <name val="Segoe UI"/>
      <family val="2"/>
    </font>
    <font>
      <sz val="9"/>
      <color rgb="FFD4A843"/>
      <name val="Segoe UI"/>
      <family val="2"/>
    </font>
    <font>
      <sz val="9"/>
      <color rgb="FF6FB8D4"/>
      <name val="Segoe UI"/>
      <family val="2"/>
    </font>
    <font>
      <b/>
      <sz val="9"/>
      <color rgb="FF6FB8D4"/>
      <name val="Segoe UI"/>
      <family val="2"/>
    </font>
    <font>
      <b/>
      <sz val="9"/>
      <color rgb="FFF59E0B"/>
      <name val="Segoe UI"/>
      <family val="2"/>
    </font>
    <font>
      <b/>
      <sz val="9"/>
      <color rgb="FFD4A843"/>
      <name val="Segoe UI"/>
      <family val="2"/>
    </font>
    <font>
      <i/>
      <sz val="9"/>
      <color rgb="FF888888"/>
      <name val="Segoe UI"/>
      <family val="2"/>
    </font>
    <font>
      <sz val="10"/>
      <color theme="0"/>
      <name val="Segoe UI"/>
      <family val="2"/>
    </font>
    <font>
      <b/>
      <sz val="10"/>
      <color theme="0"/>
      <name val="Segoe UI"/>
      <family val="2"/>
    </font>
    <font>
      <sz val="10"/>
      <color rgb="FF008000"/>
      <name val="Segoe UI"/>
      <family val="2"/>
    </font>
    <font>
      <sz val="9"/>
      <color indexed="81"/>
      <name val="Tahoma"/>
      <family val="2"/>
    </font>
    <font>
      <i/>
      <sz val="8"/>
      <color rgb="FFF59E0B"/>
      <name val="Segoe UI"/>
      <family val="2"/>
    </font>
    <font>
      <sz val="11"/>
      <color rgb="FF008000"/>
      <name val="Aptos Narrow"/>
      <family val="2"/>
      <scheme val="minor"/>
    </font>
    <font>
      <b/>
      <sz val="9"/>
      <color rgb="FFFFFFFF"/>
      <name val="Segoe UI"/>
      <family val="2"/>
    </font>
    <font>
      <sz val="9"/>
      <color rgb="FFD4A843"/>
      <name val="Aptos Narrow"/>
      <family val="2"/>
      <scheme val="minor"/>
    </font>
    <font>
      <i/>
      <sz val="9"/>
      <color rgb="FFD4A843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sz val="10"/>
      <color rgb="FF008000"/>
      <name val="Calibri"/>
      <family val="2"/>
    </font>
    <font>
      <sz val="9"/>
      <color rgb="FF008000"/>
      <name val="Calibri"/>
      <family val="2"/>
    </font>
    <font>
      <b/>
      <sz val="10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0"/>
      <color rgb="FFE0E0E0"/>
      <name val="Aptos Narrow"/>
      <family val="2"/>
      <scheme val="minor"/>
    </font>
    <font>
      <sz val="11"/>
      <color rgb="FF888888"/>
      <name val="Aptos Narrow"/>
      <family val="2"/>
      <scheme val="minor"/>
    </font>
    <font>
      <sz val="10"/>
      <color rgb="FF008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AAAAAA"/>
      <name val="Aptos Narrow"/>
      <family val="2"/>
      <scheme val="minor"/>
    </font>
    <font>
      <sz val="11"/>
      <color rgb="FFAAAAAA"/>
      <name val="Aptos Narrow"/>
      <family val="2"/>
      <scheme val="minor"/>
    </font>
    <font>
      <b/>
      <sz val="10"/>
      <color rgb="FFFF8C00"/>
      <name val="Segoe UI"/>
      <family val="2"/>
    </font>
    <font>
      <i/>
      <sz val="9"/>
      <color rgb="FFAAAAAA"/>
      <name val="Segoe UI"/>
      <family val="2"/>
    </font>
    <font>
      <sz val="9"/>
      <color rgb="FFCCCCCC"/>
      <name val="Segoe UI"/>
      <family val="2"/>
    </font>
    <font>
      <b/>
      <sz val="9"/>
      <color rgb="FFCCCCCC"/>
      <name val="Segoe UI"/>
      <family val="2"/>
    </font>
    <font>
      <b/>
      <sz val="11"/>
      <color rgb="FFFF8C00"/>
      <name val="Aptos Narrow"/>
      <family val="2"/>
      <scheme val="minor"/>
    </font>
    <font>
      <b/>
      <i/>
      <sz val="10"/>
      <color theme="0"/>
      <name val="Segoe UI"/>
      <family val="2"/>
    </font>
    <font>
      <b/>
      <sz val="10"/>
      <color rgb="FFE0E0E0"/>
      <name val="Aptos Narrow"/>
      <family val="2"/>
      <scheme val="minor"/>
    </font>
    <font>
      <b/>
      <sz val="10"/>
      <color rgb="FFD4A843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i/>
      <sz val="8"/>
      <color rgb="FF888888"/>
      <name val="Aptos Narrow"/>
      <family val="2"/>
      <scheme val="minor"/>
    </font>
    <font>
      <sz val="9"/>
      <color rgb="FF00CC00"/>
      <name val="Segoe UI"/>
      <family val="2"/>
    </font>
    <font>
      <sz val="10"/>
      <color rgb="FF6FB8D4"/>
      <name val="Aptos Narrow"/>
      <family val="2"/>
      <scheme val="minor"/>
    </font>
    <font>
      <sz val="9"/>
      <color rgb="FFCCCCCC"/>
      <name val="Aptos Narrow"/>
      <family val="2"/>
      <scheme val="minor"/>
    </font>
    <font>
      <i/>
      <sz val="8"/>
      <color rgb="FFF5A623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0"/>
      <color rgb="FFA5B4FC"/>
      <name val="Aptos Narrow"/>
      <family val="2"/>
      <scheme val="minor"/>
    </font>
    <font>
      <sz val="10"/>
      <color rgb="FF10B981"/>
      <name val="Aptos Narrow"/>
      <family val="2"/>
      <scheme val="minor"/>
    </font>
    <font>
      <b/>
      <sz val="10"/>
      <color rgb="FF10B981"/>
      <name val="Aptos Narrow"/>
      <family val="2"/>
      <scheme val="minor"/>
    </font>
    <font>
      <b/>
      <sz val="11"/>
      <color rgb="FFCCCCCC"/>
      <name val="Aptos Narrow"/>
      <family val="2"/>
      <scheme val="minor"/>
    </font>
    <font>
      <sz val="8"/>
      <color rgb="FF333333"/>
      <name val="Aptos Narrow"/>
      <family val="2"/>
      <scheme val="minor"/>
    </font>
    <font>
      <b/>
      <sz val="11"/>
      <color rgb="FF10B981"/>
      <name val="Segoe UI"/>
      <family val="2"/>
    </font>
    <font>
      <b/>
      <i/>
      <sz val="9"/>
      <color theme="0"/>
      <name val="Aptos Narrow"/>
      <family val="2"/>
      <scheme val="minor"/>
    </font>
    <font>
      <sz val="11"/>
      <color rgb="FFA78BFA"/>
      <name val="Aptos Narrow"/>
      <family val="2"/>
      <scheme val="minor"/>
    </font>
    <font>
      <sz val="10"/>
      <color rgb="FFA78BFA"/>
      <name val="Aptos Narrow"/>
      <family val="2"/>
      <scheme val="minor"/>
    </font>
    <font>
      <b/>
      <sz val="10"/>
      <color theme="1"/>
      <name val="Calibri"/>
      <family val="2"/>
    </font>
    <font>
      <b/>
      <sz val="14"/>
      <color rgb="FFD4A843"/>
      <name val="Segoe UI"/>
      <family val="2"/>
    </font>
    <font>
      <i/>
      <sz val="11"/>
      <color rgb="FF888888"/>
      <name val="Segoe UI"/>
      <family val="2"/>
    </font>
    <font>
      <sz val="10"/>
      <color theme="1"/>
      <name val="Aptos Narrow"/>
      <family val="2"/>
      <scheme val="minor"/>
    </font>
    <font>
      <sz val="10"/>
      <color rgb="FFCCCCCC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9"/>
      <color theme="0"/>
      <name val="Segoe UI"/>
      <family val="2"/>
    </font>
    <font>
      <b/>
      <i/>
      <sz val="10"/>
      <color rgb="FF94A3B8"/>
      <name val="Segoe UI"/>
      <family val="2"/>
    </font>
    <font>
      <b/>
      <i/>
      <sz val="10"/>
      <color rgb="FFFFFFFF"/>
      <name val="Segoe UI"/>
      <family val="2"/>
    </font>
    <font>
      <i/>
      <sz val="10"/>
      <color rgb="FFE0E0E0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i/>
      <sz val="10"/>
      <color theme="0"/>
      <name val="Aptos Narrow"/>
      <family val="2"/>
      <scheme val="minor"/>
    </font>
    <font>
      <b/>
      <sz val="11"/>
      <color rgb="FFE0E0E0"/>
      <name val="Segoe UI"/>
      <family val="2"/>
    </font>
    <font>
      <b/>
      <i/>
      <sz val="11"/>
      <color rgb="FFE88C30"/>
      <name val="Segoe UI"/>
      <family val="2"/>
    </font>
    <font>
      <b/>
      <i/>
      <sz val="10"/>
      <color rgb="FFC00000"/>
      <name val="Segoe UI"/>
      <family val="2"/>
    </font>
    <font>
      <b/>
      <i/>
      <sz val="11"/>
      <color rgb="FFE0E0E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0"/>
      <color rgb="FFFF6600"/>
      <name val="Segoe UI"/>
      <family val="2"/>
    </font>
    <font>
      <b/>
      <sz val="11"/>
      <color rgb="FF1F4E79"/>
      <name val="Aptos Narrow"/>
      <family val="2"/>
      <scheme val="minor"/>
    </font>
    <font>
      <sz val="11"/>
      <color rgb="FF2E75B6"/>
      <name val="Aptos Narrow"/>
      <family val="2"/>
      <scheme val="minor"/>
    </font>
    <font>
      <sz val="11"/>
      <color rgb="FF375623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i/>
      <sz val="10"/>
      <color theme="1"/>
      <name val="Segoe UI"/>
      <family val="2"/>
    </font>
    <font>
      <b/>
      <i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</fonts>
  <fills count="8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C1C1E"/>
        <bgColor indexed="64"/>
      </patternFill>
    </fill>
    <fill>
      <patternFill patternType="solid">
        <fgColor rgb="FF0A0A0A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2A2A2E"/>
        <bgColor indexed="64"/>
      </patternFill>
    </fill>
    <fill>
      <patternFill patternType="solid">
        <fgColor rgb="FF1A1A1A"/>
        <bgColor indexed="64"/>
      </patternFill>
    </fill>
    <fill>
      <patternFill patternType="solid">
        <fgColor rgb="FF222222"/>
        <bgColor indexed="64"/>
      </patternFill>
    </fill>
    <fill>
      <patternFill patternType="solid">
        <fgColor rgb="FF2C1810"/>
        <bgColor indexed="64"/>
      </patternFill>
    </fill>
    <fill>
      <patternFill patternType="solid">
        <fgColor rgb="FFD4A843"/>
        <bgColor indexed="64"/>
      </patternFill>
    </fill>
    <fill>
      <patternFill patternType="solid">
        <fgColor rgb="FF1A3A2A"/>
        <bgColor indexed="64"/>
      </patternFill>
    </fill>
    <fill>
      <patternFill patternType="solid">
        <fgColor rgb="FF2C2C3A"/>
        <bgColor indexed="64"/>
      </patternFill>
    </fill>
    <fill>
      <patternFill patternType="solid">
        <fgColor rgb="FF1E1E22"/>
        <bgColor indexed="64"/>
      </patternFill>
    </fill>
    <fill>
      <patternFill patternType="solid">
        <fgColor rgb="FF1E1A2E"/>
        <bgColor indexed="64"/>
      </patternFill>
    </fill>
    <fill>
      <patternFill patternType="solid">
        <fgColor rgb="FF1E1E1E"/>
        <bgColor indexed="64"/>
      </patternFill>
    </fill>
    <fill>
      <patternFill patternType="solid">
        <fgColor rgb="FF3A2D15"/>
        <bgColor indexed="64"/>
      </patternFill>
    </fill>
    <fill>
      <patternFill patternType="solid">
        <fgColor rgb="FF153040"/>
        <bgColor indexed="64"/>
      </patternFill>
    </fill>
    <fill>
      <patternFill patternType="solid">
        <fgColor rgb="FF401520"/>
        <bgColor indexed="64"/>
      </patternFill>
    </fill>
    <fill>
      <patternFill patternType="solid">
        <fgColor rgb="FF152540"/>
        <bgColor indexed="64"/>
      </patternFill>
    </fill>
    <fill>
      <patternFill patternType="solid">
        <fgColor rgb="FF402015"/>
        <bgColor indexed="64"/>
      </patternFill>
    </fill>
    <fill>
      <patternFill patternType="solid">
        <fgColor rgb="FF1A3030"/>
        <bgColor indexed="64"/>
      </patternFill>
    </fill>
    <fill>
      <patternFill patternType="solid">
        <fgColor rgb="FF1E40AF"/>
        <bgColor indexed="64"/>
      </patternFill>
    </fill>
    <fill>
      <patternFill patternType="solid">
        <fgColor rgb="FF1A1A2A"/>
        <bgColor indexed="64"/>
      </patternFill>
    </fill>
    <fill>
      <patternFill patternType="solid">
        <fgColor rgb="FF0F5132"/>
        <bgColor indexed="64"/>
      </patternFill>
    </fill>
    <fill>
      <patternFill patternType="solid">
        <fgColor rgb="FF5C1A1A"/>
        <bgColor indexed="64"/>
      </patternFill>
    </fill>
    <fill>
      <patternFill patternType="solid">
        <fgColor rgb="FF2D1F4E"/>
        <bgColor indexed="64"/>
      </patternFill>
    </fill>
    <fill>
      <patternFill patternType="solid">
        <fgColor rgb="FF111111"/>
        <bgColor indexed="64"/>
      </patternFill>
    </fill>
    <fill>
      <patternFill patternType="solid">
        <fgColor rgb="FF1A201A"/>
        <bgColor indexed="64"/>
      </patternFill>
    </fill>
    <fill>
      <patternFill patternType="solid">
        <fgColor rgb="FF1E201A"/>
        <bgColor indexed="64"/>
      </patternFill>
    </fill>
    <fill>
      <patternFill patternType="solid">
        <fgColor rgb="FF1C0A0A"/>
        <bgColor indexed="64"/>
      </patternFill>
    </fill>
    <fill>
      <patternFill patternType="solid">
        <fgColor rgb="FF991B1B"/>
        <bgColor indexed="64"/>
      </patternFill>
    </fill>
    <fill>
      <patternFill patternType="solid">
        <fgColor rgb="FF1A0E0E"/>
        <bgColor indexed="64"/>
      </patternFill>
    </fill>
    <fill>
      <patternFill patternType="solid">
        <fgColor rgb="FF1E1010"/>
        <bgColor indexed="64"/>
      </patternFill>
    </fill>
    <fill>
      <patternFill patternType="solid">
        <fgColor rgb="FF1C1010"/>
        <bgColor indexed="64"/>
      </patternFill>
    </fill>
    <fill>
      <patternFill patternType="solid">
        <fgColor rgb="FF2A1010"/>
        <bgColor indexed="64"/>
      </patternFill>
    </fill>
    <fill>
      <patternFill patternType="solid">
        <fgColor rgb="FF1E1212"/>
        <bgColor indexed="64"/>
      </patternFill>
    </fill>
    <fill>
      <patternFill patternType="solid">
        <fgColor rgb="FF0F0F0F"/>
        <bgColor indexed="64"/>
      </patternFill>
    </fill>
    <fill>
      <patternFill patternType="solid">
        <fgColor rgb="FF1C1C2E"/>
        <bgColor indexed="64"/>
      </patternFill>
    </fill>
    <fill>
      <patternFill patternType="solid">
        <fgColor rgb="FF12122A"/>
        <bgColor indexed="64"/>
      </patternFill>
    </fill>
    <fill>
      <patternFill patternType="solid">
        <fgColor rgb="FF1E1B4B"/>
        <bgColor indexed="64"/>
      </patternFill>
    </fill>
    <fill>
      <patternFill patternType="solid">
        <fgColor rgb="FF13132B"/>
        <bgColor indexed="64"/>
      </patternFill>
    </fill>
    <fill>
      <patternFill patternType="solid">
        <fgColor rgb="FF2E2B5E"/>
        <bgColor indexed="64"/>
      </patternFill>
    </fill>
    <fill>
      <patternFill patternType="solid">
        <fgColor rgb="FF16163A"/>
        <bgColor indexed="64"/>
      </patternFill>
    </fill>
    <fill>
      <patternFill patternType="solid">
        <fgColor rgb="FF12122E"/>
        <bgColor indexed="64"/>
      </patternFill>
    </fill>
    <fill>
      <patternFill patternType="solid">
        <fgColor rgb="FF1E3A5F"/>
        <bgColor indexed="64"/>
      </patternFill>
    </fill>
    <fill>
      <patternFill patternType="solid">
        <fgColor rgb="FF0D2040"/>
        <bgColor indexed="64"/>
      </patternFill>
    </fill>
    <fill>
      <patternFill patternType="solid">
        <fgColor rgb="FF0A1F14"/>
        <bgColor indexed="64"/>
      </patternFill>
    </fill>
    <fill>
      <patternFill patternType="solid">
        <fgColor rgb="FF1A1400"/>
        <bgColor indexed="64"/>
      </patternFill>
    </fill>
    <fill>
      <patternFill patternType="solid">
        <fgColor rgb="FF141414"/>
        <bgColor indexed="64"/>
      </patternFill>
    </fill>
    <fill>
      <patternFill patternType="solid">
        <fgColor rgb="FF181818"/>
        <bgColor indexed="64"/>
      </patternFill>
    </fill>
    <fill>
      <patternFill patternType="solid">
        <fgColor rgb="FF2D1B00"/>
        <bgColor indexed="64"/>
      </patternFill>
    </fill>
    <fill>
      <patternFill patternType="solid">
        <fgColor rgb="FF1A0E00"/>
        <bgColor indexed="64"/>
      </patternFill>
    </fill>
    <fill>
      <patternFill patternType="solid">
        <fgColor rgb="FF2D1B4E"/>
        <bgColor indexed="64"/>
      </patternFill>
    </fill>
    <fill>
      <patternFill patternType="solid">
        <fgColor rgb="FF1A0800"/>
        <bgColor indexed="64"/>
      </patternFill>
    </fill>
    <fill>
      <patternFill patternType="solid">
        <fgColor rgb="FF450A0A"/>
        <bgColor indexed="64"/>
      </patternFill>
    </fill>
    <fill>
      <patternFill patternType="solid">
        <fgColor rgb="FF0D0B2A"/>
        <bgColor indexed="64"/>
      </patternFill>
    </fill>
    <fill>
      <patternFill patternType="solid">
        <fgColor rgb="FF1F1D0A"/>
        <bgColor indexed="64"/>
      </patternFill>
    </fill>
    <fill>
      <patternFill patternType="solid">
        <fgColor rgb="FF1A1A0A"/>
        <bgColor indexed="64"/>
      </patternFill>
    </fill>
    <fill>
      <patternFill patternType="solid">
        <fgColor rgb="FF061A10"/>
        <bgColor indexed="64"/>
      </patternFill>
    </fill>
    <fill>
      <patternFill patternType="solid">
        <fgColor rgb="FF1A1208"/>
        <bgColor indexed="64"/>
      </patternFill>
    </fill>
    <fill>
      <patternFill patternType="solid">
        <fgColor rgb="FF1F3864"/>
      </patternFill>
    </fill>
    <fill>
      <patternFill patternType="solid">
        <fgColor rgb="FFC9A84C"/>
      </patternFill>
    </fill>
    <fill>
      <patternFill patternType="solid">
        <fgColor rgb="FFFFFF99"/>
      </patternFill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FE0E0"/>
      </patternFill>
    </fill>
    <fill>
      <patternFill patternType="solid">
        <fgColor rgb="FFFCE4D6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6366F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</fills>
  <borders count="103">
    <border>
      <left/>
      <right/>
      <top/>
      <bottom/>
      <diagonal/>
    </border>
    <border>
      <left/>
      <right/>
      <top/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/>
      <bottom style="thin">
        <color rgb="FF333333"/>
      </bottom>
      <diagonal/>
    </border>
    <border>
      <left style="thin">
        <color rgb="FF333333"/>
      </left>
      <right style="thin">
        <color rgb="FF333333"/>
      </right>
      <top/>
      <bottom style="thin">
        <color rgb="FF333333"/>
      </bottom>
      <diagonal/>
    </border>
    <border>
      <left style="thin">
        <color rgb="FF333333"/>
      </left>
      <right/>
      <top/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444444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444444"/>
      </bottom>
      <diagonal/>
    </border>
    <border>
      <left style="thin">
        <color rgb="FF333333"/>
      </left>
      <right/>
      <top style="thin">
        <color rgb="FF333333"/>
      </top>
      <bottom style="thin">
        <color rgb="FF444444"/>
      </bottom>
      <diagonal/>
    </border>
    <border>
      <left/>
      <right/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/>
      <top style="thin">
        <color rgb="FF333333"/>
      </top>
      <bottom/>
      <diagonal/>
    </border>
    <border>
      <left/>
      <right/>
      <top style="thin">
        <color rgb="FFA07820"/>
      </top>
      <bottom/>
      <diagonal/>
    </border>
    <border>
      <left/>
      <right/>
      <top/>
      <bottom style="thin">
        <color rgb="FFA07820"/>
      </bottom>
      <diagonal/>
    </border>
    <border>
      <left style="thin">
        <color rgb="FFA07820"/>
      </left>
      <right/>
      <top style="thin">
        <color rgb="FFA07820"/>
      </top>
      <bottom/>
      <diagonal/>
    </border>
    <border>
      <left style="thin">
        <color rgb="FFA07820"/>
      </left>
      <right/>
      <top/>
      <bottom/>
      <diagonal/>
    </border>
    <border>
      <left style="thin">
        <color rgb="FFA07820"/>
      </left>
      <right/>
      <top/>
      <bottom style="thin">
        <color rgb="FFA07820"/>
      </bottom>
      <diagonal/>
    </border>
    <border>
      <left/>
      <right style="thin">
        <color rgb="FFA07820"/>
      </right>
      <top style="thin">
        <color rgb="FFA07820"/>
      </top>
      <bottom/>
      <diagonal/>
    </border>
    <border>
      <left/>
      <right style="thin">
        <color rgb="FFA07820"/>
      </right>
      <top/>
      <bottom/>
      <diagonal/>
    </border>
    <border>
      <left/>
      <right style="thin">
        <color rgb="FFA07820"/>
      </right>
      <top/>
      <bottom style="thin">
        <color rgb="FFA07820"/>
      </bottom>
      <diagonal/>
    </border>
    <border>
      <left/>
      <right/>
      <top style="thin">
        <color rgb="FF2A8A4A"/>
      </top>
      <bottom/>
      <diagonal/>
    </border>
    <border>
      <left/>
      <right/>
      <top/>
      <bottom style="thin">
        <color rgb="FF2A8A4A"/>
      </bottom>
      <diagonal/>
    </border>
    <border>
      <left style="thin">
        <color rgb="FF2A8A4A"/>
      </left>
      <right/>
      <top style="thin">
        <color rgb="FF2A8A4A"/>
      </top>
      <bottom/>
      <diagonal/>
    </border>
    <border>
      <left style="thin">
        <color rgb="FF2A8A4A"/>
      </left>
      <right/>
      <top/>
      <bottom/>
      <diagonal/>
    </border>
    <border>
      <left style="thin">
        <color rgb="FF2A8A4A"/>
      </left>
      <right/>
      <top/>
      <bottom style="thin">
        <color rgb="FF2A8A4A"/>
      </bottom>
      <diagonal/>
    </border>
    <border>
      <left/>
      <right style="thin">
        <color rgb="FF2A8A4A"/>
      </right>
      <top style="thin">
        <color rgb="FF2A8A4A"/>
      </top>
      <bottom/>
      <diagonal/>
    </border>
    <border>
      <left/>
      <right style="thin">
        <color rgb="FF2A8A4A"/>
      </right>
      <top/>
      <bottom/>
      <diagonal/>
    </border>
    <border>
      <left/>
      <right style="thin">
        <color rgb="FF2A8A4A"/>
      </right>
      <top/>
      <bottom style="thin">
        <color rgb="FF2A8A4A"/>
      </bottom>
      <diagonal/>
    </border>
    <border>
      <left style="dashed">
        <color rgb="FFA0A0CC"/>
      </left>
      <right/>
      <top style="dashed">
        <color rgb="FFA0A0CC"/>
      </top>
      <bottom/>
      <diagonal/>
    </border>
    <border>
      <left style="dashed">
        <color rgb="FFA0A0CC"/>
      </left>
      <right/>
      <top/>
      <bottom/>
      <diagonal/>
    </border>
    <border>
      <left style="dashed">
        <color rgb="FFA0A0CC"/>
      </left>
      <right/>
      <top/>
      <bottom style="dashed">
        <color rgb="FFA0A0CC"/>
      </bottom>
      <diagonal/>
    </border>
    <border>
      <left/>
      <right style="dashed">
        <color rgb="FFA0A0CC"/>
      </right>
      <top style="dashed">
        <color rgb="FFA0A0CC"/>
      </top>
      <bottom/>
      <diagonal/>
    </border>
    <border>
      <left/>
      <right style="dashed">
        <color rgb="FFA0A0CC"/>
      </right>
      <top/>
      <bottom/>
      <diagonal/>
    </border>
    <border>
      <left/>
      <right style="dashed">
        <color rgb="FFA0A0CC"/>
      </right>
      <top/>
      <bottom style="dashed">
        <color rgb="FFA0A0CC"/>
      </bottom>
      <diagonal/>
    </border>
    <border>
      <left style="thin">
        <color rgb="FF333333"/>
      </left>
      <right style="thin">
        <color rgb="FF333333"/>
      </right>
      <top style="thin">
        <color rgb="FF444444"/>
      </top>
      <bottom style="thin">
        <color rgb="FF333333"/>
      </bottom>
      <diagonal/>
    </border>
    <border>
      <left style="thin">
        <color rgb="FF444444"/>
      </left>
      <right style="thin">
        <color rgb="FF333333"/>
      </right>
      <top style="thin">
        <color rgb="FF444444"/>
      </top>
      <bottom style="thin">
        <color rgb="FF333333"/>
      </bottom>
      <diagonal/>
    </border>
    <border>
      <left style="thin">
        <color rgb="FF444444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444444"/>
      </left>
      <right style="thin">
        <color rgb="FF333333"/>
      </right>
      <top style="thin">
        <color rgb="FF333333"/>
      </top>
      <bottom style="thin">
        <color rgb="FF444444"/>
      </bottom>
      <diagonal/>
    </border>
    <border>
      <left style="thin">
        <color rgb="FF333333"/>
      </left>
      <right style="thin">
        <color rgb="FF444444"/>
      </right>
      <top style="thin">
        <color rgb="FF444444"/>
      </top>
      <bottom style="thin">
        <color rgb="FF333333"/>
      </bottom>
      <diagonal/>
    </border>
    <border>
      <left style="thin">
        <color rgb="FF333333"/>
      </left>
      <right style="thin">
        <color rgb="FF444444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444444"/>
      </right>
      <top style="thin">
        <color rgb="FF333333"/>
      </top>
      <bottom style="thin">
        <color rgb="FF444444"/>
      </bottom>
      <diagonal/>
    </border>
    <border>
      <left/>
      <right/>
      <top style="thin">
        <color rgb="FF555555"/>
      </top>
      <bottom/>
      <diagonal/>
    </border>
    <border>
      <left/>
      <right/>
      <top style="thin">
        <color rgb="FF555555"/>
      </top>
      <bottom style="thin">
        <color rgb="FF555555"/>
      </bottom>
      <diagonal/>
    </border>
    <border>
      <left/>
      <right/>
      <top style="double">
        <color rgb="FFD4A843"/>
      </top>
      <bottom/>
      <diagonal/>
    </border>
    <border>
      <left/>
      <right/>
      <top style="double">
        <color rgb="FFD4A843"/>
      </top>
      <bottom style="double">
        <color rgb="FFD4A84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rgb="FFEF4444"/>
      </top>
      <bottom/>
      <diagonal/>
    </border>
    <border>
      <left/>
      <right style="thin">
        <color rgb="FF2D2B6B"/>
      </right>
      <top/>
      <bottom style="thin">
        <color rgb="FF2D2B6B"/>
      </bottom>
      <diagonal/>
    </border>
    <border>
      <left style="thin">
        <color rgb="FF2D2B6B"/>
      </left>
      <right style="thin">
        <color rgb="FF2D2B6B"/>
      </right>
      <top/>
      <bottom style="thin">
        <color rgb="FF2D2B6B"/>
      </bottom>
      <diagonal/>
    </border>
    <border>
      <left style="thin">
        <color rgb="FF2D2B6B"/>
      </left>
      <right/>
      <top/>
      <bottom style="thin">
        <color rgb="FF2D2B6B"/>
      </bottom>
      <diagonal/>
    </border>
    <border>
      <left/>
      <right style="thin">
        <color rgb="FF2D2B6B"/>
      </right>
      <top style="thin">
        <color rgb="FF2D2B6B"/>
      </top>
      <bottom style="thin">
        <color rgb="FF2D2B6B"/>
      </bottom>
      <diagonal/>
    </border>
    <border>
      <left style="thin">
        <color rgb="FF2D2B6B"/>
      </left>
      <right style="thin">
        <color rgb="FF2D2B6B"/>
      </right>
      <top style="thin">
        <color rgb="FF2D2B6B"/>
      </top>
      <bottom style="thin">
        <color rgb="FF2D2B6B"/>
      </bottom>
      <diagonal/>
    </border>
    <border>
      <left style="thin">
        <color rgb="FF2D2B6B"/>
      </left>
      <right/>
      <top style="thin">
        <color rgb="FF2D2B6B"/>
      </top>
      <bottom style="thin">
        <color rgb="FF2D2B6B"/>
      </bottom>
      <diagonal/>
    </border>
    <border>
      <left/>
      <right style="thin">
        <color rgb="FF2D2B6B"/>
      </right>
      <top style="thin">
        <color rgb="FF2D2B6B"/>
      </top>
      <bottom/>
      <diagonal/>
    </border>
    <border>
      <left style="thin">
        <color rgb="FF2D2B6B"/>
      </left>
      <right style="thin">
        <color rgb="FF2D2B6B"/>
      </right>
      <top style="thin">
        <color rgb="FF2D2B6B"/>
      </top>
      <bottom/>
      <diagonal/>
    </border>
    <border>
      <left style="thin">
        <color rgb="FF2D2B6B"/>
      </left>
      <right/>
      <top style="thin">
        <color rgb="FF2D2B6B"/>
      </top>
      <bottom/>
      <diagonal/>
    </border>
    <border>
      <left/>
      <right/>
      <top style="thin">
        <color rgb="FF1E3A5F"/>
      </top>
      <bottom/>
      <diagonal/>
    </border>
    <border>
      <left/>
      <right/>
      <top style="thin">
        <color rgb="FFD4A843"/>
      </top>
      <bottom/>
      <diagonal/>
    </border>
    <border>
      <left/>
      <right/>
      <top/>
      <bottom style="thin">
        <color rgb="FF2A2A2A"/>
      </bottom>
      <diagonal/>
    </border>
    <border>
      <left/>
      <right/>
      <top style="thin">
        <color rgb="FF2A2A2A"/>
      </top>
      <bottom style="thin">
        <color rgb="FF2A2A2A"/>
      </bottom>
      <diagonal/>
    </border>
    <border>
      <left/>
      <right/>
      <top style="thin">
        <color rgb="FF2A2A2A"/>
      </top>
      <bottom style="thin">
        <color rgb="FF1E3A5F"/>
      </bottom>
      <diagonal/>
    </border>
    <border>
      <left/>
      <right/>
      <top style="thin">
        <color rgb="FF2A2A2A"/>
      </top>
      <bottom style="thin">
        <color rgb="FF1A3A2A"/>
      </bottom>
      <diagonal/>
    </border>
    <border>
      <left/>
      <right/>
      <top style="thin">
        <color rgb="FF2A2A2A"/>
      </top>
      <bottom style="thin">
        <color rgb="FFD4A843"/>
      </bottom>
      <diagonal/>
    </border>
    <border>
      <left/>
      <right/>
      <top style="thin">
        <color rgb="FF10B981"/>
      </top>
      <bottom/>
      <diagonal/>
    </border>
    <border>
      <left/>
      <right/>
      <top style="double">
        <color rgb="FF10B981"/>
      </top>
      <bottom/>
      <diagonal/>
    </border>
    <border>
      <left/>
      <right/>
      <top style="thin">
        <color rgb="FF6366F1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/>
      <right/>
      <top style="thin">
        <color rgb="FFBFBFBF"/>
      </top>
      <bottom style="medium">
        <color rgb="FF000000"/>
      </bottom>
      <diagonal/>
    </border>
    <border>
      <left/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333333"/>
      </left>
      <right/>
      <top/>
      <bottom/>
      <diagonal/>
    </border>
    <border>
      <left/>
      <right/>
      <top/>
      <bottom style="thin">
        <color rgb="FFAAAAAA"/>
      </bottom>
      <diagonal/>
    </border>
    <border>
      <left/>
      <right/>
      <top style="thin">
        <color rgb="FFEF4444"/>
      </top>
      <bottom style="thin">
        <color rgb="FFEF4444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333333"/>
      </right>
      <top style="medium">
        <color indexed="64"/>
      </top>
      <bottom style="medium">
        <color indexed="64"/>
      </bottom>
      <diagonal/>
    </border>
    <border>
      <left style="thin">
        <color rgb="FF333333"/>
      </left>
      <right style="thin">
        <color rgb="FF333333"/>
      </right>
      <top style="medium">
        <color indexed="64"/>
      </top>
      <bottom style="medium">
        <color indexed="64"/>
      </bottom>
      <diagonal/>
    </border>
    <border>
      <left style="thin">
        <color rgb="FF333333"/>
      </left>
      <right/>
      <top style="medium">
        <color indexed="64"/>
      </top>
      <bottom style="medium">
        <color indexed="64"/>
      </bottom>
      <diagonal/>
    </border>
    <border>
      <left style="thin">
        <color rgb="FF33333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8B0000"/>
      </left>
      <right style="thin">
        <color rgb="FF333333"/>
      </right>
      <top style="medium">
        <color rgb="FF8B0000"/>
      </top>
      <bottom style="thin">
        <color rgb="FF333333"/>
      </bottom>
      <diagonal/>
    </border>
    <border>
      <left style="medium">
        <color rgb="FF8B0000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medium">
        <color rgb="FF8B0000"/>
      </left>
      <right style="thin">
        <color rgb="FF333333"/>
      </right>
      <top style="thin">
        <color rgb="FF333333"/>
      </top>
      <bottom style="medium">
        <color rgb="FF8B0000"/>
      </bottom>
      <diagonal/>
    </border>
    <border>
      <left style="thin">
        <color rgb="FF333333"/>
      </left>
      <right style="medium">
        <color rgb="FF8B0000"/>
      </right>
      <top style="medium">
        <color rgb="FF8B0000"/>
      </top>
      <bottom style="thin">
        <color rgb="FF333333"/>
      </bottom>
      <diagonal/>
    </border>
    <border>
      <left style="thin">
        <color rgb="FF333333"/>
      </left>
      <right style="medium">
        <color rgb="FF8B0000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medium">
        <color rgb="FF8B0000"/>
      </right>
      <top style="thin">
        <color rgb="FF333333"/>
      </top>
      <bottom style="medium">
        <color rgb="FF8B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double">
        <color rgb="FFD4A843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rgb="FFD4A843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61">
    <xf numFmtId="0" fontId="0" fillId="0" borderId="0" xfId="0"/>
    <xf numFmtId="0" fontId="1" fillId="0" borderId="0" xfId="0" applyFont="1"/>
    <xf numFmtId="0" fontId="4" fillId="3" borderId="0" xfId="0" applyFont="1" applyFill="1"/>
    <xf numFmtId="14" fontId="0" fillId="0" borderId="0" xfId="0" applyNumberFormat="1"/>
    <xf numFmtId="0" fontId="4" fillId="6" borderId="0" xfId="0" applyFont="1" applyFill="1"/>
    <xf numFmtId="0" fontId="10" fillId="0" borderId="0" xfId="0" applyFont="1"/>
    <xf numFmtId="0" fontId="11" fillId="6" borderId="0" xfId="0" applyFont="1" applyFill="1"/>
    <xf numFmtId="0" fontId="14" fillId="0" borderId="0" xfId="0" applyFont="1"/>
    <xf numFmtId="0" fontId="2" fillId="0" borderId="0" xfId="0" applyFont="1"/>
    <xf numFmtId="0" fontId="16" fillId="0" borderId="0" xfId="0" applyFont="1"/>
    <xf numFmtId="0" fontId="17" fillId="3" borderId="0" xfId="0" applyFont="1" applyFill="1"/>
    <xf numFmtId="0" fontId="19" fillId="5" borderId="0" xfId="0" applyFont="1" applyFill="1"/>
    <xf numFmtId="0" fontId="20" fillId="7" borderId="0" xfId="0" applyFont="1" applyFill="1"/>
    <xf numFmtId="0" fontId="22" fillId="0" borderId="0" xfId="0" applyFont="1"/>
    <xf numFmtId="0" fontId="17" fillId="6" borderId="0" xfId="0" applyFont="1" applyFill="1"/>
    <xf numFmtId="0" fontId="15" fillId="0" borderId="0" xfId="0" applyFont="1"/>
    <xf numFmtId="0" fontId="18" fillId="7" borderId="0" xfId="0" applyFont="1" applyFill="1"/>
    <xf numFmtId="0" fontId="24" fillId="7" borderId="0" xfId="0" applyFont="1" applyFill="1"/>
    <xf numFmtId="0" fontId="18" fillId="8" borderId="0" xfId="0" applyFont="1" applyFill="1"/>
    <xf numFmtId="0" fontId="24" fillId="8" borderId="0" xfId="0" applyFont="1" applyFill="1"/>
    <xf numFmtId="0" fontId="25" fillId="7" borderId="0" xfId="0" applyFont="1" applyFill="1"/>
    <xf numFmtId="0" fontId="25" fillId="8" borderId="0" xfId="0" applyFont="1" applyFill="1"/>
    <xf numFmtId="0" fontId="26" fillId="0" borderId="0" xfId="0" applyFont="1"/>
    <xf numFmtId="0" fontId="27" fillId="7" borderId="0" xfId="0" applyFont="1" applyFill="1"/>
    <xf numFmtId="0" fontId="27" fillId="8" borderId="0" xfId="0" applyFont="1" applyFill="1"/>
    <xf numFmtId="0" fontId="2" fillId="3" borderId="0" xfId="0" applyFont="1" applyFill="1"/>
    <xf numFmtId="0" fontId="28" fillId="3" borderId="0" xfId="0" applyFont="1" applyFill="1"/>
    <xf numFmtId="0" fontId="20" fillId="7" borderId="2" xfId="0" applyFont="1" applyFill="1" applyBorder="1"/>
    <xf numFmtId="0" fontId="20" fillId="7" borderId="7" xfId="0" applyFont="1" applyFill="1" applyBorder="1"/>
    <xf numFmtId="9" fontId="20" fillId="7" borderId="7" xfId="0" applyNumberFormat="1" applyFont="1" applyFill="1" applyBorder="1"/>
    <xf numFmtId="0" fontId="17" fillId="6" borderId="1" xfId="0" applyFont="1" applyFill="1" applyBorder="1"/>
    <xf numFmtId="0" fontId="17" fillId="6" borderId="3" xfId="0" applyFont="1" applyFill="1" applyBorder="1"/>
    <xf numFmtId="0" fontId="17" fillId="6" borderId="4" xfId="0" applyFont="1" applyFill="1" applyBorder="1"/>
    <xf numFmtId="0" fontId="17" fillId="6" borderId="5" xfId="0" applyFont="1" applyFill="1" applyBorder="1"/>
    <xf numFmtId="0" fontId="23" fillId="7" borderId="6" xfId="0" applyFont="1" applyFill="1" applyBorder="1"/>
    <xf numFmtId="164" fontId="20" fillId="7" borderId="7" xfId="0" applyNumberFormat="1" applyFont="1" applyFill="1" applyBorder="1"/>
    <xf numFmtId="164" fontId="19" fillId="5" borderId="7" xfId="0" applyNumberFormat="1" applyFont="1" applyFill="1" applyBorder="1"/>
    <xf numFmtId="2" fontId="19" fillId="5" borderId="7" xfId="0" applyNumberFormat="1" applyFont="1" applyFill="1" applyBorder="1"/>
    <xf numFmtId="164" fontId="19" fillId="5" borderId="14" xfId="0" applyNumberFormat="1" applyFont="1" applyFill="1" applyBorder="1"/>
    <xf numFmtId="165" fontId="19" fillId="5" borderId="0" xfId="0" applyNumberFormat="1" applyFont="1" applyFill="1"/>
    <xf numFmtId="0" fontId="0" fillId="4" borderId="0" xfId="0" applyFill="1"/>
    <xf numFmtId="0" fontId="0" fillId="3" borderId="0" xfId="0" applyFill="1"/>
    <xf numFmtId="0" fontId="35" fillId="0" borderId="0" xfId="0" applyFont="1"/>
    <xf numFmtId="0" fontId="10" fillId="4" borderId="0" xfId="0" applyFont="1" applyFill="1"/>
    <xf numFmtId="0" fontId="10" fillId="3" borderId="0" xfId="0" applyFont="1" applyFill="1"/>
    <xf numFmtId="0" fontId="15" fillId="4" borderId="0" xfId="0" applyFont="1" applyFill="1"/>
    <xf numFmtId="0" fontId="2" fillId="4" borderId="0" xfId="0" applyFont="1" applyFill="1"/>
    <xf numFmtId="0" fontId="17" fillId="6" borderId="0" xfId="0" applyFont="1" applyFill="1" applyAlignment="1">
      <alignment wrapText="1"/>
    </xf>
    <xf numFmtId="0" fontId="39" fillId="0" borderId="0" xfId="0" applyFont="1"/>
    <xf numFmtId="0" fontId="15" fillId="3" borderId="0" xfId="0" applyFont="1" applyFill="1"/>
    <xf numFmtId="0" fontId="40" fillId="0" borderId="0" xfId="0" applyFont="1"/>
    <xf numFmtId="0" fontId="17" fillId="6" borderId="3" xfId="0" applyFont="1" applyFill="1" applyBorder="1" applyAlignment="1">
      <alignment wrapText="1"/>
    </xf>
    <xf numFmtId="0" fontId="17" fillId="6" borderId="4" xfId="0" applyFont="1" applyFill="1" applyBorder="1" applyAlignment="1">
      <alignment wrapText="1"/>
    </xf>
    <xf numFmtId="0" fontId="17" fillId="6" borderId="5" xfId="0" applyFont="1" applyFill="1" applyBorder="1" applyAlignment="1">
      <alignment wrapText="1"/>
    </xf>
    <xf numFmtId="0" fontId="0" fillId="6" borderId="0" xfId="0" applyFill="1"/>
    <xf numFmtId="0" fontId="44" fillId="0" borderId="0" xfId="0" applyFont="1"/>
    <xf numFmtId="3" fontId="0" fillId="0" borderId="0" xfId="0" applyNumberFormat="1"/>
    <xf numFmtId="3" fontId="6" fillId="5" borderId="0" xfId="0" applyNumberFormat="1" applyFont="1" applyFill="1"/>
    <xf numFmtId="0" fontId="11" fillId="16" borderId="0" xfId="0" applyFont="1" applyFill="1"/>
    <xf numFmtId="0" fontId="11" fillId="17" borderId="0" xfId="0" applyFont="1" applyFill="1"/>
    <xf numFmtId="0" fontId="11" fillId="18" borderId="0" xfId="0" applyFont="1" applyFill="1"/>
    <xf numFmtId="0" fontId="11" fillId="19" borderId="0" xfId="0" applyFont="1" applyFill="1"/>
    <xf numFmtId="0" fontId="11" fillId="20" borderId="0" xfId="0" applyFont="1" applyFill="1"/>
    <xf numFmtId="0" fontId="11" fillId="21" borderId="0" xfId="0" applyFont="1" applyFill="1"/>
    <xf numFmtId="0" fontId="11" fillId="22" borderId="0" xfId="0" applyFont="1" applyFill="1"/>
    <xf numFmtId="0" fontId="10" fillId="22" borderId="0" xfId="0" applyFont="1" applyFill="1"/>
    <xf numFmtId="0" fontId="45" fillId="6" borderId="0" xfId="0" applyFont="1" applyFill="1"/>
    <xf numFmtId="0" fontId="10" fillId="6" borderId="0" xfId="0" applyFont="1" applyFill="1"/>
    <xf numFmtId="0" fontId="13" fillId="0" borderId="0" xfId="0" applyFont="1"/>
    <xf numFmtId="0" fontId="46" fillId="0" borderId="0" xfId="0" applyFont="1"/>
    <xf numFmtId="3" fontId="12" fillId="5" borderId="0" xfId="0" applyNumberFormat="1" applyFont="1" applyFill="1"/>
    <xf numFmtId="3" fontId="10" fillId="0" borderId="0" xfId="0" applyNumberFormat="1" applyFont="1"/>
    <xf numFmtId="0" fontId="47" fillId="0" borderId="0" xfId="0" applyFont="1"/>
    <xf numFmtId="0" fontId="48" fillId="0" borderId="0" xfId="0" applyFont="1"/>
    <xf numFmtId="0" fontId="11" fillId="0" borderId="46" xfId="0" applyFont="1" applyBorder="1"/>
    <xf numFmtId="0" fontId="10" fillId="0" borderId="46" xfId="0" applyFont="1" applyBorder="1"/>
    <xf numFmtId="3" fontId="11" fillId="0" borderId="46" xfId="0" applyNumberFormat="1" applyFont="1" applyBorder="1"/>
    <xf numFmtId="0" fontId="11" fillId="0" borderId="45" xfId="0" applyFont="1" applyBorder="1"/>
    <xf numFmtId="0" fontId="10" fillId="0" borderId="45" xfId="0" applyFont="1" applyBorder="1"/>
    <xf numFmtId="3" fontId="11" fillId="0" borderId="45" xfId="0" applyNumberFormat="1" applyFont="1" applyBorder="1"/>
    <xf numFmtId="0" fontId="11" fillId="23" borderId="48" xfId="0" applyFont="1" applyFill="1" applyBorder="1"/>
    <xf numFmtId="0" fontId="10" fillId="23" borderId="48" xfId="0" applyFont="1" applyFill="1" applyBorder="1"/>
    <xf numFmtId="3" fontId="11" fillId="23" borderId="48" xfId="0" applyNumberFormat="1" applyFont="1" applyFill="1" applyBorder="1"/>
    <xf numFmtId="0" fontId="49" fillId="0" borderId="0" xfId="0" applyFont="1"/>
    <xf numFmtId="0" fontId="9" fillId="3" borderId="0" xfId="0" applyFont="1" applyFill="1"/>
    <xf numFmtId="0" fontId="50" fillId="3" borderId="0" xfId="0" applyFont="1" applyFill="1"/>
    <xf numFmtId="0" fontId="51" fillId="3" borderId="0" xfId="0" applyFont="1" applyFill="1"/>
    <xf numFmtId="0" fontId="53" fillId="0" borderId="45" xfId="0" applyFont="1" applyBorder="1"/>
    <xf numFmtId="0" fontId="11" fillId="0" borderId="0" xfId="0" applyFont="1"/>
    <xf numFmtId="3" fontId="11" fillId="0" borderId="0" xfId="0" applyNumberFormat="1" applyFont="1"/>
    <xf numFmtId="166" fontId="10" fillId="0" borderId="45" xfId="0" applyNumberFormat="1" applyFont="1" applyBorder="1"/>
    <xf numFmtId="0" fontId="11" fillId="16" borderId="48" xfId="0" applyFont="1" applyFill="1" applyBorder="1"/>
    <xf numFmtId="0" fontId="10" fillId="16" borderId="48" xfId="0" applyFont="1" applyFill="1" applyBorder="1"/>
    <xf numFmtId="3" fontId="14" fillId="16" borderId="48" xfId="0" applyNumberFormat="1" applyFont="1" applyFill="1" applyBorder="1"/>
    <xf numFmtId="0" fontId="54" fillId="3" borderId="0" xfId="0" applyFont="1" applyFill="1"/>
    <xf numFmtId="0" fontId="2" fillId="6" borderId="0" xfId="0" applyFont="1" applyFill="1"/>
    <xf numFmtId="0" fontId="56" fillId="0" borderId="0" xfId="0" applyFont="1"/>
    <xf numFmtId="0" fontId="27" fillId="0" borderId="0" xfId="0" applyFont="1"/>
    <xf numFmtId="0" fontId="56" fillId="0" borderId="47" xfId="0" applyFont="1" applyBorder="1"/>
    <xf numFmtId="0" fontId="2" fillId="0" borderId="47" xfId="0" applyFont="1" applyBorder="1"/>
    <xf numFmtId="0" fontId="15" fillId="0" borderId="47" xfId="0" applyFont="1" applyBorder="1"/>
    <xf numFmtId="0" fontId="64" fillId="0" borderId="0" xfId="0" applyFont="1"/>
    <xf numFmtId="0" fontId="1" fillId="0" borderId="47" xfId="0" applyFont="1" applyBorder="1"/>
    <xf numFmtId="0" fontId="43" fillId="0" borderId="47" xfId="0" applyFont="1" applyBorder="1"/>
    <xf numFmtId="0" fontId="65" fillId="0" borderId="0" xfId="0" applyFont="1"/>
    <xf numFmtId="3" fontId="2" fillId="3" borderId="0" xfId="0" applyNumberFormat="1" applyFont="1" applyFill="1"/>
    <xf numFmtId="3" fontId="2" fillId="0" borderId="0" xfId="0" applyNumberFormat="1" applyFont="1"/>
    <xf numFmtId="3" fontId="2" fillId="6" borderId="0" xfId="0" applyNumberFormat="1" applyFont="1" applyFill="1"/>
    <xf numFmtId="3" fontId="17" fillId="3" borderId="0" xfId="0" applyNumberFormat="1" applyFont="1" applyFill="1"/>
    <xf numFmtId="3" fontId="2" fillId="0" borderId="47" xfId="0" applyNumberFormat="1" applyFont="1" applyBorder="1"/>
    <xf numFmtId="3" fontId="0" fillId="0" borderId="47" xfId="0" applyNumberFormat="1" applyBorder="1"/>
    <xf numFmtId="3" fontId="0" fillId="6" borderId="0" xfId="0" applyNumberFormat="1" applyFill="1"/>
    <xf numFmtId="3" fontId="4" fillId="3" borderId="0" xfId="0" applyNumberFormat="1" applyFont="1" applyFill="1"/>
    <xf numFmtId="3" fontId="4" fillId="6" borderId="0" xfId="0" applyNumberFormat="1" applyFont="1" applyFill="1"/>
    <xf numFmtId="3" fontId="64" fillId="0" borderId="0" xfId="0" applyNumberFormat="1" applyFont="1"/>
    <xf numFmtId="3" fontId="8" fillId="0" borderId="47" xfId="0" applyNumberFormat="1" applyFont="1" applyBorder="1"/>
    <xf numFmtId="3" fontId="60" fillId="0" borderId="0" xfId="0" applyNumberFormat="1" applyFont="1"/>
    <xf numFmtId="3" fontId="15" fillId="0" borderId="47" xfId="0" applyNumberFormat="1" applyFont="1" applyBorder="1"/>
    <xf numFmtId="3" fontId="64" fillId="26" borderId="0" xfId="0" applyNumberFormat="1" applyFont="1" applyFill="1"/>
    <xf numFmtId="3" fontId="3" fillId="0" borderId="0" xfId="0" applyNumberFormat="1" applyFont="1"/>
    <xf numFmtId="164" fontId="2" fillId="3" borderId="0" xfId="0" applyNumberFormat="1" applyFont="1" applyFill="1"/>
    <xf numFmtId="164" fontId="2" fillId="0" borderId="0" xfId="0" applyNumberFormat="1" applyFont="1"/>
    <xf numFmtId="164" fontId="2" fillId="6" borderId="0" xfId="0" applyNumberFormat="1" applyFont="1" applyFill="1"/>
    <xf numFmtId="164" fontId="17" fillId="3" borderId="0" xfId="0" applyNumberFormat="1" applyFont="1" applyFill="1"/>
    <xf numFmtId="164" fontId="2" fillId="0" borderId="47" xfId="0" applyNumberFormat="1" applyFont="1" applyBorder="1"/>
    <xf numFmtId="164" fontId="0" fillId="0" borderId="0" xfId="0" applyNumberFormat="1"/>
    <xf numFmtId="164" fontId="0" fillId="0" borderId="47" xfId="0" applyNumberFormat="1" applyBorder="1"/>
    <xf numFmtId="164" fontId="0" fillId="6" borderId="0" xfId="0" applyNumberFormat="1" applyFill="1"/>
    <xf numFmtId="164" fontId="4" fillId="3" borderId="0" xfId="0" applyNumberFormat="1" applyFont="1" applyFill="1"/>
    <xf numFmtId="3" fontId="46" fillId="0" borderId="0" xfId="0" applyNumberFormat="1" applyFont="1"/>
    <xf numFmtId="3" fontId="48" fillId="0" borderId="0" xfId="0" applyNumberFormat="1" applyFont="1"/>
    <xf numFmtId="3" fontId="58" fillId="0" borderId="0" xfId="0" applyNumberFormat="1" applyFont="1"/>
    <xf numFmtId="3" fontId="42" fillId="0" borderId="0" xfId="0" applyNumberFormat="1" applyFont="1"/>
    <xf numFmtId="3" fontId="63" fillId="0" borderId="0" xfId="0" applyNumberFormat="1" applyFont="1"/>
    <xf numFmtId="3" fontId="41" fillId="0" borderId="0" xfId="0" applyNumberFormat="1" applyFont="1"/>
    <xf numFmtId="0" fontId="52" fillId="4" borderId="0" xfId="0" applyFont="1" applyFill="1"/>
    <xf numFmtId="167" fontId="0" fillId="0" borderId="0" xfId="0" applyNumberFormat="1"/>
    <xf numFmtId="0" fontId="54" fillId="4" borderId="0" xfId="0" applyFont="1" applyFill="1"/>
    <xf numFmtId="0" fontId="26" fillId="3" borderId="0" xfId="0" applyFont="1" applyFill="1"/>
    <xf numFmtId="0" fontId="54" fillId="0" borderId="0" xfId="0" applyFont="1"/>
    <xf numFmtId="3" fontId="19" fillId="5" borderId="0" xfId="0" applyNumberFormat="1" applyFont="1" applyFill="1"/>
    <xf numFmtId="0" fontId="40" fillId="27" borderId="0" xfId="0" applyFont="1" applyFill="1"/>
    <xf numFmtId="0" fontId="2" fillId="27" borderId="0" xfId="0" applyFont="1" applyFill="1"/>
    <xf numFmtId="0" fontId="20" fillId="23" borderId="0" xfId="0" applyFont="1" applyFill="1"/>
    <xf numFmtId="167" fontId="20" fillId="23" borderId="0" xfId="0" applyNumberFormat="1" applyFont="1" applyFill="1"/>
    <xf numFmtId="3" fontId="56" fillId="0" borderId="47" xfId="0" applyNumberFormat="1" applyFont="1" applyBorder="1"/>
    <xf numFmtId="0" fontId="20" fillId="29" borderId="0" xfId="0" applyFont="1" applyFill="1"/>
    <xf numFmtId="167" fontId="20" fillId="29" borderId="0" xfId="0" applyNumberFormat="1" applyFont="1" applyFill="1"/>
    <xf numFmtId="166" fontId="20" fillId="5" borderId="0" xfId="0" applyNumberFormat="1" applyFont="1" applyFill="1"/>
    <xf numFmtId="0" fontId="40" fillId="29" borderId="0" xfId="0" applyFont="1" applyFill="1"/>
    <xf numFmtId="3" fontId="66" fillId="7" borderId="0" xfId="0" applyNumberFormat="1" applyFont="1" applyFill="1"/>
    <xf numFmtId="3" fontId="25" fillId="7" borderId="0" xfId="0" applyNumberFormat="1" applyFont="1" applyFill="1"/>
    <xf numFmtId="3" fontId="15" fillId="7" borderId="0" xfId="0" applyNumberFormat="1" applyFont="1" applyFill="1"/>
    <xf numFmtId="0" fontId="20" fillId="15" borderId="0" xfId="0" applyFont="1" applyFill="1"/>
    <xf numFmtId="3" fontId="66" fillId="15" borderId="0" xfId="0" applyNumberFormat="1" applyFont="1" applyFill="1"/>
    <xf numFmtId="3" fontId="59" fillId="15" borderId="0" xfId="0" applyNumberFormat="1" applyFont="1" applyFill="1"/>
    <xf numFmtId="3" fontId="15" fillId="15" borderId="0" xfId="0" applyNumberFormat="1" applyFont="1" applyFill="1"/>
    <xf numFmtId="3" fontId="59" fillId="7" borderId="0" xfId="0" applyNumberFormat="1" applyFont="1" applyFill="1"/>
    <xf numFmtId="0" fontId="23" fillId="13" borderId="6" xfId="0" applyFont="1" applyFill="1" applyBorder="1"/>
    <xf numFmtId="165" fontId="20" fillId="13" borderId="7" xfId="0" applyNumberFormat="1" applyFont="1" applyFill="1" applyBorder="1"/>
    <xf numFmtId="9" fontId="20" fillId="13" borderId="7" xfId="0" applyNumberFormat="1" applyFont="1" applyFill="1" applyBorder="1"/>
    <xf numFmtId="3" fontId="19" fillId="5" borderId="7" xfId="0" applyNumberFormat="1" applyFont="1" applyFill="1" applyBorder="1"/>
    <xf numFmtId="3" fontId="20" fillId="13" borderId="7" xfId="0" applyNumberFormat="1" applyFont="1" applyFill="1" applyBorder="1"/>
    <xf numFmtId="0" fontId="20" fillId="13" borderId="7" xfId="0" applyFont="1" applyFill="1" applyBorder="1"/>
    <xf numFmtId="3" fontId="20" fillId="13" borderId="8" xfId="0" applyNumberFormat="1" applyFont="1" applyFill="1" applyBorder="1"/>
    <xf numFmtId="165" fontId="20" fillId="7" borderId="7" xfId="0" applyNumberFormat="1" applyFont="1" applyFill="1" applyBorder="1"/>
    <xf numFmtId="3" fontId="20" fillId="7" borderId="7" xfId="0" applyNumberFormat="1" applyFont="1" applyFill="1" applyBorder="1"/>
    <xf numFmtId="3" fontId="20" fillId="7" borderId="8" xfId="0" applyNumberFormat="1" applyFont="1" applyFill="1" applyBorder="1"/>
    <xf numFmtId="0" fontId="23" fillId="13" borderId="13" xfId="0" applyFont="1" applyFill="1" applyBorder="1"/>
    <xf numFmtId="165" fontId="20" fillId="13" borderId="14" xfId="0" applyNumberFormat="1" applyFont="1" applyFill="1" applyBorder="1"/>
    <xf numFmtId="9" fontId="20" fillId="13" borderId="14" xfId="0" applyNumberFormat="1" applyFont="1" applyFill="1" applyBorder="1"/>
    <xf numFmtId="3" fontId="19" fillId="5" borderId="14" xfId="0" applyNumberFormat="1" applyFont="1" applyFill="1" applyBorder="1"/>
    <xf numFmtId="3" fontId="20" fillId="13" borderId="14" xfId="0" applyNumberFormat="1" applyFont="1" applyFill="1" applyBorder="1"/>
    <xf numFmtId="0" fontId="20" fillId="13" borderId="14" xfId="0" applyFont="1" applyFill="1" applyBorder="1"/>
    <xf numFmtId="3" fontId="20" fillId="13" borderId="15" xfId="0" applyNumberFormat="1" applyFont="1" applyFill="1" applyBorder="1"/>
    <xf numFmtId="0" fontId="20" fillId="23" borderId="6" xfId="0" applyFont="1" applyFill="1" applyBorder="1"/>
    <xf numFmtId="3" fontId="20" fillId="23" borderId="7" xfId="0" applyNumberFormat="1" applyFont="1" applyFill="1" applyBorder="1"/>
    <xf numFmtId="3" fontId="62" fillId="23" borderId="7" xfId="0" applyNumberFormat="1" applyFont="1" applyFill="1" applyBorder="1"/>
    <xf numFmtId="167" fontId="20" fillId="23" borderId="7" xfId="0" applyNumberFormat="1" applyFont="1" applyFill="1" applyBorder="1"/>
    <xf numFmtId="3" fontId="20" fillId="23" borderId="8" xfId="0" applyNumberFormat="1" applyFont="1" applyFill="1" applyBorder="1"/>
    <xf numFmtId="0" fontId="20" fillId="28" borderId="6" xfId="0" applyFont="1" applyFill="1" applyBorder="1"/>
    <xf numFmtId="3" fontId="20" fillId="28" borderId="7" xfId="0" applyNumberFormat="1" applyFont="1" applyFill="1" applyBorder="1"/>
    <xf numFmtId="3" fontId="62" fillId="28" borderId="7" xfId="0" applyNumberFormat="1" applyFont="1" applyFill="1" applyBorder="1"/>
    <xf numFmtId="167" fontId="20" fillId="28" borderId="7" xfId="0" applyNumberFormat="1" applyFont="1" applyFill="1" applyBorder="1"/>
    <xf numFmtId="3" fontId="20" fillId="28" borderId="8" xfId="0" applyNumberFormat="1" applyFont="1" applyFill="1" applyBorder="1"/>
    <xf numFmtId="0" fontId="15" fillId="23" borderId="13" xfId="0" applyFont="1" applyFill="1" applyBorder="1"/>
    <xf numFmtId="3" fontId="56" fillId="0" borderId="14" xfId="0" applyNumberFormat="1" applyFont="1" applyBorder="1"/>
    <xf numFmtId="0" fontId="2" fillId="0" borderId="14" xfId="0" applyFont="1" applyBorder="1"/>
    <xf numFmtId="3" fontId="62" fillId="23" borderId="14" xfId="0" applyNumberFormat="1" applyFont="1" applyFill="1" applyBorder="1"/>
    <xf numFmtId="3" fontId="62" fillId="23" borderId="15" xfId="0" applyNumberFormat="1" applyFont="1" applyFill="1" applyBorder="1"/>
    <xf numFmtId="14" fontId="44" fillId="0" borderId="0" xfId="0" applyNumberFormat="1" applyFont="1"/>
    <xf numFmtId="0" fontId="56" fillId="0" borderId="49" xfId="0" applyFont="1" applyBorder="1"/>
    <xf numFmtId="0" fontId="1" fillId="0" borderId="49" xfId="0" applyFont="1" applyBorder="1"/>
    <xf numFmtId="0" fontId="67" fillId="0" borderId="0" xfId="0" applyFont="1"/>
    <xf numFmtId="0" fontId="69" fillId="4" borderId="0" xfId="0" applyFont="1" applyFill="1"/>
    <xf numFmtId="0" fontId="70" fillId="30" borderId="0" xfId="0" applyFont="1" applyFill="1"/>
    <xf numFmtId="0" fontId="2" fillId="30" borderId="0" xfId="0" applyFont="1" applyFill="1"/>
    <xf numFmtId="0" fontId="17" fillId="31" borderId="0" xfId="0" applyFont="1" applyFill="1"/>
    <xf numFmtId="0" fontId="2" fillId="31" borderId="0" xfId="0" applyFont="1" applyFill="1"/>
    <xf numFmtId="0" fontId="20" fillId="32" borderId="0" xfId="0" applyFont="1" applyFill="1"/>
    <xf numFmtId="3" fontId="27" fillId="32" borderId="0" xfId="0" applyNumberFormat="1" applyFont="1" applyFill="1"/>
    <xf numFmtId="3" fontId="71" fillId="32" borderId="0" xfId="0" applyNumberFormat="1" applyFont="1" applyFill="1"/>
    <xf numFmtId="0" fontId="20" fillId="33" borderId="0" xfId="0" applyFont="1" applyFill="1"/>
    <xf numFmtId="3" fontId="27" fillId="33" borderId="0" xfId="0" applyNumberFormat="1" applyFont="1" applyFill="1"/>
    <xf numFmtId="3" fontId="71" fillId="33" borderId="0" xfId="0" applyNumberFormat="1" applyFont="1" applyFill="1"/>
    <xf numFmtId="0" fontId="20" fillId="34" borderId="0" xfId="0" applyFont="1" applyFill="1"/>
    <xf numFmtId="3" fontId="20" fillId="34" borderId="0" xfId="0" applyNumberFormat="1" applyFont="1" applyFill="1"/>
    <xf numFmtId="3" fontId="71" fillId="34" borderId="0" xfId="0" applyNumberFormat="1" applyFont="1" applyFill="1"/>
    <xf numFmtId="0" fontId="62" fillId="32" borderId="0" xfId="0" applyFont="1" applyFill="1"/>
    <xf numFmtId="3" fontId="20" fillId="32" borderId="0" xfId="0" applyNumberFormat="1" applyFont="1" applyFill="1"/>
    <xf numFmtId="0" fontId="20" fillId="36" borderId="0" xfId="0" applyFont="1" applyFill="1"/>
    <xf numFmtId="3" fontId="27" fillId="36" borderId="0" xfId="0" applyNumberFormat="1" applyFont="1" applyFill="1"/>
    <xf numFmtId="3" fontId="71" fillId="36" borderId="0" xfId="0" applyNumberFormat="1" applyFont="1" applyFill="1"/>
    <xf numFmtId="3" fontId="20" fillId="36" borderId="0" xfId="0" applyNumberFormat="1" applyFont="1" applyFill="1"/>
    <xf numFmtId="0" fontId="61" fillId="35" borderId="50" xfId="0" applyFont="1" applyFill="1" applyBorder="1"/>
    <xf numFmtId="3" fontId="15" fillId="35" borderId="50" xfId="0" applyNumberFormat="1" applyFont="1" applyFill="1" applyBorder="1"/>
    <xf numFmtId="0" fontId="73" fillId="0" borderId="0" xfId="0" applyFont="1"/>
    <xf numFmtId="0" fontId="74" fillId="10" borderId="0" xfId="0" applyFont="1" applyFill="1"/>
    <xf numFmtId="0" fontId="2" fillId="10" borderId="0" xfId="0" applyFont="1" applyFill="1"/>
    <xf numFmtId="0" fontId="15" fillId="35" borderId="6" xfId="0" applyFont="1" applyFill="1" applyBorder="1"/>
    <xf numFmtId="3" fontId="72" fillId="32" borderId="7" xfId="0" applyNumberFormat="1" applyFont="1" applyFill="1" applyBorder="1"/>
    <xf numFmtId="3" fontId="19" fillId="32" borderId="7" xfId="0" applyNumberFormat="1" applyFont="1" applyFill="1" applyBorder="1"/>
    <xf numFmtId="3" fontId="69" fillId="32" borderId="8" xfId="0" applyNumberFormat="1" applyFont="1" applyFill="1" applyBorder="1"/>
    <xf numFmtId="3" fontId="19" fillId="36" borderId="7" xfId="0" applyNumberFormat="1" applyFont="1" applyFill="1" applyBorder="1"/>
    <xf numFmtId="3" fontId="72" fillId="36" borderId="7" xfId="0" applyNumberFormat="1" applyFont="1" applyFill="1" applyBorder="1"/>
    <xf numFmtId="3" fontId="69" fillId="36" borderId="8" xfId="0" applyNumberFormat="1" applyFont="1" applyFill="1" applyBorder="1"/>
    <xf numFmtId="3" fontId="2" fillId="32" borderId="7" xfId="0" applyNumberFormat="1" applyFont="1" applyFill="1" applyBorder="1"/>
    <xf numFmtId="3" fontId="2" fillId="36" borderId="7" xfId="0" applyNumberFormat="1" applyFont="1" applyFill="1" applyBorder="1"/>
    <xf numFmtId="0" fontId="69" fillId="35" borderId="13" xfId="0" applyFont="1" applyFill="1" applyBorder="1"/>
    <xf numFmtId="3" fontId="69" fillId="35" borderId="14" xfId="0" applyNumberFormat="1" applyFont="1" applyFill="1" applyBorder="1"/>
    <xf numFmtId="3" fontId="69" fillId="35" borderId="15" xfId="0" applyNumberFormat="1" applyFont="1" applyFill="1" applyBorder="1"/>
    <xf numFmtId="0" fontId="15" fillId="35" borderId="12" xfId="0" applyFont="1" applyFill="1" applyBorder="1"/>
    <xf numFmtId="0" fontId="20" fillId="32" borderId="6" xfId="0" applyFont="1" applyFill="1" applyBorder="1"/>
    <xf numFmtId="0" fontId="20" fillId="32" borderId="7" xfId="0" applyFont="1" applyFill="1" applyBorder="1"/>
    <xf numFmtId="9" fontId="19" fillId="5" borderId="7" xfId="0" applyNumberFormat="1" applyFont="1" applyFill="1" applyBorder="1"/>
    <xf numFmtId="3" fontId="20" fillId="32" borderId="7" xfId="0" applyNumberFormat="1" applyFont="1" applyFill="1" applyBorder="1"/>
    <xf numFmtId="3" fontId="20" fillId="32" borderId="8" xfId="0" applyNumberFormat="1" applyFont="1" applyFill="1" applyBorder="1"/>
    <xf numFmtId="0" fontId="20" fillId="36" borderId="6" xfId="0" applyFont="1" applyFill="1" applyBorder="1"/>
    <xf numFmtId="0" fontId="20" fillId="36" borderId="7" xfId="0" applyFont="1" applyFill="1" applyBorder="1"/>
    <xf numFmtId="3" fontId="20" fillId="36" borderId="7" xfId="0" applyNumberFormat="1" applyFont="1" applyFill="1" applyBorder="1"/>
    <xf numFmtId="3" fontId="20" fillId="36" borderId="8" xfId="0" applyNumberFormat="1" applyFont="1" applyFill="1" applyBorder="1"/>
    <xf numFmtId="0" fontId="15" fillId="35" borderId="13" xfId="0" applyFont="1" applyFill="1" applyBorder="1"/>
    <xf numFmtId="0" fontId="2" fillId="35" borderId="14" xfId="0" applyFont="1" applyFill="1" applyBorder="1"/>
    <xf numFmtId="3" fontId="56" fillId="35" borderId="14" xfId="0" applyNumberFormat="1" applyFont="1" applyFill="1" applyBorder="1"/>
    <xf numFmtId="3" fontId="62" fillId="35" borderId="14" xfId="0" applyNumberFormat="1" applyFont="1" applyFill="1" applyBorder="1"/>
    <xf numFmtId="3" fontId="62" fillId="35" borderId="15" xfId="0" applyNumberFormat="1" applyFont="1" applyFill="1" applyBorder="1"/>
    <xf numFmtId="0" fontId="20" fillId="15" borderId="2" xfId="0" applyFont="1" applyFill="1" applyBorder="1"/>
    <xf numFmtId="3" fontId="27" fillId="15" borderId="2" xfId="0" applyNumberFormat="1" applyFont="1" applyFill="1" applyBorder="1"/>
    <xf numFmtId="3" fontId="71" fillId="15" borderId="2" xfId="0" applyNumberFormat="1" applyFont="1" applyFill="1" applyBorder="1"/>
    <xf numFmtId="3" fontId="27" fillId="7" borderId="2" xfId="0" applyNumberFormat="1" applyFont="1" applyFill="1" applyBorder="1"/>
    <xf numFmtId="3" fontId="71" fillId="7" borderId="2" xfId="0" applyNumberFormat="1" applyFont="1" applyFill="1" applyBorder="1"/>
    <xf numFmtId="0" fontId="2" fillId="0" borderId="2" xfId="0" applyFont="1" applyBorder="1"/>
    <xf numFmtId="3" fontId="15" fillId="35" borderId="12" xfId="0" applyNumberFormat="1" applyFont="1" applyFill="1" applyBorder="1"/>
    <xf numFmtId="0" fontId="36" fillId="37" borderId="0" xfId="0" applyFont="1" applyFill="1"/>
    <xf numFmtId="0" fontId="2" fillId="37" borderId="0" xfId="0" applyFont="1" applyFill="1"/>
    <xf numFmtId="0" fontId="0" fillId="39" borderId="0" xfId="0" applyFill="1"/>
    <xf numFmtId="0" fontId="0" fillId="40" borderId="0" xfId="0" applyFill="1"/>
    <xf numFmtId="167" fontId="6" fillId="5" borderId="0" xfId="0" applyNumberFormat="1" applyFont="1" applyFill="1"/>
    <xf numFmtId="166" fontId="0" fillId="0" borderId="0" xfId="0" applyNumberFormat="1"/>
    <xf numFmtId="0" fontId="75" fillId="40" borderId="0" xfId="0" applyFont="1" applyFill="1"/>
    <xf numFmtId="0" fontId="4" fillId="40" borderId="0" xfId="0" applyFont="1" applyFill="1"/>
    <xf numFmtId="0" fontId="0" fillId="43" borderId="0" xfId="0" applyFill="1"/>
    <xf numFmtId="0" fontId="0" fillId="44" borderId="0" xfId="0" applyFill="1"/>
    <xf numFmtId="0" fontId="83" fillId="0" borderId="0" xfId="0" applyFont="1"/>
    <xf numFmtId="0" fontId="84" fillId="0" borderId="0" xfId="0" applyFont="1"/>
    <xf numFmtId="0" fontId="85" fillId="42" borderId="0" xfId="0" applyFont="1" applyFill="1"/>
    <xf numFmtId="0" fontId="77" fillId="43" borderId="0" xfId="0" applyFont="1" applyFill="1"/>
    <xf numFmtId="0" fontId="80" fillId="43" borderId="0" xfId="0" applyFont="1" applyFill="1"/>
    <xf numFmtId="0" fontId="71" fillId="43" borderId="0" xfId="0" applyFont="1" applyFill="1"/>
    <xf numFmtId="0" fontId="86" fillId="43" borderId="0" xfId="0" applyFont="1" applyFill="1"/>
    <xf numFmtId="0" fontId="2" fillId="43" borderId="0" xfId="0" applyFont="1" applyFill="1"/>
    <xf numFmtId="0" fontId="77" fillId="44" borderId="0" xfId="0" applyFont="1" applyFill="1"/>
    <xf numFmtId="0" fontId="80" fillId="44" borderId="0" xfId="0" applyFont="1" applyFill="1"/>
    <xf numFmtId="0" fontId="71" fillId="44" borderId="0" xfId="0" applyFont="1" applyFill="1"/>
    <xf numFmtId="0" fontId="86" fillId="44" borderId="0" xfId="0" applyFont="1" applyFill="1"/>
    <xf numFmtId="0" fontId="2" fillId="44" borderId="0" xfId="0" applyFont="1" applyFill="1"/>
    <xf numFmtId="0" fontId="79" fillId="40" borderId="51" xfId="0" applyFont="1" applyFill="1" applyBorder="1" applyAlignment="1">
      <alignment wrapText="1"/>
    </xf>
    <xf numFmtId="0" fontId="79" fillId="40" borderId="52" xfId="0" applyFont="1" applyFill="1" applyBorder="1" applyAlignment="1">
      <alignment wrapText="1"/>
    </xf>
    <xf numFmtId="0" fontId="79" fillId="40" borderId="53" xfId="0" applyFont="1" applyFill="1" applyBorder="1" applyAlignment="1">
      <alignment wrapText="1"/>
    </xf>
    <xf numFmtId="0" fontId="77" fillId="41" borderId="54" xfId="0" applyFont="1" applyFill="1" applyBorder="1"/>
    <xf numFmtId="167" fontId="19" fillId="5" borderId="55" xfId="0" applyNumberFormat="1" applyFont="1" applyFill="1" applyBorder="1"/>
    <xf numFmtId="166" fontId="56" fillId="41" borderId="55" xfId="0" applyNumberFormat="1" applyFont="1" applyFill="1" applyBorder="1"/>
    <xf numFmtId="167" fontId="80" fillId="41" borderId="55" xfId="0" applyNumberFormat="1" applyFont="1" applyFill="1" applyBorder="1"/>
    <xf numFmtId="167" fontId="2" fillId="41" borderId="55" xfId="0" applyNumberFormat="1" applyFont="1" applyFill="1" applyBorder="1"/>
    <xf numFmtId="0" fontId="56" fillId="41" borderId="56" xfId="0" applyFont="1" applyFill="1" applyBorder="1"/>
    <xf numFmtId="0" fontId="77" fillId="39" borderId="54" xfId="0" applyFont="1" applyFill="1" applyBorder="1"/>
    <xf numFmtId="166" fontId="56" fillId="39" borderId="55" xfId="0" applyNumberFormat="1" applyFont="1" applyFill="1" applyBorder="1"/>
    <xf numFmtId="167" fontId="80" fillId="39" borderId="55" xfId="0" applyNumberFormat="1" applyFont="1" applyFill="1" applyBorder="1"/>
    <xf numFmtId="167" fontId="2" fillId="39" borderId="55" xfId="0" applyNumberFormat="1" applyFont="1" applyFill="1" applyBorder="1"/>
    <xf numFmtId="0" fontId="56" fillId="39" borderId="56" xfId="0" applyFont="1" applyFill="1" applyBorder="1"/>
    <xf numFmtId="0" fontId="2" fillId="4" borderId="54" xfId="0" applyFont="1" applyFill="1" applyBorder="1"/>
    <xf numFmtId="0" fontId="2" fillId="4" borderId="55" xfId="0" applyFont="1" applyFill="1" applyBorder="1"/>
    <xf numFmtId="0" fontId="2" fillId="4" borderId="56" xfId="0" applyFont="1" applyFill="1" applyBorder="1"/>
    <xf numFmtId="0" fontId="77" fillId="40" borderId="57" xfId="0" applyFont="1" applyFill="1" applyBorder="1"/>
    <xf numFmtId="0" fontId="2" fillId="40" borderId="58" xfId="0" applyFont="1" applyFill="1" applyBorder="1"/>
    <xf numFmtId="167" fontId="82" fillId="40" borderId="58" xfId="0" applyNumberFormat="1" applyFont="1" applyFill="1" applyBorder="1"/>
    <xf numFmtId="167" fontId="69" fillId="40" borderId="58" xfId="0" applyNumberFormat="1" applyFont="1" applyFill="1" applyBorder="1"/>
    <xf numFmtId="0" fontId="2" fillId="40" borderId="59" xfId="0" applyFont="1" applyFill="1" applyBorder="1"/>
    <xf numFmtId="0" fontId="2" fillId="45" borderId="0" xfId="0" applyFont="1" applyFill="1"/>
    <xf numFmtId="0" fontId="20" fillId="49" borderId="0" xfId="0" applyFont="1" applyFill="1"/>
    <xf numFmtId="167" fontId="2" fillId="49" borderId="0" xfId="0" applyNumberFormat="1" applyFont="1" applyFill="1"/>
    <xf numFmtId="167" fontId="19" fillId="49" borderId="0" xfId="0" applyNumberFormat="1" applyFont="1" applyFill="1"/>
    <xf numFmtId="166" fontId="2" fillId="49" borderId="0" xfId="0" applyNumberFormat="1" applyFont="1" applyFill="1"/>
    <xf numFmtId="0" fontId="2" fillId="46" borderId="60" xfId="0" applyFont="1" applyFill="1" applyBorder="1"/>
    <xf numFmtId="0" fontId="2" fillId="49" borderId="0" xfId="0" applyFont="1" applyFill="1"/>
    <xf numFmtId="0" fontId="2" fillId="11" borderId="0" xfId="0" applyFont="1" applyFill="1"/>
    <xf numFmtId="0" fontId="2" fillId="48" borderId="47" xfId="0" applyFont="1" applyFill="1" applyBorder="1"/>
    <xf numFmtId="0" fontId="62" fillId="53" borderId="0" xfId="0" applyFont="1" applyFill="1"/>
    <xf numFmtId="0" fontId="2" fillId="53" borderId="0" xfId="0" applyFont="1" applyFill="1"/>
    <xf numFmtId="0" fontId="88" fillId="49" borderId="0" xfId="0" applyFont="1" applyFill="1"/>
    <xf numFmtId="0" fontId="2" fillId="54" borderId="47" xfId="0" applyFont="1" applyFill="1" applyBorder="1"/>
    <xf numFmtId="0" fontId="89" fillId="4" borderId="0" xfId="0" applyFont="1" applyFill="1"/>
    <xf numFmtId="0" fontId="56" fillId="4" borderId="0" xfId="0" applyFont="1" applyFill="1"/>
    <xf numFmtId="0" fontId="20" fillId="49" borderId="62" xfId="0" applyFont="1" applyFill="1" applyBorder="1"/>
    <xf numFmtId="0" fontId="16" fillId="49" borderId="62" xfId="0" applyFont="1" applyFill="1" applyBorder="1"/>
    <xf numFmtId="0" fontId="20" fillId="50" borderId="63" xfId="0" applyFont="1" applyFill="1" applyBorder="1"/>
    <xf numFmtId="0" fontId="16" fillId="50" borderId="63" xfId="0" applyFont="1" applyFill="1" applyBorder="1"/>
    <xf numFmtId="0" fontId="20" fillId="49" borderId="63" xfId="0" applyFont="1" applyFill="1" applyBorder="1"/>
    <xf numFmtId="0" fontId="16" fillId="49" borderId="63" xfId="0" applyFont="1" applyFill="1" applyBorder="1"/>
    <xf numFmtId="0" fontId="20" fillId="49" borderId="64" xfId="0" applyFont="1" applyFill="1" applyBorder="1"/>
    <xf numFmtId="0" fontId="16" fillId="49" borderId="64" xfId="0" applyFont="1" applyFill="1" applyBorder="1"/>
    <xf numFmtId="0" fontId="2" fillId="47" borderId="0" xfId="0" applyFont="1" applyFill="1"/>
    <xf numFmtId="0" fontId="20" fillId="49" borderId="65" xfId="0" applyFont="1" applyFill="1" applyBorder="1"/>
    <xf numFmtId="0" fontId="16" fillId="49" borderId="65" xfId="0" applyFont="1" applyFill="1" applyBorder="1"/>
    <xf numFmtId="0" fontId="2" fillId="52" borderId="0" xfId="0" applyFont="1" applyFill="1"/>
    <xf numFmtId="0" fontId="20" fillId="50" borderId="62" xfId="0" applyFont="1" applyFill="1" applyBorder="1"/>
    <xf numFmtId="0" fontId="16" fillId="50" borderId="62" xfId="0" applyFont="1" applyFill="1" applyBorder="1"/>
    <xf numFmtId="0" fontId="2" fillId="49" borderId="63" xfId="0" applyFont="1" applyFill="1" applyBorder="1"/>
    <xf numFmtId="0" fontId="2" fillId="50" borderId="63" xfId="0" applyFont="1" applyFill="1" applyBorder="1"/>
    <xf numFmtId="0" fontId="20" fillId="50" borderId="66" xfId="0" applyFont="1" applyFill="1" applyBorder="1"/>
    <xf numFmtId="0" fontId="16" fillId="50" borderId="66" xfId="0" applyFont="1" applyFill="1" applyBorder="1"/>
    <xf numFmtId="0" fontId="62" fillId="46" borderId="0" xfId="0" applyFont="1" applyFill="1"/>
    <xf numFmtId="0" fontId="2" fillId="46" borderId="0" xfId="0" applyFont="1" applyFill="1"/>
    <xf numFmtId="0" fontId="2" fillId="49" borderId="64" xfId="0" applyFont="1" applyFill="1" applyBorder="1"/>
    <xf numFmtId="0" fontId="90" fillId="0" borderId="0" xfId="0" applyFont="1"/>
    <xf numFmtId="0" fontId="90" fillId="47" borderId="67" xfId="0" applyFont="1" applyFill="1" applyBorder="1"/>
    <xf numFmtId="0" fontId="0" fillId="47" borderId="67" xfId="0" applyFill="1" applyBorder="1"/>
    <xf numFmtId="167" fontId="1" fillId="47" borderId="67" xfId="0" applyNumberFormat="1" applyFont="1" applyFill="1" applyBorder="1"/>
    <xf numFmtId="166" fontId="1" fillId="47" borderId="67" xfId="0" applyNumberFormat="1" applyFont="1" applyFill="1" applyBorder="1"/>
    <xf numFmtId="166" fontId="5" fillId="0" borderId="0" xfId="0" applyNumberFormat="1" applyFont="1"/>
    <xf numFmtId="0" fontId="0" fillId="55" borderId="0" xfId="0" applyFill="1"/>
    <xf numFmtId="0" fontId="4" fillId="55" borderId="0" xfId="0" applyFont="1" applyFill="1"/>
    <xf numFmtId="0" fontId="90" fillId="47" borderId="68" xfId="0" applyFont="1" applyFill="1" applyBorder="1"/>
    <xf numFmtId="0" fontId="0" fillId="47" borderId="68" xfId="0" applyFill="1" applyBorder="1"/>
    <xf numFmtId="167" fontId="1" fillId="47" borderId="68" xfId="0" applyNumberFormat="1" applyFont="1" applyFill="1" applyBorder="1"/>
    <xf numFmtId="167" fontId="29" fillId="47" borderId="68" xfId="0" applyNumberFormat="1" applyFont="1" applyFill="1" applyBorder="1"/>
    <xf numFmtId="166" fontId="0" fillId="47" borderId="68" xfId="0" applyNumberFormat="1" applyFill="1" applyBorder="1"/>
    <xf numFmtId="0" fontId="90" fillId="56" borderId="69" xfId="0" applyFont="1" applyFill="1" applyBorder="1"/>
    <xf numFmtId="0" fontId="0" fillId="56" borderId="69" xfId="0" applyFill="1" applyBorder="1"/>
    <xf numFmtId="167" fontId="1" fillId="56" borderId="69" xfId="0" applyNumberFormat="1" applyFont="1" applyFill="1" applyBorder="1"/>
    <xf numFmtId="166" fontId="0" fillId="56" borderId="69" xfId="0" applyNumberFormat="1" applyFill="1" applyBorder="1"/>
    <xf numFmtId="167" fontId="29" fillId="47" borderId="67" xfId="0" applyNumberFormat="1" applyFont="1" applyFill="1" applyBorder="1"/>
    <xf numFmtId="166" fontId="0" fillId="47" borderId="67" xfId="0" applyNumberFormat="1" applyFill="1" applyBorder="1"/>
    <xf numFmtId="0" fontId="0" fillId="57" borderId="0" xfId="0" applyFill="1"/>
    <xf numFmtId="0" fontId="4" fillId="57" borderId="0" xfId="0" applyFont="1" applyFill="1"/>
    <xf numFmtId="0" fontId="90" fillId="58" borderId="61" xfId="0" applyFont="1" applyFill="1" applyBorder="1"/>
    <xf numFmtId="0" fontId="0" fillId="58" borderId="61" xfId="0" applyFill="1" applyBorder="1"/>
    <xf numFmtId="167" fontId="1" fillId="58" borderId="61" xfId="0" applyNumberFormat="1" applyFont="1" applyFill="1" applyBorder="1"/>
    <xf numFmtId="166" fontId="1" fillId="58" borderId="61" xfId="0" applyNumberFormat="1" applyFont="1" applyFill="1" applyBorder="1"/>
    <xf numFmtId="0" fontId="91" fillId="59" borderId="68" xfId="0" applyFont="1" applyFill="1" applyBorder="1"/>
    <xf numFmtId="0" fontId="0" fillId="59" borderId="68" xfId="0" applyFill="1" applyBorder="1"/>
    <xf numFmtId="167" fontId="1" fillId="59" borderId="68" xfId="0" applyNumberFormat="1" applyFont="1" applyFill="1" applyBorder="1"/>
    <xf numFmtId="167" fontId="29" fillId="59" borderId="68" xfId="0" applyNumberFormat="1" applyFont="1" applyFill="1" applyBorder="1"/>
    <xf numFmtId="166" fontId="1" fillId="59" borderId="68" xfId="0" applyNumberFormat="1" applyFont="1" applyFill="1" applyBorder="1"/>
    <xf numFmtId="0" fontId="92" fillId="0" borderId="0" xfId="0" applyFont="1"/>
    <xf numFmtId="0" fontId="93" fillId="0" borderId="0" xfId="0" applyFont="1"/>
    <xf numFmtId="0" fontId="32" fillId="4" borderId="0" xfId="0" applyFont="1" applyFill="1"/>
    <xf numFmtId="0" fontId="33" fillId="39" borderId="0" xfId="0" applyFont="1" applyFill="1"/>
    <xf numFmtId="0" fontId="68" fillId="60" borderId="0" xfId="0" applyFont="1" applyFill="1"/>
    <xf numFmtId="0" fontId="0" fillId="60" borderId="0" xfId="0" applyFill="1"/>
    <xf numFmtId="0" fontId="4" fillId="42" borderId="0" xfId="0" applyFont="1" applyFill="1"/>
    <xf numFmtId="0" fontId="34" fillId="44" borderId="0" xfId="0" applyFont="1" applyFill="1"/>
    <xf numFmtId="0" fontId="94" fillId="44" borderId="0" xfId="0" applyFont="1" applyFill="1"/>
    <xf numFmtId="0" fontId="7" fillId="44" borderId="0" xfId="0" applyFont="1" applyFill="1"/>
    <xf numFmtId="167" fontId="0" fillId="44" borderId="0" xfId="0" applyNumberFormat="1" applyFill="1"/>
    <xf numFmtId="0" fontId="34" fillId="43" borderId="0" xfId="0" applyFont="1" applyFill="1"/>
    <xf numFmtId="0" fontId="94" fillId="43" borderId="0" xfId="0" applyFont="1" applyFill="1"/>
    <xf numFmtId="0" fontId="7" fillId="43" borderId="0" xfId="0" applyFont="1" applyFill="1"/>
    <xf numFmtId="167" fontId="0" fillId="43" borderId="0" xfId="0" applyNumberFormat="1" applyFill="1"/>
    <xf numFmtId="167" fontId="90" fillId="44" borderId="0" xfId="0" applyNumberFormat="1" applyFont="1" applyFill="1"/>
    <xf numFmtId="0" fontId="97" fillId="61" borderId="70" xfId="0" applyFont="1" applyFill="1" applyBorder="1" applyAlignment="1">
      <alignment horizontal="center" vertical="center"/>
    </xf>
    <xf numFmtId="0" fontId="99" fillId="0" borderId="70" xfId="0" applyFont="1" applyBorder="1" applyAlignment="1">
      <alignment horizontal="left" vertical="center"/>
    </xf>
    <xf numFmtId="3" fontId="99" fillId="0" borderId="70" xfId="0" applyNumberFormat="1" applyFont="1" applyBorder="1" applyAlignment="1">
      <alignment horizontal="right" vertical="center"/>
    </xf>
    <xf numFmtId="3" fontId="99" fillId="63" borderId="70" xfId="0" applyNumberFormat="1" applyFont="1" applyFill="1" applyBorder="1" applyAlignment="1">
      <alignment horizontal="right" vertical="center"/>
    </xf>
    <xf numFmtId="0" fontId="100" fillId="64" borderId="71" xfId="0" applyFont="1" applyFill="1" applyBorder="1" applyAlignment="1">
      <alignment horizontal="left" vertical="center"/>
    </xf>
    <xf numFmtId="3" fontId="100" fillId="64" borderId="71" xfId="0" applyNumberFormat="1" applyFont="1" applyFill="1" applyBorder="1" applyAlignment="1">
      <alignment horizontal="right" vertical="center"/>
    </xf>
    <xf numFmtId="0" fontId="100" fillId="65" borderId="71" xfId="0" applyFont="1" applyFill="1" applyBorder="1" applyAlignment="1">
      <alignment horizontal="left" vertical="center"/>
    </xf>
    <xf numFmtId="3" fontId="100" fillId="65" borderId="71" xfId="0" applyNumberFormat="1" applyFont="1" applyFill="1" applyBorder="1" applyAlignment="1">
      <alignment horizontal="right" vertical="center"/>
    </xf>
    <xf numFmtId="0" fontId="101" fillId="61" borderId="71" xfId="0" applyFont="1" applyFill="1" applyBorder="1" applyAlignment="1">
      <alignment horizontal="left" vertical="center"/>
    </xf>
    <xf numFmtId="0" fontId="100" fillId="0" borderId="70" xfId="0" applyFont="1" applyBorder="1" applyAlignment="1">
      <alignment horizontal="left" vertical="center"/>
    </xf>
    <xf numFmtId="0" fontId="102" fillId="0" borderId="0" xfId="0" applyFont="1" applyAlignment="1">
      <alignment horizontal="left" vertical="center"/>
    </xf>
    <xf numFmtId="0" fontId="103" fillId="2" borderId="70" xfId="0" applyFont="1" applyFill="1" applyBorder="1" applyAlignment="1">
      <alignment horizontal="center" vertical="center"/>
    </xf>
    <xf numFmtId="0" fontId="97" fillId="61" borderId="70" xfId="0" applyFont="1" applyFill="1" applyBorder="1" applyAlignment="1">
      <alignment horizontal="center" vertical="center" wrapText="1"/>
    </xf>
    <xf numFmtId="0" fontId="100" fillId="62" borderId="70" xfId="0" applyFont="1" applyFill="1" applyBorder="1" applyAlignment="1">
      <alignment horizontal="left" vertical="center"/>
    </xf>
    <xf numFmtId="3" fontId="0" fillId="63" borderId="70" xfId="0" applyNumberFormat="1" applyFill="1" applyBorder="1" applyAlignment="1">
      <alignment horizontal="right" vertical="center"/>
    </xf>
    <xf numFmtId="0" fontId="99" fillId="0" borderId="70" xfId="0" applyFont="1" applyBorder="1" applyAlignment="1">
      <alignment horizontal="left" vertical="center" wrapText="1"/>
    </xf>
    <xf numFmtId="3" fontId="99" fillId="2" borderId="70" xfId="0" applyNumberFormat="1" applyFont="1" applyFill="1" applyBorder="1" applyAlignment="1">
      <alignment horizontal="right" vertical="center"/>
    </xf>
    <xf numFmtId="0" fontId="0" fillId="2" borderId="70" xfId="0" applyFill="1" applyBorder="1"/>
    <xf numFmtId="3" fontId="0" fillId="0" borderId="70" xfId="0" applyNumberFormat="1" applyBorder="1" applyAlignment="1">
      <alignment horizontal="right" vertical="center"/>
    </xf>
    <xf numFmtId="0" fontId="0" fillId="63" borderId="70" xfId="0" applyFill="1" applyBorder="1" applyAlignment="1">
      <alignment horizontal="right" vertical="center"/>
    </xf>
    <xf numFmtId="3" fontId="0" fillId="2" borderId="70" xfId="0" applyNumberFormat="1" applyFill="1" applyBorder="1" applyAlignment="1">
      <alignment horizontal="right" vertical="center"/>
    </xf>
    <xf numFmtId="0" fontId="96" fillId="0" borderId="70" xfId="0" applyFont="1" applyBorder="1" applyAlignment="1">
      <alignment horizontal="left" vertical="center" wrapText="1"/>
    </xf>
    <xf numFmtId="3" fontId="98" fillId="61" borderId="71" xfId="0" applyNumberFormat="1" applyFont="1" applyFill="1" applyBorder="1" applyAlignment="1">
      <alignment horizontal="right" vertical="center"/>
    </xf>
    <xf numFmtId="3" fontId="98" fillId="62" borderId="71" xfId="0" applyNumberFormat="1" applyFont="1" applyFill="1" applyBorder="1" applyAlignment="1">
      <alignment horizontal="right" vertical="center"/>
    </xf>
    <xf numFmtId="0" fontId="0" fillId="0" borderId="70" xfId="0" applyBorder="1"/>
    <xf numFmtId="0" fontId="104" fillId="0" borderId="0" xfId="0" applyFont="1"/>
    <xf numFmtId="0" fontId="0" fillId="0" borderId="70" xfId="0" applyBorder="1" applyAlignment="1">
      <alignment horizontal="center" vertical="center"/>
    </xf>
    <xf numFmtId="0" fontId="98" fillId="61" borderId="70" xfId="0" applyFont="1" applyFill="1" applyBorder="1" applyAlignment="1">
      <alignment horizontal="center" vertical="center"/>
    </xf>
    <xf numFmtId="0" fontId="98" fillId="61" borderId="70" xfId="0" applyFont="1" applyFill="1" applyBorder="1" applyAlignment="1">
      <alignment horizontal="left" vertical="center"/>
    </xf>
    <xf numFmtId="0" fontId="105" fillId="2" borderId="70" xfId="0" applyFont="1" applyFill="1" applyBorder="1" applyAlignment="1">
      <alignment horizontal="left" vertical="center" wrapText="1"/>
    </xf>
    <xf numFmtId="0" fontId="0" fillId="66" borderId="70" xfId="0" applyFill="1" applyBorder="1" applyAlignment="1">
      <alignment horizontal="left" vertical="center"/>
    </xf>
    <xf numFmtId="3" fontId="0" fillId="66" borderId="70" xfId="0" applyNumberFormat="1" applyFill="1" applyBorder="1" applyAlignment="1">
      <alignment horizontal="right" vertical="center"/>
    </xf>
    <xf numFmtId="166" fontId="0" fillId="66" borderId="70" xfId="0" applyNumberFormat="1" applyFill="1" applyBorder="1" applyAlignment="1">
      <alignment horizontal="right" vertical="center"/>
    </xf>
    <xf numFmtId="0" fontId="0" fillId="66" borderId="70" xfId="0" applyFill="1" applyBorder="1" applyAlignment="1">
      <alignment horizontal="center" vertical="center"/>
    </xf>
    <xf numFmtId="0" fontId="0" fillId="2" borderId="70" xfId="0" applyFill="1" applyBorder="1" applyAlignment="1">
      <alignment horizontal="left" vertical="center"/>
    </xf>
    <xf numFmtId="166" fontId="0" fillId="2" borderId="70" xfId="0" applyNumberFormat="1" applyFill="1" applyBorder="1" applyAlignment="1">
      <alignment horizontal="right" vertical="center"/>
    </xf>
    <xf numFmtId="0" fontId="0" fillId="2" borderId="70" xfId="0" applyFill="1" applyBorder="1" applyAlignment="1">
      <alignment horizontal="center" vertical="center"/>
    </xf>
    <xf numFmtId="0" fontId="98" fillId="61" borderId="71" xfId="0" applyFont="1" applyFill="1" applyBorder="1" applyAlignment="1">
      <alignment horizontal="left" vertical="center"/>
    </xf>
    <xf numFmtId="0" fontId="0" fillId="61" borderId="71" xfId="0" applyFill="1" applyBorder="1"/>
    <xf numFmtId="0" fontId="98" fillId="61" borderId="70" xfId="0" applyFont="1" applyFill="1" applyBorder="1" applyAlignment="1">
      <alignment horizontal="center" vertical="center" wrapText="1"/>
    </xf>
    <xf numFmtId="0" fontId="106" fillId="2" borderId="70" xfId="0" applyFont="1" applyFill="1" applyBorder="1" applyAlignment="1">
      <alignment horizontal="center" vertical="center"/>
    </xf>
    <xf numFmtId="0" fontId="105" fillId="2" borderId="70" xfId="0" applyFont="1" applyFill="1" applyBorder="1" applyAlignment="1">
      <alignment horizontal="left" vertical="center"/>
    </xf>
    <xf numFmtId="4" fontId="0" fillId="2" borderId="70" xfId="0" applyNumberFormat="1" applyFill="1" applyBorder="1" applyAlignment="1">
      <alignment horizontal="right" vertical="center"/>
    </xf>
    <xf numFmtId="0" fontId="100" fillId="2" borderId="70" xfId="0" applyFont="1" applyFill="1" applyBorder="1" applyAlignment="1">
      <alignment horizontal="center" vertical="center"/>
    </xf>
    <xf numFmtId="0" fontId="106" fillId="66" borderId="70" xfId="0" applyFont="1" applyFill="1" applyBorder="1" applyAlignment="1">
      <alignment horizontal="center" vertical="center"/>
    </xf>
    <xf numFmtId="0" fontId="105" fillId="66" borderId="70" xfId="0" applyFont="1" applyFill="1" applyBorder="1" applyAlignment="1">
      <alignment horizontal="left" vertical="center"/>
    </xf>
    <xf numFmtId="4" fontId="0" fillId="66" borderId="70" xfId="0" applyNumberFormat="1" applyFill="1" applyBorder="1" applyAlignment="1">
      <alignment horizontal="right" vertical="center"/>
    </xf>
    <xf numFmtId="0" fontId="100" fillId="66" borderId="70" xfId="0" applyFont="1" applyFill="1" applyBorder="1" applyAlignment="1">
      <alignment horizontal="center" vertical="center"/>
    </xf>
    <xf numFmtId="4" fontId="104" fillId="66" borderId="70" xfId="0" applyNumberFormat="1" applyFont="1" applyFill="1" applyBorder="1" applyAlignment="1">
      <alignment horizontal="right" vertical="center"/>
    </xf>
    <xf numFmtId="0" fontId="100" fillId="63" borderId="70" xfId="0" applyFont="1" applyFill="1" applyBorder="1" applyAlignment="1">
      <alignment horizontal="center" vertical="center"/>
    </xf>
    <xf numFmtId="0" fontId="107" fillId="64" borderId="70" xfId="0" applyFont="1" applyFill="1" applyBorder="1" applyAlignment="1">
      <alignment horizontal="center" vertical="center"/>
    </xf>
    <xf numFmtId="0" fontId="107" fillId="67" borderId="70" xfId="0" applyFont="1" applyFill="1" applyBorder="1" applyAlignment="1">
      <alignment horizontal="center" vertical="center"/>
    </xf>
    <xf numFmtId="0" fontId="107" fillId="68" borderId="70" xfId="0" applyFont="1" applyFill="1" applyBorder="1" applyAlignment="1">
      <alignment horizontal="center" vertical="center"/>
    </xf>
    <xf numFmtId="3" fontId="101" fillId="61" borderId="71" xfId="0" applyNumberFormat="1" applyFont="1" applyFill="1" applyBorder="1" applyAlignment="1">
      <alignment horizontal="right" vertical="center"/>
    </xf>
    <xf numFmtId="3" fontId="101" fillId="62" borderId="71" xfId="0" applyNumberFormat="1" applyFont="1" applyFill="1" applyBorder="1" applyAlignment="1">
      <alignment horizontal="right" vertical="center"/>
    </xf>
    <xf numFmtId="0" fontId="109" fillId="3" borderId="0" xfId="0" applyFont="1" applyFill="1"/>
    <xf numFmtId="0" fontId="109" fillId="6" borderId="1" xfId="0" applyFont="1" applyFill="1" applyBorder="1" applyAlignment="1">
      <alignment horizontal="center"/>
    </xf>
    <xf numFmtId="0" fontId="109" fillId="6" borderId="5" xfId="0" applyFont="1" applyFill="1" applyBorder="1" applyAlignment="1">
      <alignment horizontal="center"/>
    </xf>
    <xf numFmtId="0" fontId="109" fillId="6" borderId="4" xfId="0" applyFont="1" applyFill="1" applyBorder="1" applyAlignment="1">
      <alignment horizontal="center"/>
    </xf>
    <xf numFmtId="0" fontId="111" fillId="9" borderId="0" xfId="0" applyFont="1" applyFill="1"/>
    <xf numFmtId="0" fontId="111" fillId="8" borderId="0" xfId="0" applyFont="1" applyFill="1"/>
    <xf numFmtId="9" fontId="111" fillId="9" borderId="0" xfId="0" applyNumberFormat="1" applyFont="1" applyFill="1"/>
    <xf numFmtId="9" fontId="111" fillId="8" borderId="0" xfId="0" applyNumberFormat="1" applyFont="1" applyFill="1"/>
    <xf numFmtId="0" fontId="112" fillId="9" borderId="0" xfId="0" applyFont="1" applyFill="1" applyAlignment="1">
      <alignment horizontal="center"/>
    </xf>
    <xf numFmtId="0" fontId="112" fillId="8" borderId="0" xfId="0" applyFont="1" applyFill="1" applyAlignment="1">
      <alignment horizontal="center"/>
    </xf>
    <xf numFmtId="3" fontId="113" fillId="11" borderId="0" xfId="0" applyNumberFormat="1" applyFont="1" applyFill="1"/>
    <xf numFmtId="0" fontId="114" fillId="69" borderId="0" xfId="0" applyFont="1" applyFill="1"/>
    <xf numFmtId="0" fontId="110" fillId="69" borderId="0" xfId="0" applyFont="1" applyFill="1" applyAlignment="1">
      <alignment horizontal="center"/>
    </xf>
    <xf numFmtId="3" fontId="116" fillId="0" borderId="0" xfId="0" applyNumberFormat="1" applyFont="1"/>
    <xf numFmtId="3" fontId="110" fillId="0" borderId="0" xfId="0" applyNumberFormat="1" applyFont="1"/>
    <xf numFmtId="164" fontId="116" fillId="0" borderId="0" xfId="0" applyNumberFormat="1" applyFont="1"/>
    <xf numFmtId="0" fontId="117" fillId="0" borderId="0" xfId="0" applyFont="1"/>
    <xf numFmtId="0" fontId="118" fillId="0" borderId="0" xfId="0" applyFont="1"/>
    <xf numFmtId="3" fontId="57" fillId="0" borderId="0" xfId="0" applyNumberFormat="1" applyFont="1"/>
    <xf numFmtId="0" fontId="119" fillId="6" borderId="76" xfId="0" applyFont="1" applyFill="1" applyBorder="1"/>
    <xf numFmtId="0" fontId="115" fillId="0" borderId="0" xfId="0" applyFont="1" applyAlignment="1">
      <alignment horizontal="center"/>
    </xf>
    <xf numFmtId="3" fontId="120" fillId="35" borderId="76" xfId="0" applyNumberFormat="1" applyFont="1" applyFill="1" applyBorder="1" applyAlignment="1">
      <alignment horizontal="center"/>
    </xf>
    <xf numFmtId="0" fontId="121" fillId="0" borderId="0" xfId="0" applyFont="1"/>
    <xf numFmtId="0" fontId="115" fillId="0" borderId="0" xfId="0" applyFont="1" applyAlignment="1">
      <alignment wrapText="1"/>
    </xf>
    <xf numFmtId="14" fontId="115" fillId="0" borderId="0" xfId="0" applyNumberFormat="1" applyFont="1" applyAlignment="1">
      <alignment wrapText="1"/>
    </xf>
    <xf numFmtId="0" fontId="123" fillId="69" borderId="0" xfId="0" applyFont="1" applyFill="1"/>
    <xf numFmtId="3" fontId="124" fillId="5" borderId="0" xfId="0" applyNumberFormat="1" applyFont="1" applyFill="1"/>
    <xf numFmtId="3" fontId="124" fillId="69" borderId="0" xfId="0" applyNumberFormat="1" applyFont="1" applyFill="1"/>
    <xf numFmtId="3" fontId="125" fillId="69" borderId="0" xfId="0" applyNumberFormat="1" applyFont="1" applyFill="1"/>
    <xf numFmtId="3" fontId="126" fillId="0" borderId="0" xfId="0" applyNumberFormat="1" applyFont="1"/>
    <xf numFmtId="0" fontId="48" fillId="0" borderId="77" xfId="0" applyFont="1" applyBorder="1"/>
    <xf numFmtId="3" fontId="125" fillId="5" borderId="77" xfId="0" applyNumberFormat="1" applyFont="1" applyFill="1" applyBorder="1"/>
    <xf numFmtId="0" fontId="10" fillId="0" borderId="77" xfId="0" applyFont="1" applyBorder="1"/>
    <xf numFmtId="3" fontId="124" fillId="69" borderId="77" xfId="0" applyNumberFormat="1" applyFont="1" applyFill="1" applyBorder="1"/>
    <xf numFmtId="3" fontId="124" fillId="5" borderId="77" xfId="0" applyNumberFormat="1" applyFont="1" applyFill="1" applyBorder="1"/>
    <xf numFmtId="3" fontId="126" fillId="0" borderId="77" xfId="0" applyNumberFormat="1" applyFont="1" applyBorder="1"/>
    <xf numFmtId="0" fontId="61" fillId="35" borderId="0" xfId="0" applyFont="1" applyFill="1"/>
    <xf numFmtId="3" fontId="15" fillId="35" borderId="0" xfId="0" applyNumberFormat="1" applyFont="1" applyFill="1"/>
    <xf numFmtId="0" fontId="127" fillId="35" borderId="78" xfId="0" applyFont="1" applyFill="1" applyBorder="1"/>
    <xf numFmtId="0" fontId="129" fillId="35" borderId="78" xfId="0" applyFont="1" applyFill="1" applyBorder="1"/>
    <xf numFmtId="0" fontId="128" fillId="35" borderId="78" xfId="0" applyFont="1" applyFill="1" applyBorder="1"/>
    <xf numFmtId="3" fontId="130" fillId="35" borderId="78" xfId="0" applyNumberFormat="1" applyFont="1" applyFill="1" applyBorder="1"/>
    <xf numFmtId="3" fontId="131" fillId="35" borderId="78" xfId="0" applyNumberFormat="1" applyFont="1" applyFill="1" applyBorder="1"/>
    <xf numFmtId="0" fontId="132" fillId="35" borderId="78" xfId="0" applyFont="1" applyFill="1" applyBorder="1"/>
    <xf numFmtId="3" fontId="136" fillId="0" borderId="0" xfId="0" applyNumberFormat="1" applyFont="1"/>
    <xf numFmtId="3" fontId="56" fillId="0" borderId="0" xfId="0" applyNumberFormat="1" applyFont="1"/>
    <xf numFmtId="3" fontId="2" fillId="5" borderId="0" xfId="0" applyNumberFormat="1" applyFont="1" applyFill="1"/>
    <xf numFmtId="3" fontId="56" fillId="5" borderId="0" xfId="0" applyNumberFormat="1" applyFont="1" applyFill="1"/>
    <xf numFmtId="3" fontId="136" fillId="5" borderId="0" xfId="0" applyNumberFormat="1" applyFont="1" applyFill="1"/>
    <xf numFmtId="0" fontId="138" fillId="35" borderId="78" xfId="0" applyFont="1" applyFill="1" applyBorder="1"/>
    <xf numFmtId="3" fontId="139" fillId="0" borderId="70" xfId="0" applyNumberFormat="1" applyFont="1" applyBorder="1" applyAlignment="1">
      <alignment horizontal="right" vertical="center"/>
    </xf>
    <xf numFmtId="0" fontId="140" fillId="6" borderId="0" xfId="0" applyFont="1" applyFill="1"/>
    <xf numFmtId="0" fontId="31" fillId="15" borderId="0" xfId="0" applyFont="1" applyFill="1"/>
    <xf numFmtId="0" fontId="31" fillId="7" borderId="0" xfId="0" applyFont="1" applyFill="1"/>
    <xf numFmtId="0" fontId="141" fillId="15" borderId="0" xfId="0" applyFont="1" applyFill="1"/>
    <xf numFmtId="0" fontId="141" fillId="7" borderId="0" xfId="0" applyFont="1" applyFill="1"/>
    <xf numFmtId="0" fontId="142" fillId="7" borderId="0" xfId="0" applyFont="1" applyFill="1"/>
    <xf numFmtId="3" fontId="143" fillId="15" borderId="0" xfId="0" applyNumberFormat="1" applyFont="1" applyFill="1"/>
    <xf numFmtId="3" fontId="143" fillId="7" borderId="0" xfId="0" applyNumberFormat="1" applyFont="1" applyFill="1"/>
    <xf numFmtId="3" fontId="31" fillId="15" borderId="0" xfId="0" applyNumberFormat="1" applyFont="1" applyFill="1"/>
    <xf numFmtId="3" fontId="31" fillId="7" borderId="0" xfId="0" applyNumberFormat="1" applyFont="1" applyFill="1"/>
    <xf numFmtId="3" fontId="0" fillId="71" borderId="70" xfId="0" applyNumberFormat="1" applyFill="1" applyBorder="1" applyAlignment="1">
      <alignment horizontal="right" vertical="center"/>
    </xf>
    <xf numFmtId="3" fontId="144" fillId="0" borderId="70" xfId="0" applyNumberFormat="1" applyFont="1" applyBorder="1" applyAlignment="1">
      <alignment horizontal="right" vertical="center"/>
    </xf>
    <xf numFmtId="3" fontId="139" fillId="66" borderId="70" xfId="0" applyNumberFormat="1" applyFont="1" applyFill="1" applyBorder="1" applyAlignment="1">
      <alignment horizontal="right" vertical="center"/>
    </xf>
    <xf numFmtId="3" fontId="139" fillId="2" borderId="70" xfId="0" applyNumberFormat="1" applyFont="1" applyFill="1" applyBorder="1" applyAlignment="1">
      <alignment horizontal="right" vertical="center"/>
    </xf>
    <xf numFmtId="0" fontId="145" fillId="2" borderId="70" xfId="0" applyFont="1" applyFill="1" applyBorder="1" applyAlignment="1">
      <alignment horizontal="left" vertical="center" wrapText="1"/>
    </xf>
    <xf numFmtId="1" fontId="0" fillId="2" borderId="70" xfId="0" applyNumberFormat="1" applyFill="1" applyBorder="1" applyAlignment="1">
      <alignment horizontal="right" vertical="center"/>
    </xf>
    <xf numFmtId="0" fontId="106" fillId="66" borderId="79" xfId="0" applyFont="1" applyFill="1" applyBorder="1" applyAlignment="1">
      <alignment horizontal="center" vertical="center"/>
    </xf>
    <xf numFmtId="0" fontId="105" fillId="66" borderId="79" xfId="0" applyFont="1" applyFill="1" applyBorder="1" applyAlignment="1">
      <alignment horizontal="left" vertical="center"/>
    </xf>
    <xf numFmtId="1" fontId="0" fillId="0" borderId="0" xfId="0" applyNumberFormat="1"/>
    <xf numFmtId="0" fontId="44" fillId="66" borderId="79" xfId="0" applyFont="1" applyFill="1" applyBorder="1" applyAlignment="1">
      <alignment horizontal="center" vertical="center"/>
    </xf>
    <xf numFmtId="0" fontId="146" fillId="0" borderId="0" xfId="0" applyFont="1"/>
    <xf numFmtId="0" fontId="29" fillId="10" borderId="0" xfId="0" applyFont="1" applyFill="1"/>
    <xf numFmtId="0" fontId="147" fillId="6" borderId="0" xfId="0" applyFont="1" applyFill="1"/>
    <xf numFmtId="0" fontId="148" fillId="0" borderId="0" xfId="0" applyFont="1"/>
    <xf numFmtId="0" fontId="148" fillId="49" borderId="0" xfId="0" applyFont="1" applyFill="1"/>
    <xf numFmtId="0" fontId="32" fillId="0" borderId="0" xfId="0" applyFont="1"/>
    <xf numFmtId="0" fontId="32" fillId="49" borderId="0" xfId="0" applyFont="1" applyFill="1"/>
    <xf numFmtId="166" fontId="150" fillId="49" borderId="0" xfId="0" applyNumberFormat="1" applyFont="1" applyFill="1"/>
    <xf numFmtId="0" fontId="151" fillId="5" borderId="0" xfId="0" applyFont="1" applyFill="1"/>
    <xf numFmtId="166" fontId="151" fillId="5" borderId="0" xfId="0" applyNumberFormat="1" applyFont="1" applyFill="1"/>
    <xf numFmtId="0" fontId="148" fillId="15" borderId="0" xfId="0" applyFont="1" applyFill="1"/>
    <xf numFmtId="0" fontId="32" fillId="15" borderId="0" xfId="0" applyFont="1" applyFill="1"/>
    <xf numFmtId="166" fontId="150" fillId="15" borderId="0" xfId="0" applyNumberFormat="1" applyFont="1" applyFill="1"/>
    <xf numFmtId="166" fontId="152" fillId="49" borderId="0" xfId="0" applyNumberFormat="1" applyFont="1" applyFill="1"/>
    <xf numFmtId="166" fontId="152" fillId="15" borderId="0" xfId="0" applyNumberFormat="1" applyFont="1" applyFill="1"/>
    <xf numFmtId="2" fontId="150" fillId="15" borderId="0" xfId="0" applyNumberFormat="1" applyFont="1" applyFill="1"/>
    <xf numFmtId="2" fontId="151" fillId="5" borderId="0" xfId="0" applyNumberFormat="1" applyFont="1" applyFill="1"/>
    <xf numFmtId="2" fontId="152" fillId="15" borderId="0" xfId="0" applyNumberFormat="1" applyFont="1" applyFill="1"/>
    <xf numFmtId="2" fontId="150" fillId="49" borderId="0" xfId="0" applyNumberFormat="1" applyFont="1" applyFill="1"/>
    <xf numFmtId="2" fontId="153" fillId="49" borderId="0" xfId="0" applyNumberFormat="1" applyFont="1" applyFill="1"/>
    <xf numFmtId="3" fontId="150" fillId="15" borderId="0" xfId="0" applyNumberFormat="1" applyFont="1" applyFill="1"/>
    <xf numFmtId="3" fontId="151" fillId="5" borderId="0" xfId="0" applyNumberFormat="1" applyFont="1" applyFill="1"/>
    <xf numFmtId="3" fontId="153" fillId="15" borderId="0" xfId="0" applyNumberFormat="1" applyFont="1" applyFill="1"/>
    <xf numFmtId="166" fontId="6" fillId="5" borderId="0" xfId="0" applyNumberFormat="1" applyFont="1" applyFill="1"/>
    <xf numFmtId="166" fontId="153" fillId="49" borderId="0" xfId="0" applyNumberFormat="1" applyFont="1" applyFill="1"/>
    <xf numFmtId="166" fontId="153" fillId="15" borderId="0" xfId="0" applyNumberFormat="1" applyFont="1" applyFill="1"/>
    <xf numFmtId="0" fontId="154" fillId="6" borderId="0" xfId="0" applyFont="1" applyFill="1"/>
    <xf numFmtId="0" fontId="155" fillId="7" borderId="0" xfId="0" applyFont="1" applyFill="1"/>
    <xf numFmtId="0" fontId="129" fillId="7" borderId="0" xfId="0" applyFont="1" applyFill="1"/>
    <xf numFmtId="0" fontId="133" fillId="7" borderId="0" xfId="0" applyFont="1" applyFill="1"/>
    <xf numFmtId="0" fontId="140" fillId="72" borderId="0" xfId="0" applyFont="1" applyFill="1"/>
    <xf numFmtId="0" fontId="156" fillId="73" borderId="0" xfId="0" applyFont="1" applyFill="1"/>
    <xf numFmtId="0" fontId="157" fillId="73" borderId="0" xfId="0" applyFont="1" applyFill="1"/>
    <xf numFmtId="0" fontId="156" fillId="73" borderId="0" xfId="0" quotePrefix="1" applyFont="1" applyFill="1"/>
    <xf numFmtId="167" fontId="139" fillId="63" borderId="70" xfId="0" applyNumberFormat="1" applyFont="1" applyFill="1" applyBorder="1" applyAlignment="1">
      <alignment horizontal="right" vertical="center"/>
    </xf>
    <xf numFmtId="0" fontId="158" fillId="6" borderId="0" xfId="0" applyFont="1" applyFill="1"/>
    <xf numFmtId="0" fontId="4" fillId="72" borderId="0" xfId="0" applyFont="1" applyFill="1"/>
    <xf numFmtId="0" fontId="135" fillId="74" borderId="0" xfId="0" applyFont="1" applyFill="1"/>
    <xf numFmtId="0" fontId="134" fillId="74" borderId="0" xfId="0" applyFont="1" applyFill="1"/>
    <xf numFmtId="0" fontId="134" fillId="74" borderId="6" xfId="0" applyFont="1" applyFill="1" applyBorder="1"/>
    <xf numFmtId="0" fontId="134" fillId="74" borderId="7" xfId="0" applyFont="1" applyFill="1" applyBorder="1"/>
    <xf numFmtId="9" fontId="134" fillId="74" borderId="7" xfId="0" applyNumberFormat="1" applyFont="1" applyFill="1" applyBorder="1"/>
    <xf numFmtId="14" fontId="134" fillId="74" borderId="7" xfId="0" applyNumberFormat="1" applyFont="1" applyFill="1" applyBorder="1"/>
    <xf numFmtId="0" fontId="134" fillId="74" borderId="8" xfId="0" applyFont="1" applyFill="1" applyBorder="1"/>
    <xf numFmtId="0" fontId="135" fillId="74" borderId="7" xfId="0" applyFont="1" applyFill="1" applyBorder="1"/>
    <xf numFmtId="0" fontId="134" fillId="74" borderId="9" xfId="0" applyFont="1" applyFill="1" applyBorder="1"/>
    <xf numFmtId="0" fontId="134" fillId="74" borderId="10" xfId="0" applyFont="1" applyFill="1" applyBorder="1"/>
    <xf numFmtId="9" fontId="134" fillId="74" borderId="10" xfId="0" applyNumberFormat="1" applyFont="1" applyFill="1" applyBorder="1"/>
    <xf numFmtId="14" fontId="134" fillId="74" borderId="10" xfId="0" applyNumberFormat="1" applyFont="1" applyFill="1" applyBorder="1"/>
    <xf numFmtId="0" fontId="134" fillId="74" borderId="11" xfId="0" applyFont="1" applyFill="1" applyBorder="1"/>
    <xf numFmtId="0" fontId="159" fillId="74" borderId="6" xfId="0" applyFont="1" applyFill="1" applyBorder="1"/>
    <xf numFmtId="0" fontId="135" fillId="74" borderId="6" xfId="0" applyFont="1" applyFill="1" applyBorder="1"/>
    <xf numFmtId="0" fontId="135" fillId="74" borderId="13" xfId="0" applyFont="1" applyFill="1" applyBorder="1"/>
    <xf numFmtId="164" fontId="135" fillId="74" borderId="7" xfId="0" applyNumberFormat="1" applyFont="1" applyFill="1" applyBorder="1"/>
    <xf numFmtId="0" fontId="135" fillId="74" borderId="8" xfId="0" applyFont="1" applyFill="1" applyBorder="1"/>
    <xf numFmtId="2" fontId="135" fillId="74" borderId="7" xfId="0" applyNumberFormat="1" applyFont="1" applyFill="1" applyBorder="1"/>
    <xf numFmtId="164" fontId="135" fillId="74" borderId="14" xfId="0" applyNumberFormat="1" applyFont="1" applyFill="1" applyBorder="1"/>
    <xf numFmtId="0" fontId="135" fillId="74" borderId="15" xfId="0" applyFont="1" applyFill="1" applyBorder="1"/>
    <xf numFmtId="0" fontId="25" fillId="0" borderId="0" xfId="0" applyFont="1"/>
    <xf numFmtId="0" fontId="0" fillId="0" borderId="80" xfId="0" applyBorder="1"/>
    <xf numFmtId="0" fontId="0" fillId="0" borderId="80" xfId="0" quotePrefix="1" applyBorder="1"/>
    <xf numFmtId="167" fontId="139" fillId="0" borderId="0" xfId="0" applyNumberFormat="1" applyFont="1"/>
    <xf numFmtId="167" fontId="139" fillId="15" borderId="0" xfId="0" applyNumberFormat="1" applyFont="1" applyFill="1"/>
    <xf numFmtId="166" fontId="139" fillId="15" borderId="0" xfId="0" applyNumberFormat="1" applyFont="1" applyFill="1"/>
    <xf numFmtId="167" fontId="139" fillId="49" borderId="0" xfId="0" applyNumberFormat="1" applyFont="1" applyFill="1"/>
    <xf numFmtId="166" fontId="139" fillId="49" borderId="0" xfId="0" applyNumberFormat="1" applyFont="1" applyFill="1"/>
    <xf numFmtId="0" fontId="161" fillId="6" borderId="0" xfId="0" applyFont="1" applyFill="1"/>
    <xf numFmtId="167" fontId="90" fillId="6" borderId="0" xfId="0" applyNumberFormat="1" applyFont="1" applyFill="1"/>
    <xf numFmtId="166" fontId="90" fillId="0" borderId="0" xfId="0" applyNumberFormat="1" applyFont="1"/>
    <xf numFmtId="166" fontId="90" fillId="6" borderId="0" xfId="0" applyNumberFormat="1" applyFont="1" applyFill="1"/>
    <xf numFmtId="0" fontId="162" fillId="0" borderId="0" xfId="0" applyFont="1"/>
    <xf numFmtId="0" fontId="163" fillId="0" borderId="0" xfId="0" applyFont="1"/>
    <xf numFmtId="0" fontId="15" fillId="9" borderId="76" xfId="0" applyFont="1" applyFill="1" applyBorder="1"/>
    <xf numFmtId="0" fontId="164" fillId="9" borderId="76" xfId="0" applyFont="1" applyFill="1" applyBorder="1"/>
    <xf numFmtId="0" fontId="165" fillId="74" borderId="0" xfId="0" applyFont="1" applyFill="1"/>
    <xf numFmtId="0" fontId="166" fillId="74" borderId="0" xfId="0" applyFont="1" applyFill="1"/>
    <xf numFmtId="0" fontId="167" fillId="7" borderId="0" xfId="0" applyFont="1" applyFill="1"/>
    <xf numFmtId="0" fontId="122" fillId="74" borderId="0" xfId="0" applyFont="1" applyFill="1" applyAlignment="1">
      <alignment wrapText="1"/>
    </xf>
    <xf numFmtId="0" fontId="122" fillId="74" borderId="0" xfId="0" applyFont="1" applyFill="1"/>
    <xf numFmtId="0" fontId="169" fillId="40" borderId="0" xfId="0" applyFont="1" applyFill="1"/>
    <xf numFmtId="0" fontId="148" fillId="41" borderId="0" xfId="0" applyFont="1" applyFill="1"/>
    <xf numFmtId="0" fontId="160" fillId="41" borderId="0" xfId="0" applyFont="1" applyFill="1"/>
    <xf numFmtId="166" fontId="150" fillId="41" borderId="0" xfId="0" applyNumberFormat="1" applyFont="1" applyFill="1"/>
    <xf numFmtId="164" fontId="150" fillId="41" borderId="0" xfId="0" applyNumberFormat="1" applyFont="1" applyFill="1"/>
    <xf numFmtId="167" fontId="150" fillId="41" borderId="0" xfId="0" applyNumberFormat="1" applyFont="1" applyFill="1"/>
    <xf numFmtId="167" fontId="151" fillId="5" borderId="0" xfId="0" applyNumberFormat="1" applyFont="1" applyFill="1"/>
    <xf numFmtId="167" fontId="171" fillId="41" borderId="0" xfId="0" applyNumberFormat="1" applyFont="1" applyFill="1"/>
    <xf numFmtId="49" fontId="170" fillId="41" borderId="0" xfId="0" applyNumberFormat="1" applyFont="1" applyFill="1"/>
    <xf numFmtId="0" fontId="172" fillId="7" borderId="0" xfId="0" applyFont="1" applyFill="1"/>
    <xf numFmtId="10" fontId="6" fillId="5" borderId="0" xfId="0" applyNumberFormat="1" applyFont="1" applyFill="1"/>
    <xf numFmtId="10" fontId="149" fillId="15" borderId="0" xfId="0" applyNumberFormat="1" applyFont="1" applyFill="1"/>
    <xf numFmtId="10" fontId="149" fillId="49" borderId="0" xfId="0" applyNumberFormat="1" applyFont="1" applyFill="1"/>
    <xf numFmtId="0" fontId="8" fillId="6" borderId="0" xfId="0" applyFont="1" applyFill="1"/>
    <xf numFmtId="0" fontId="30" fillId="0" borderId="0" xfId="0" applyFont="1"/>
    <xf numFmtId="167" fontId="30" fillId="0" borderId="0" xfId="0" applyNumberFormat="1" applyFont="1"/>
    <xf numFmtId="168" fontId="153" fillId="0" borderId="0" xfId="0" applyNumberFormat="1" applyFont="1"/>
    <xf numFmtId="0" fontId="4" fillId="59" borderId="0" xfId="0" applyFont="1" applyFill="1"/>
    <xf numFmtId="0" fontId="35" fillId="59" borderId="0" xfId="0" applyFont="1" applyFill="1"/>
    <xf numFmtId="0" fontId="7" fillId="4" borderId="0" xfId="0" applyFont="1" applyFill="1"/>
    <xf numFmtId="0" fontId="7" fillId="27" borderId="0" xfId="0" applyFont="1" applyFill="1"/>
    <xf numFmtId="167" fontId="139" fillId="4" borderId="0" xfId="0" applyNumberFormat="1" applyFont="1" applyFill="1"/>
    <xf numFmtId="4" fontId="91" fillId="27" borderId="0" xfId="0" applyNumberFormat="1" applyFont="1" applyFill="1"/>
    <xf numFmtId="0" fontId="173" fillId="4" borderId="0" xfId="0" applyFont="1" applyFill="1"/>
    <xf numFmtId="3" fontId="139" fillId="4" borderId="0" xfId="0" applyNumberFormat="1" applyFont="1" applyFill="1"/>
    <xf numFmtId="0" fontId="90" fillId="27" borderId="0" xfId="0" applyFont="1" applyFill="1"/>
    <xf numFmtId="0" fontId="35" fillId="4" borderId="0" xfId="0" applyFont="1" applyFill="1"/>
    <xf numFmtId="167" fontId="136" fillId="49" borderId="0" xfId="0" applyNumberFormat="1" applyFont="1" applyFill="1"/>
    <xf numFmtId="167" fontId="136" fillId="50" borderId="0" xfId="0" applyNumberFormat="1" applyFont="1" applyFill="1"/>
    <xf numFmtId="167" fontId="90" fillId="59" borderId="0" xfId="0" applyNumberFormat="1" applyFont="1" applyFill="1"/>
    <xf numFmtId="167" fontId="161" fillId="46" borderId="0" xfId="0" applyNumberFormat="1" applyFont="1" applyFill="1"/>
    <xf numFmtId="167" fontId="150" fillId="49" borderId="0" xfId="0" applyNumberFormat="1" applyFont="1" applyFill="1"/>
    <xf numFmtId="0" fontId="174" fillId="59" borderId="0" xfId="0" applyFont="1" applyFill="1"/>
    <xf numFmtId="0" fontId="177" fillId="40" borderId="0" xfId="0" applyFont="1" applyFill="1"/>
    <xf numFmtId="167" fontId="176" fillId="40" borderId="0" xfId="0" applyNumberFormat="1" applyFont="1" applyFill="1"/>
    <xf numFmtId="0" fontId="147" fillId="46" borderId="0" xfId="0" applyFont="1" applyFill="1"/>
    <xf numFmtId="0" fontId="161" fillId="50" borderId="0" xfId="0" applyFont="1" applyFill="1"/>
    <xf numFmtId="169" fontId="8" fillId="50" borderId="0" xfId="0" applyNumberFormat="1" applyFont="1" applyFill="1"/>
    <xf numFmtId="0" fontId="177" fillId="43" borderId="0" xfId="0" applyFont="1" applyFill="1"/>
    <xf numFmtId="169" fontId="176" fillId="43" borderId="0" xfId="0" applyNumberFormat="1" applyFont="1" applyFill="1"/>
    <xf numFmtId="169" fontId="139" fillId="49" borderId="0" xfId="0" applyNumberFormat="1" applyFont="1" applyFill="1"/>
    <xf numFmtId="0" fontId="106" fillId="76" borderId="0" xfId="0" applyFont="1" applyFill="1" applyAlignment="1">
      <alignment horizontal="center" vertical="center"/>
    </xf>
    <xf numFmtId="0" fontId="105" fillId="76" borderId="0" xfId="0" applyFont="1" applyFill="1" applyAlignment="1">
      <alignment horizontal="left" vertical="center"/>
    </xf>
    <xf numFmtId="4" fontId="0" fillId="76" borderId="0" xfId="0" applyNumberFormat="1" applyFill="1" applyAlignment="1">
      <alignment horizontal="right"/>
    </xf>
    <xf numFmtId="0" fontId="0" fillId="76" borderId="0" xfId="0" applyFill="1" applyAlignment="1">
      <alignment horizontal="center" vertical="center"/>
    </xf>
    <xf numFmtId="0" fontId="178" fillId="76" borderId="0" xfId="0" applyFont="1" applyFill="1" applyAlignment="1">
      <alignment horizontal="center"/>
    </xf>
    <xf numFmtId="0" fontId="106" fillId="69" borderId="0" xfId="0" applyFont="1" applyFill="1" applyAlignment="1">
      <alignment horizontal="center" vertical="center"/>
    </xf>
    <xf numFmtId="0" fontId="105" fillId="69" borderId="0" xfId="0" applyFont="1" applyFill="1" applyAlignment="1">
      <alignment horizontal="left" vertical="center"/>
    </xf>
    <xf numFmtId="166" fontId="0" fillId="69" borderId="0" xfId="0" applyNumberFormat="1" applyFill="1" applyAlignment="1">
      <alignment horizontal="right"/>
    </xf>
    <xf numFmtId="0" fontId="0" fillId="69" borderId="0" xfId="0" applyFill="1" applyAlignment="1">
      <alignment horizontal="center" vertical="center"/>
    </xf>
    <xf numFmtId="0" fontId="178" fillId="69" borderId="0" xfId="0" applyFont="1" applyFill="1" applyAlignment="1">
      <alignment horizontal="center"/>
    </xf>
    <xf numFmtId="4" fontId="0" fillId="69" borderId="0" xfId="0" applyNumberFormat="1" applyFill="1" applyAlignment="1">
      <alignment horizontal="right"/>
    </xf>
    <xf numFmtId="9" fontId="0" fillId="69" borderId="0" xfId="0" applyNumberFormat="1" applyFill="1" applyAlignment="1">
      <alignment horizontal="right"/>
    </xf>
    <xf numFmtId="0" fontId="179" fillId="4" borderId="0" xfId="0" applyFont="1" applyFill="1"/>
    <xf numFmtId="0" fontId="17" fillId="6" borderId="39" xfId="0" applyFont="1" applyFill="1" applyBorder="1" applyAlignment="1">
      <alignment horizontal="center" vertical="center" wrapText="1"/>
    </xf>
    <xf numFmtId="0" fontId="17" fillId="6" borderId="38" xfId="0" applyFont="1" applyFill="1" applyBorder="1" applyAlignment="1">
      <alignment horizontal="center" vertical="center" wrapText="1"/>
    </xf>
    <xf numFmtId="0" fontId="17" fillId="6" borderId="42" xfId="0" applyFont="1" applyFill="1" applyBorder="1" applyAlignment="1">
      <alignment horizontal="center" vertical="center" wrapText="1"/>
    </xf>
    <xf numFmtId="0" fontId="20" fillId="13" borderId="40" xfId="0" applyFont="1" applyFill="1" applyBorder="1" applyAlignment="1">
      <alignment horizontal="left" vertical="center" wrapText="1"/>
    </xf>
    <xf numFmtId="0" fontId="20" fillId="7" borderId="40" xfId="0" applyFont="1" applyFill="1" applyBorder="1" applyAlignment="1">
      <alignment horizontal="left" vertical="center" wrapText="1"/>
    </xf>
    <xf numFmtId="0" fontId="38" fillId="14" borderId="41" xfId="0" applyFont="1" applyFill="1" applyBorder="1" applyAlignment="1">
      <alignment horizontal="left" vertical="center" wrapText="1"/>
    </xf>
    <xf numFmtId="9" fontId="20" fillId="13" borderId="7" xfId="0" applyNumberFormat="1" applyFont="1" applyFill="1" applyBorder="1" applyAlignment="1">
      <alignment horizontal="center" vertical="center" wrapText="1"/>
    </xf>
    <xf numFmtId="9" fontId="20" fillId="7" borderId="7" xfId="0" applyNumberFormat="1" applyFont="1" applyFill="1" applyBorder="1" applyAlignment="1">
      <alignment horizontal="center" vertical="center" wrapText="1"/>
    </xf>
    <xf numFmtId="9" fontId="38" fillId="14" borderId="10" xfId="0" applyNumberFormat="1" applyFont="1" applyFill="1" applyBorder="1" applyAlignment="1">
      <alignment horizontal="center" vertical="center" wrapText="1"/>
    </xf>
    <xf numFmtId="0" fontId="20" fillId="13" borderId="7" xfId="0" applyFont="1" applyFill="1" applyBorder="1" applyAlignment="1">
      <alignment horizontal="center" vertical="center" wrapText="1"/>
    </xf>
    <xf numFmtId="0" fontId="20" fillId="7" borderId="7" xfId="0" applyFont="1" applyFill="1" applyBorder="1" applyAlignment="1">
      <alignment horizontal="center" vertical="center" wrapText="1"/>
    </xf>
    <xf numFmtId="0" fontId="21" fillId="14" borderId="10" xfId="0" applyFont="1" applyFill="1" applyBorder="1" applyAlignment="1">
      <alignment horizontal="center" vertical="center" wrapText="1"/>
    </xf>
    <xf numFmtId="0" fontId="38" fillId="14" borderId="10" xfId="0" applyFont="1" applyFill="1" applyBorder="1" applyAlignment="1">
      <alignment horizontal="center" vertical="center" wrapText="1"/>
    </xf>
    <xf numFmtId="0" fontId="20" fillId="13" borderId="7" xfId="0" applyFont="1" applyFill="1" applyBorder="1" applyAlignment="1">
      <alignment horizontal="left" vertical="center" wrapText="1"/>
    </xf>
    <xf numFmtId="0" fontId="20" fillId="7" borderId="7" xfId="0" applyFont="1" applyFill="1" applyBorder="1" applyAlignment="1">
      <alignment horizontal="left" vertical="center" wrapText="1"/>
    </xf>
    <xf numFmtId="0" fontId="38" fillId="14" borderId="10" xfId="0" applyFont="1" applyFill="1" applyBorder="1" applyAlignment="1">
      <alignment horizontal="left" vertical="center" wrapText="1"/>
    </xf>
    <xf numFmtId="0" fontId="20" fillId="13" borderId="43" xfId="0" applyFont="1" applyFill="1" applyBorder="1" applyAlignment="1">
      <alignment horizontal="left" vertical="center" wrapText="1"/>
    </xf>
    <xf numFmtId="0" fontId="20" fillId="7" borderId="43" xfId="0" applyFont="1" applyFill="1" applyBorder="1" applyAlignment="1">
      <alignment horizontal="left" vertical="center" wrapText="1"/>
    </xf>
    <xf numFmtId="0" fontId="38" fillId="14" borderId="44" xfId="0" applyFont="1" applyFill="1" applyBorder="1" applyAlignment="1">
      <alignment horizontal="left" vertical="center" wrapText="1"/>
    </xf>
    <xf numFmtId="0" fontId="18" fillId="7" borderId="6" xfId="0" applyFont="1" applyFill="1" applyBorder="1" applyAlignment="1">
      <alignment horizontal="left" vertical="center" wrapText="1"/>
    </xf>
    <xf numFmtId="0" fontId="18" fillId="15" borderId="6" xfId="0" applyFont="1" applyFill="1" applyBorder="1" applyAlignment="1">
      <alignment horizontal="left" vertical="center" wrapText="1"/>
    </xf>
    <xf numFmtId="0" fontId="18" fillId="7" borderId="13" xfId="0" applyFont="1" applyFill="1" applyBorder="1" applyAlignment="1">
      <alignment horizontal="left" vertical="center" wrapText="1"/>
    </xf>
    <xf numFmtId="0" fontId="17" fillId="6" borderId="3" xfId="0" applyFont="1" applyFill="1" applyBorder="1" applyAlignment="1">
      <alignment horizontal="left" vertical="center"/>
    </xf>
    <xf numFmtId="0" fontId="17" fillId="6" borderId="5" xfId="0" applyFont="1" applyFill="1" applyBorder="1" applyAlignment="1">
      <alignment horizontal="center" vertical="center"/>
    </xf>
    <xf numFmtId="0" fontId="15" fillId="7" borderId="8" xfId="0" applyFont="1" applyFill="1" applyBorder="1" applyAlignment="1">
      <alignment horizontal="center" vertical="center"/>
    </xf>
    <xf numFmtId="0" fontId="15" fillId="15" borderId="8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" fillId="69" borderId="0" xfId="0" applyFont="1" applyFill="1"/>
    <xf numFmtId="0" fontId="0" fillId="69" borderId="0" xfId="0" applyFill="1"/>
    <xf numFmtId="0" fontId="2" fillId="69" borderId="1" xfId="0" applyFont="1" applyFill="1" applyBorder="1"/>
    <xf numFmtId="0" fontId="0" fillId="69" borderId="1" xfId="0" applyFill="1" applyBorder="1"/>
    <xf numFmtId="0" fontId="180" fillId="0" borderId="0" xfId="0" applyFont="1"/>
    <xf numFmtId="0" fontId="2" fillId="77" borderId="0" xfId="0" applyFont="1" applyFill="1"/>
    <xf numFmtId="0" fontId="2" fillId="78" borderId="0" xfId="0" applyFont="1" applyFill="1"/>
    <xf numFmtId="0" fontId="15" fillId="9" borderId="4" xfId="0" applyFont="1" applyFill="1" applyBorder="1"/>
    <xf numFmtId="0" fontId="135" fillId="74" borderId="81" xfId="0" applyFont="1" applyFill="1" applyBorder="1" applyAlignment="1">
      <alignment horizontal="center"/>
    </xf>
    <xf numFmtId="0" fontId="135" fillId="74" borderId="82" xfId="0" applyFont="1" applyFill="1" applyBorder="1" applyAlignment="1">
      <alignment horizontal="center"/>
    </xf>
    <xf numFmtId="0" fontId="135" fillId="74" borderId="83" xfId="0" applyFont="1" applyFill="1" applyBorder="1" applyAlignment="1">
      <alignment horizontal="center"/>
    </xf>
    <xf numFmtId="0" fontId="17" fillId="74" borderId="83" xfId="0" applyFont="1" applyFill="1" applyBorder="1" applyAlignment="1">
      <alignment horizontal="center"/>
    </xf>
    <xf numFmtId="0" fontId="17" fillId="74" borderId="84" xfId="0" applyFont="1" applyFill="1" applyBorder="1" applyAlignment="1">
      <alignment horizontal="center"/>
    </xf>
    <xf numFmtId="0" fontId="62" fillId="9" borderId="3" xfId="0" applyFont="1" applyFill="1" applyBorder="1"/>
    <xf numFmtId="0" fontId="62" fillId="9" borderId="4" xfId="0" applyFont="1" applyFill="1" applyBorder="1"/>
    <xf numFmtId="9" fontId="62" fillId="9" borderId="4" xfId="0" applyNumberFormat="1" applyFont="1" applyFill="1" applyBorder="1"/>
    <xf numFmtId="14" fontId="62" fillId="9" borderId="4" xfId="0" applyNumberFormat="1" applyFont="1" applyFill="1" applyBorder="1"/>
    <xf numFmtId="0" fontId="62" fillId="9" borderId="5" xfId="0" applyFont="1" applyFill="1" applyBorder="1"/>
    <xf numFmtId="0" fontId="147" fillId="79" borderId="85" xfId="0" applyFont="1" applyFill="1" applyBorder="1" applyAlignment="1">
      <alignment horizontal="center" vertical="center"/>
    </xf>
    <xf numFmtId="0" fontId="32" fillId="69" borderId="86" xfId="0" applyFont="1" applyFill="1" applyBorder="1"/>
    <xf numFmtId="0" fontId="182" fillId="3" borderId="86" xfId="0" applyFont="1" applyFill="1" applyBorder="1" applyAlignment="1">
      <alignment horizontal="left" vertical="center"/>
    </xf>
    <xf numFmtId="0" fontId="182" fillId="3" borderId="87" xfId="0" applyFont="1" applyFill="1" applyBorder="1" applyAlignment="1">
      <alignment horizontal="left" vertical="center"/>
    </xf>
    <xf numFmtId="0" fontId="0" fillId="79" borderId="88" xfId="0" applyFill="1" applyBorder="1"/>
    <xf numFmtId="0" fontId="0" fillId="69" borderId="89" xfId="0" applyFill="1" applyBorder="1"/>
    <xf numFmtId="0" fontId="183" fillId="5" borderId="89" xfId="0" applyFont="1" applyFill="1" applyBorder="1" applyAlignment="1">
      <alignment horizontal="left" vertical="center"/>
    </xf>
    <xf numFmtId="0" fontId="183" fillId="5" borderId="90" xfId="0" applyFont="1" applyFill="1" applyBorder="1" applyAlignment="1">
      <alignment horizontal="left" vertical="center"/>
    </xf>
    <xf numFmtId="0" fontId="184" fillId="5" borderId="0" xfId="0" applyFont="1" applyFill="1"/>
    <xf numFmtId="166" fontId="184" fillId="5" borderId="0" xfId="0" applyNumberFormat="1" applyFont="1" applyFill="1"/>
    <xf numFmtId="0" fontId="184" fillId="5" borderId="0" xfId="0" quotePrefix="1" applyFont="1" applyFill="1"/>
    <xf numFmtId="0" fontId="17" fillId="6" borderId="0" xfId="0" applyFont="1" applyFill="1" applyAlignment="1">
      <alignment horizontal="left" vertical="center" wrapText="1"/>
    </xf>
    <xf numFmtId="0" fontId="186" fillId="45" borderId="0" xfId="0" applyFont="1" applyFill="1"/>
    <xf numFmtId="0" fontId="89" fillId="46" borderId="60" xfId="0" applyFont="1" applyFill="1" applyBorder="1"/>
    <xf numFmtId="0" fontId="89" fillId="11" borderId="0" xfId="0" applyFont="1" applyFill="1"/>
    <xf numFmtId="0" fontId="89" fillId="47" borderId="0" xfId="0" applyFont="1" applyFill="1"/>
    <xf numFmtId="0" fontId="87" fillId="48" borderId="47" xfId="0" applyFont="1" applyFill="1" applyBorder="1"/>
    <xf numFmtId="0" fontId="89" fillId="46" borderId="0" xfId="0" applyFont="1" applyFill="1"/>
    <xf numFmtId="0" fontId="87" fillId="54" borderId="47" xfId="0" applyFont="1" applyFill="1" applyBorder="1"/>
    <xf numFmtId="0" fontId="87" fillId="52" borderId="0" xfId="0" applyFont="1" applyFill="1"/>
    <xf numFmtId="0" fontId="87" fillId="48" borderId="47" xfId="0" applyFont="1" applyFill="1" applyBorder="1" applyAlignment="1">
      <alignment horizontal="left" vertical="center"/>
    </xf>
    <xf numFmtId="0" fontId="89" fillId="47" borderId="0" xfId="0" applyFont="1" applyFill="1" applyAlignment="1">
      <alignment horizontal="left" vertical="center"/>
    </xf>
    <xf numFmtId="0" fontId="159" fillId="49" borderId="0" xfId="0" applyFont="1" applyFill="1"/>
    <xf numFmtId="0" fontId="159" fillId="50" borderId="0" xfId="0" applyFont="1" applyFill="1"/>
    <xf numFmtId="0" fontId="23" fillId="49" borderId="0" xfId="0" applyFont="1" applyFill="1"/>
    <xf numFmtId="0" fontId="23" fillId="50" borderId="0" xfId="0" applyFont="1" applyFill="1"/>
    <xf numFmtId="0" fontId="187" fillId="49" borderId="0" xfId="0" applyFont="1" applyFill="1"/>
    <xf numFmtId="0" fontId="4" fillId="6" borderId="0" xfId="0" applyFont="1" applyFill="1" applyAlignment="1">
      <alignment horizontal="center"/>
    </xf>
    <xf numFmtId="0" fontId="146" fillId="77" borderId="0" xfId="0" applyFont="1" applyFill="1"/>
    <xf numFmtId="167" fontId="181" fillId="77" borderId="0" xfId="0" applyNumberFormat="1" applyFont="1" applyFill="1"/>
    <xf numFmtId="0" fontId="146" fillId="0" borderId="0" xfId="0" applyFont="1" applyAlignment="1">
      <alignment horizontal="center"/>
    </xf>
    <xf numFmtId="0" fontId="190" fillId="70" borderId="0" xfId="0" applyFont="1" applyFill="1"/>
    <xf numFmtId="0" fontId="191" fillId="70" borderId="77" xfId="0" applyFont="1" applyFill="1" applyBorder="1"/>
    <xf numFmtId="0" fontId="62" fillId="70" borderId="0" xfId="0" applyFont="1" applyFill="1"/>
    <xf numFmtId="0" fontId="55" fillId="0" borderId="49" xfId="0" applyFont="1" applyBorder="1"/>
    <xf numFmtId="0" fontId="56" fillId="77" borderId="92" xfId="0" applyFont="1" applyFill="1" applyBorder="1"/>
    <xf numFmtId="0" fontId="56" fillId="77" borderId="93" xfId="0" applyFont="1" applyFill="1" applyBorder="1"/>
    <xf numFmtId="0" fontId="56" fillId="77" borderId="94" xfId="0" applyFont="1" applyFill="1" applyBorder="1"/>
    <xf numFmtId="0" fontId="62" fillId="70" borderId="92" xfId="0" applyFont="1" applyFill="1" applyBorder="1"/>
    <xf numFmtId="0" fontId="62" fillId="70" borderId="93" xfId="0" applyFont="1" applyFill="1" applyBorder="1"/>
    <xf numFmtId="0" fontId="62" fillId="70" borderId="94" xfId="0" applyFont="1" applyFill="1" applyBorder="1"/>
    <xf numFmtId="0" fontId="114" fillId="0" borderId="49" xfId="0" applyFont="1" applyBorder="1"/>
    <xf numFmtId="0" fontId="193" fillId="81" borderId="92" xfId="0" applyFont="1" applyFill="1" applyBorder="1"/>
    <xf numFmtId="0" fontId="193" fillId="81" borderId="93" xfId="0" applyFont="1" applyFill="1" applyBorder="1"/>
    <xf numFmtId="0" fontId="194" fillId="81" borderId="94" xfId="0" applyFont="1" applyFill="1" applyBorder="1"/>
    <xf numFmtId="0" fontId="193" fillId="81" borderId="94" xfId="0" applyFont="1" applyFill="1" applyBorder="1"/>
    <xf numFmtId="0" fontId="64" fillId="0" borderId="49" xfId="0" applyFont="1" applyBorder="1"/>
    <xf numFmtId="3" fontId="0" fillId="0" borderId="49" xfId="0" applyNumberFormat="1" applyBorder="1"/>
    <xf numFmtId="0" fontId="43" fillId="82" borderId="0" xfId="0" applyFont="1" applyFill="1"/>
    <xf numFmtId="0" fontId="184" fillId="74" borderId="0" xfId="0" applyFont="1" applyFill="1" applyAlignment="1">
      <alignment horizontal="center"/>
    </xf>
    <xf numFmtId="3" fontId="135" fillId="32" borderId="7" xfId="0" applyNumberFormat="1" applyFont="1" applyFill="1" applyBorder="1"/>
    <xf numFmtId="3" fontId="135" fillId="36" borderId="7" xfId="0" applyNumberFormat="1" applyFont="1" applyFill="1" applyBorder="1"/>
    <xf numFmtId="3" fontId="135" fillId="35" borderId="14" xfId="0" applyNumberFormat="1" applyFont="1" applyFill="1" applyBorder="1"/>
    <xf numFmtId="0" fontId="20" fillId="32" borderId="92" xfId="0" applyFont="1" applyFill="1" applyBorder="1"/>
    <xf numFmtId="0" fontId="20" fillId="36" borderId="94" xfId="0" applyFont="1" applyFill="1" applyBorder="1"/>
    <xf numFmtId="0" fontId="20" fillId="41" borderId="55" xfId="0" applyFont="1" applyFill="1" applyBorder="1" applyAlignment="1">
      <alignment horizontal="center" vertical="center" wrapText="1"/>
    </xf>
    <xf numFmtId="0" fontId="20" fillId="39" borderId="55" xfId="0" applyFont="1" applyFill="1" applyBorder="1" applyAlignment="1">
      <alignment horizontal="center" vertical="center" wrapText="1"/>
    </xf>
    <xf numFmtId="0" fontId="81" fillId="41" borderId="55" xfId="0" applyFont="1" applyFill="1" applyBorder="1" applyAlignment="1">
      <alignment horizontal="center" vertical="center" wrapText="1"/>
    </xf>
    <xf numFmtId="0" fontId="81" fillId="39" borderId="55" xfId="0" applyFont="1" applyFill="1" applyBorder="1" applyAlignment="1">
      <alignment horizontal="center" vertical="center" wrapText="1"/>
    </xf>
    <xf numFmtId="0" fontId="134" fillId="40" borderId="58" xfId="0" applyFont="1" applyFill="1" applyBorder="1"/>
    <xf numFmtId="167" fontId="135" fillId="40" borderId="58" xfId="0" applyNumberFormat="1" applyFont="1" applyFill="1" applyBorder="1"/>
    <xf numFmtId="166" fontId="135" fillId="40" borderId="58" xfId="0" applyNumberFormat="1" applyFont="1" applyFill="1" applyBorder="1"/>
    <xf numFmtId="167" fontId="135" fillId="46" borderId="60" xfId="0" applyNumberFormat="1" applyFont="1" applyFill="1" applyBorder="1"/>
    <xf numFmtId="167" fontId="135" fillId="49" borderId="62" xfId="0" applyNumberFormat="1" applyFont="1" applyFill="1" applyBorder="1"/>
    <xf numFmtId="166" fontId="135" fillId="49" borderId="62" xfId="0" applyNumberFormat="1" applyFont="1" applyFill="1" applyBorder="1"/>
    <xf numFmtId="167" fontId="135" fillId="50" borderId="63" xfId="0" applyNumberFormat="1" applyFont="1" applyFill="1" applyBorder="1"/>
    <xf numFmtId="166" fontId="135" fillId="50" borderId="63" xfId="0" applyNumberFormat="1" applyFont="1" applyFill="1" applyBorder="1"/>
    <xf numFmtId="167" fontId="135" fillId="49" borderId="63" xfId="0" applyNumberFormat="1" applyFont="1" applyFill="1" applyBorder="1"/>
    <xf numFmtId="166" fontId="135" fillId="49" borderId="63" xfId="0" applyNumberFormat="1" applyFont="1" applyFill="1" applyBorder="1"/>
    <xf numFmtId="167" fontId="135" fillId="49" borderId="64" xfId="0" applyNumberFormat="1" applyFont="1" applyFill="1" applyBorder="1"/>
    <xf numFmtId="166" fontId="135" fillId="49" borderId="64" xfId="0" applyNumberFormat="1" applyFont="1" applyFill="1" applyBorder="1"/>
    <xf numFmtId="166" fontId="135" fillId="46" borderId="60" xfId="0" applyNumberFormat="1" applyFont="1" applyFill="1" applyBorder="1"/>
    <xf numFmtId="167" fontId="135" fillId="47" borderId="0" xfId="0" applyNumberFormat="1" applyFont="1" applyFill="1"/>
    <xf numFmtId="0" fontId="134" fillId="49" borderId="0" xfId="0" applyFont="1" applyFill="1"/>
    <xf numFmtId="167" fontId="135" fillId="48" borderId="47" xfId="0" applyNumberFormat="1" applyFont="1" applyFill="1" applyBorder="1"/>
    <xf numFmtId="167" fontId="135" fillId="49" borderId="65" xfId="0" applyNumberFormat="1" applyFont="1" applyFill="1" applyBorder="1"/>
    <xf numFmtId="166" fontId="135" fillId="49" borderId="65" xfId="0" applyNumberFormat="1" applyFont="1" applyFill="1" applyBorder="1"/>
    <xf numFmtId="166" fontId="135" fillId="47" borderId="0" xfId="0" applyNumberFormat="1" applyFont="1" applyFill="1"/>
    <xf numFmtId="0" fontId="135" fillId="49" borderId="0" xfId="0" applyFont="1" applyFill="1"/>
    <xf numFmtId="166" fontId="135" fillId="48" borderId="47" xfId="0" applyNumberFormat="1" applyFont="1" applyFill="1" applyBorder="1"/>
    <xf numFmtId="167" fontId="135" fillId="52" borderId="0" xfId="0" applyNumberFormat="1" applyFont="1" applyFill="1"/>
    <xf numFmtId="167" fontId="135" fillId="50" borderId="62" xfId="0" applyNumberFormat="1" applyFont="1" applyFill="1" applyBorder="1"/>
    <xf numFmtId="166" fontId="135" fillId="50" borderId="62" xfId="0" applyNumberFormat="1" applyFont="1" applyFill="1" applyBorder="1"/>
    <xf numFmtId="167" fontId="135" fillId="50" borderId="66" xfId="0" applyNumberFormat="1" applyFont="1" applyFill="1" applyBorder="1"/>
    <xf numFmtId="166" fontId="135" fillId="50" borderId="66" xfId="0" applyNumberFormat="1" applyFont="1" applyFill="1" applyBorder="1"/>
    <xf numFmtId="166" fontId="135" fillId="52" borderId="0" xfId="0" applyNumberFormat="1" applyFont="1" applyFill="1"/>
    <xf numFmtId="167" fontId="135" fillId="54" borderId="47" xfId="0" applyNumberFormat="1" applyFont="1" applyFill="1" applyBorder="1"/>
    <xf numFmtId="166" fontId="134" fillId="54" borderId="47" xfId="0" applyNumberFormat="1" applyFont="1" applyFill="1" applyBorder="1"/>
    <xf numFmtId="167" fontId="135" fillId="46" borderId="0" xfId="0" applyNumberFormat="1" applyFont="1" applyFill="1"/>
    <xf numFmtId="166" fontId="135" fillId="46" borderId="0" xfId="0" applyNumberFormat="1" applyFont="1" applyFill="1"/>
    <xf numFmtId="0" fontId="134" fillId="4" borderId="0" xfId="0" applyFont="1" applyFill="1"/>
    <xf numFmtId="0" fontId="17" fillId="46" borderId="0" xfId="0" applyFont="1" applyFill="1" applyAlignment="1">
      <alignment vertical="center"/>
    </xf>
    <xf numFmtId="0" fontId="36" fillId="46" borderId="0" xfId="0" applyFont="1" applyFill="1" applyAlignment="1">
      <alignment vertical="center"/>
    </xf>
    <xf numFmtId="0" fontId="1" fillId="0" borderId="95" xfId="0" applyFont="1" applyBorder="1" applyAlignment="1">
      <alignment horizontal="left"/>
    </xf>
    <xf numFmtId="0" fontId="1" fillId="0" borderId="96" xfId="0" applyFont="1" applyBorder="1" applyAlignment="1">
      <alignment horizontal="left"/>
    </xf>
    <xf numFmtId="0" fontId="1" fillId="0" borderId="97" xfId="0" applyFont="1" applyBorder="1" applyAlignment="1">
      <alignment horizontal="left"/>
    </xf>
    <xf numFmtId="0" fontId="15" fillId="3" borderId="0" xfId="0" applyFont="1" applyFill="1" applyAlignment="1">
      <alignment horizontal="left" vertical="center"/>
    </xf>
    <xf numFmtId="0" fontId="17" fillId="22" borderId="0" xfId="0" applyFont="1" applyFill="1" applyAlignment="1">
      <alignment horizontal="left"/>
    </xf>
    <xf numFmtId="0" fontId="56" fillId="0" borderId="91" xfId="0" applyFont="1" applyBorder="1" applyAlignment="1">
      <alignment horizontal="left"/>
    </xf>
    <xf numFmtId="0" fontId="56" fillId="0" borderId="0" xfId="0" applyFont="1" applyAlignment="1">
      <alignment horizontal="left"/>
    </xf>
    <xf numFmtId="0" fontId="17" fillId="24" borderId="0" xfId="0" applyFont="1" applyFill="1" applyAlignment="1">
      <alignment horizontal="left"/>
    </xf>
    <xf numFmtId="0" fontId="192" fillId="77" borderId="0" xfId="0" applyFont="1" applyFill="1" applyAlignment="1">
      <alignment horizontal="left"/>
    </xf>
    <xf numFmtId="0" fontId="55" fillId="0" borderId="0" xfId="0" applyFont="1" applyAlignment="1">
      <alignment horizontal="left"/>
    </xf>
    <xf numFmtId="0" fontId="135" fillId="74" borderId="0" xfId="0" applyFont="1" applyFill="1" applyAlignment="1">
      <alignment horizontal="center" vertical="center"/>
    </xf>
    <xf numFmtId="0" fontId="135" fillId="74" borderId="0" xfId="0" applyFont="1" applyFill="1" applyAlignment="1">
      <alignment horizontal="left" vertical="center"/>
    </xf>
    <xf numFmtId="0" fontId="135" fillId="74" borderId="0" xfId="0" applyFont="1" applyFill="1" applyAlignment="1">
      <alignment horizontal="left"/>
    </xf>
    <xf numFmtId="0" fontId="20" fillId="11" borderId="28" xfId="0" applyFont="1" applyFill="1" applyBorder="1" applyAlignment="1">
      <alignment horizontal="center" vertical="center" wrapText="1"/>
    </xf>
    <xf numFmtId="0" fontId="20" fillId="11" borderId="25" xfId="0" applyFont="1" applyFill="1" applyBorder="1" applyAlignment="1">
      <alignment horizontal="center" vertical="center" wrapText="1"/>
    </xf>
    <xf numFmtId="0" fontId="37" fillId="10" borderId="18" xfId="0" applyFont="1" applyFill="1" applyBorder="1" applyAlignment="1">
      <alignment horizontal="center" vertical="center" wrapText="1"/>
    </xf>
    <xf numFmtId="0" fontId="37" fillId="10" borderId="16" xfId="0" applyFont="1" applyFill="1" applyBorder="1" applyAlignment="1">
      <alignment horizontal="center" vertical="center" wrapText="1"/>
    </xf>
    <xf numFmtId="0" fontId="37" fillId="10" borderId="21" xfId="0" applyFont="1" applyFill="1" applyBorder="1" applyAlignment="1">
      <alignment horizontal="center" vertical="center" wrapText="1"/>
    </xf>
    <xf numFmtId="0" fontId="37" fillId="10" borderId="19" xfId="0" applyFont="1" applyFill="1" applyBorder="1" applyAlignment="1">
      <alignment horizontal="center" vertical="center" wrapText="1"/>
    </xf>
    <xf numFmtId="0" fontId="37" fillId="10" borderId="0" xfId="0" applyFont="1" applyFill="1" applyAlignment="1">
      <alignment horizontal="center" vertical="center" wrapText="1"/>
    </xf>
    <xf numFmtId="0" fontId="37" fillId="10" borderId="22" xfId="0" applyFont="1" applyFill="1" applyBorder="1" applyAlignment="1">
      <alignment horizontal="center" vertical="center" wrapText="1"/>
    </xf>
    <xf numFmtId="0" fontId="37" fillId="10" borderId="20" xfId="0" applyFont="1" applyFill="1" applyBorder="1" applyAlignment="1">
      <alignment horizontal="center" vertical="center" wrapText="1"/>
    </xf>
    <xf numFmtId="0" fontId="37" fillId="10" borderId="17" xfId="0" applyFont="1" applyFill="1" applyBorder="1" applyAlignment="1">
      <alignment horizontal="center" vertical="center" wrapText="1"/>
    </xf>
    <xf numFmtId="0" fontId="37" fillId="10" borderId="23" xfId="0" applyFont="1" applyFill="1" applyBorder="1" applyAlignment="1">
      <alignment horizontal="center" vertical="center" wrapText="1"/>
    </xf>
    <xf numFmtId="0" fontId="20" fillId="11" borderId="26" xfId="0" applyFont="1" applyFill="1" applyBorder="1" applyAlignment="1">
      <alignment horizontal="center" vertical="center" wrapText="1"/>
    </xf>
    <xf numFmtId="0" fontId="20" fillId="11" borderId="24" xfId="0" applyFont="1" applyFill="1" applyBorder="1" applyAlignment="1">
      <alignment horizontal="center" vertical="center" wrapText="1"/>
    </xf>
    <xf numFmtId="0" fontId="20" fillId="11" borderId="27" xfId="0" applyFont="1" applyFill="1" applyBorder="1" applyAlignment="1">
      <alignment horizontal="center" vertical="center" wrapText="1"/>
    </xf>
    <xf numFmtId="0" fontId="20" fillId="11" borderId="0" xfId="0" applyFont="1" applyFill="1" applyAlignment="1">
      <alignment horizontal="center" vertical="center" wrapText="1"/>
    </xf>
    <xf numFmtId="0" fontId="38" fillId="12" borderId="32" xfId="0" applyFont="1" applyFill="1" applyBorder="1" applyAlignment="1">
      <alignment horizontal="center" vertical="center" wrapText="1"/>
    </xf>
    <xf numFmtId="0" fontId="38" fillId="12" borderId="35" xfId="0" applyFont="1" applyFill="1" applyBorder="1" applyAlignment="1">
      <alignment horizontal="center" vertical="center" wrapText="1"/>
    </xf>
    <xf numFmtId="0" fontId="38" fillId="12" borderId="33" xfId="0" applyFont="1" applyFill="1" applyBorder="1" applyAlignment="1">
      <alignment horizontal="center" vertical="center" wrapText="1"/>
    </xf>
    <xf numFmtId="0" fontId="38" fillId="12" borderId="36" xfId="0" applyFont="1" applyFill="1" applyBorder="1" applyAlignment="1">
      <alignment horizontal="center" vertical="center" wrapText="1"/>
    </xf>
    <xf numFmtId="0" fontId="38" fillId="12" borderId="34" xfId="0" applyFont="1" applyFill="1" applyBorder="1" applyAlignment="1">
      <alignment horizontal="center" vertical="center" wrapText="1"/>
    </xf>
    <xf numFmtId="0" fontId="38" fillId="12" borderId="37" xfId="0" applyFont="1" applyFill="1" applyBorder="1" applyAlignment="1">
      <alignment horizontal="center" vertical="center" wrapText="1"/>
    </xf>
    <xf numFmtId="0" fontId="31" fillId="11" borderId="26" xfId="0" applyFont="1" applyFill="1" applyBorder="1" applyAlignment="1">
      <alignment horizontal="center" vertical="center" wrapText="1"/>
    </xf>
    <xf numFmtId="0" fontId="31" fillId="11" borderId="29" xfId="0" applyFont="1" applyFill="1" applyBorder="1" applyAlignment="1">
      <alignment horizontal="center" vertical="center" wrapText="1"/>
    </xf>
    <xf numFmtId="0" fontId="31" fillId="11" borderId="27" xfId="0" applyFont="1" applyFill="1" applyBorder="1" applyAlignment="1">
      <alignment horizontal="center" vertical="center" wrapText="1"/>
    </xf>
    <xf numFmtId="0" fontId="31" fillId="11" borderId="30" xfId="0" applyFont="1" applyFill="1" applyBorder="1" applyAlignment="1">
      <alignment horizontal="center" vertical="center" wrapText="1"/>
    </xf>
    <xf numFmtId="0" fontId="31" fillId="11" borderId="28" xfId="0" applyFont="1" applyFill="1" applyBorder="1" applyAlignment="1">
      <alignment horizontal="center" vertical="center" wrapText="1"/>
    </xf>
    <xf numFmtId="0" fontId="31" fillId="11" borderId="31" xfId="0" applyFont="1" applyFill="1" applyBorder="1" applyAlignment="1">
      <alignment horizontal="center" vertical="center" wrapText="1"/>
    </xf>
    <xf numFmtId="0" fontId="20" fillId="11" borderId="29" xfId="0" applyFont="1" applyFill="1" applyBorder="1" applyAlignment="1">
      <alignment horizontal="center" vertical="center" wrapText="1"/>
    </xf>
    <xf numFmtId="0" fontId="20" fillId="11" borderId="30" xfId="0" applyFont="1" applyFill="1" applyBorder="1" applyAlignment="1">
      <alignment horizontal="center" vertical="center" wrapText="1"/>
    </xf>
    <xf numFmtId="0" fontId="20" fillId="11" borderId="31" xfId="0" applyFont="1" applyFill="1" applyBorder="1" applyAlignment="1">
      <alignment horizontal="center" vertical="center" wrapText="1"/>
    </xf>
    <xf numFmtId="0" fontId="15" fillId="35" borderId="0" xfId="0" applyFont="1" applyFill="1" applyAlignment="1">
      <alignment horizontal="left"/>
    </xf>
    <xf numFmtId="0" fontId="20" fillId="32" borderId="0" xfId="0" applyFont="1" applyFill="1" applyAlignment="1">
      <alignment horizontal="left"/>
    </xf>
    <xf numFmtId="0" fontId="17" fillId="31" borderId="0" xfId="0" applyFont="1" applyFill="1" applyAlignment="1">
      <alignment horizontal="left" vertical="center"/>
    </xf>
    <xf numFmtId="0" fontId="22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74" fillId="10" borderId="0" xfId="0" applyFont="1" applyFill="1" applyAlignment="1">
      <alignment horizontal="left"/>
    </xf>
    <xf numFmtId="0" fontId="73" fillId="39" borderId="0" xfId="0" applyFont="1" applyFill="1" applyAlignment="1">
      <alignment horizontal="left"/>
    </xf>
    <xf numFmtId="0" fontId="185" fillId="39" borderId="0" xfId="0" applyFont="1" applyFill="1" applyAlignment="1">
      <alignment horizontal="left"/>
    </xf>
    <xf numFmtId="0" fontId="17" fillId="40" borderId="0" xfId="0" applyFont="1" applyFill="1" applyAlignment="1">
      <alignment horizontal="left"/>
    </xf>
    <xf numFmtId="0" fontId="11" fillId="75" borderId="0" xfId="0" applyFont="1" applyFill="1" applyAlignment="1">
      <alignment horizontal="left"/>
    </xf>
    <xf numFmtId="0" fontId="175" fillId="41" borderId="0" xfId="0" applyFont="1" applyFill="1" applyAlignment="1">
      <alignment horizontal="left"/>
    </xf>
    <xf numFmtId="0" fontId="76" fillId="4" borderId="0" xfId="0" applyFont="1" applyFill="1" applyAlignment="1">
      <alignment horizontal="left" vertical="center"/>
    </xf>
    <xf numFmtId="0" fontId="22" fillId="4" borderId="0" xfId="0" applyFont="1" applyFill="1" applyAlignment="1">
      <alignment horizontal="left"/>
    </xf>
    <xf numFmtId="0" fontId="77" fillId="38" borderId="0" xfId="0" applyFont="1" applyFill="1" applyAlignment="1">
      <alignment horizontal="left"/>
    </xf>
    <xf numFmtId="0" fontId="78" fillId="39" borderId="0" xfId="0" applyFont="1" applyFill="1" applyAlignment="1">
      <alignment horizontal="left"/>
    </xf>
    <xf numFmtId="0" fontId="15" fillId="4" borderId="0" xfId="0" applyFont="1" applyFill="1" applyAlignment="1">
      <alignment horizontal="left"/>
    </xf>
    <xf numFmtId="0" fontId="54" fillId="4" borderId="0" xfId="0" applyFont="1" applyFill="1" applyAlignment="1">
      <alignment horizontal="left"/>
    </xf>
    <xf numFmtId="0" fontId="89" fillId="51" borderId="0" xfId="0" applyFont="1" applyFill="1" applyAlignment="1">
      <alignment horizontal="left"/>
    </xf>
    <xf numFmtId="0" fontId="87" fillId="0" borderId="0" xfId="0" applyFont="1" applyAlignment="1">
      <alignment horizontal="left" vertical="center"/>
    </xf>
    <xf numFmtId="0" fontId="89" fillId="45" borderId="0" xfId="0" applyFont="1" applyFill="1" applyAlignment="1">
      <alignment horizontal="left" vertical="center"/>
    </xf>
    <xf numFmtId="0" fontId="89" fillId="11" borderId="0" xfId="0" applyFont="1" applyFill="1" applyAlignment="1">
      <alignment horizontal="left" vertical="center"/>
    </xf>
    <xf numFmtId="0" fontId="168" fillId="74" borderId="0" xfId="0" applyFont="1" applyFill="1" applyAlignment="1">
      <alignment horizontal="center" vertical="center"/>
    </xf>
    <xf numFmtId="0" fontId="29" fillId="10" borderId="0" xfId="0" applyFont="1" applyFill="1"/>
    <xf numFmtId="0" fontId="0" fillId="0" borderId="0" xfId="0"/>
    <xf numFmtId="0" fontId="122" fillId="74" borderId="0" xfId="0" applyFont="1" applyFill="1" applyAlignment="1">
      <alignment horizontal="center" vertical="center" wrapText="1"/>
    </xf>
    <xf numFmtId="0" fontId="188" fillId="72" borderId="0" xfId="0" applyFont="1" applyFill="1" applyAlignment="1">
      <alignment horizontal="left"/>
    </xf>
    <xf numFmtId="0" fontId="189" fillId="80" borderId="0" xfId="0" applyFont="1" applyFill="1"/>
    <xf numFmtId="0" fontId="4" fillId="6" borderId="0" xfId="0" applyFont="1" applyFill="1" applyAlignment="1">
      <alignment horizontal="left"/>
    </xf>
    <xf numFmtId="0" fontId="101" fillId="62" borderId="71" xfId="0" applyFont="1" applyFill="1" applyBorder="1" applyAlignment="1">
      <alignment horizontal="left" vertical="center"/>
    </xf>
    <xf numFmtId="0" fontId="0" fillId="0" borderId="72" xfId="0" applyBorder="1"/>
    <xf numFmtId="0" fontId="0" fillId="0" borderId="73" xfId="0" applyBorder="1"/>
    <xf numFmtId="0" fontId="95" fillId="61" borderId="0" xfId="0" applyFont="1" applyFill="1" applyAlignment="1">
      <alignment horizontal="center" vertical="center"/>
    </xf>
    <xf numFmtId="0" fontId="96" fillId="0" borderId="0" xfId="0" applyFont="1" applyAlignment="1">
      <alignment horizontal="left" vertical="center"/>
    </xf>
    <xf numFmtId="0" fontId="98" fillId="62" borderId="0" xfId="0" applyFont="1" applyFill="1" applyAlignment="1">
      <alignment horizontal="left" vertical="center"/>
    </xf>
    <xf numFmtId="0" fontId="101" fillId="61" borderId="71" xfId="0" applyFont="1" applyFill="1" applyBorder="1" applyAlignment="1">
      <alignment horizontal="left" vertical="center"/>
    </xf>
    <xf numFmtId="0" fontId="102" fillId="0" borderId="0" xfId="0" applyFont="1" applyAlignment="1">
      <alignment horizontal="left" vertical="center"/>
    </xf>
    <xf numFmtId="0" fontId="104" fillId="0" borderId="0" xfId="0" applyFont="1" applyAlignment="1">
      <alignment horizontal="left" vertical="center" wrapText="1"/>
    </xf>
    <xf numFmtId="0" fontId="104" fillId="0" borderId="0" xfId="0" applyFont="1" applyAlignment="1">
      <alignment horizontal="left" vertical="center"/>
    </xf>
    <xf numFmtId="0" fontId="108" fillId="0" borderId="71" xfId="0" applyFont="1" applyBorder="1" applyAlignment="1">
      <alignment horizontal="center" vertical="center"/>
    </xf>
    <xf numFmtId="0" fontId="103" fillId="64" borderId="70" xfId="0" applyFont="1" applyFill="1" applyBorder="1" applyAlignment="1">
      <alignment horizontal="left" vertical="center"/>
    </xf>
    <xf numFmtId="0" fontId="0" fillId="0" borderId="74" xfId="0" applyBorder="1"/>
    <xf numFmtId="0" fontId="0" fillId="0" borderId="75" xfId="0" applyBorder="1"/>
    <xf numFmtId="0" fontId="103" fillId="67" borderId="70" xfId="0" applyFont="1" applyFill="1" applyBorder="1" applyAlignment="1">
      <alignment horizontal="left" vertical="center"/>
    </xf>
    <xf numFmtId="0" fontId="103" fillId="68" borderId="70" xfId="0" applyFont="1" applyFill="1" applyBorder="1" applyAlignment="1">
      <alignment horizontal="left" vertical="center"/>
    </xf>
    <xf numFmtId="0" fontId="135" fillId="77" borderId="92" xfId="0" applyFont="1" applyFill="1" applyBorder="1"/>
    <xf numFmtId="0" fontId="135" fillId="77" borderId="93" xfId="0" applyFont="1" applyFill="1" applyBorder="1"/>
    <xf numFmtId="0" fontId="135" fillId="77" borderId="94" xfId="0" applyFont="1" applyFill="1" applyBorder="1"/>
    <xf numFmtId="0" fontId="17" fillId="3" borderId="0" xfId="0" applyFont="1" applyFill="1" applyAlignment="1">
      <alignment horizontal="left" vertical="center"/>
    </xf>
    <xf numFmtId="0" fontId="195" fillId="0" borderId="0" xfId="0" applyFont="1"/>
    <xf numFmtId="0" fontId="196" fillId="0" borderId="0" xfId="0" applyFont="1"/>
    <xf numFmtId="0" fontId="197" fillId="0" borderId="0" xfId="0" applyFont="1"/>
    <xf numFmtId="0" fontId="198" fillId="0" borderId="0" xfId="0" applyFont="1"/>
    <xf numFmtId="0" fontId="199" fillId="0" borderId="0" xfId="0" applyFont="1"/>
    <xf numFmtId="0" fontId="55" fillId="0" borderId="95" xfId="0" applyFont="1" applyBorder="1" applyAlignment="1">
      <alignment horizontal="left"/>
    </xf>
    <xf numFmtId="0" fontId="55" fillId="0" borderId="96" xfId="0" applyFont="1" applyBorder="1" applyAlignment="1">
      <alignment horizontal="left"/>
    </xf>
    <xf numFmtId="0" fontId="55" fillId="0" borderId="97" xfId="0" applyFont="1" applyBorder="1" applyAlignment="1">
      <alignment horizontal="left"/>
    </xf>
    <xf numFmtId="0" fontId="17" fillId="0" borderId="95" xfId="0" applyFont="1" applyBorder="1"/>
    <xf numFmtId="3" fontId="2" fillId="0" borderId="96" xfId="0" applyNumberFormat="1" applyFont="1" applyBorder="1"/>
    <xf numFmtId="164" fontId="2" fillId="0" borderId="96" xfId="0" applyNumberFormat="1" applyFont="1" applyBorder="1"/>
    <xf numFmtId="0" fontId="2" fillId="0" borderId="97" xfId="0" applyFont="1" applyBorder="1"/>
    <xf numFmtId="0" fontId="134" fillId="70" borderId="92" xfId="0" applyFont="1" applyFill="1" applyBorder="1"/>
    <xf numFmtId="0" fontId="134" fillId="70" borderId="93" xfId="0" applyFont="1" applyFill="1" applyBorder="1"/>
    <xf numFmtId="0" fontId="134" fillId="70" borderId="94" xfId="0" applyFont="1" applyFill="1" applyBorder="1"/>
    <xf numFmtId="0" fontId="135" fillId="70" borderId="49" xfId="0" applyFont="1" applyFill="1" applyBorder="1"/>
    <xf numFmtId="0" fontId="193" fillId="81" borderId="49" xfId="0" applyFont="1" applyFill="1" applyBorder="1"/>
    <xf numFmtId="0" fontId="8" fillId="3" borderId="95" xfId="0" applyFont="1" applyFill="1" applyBorder="1" applyAlignment="1">
      <alignment horizontal="center"/>
    </xf>
    <xf numFmtId="0" fontId="8" fillId="3" borderId="96" xfId="0" applyFont="1" applyFill="1" applyBorder="1" applyAlignment="1">
      <alignment horizontal="center"/>
    </xf>
    <xf numFmtId="0" fontId="8" fillId="3" borderId="97" xfId="0" applyFont="1" applyFill="1" applyBorder="1" applyAlignment="1">
      <alignment horizontal="center"/>
    </xf>
    <xf numFmtId="0" fontId="53" fillId="0" borderId="0" xfId="0" applyFont="1" applyBorder="1"/>
    <xf numFmtId="0" fontId="10" fillId="0" borderId="0" xfId="0" applyFont="1" applyBorder="1"/>
    <xf numFmtId="166" fontId="10" fillId="0" borderId="0" xfId="0" applyNumberFormat="1" applyFont="1" applyBorder="1"/>
    <xf numFmtId="0" fontId="11" fillId="16" borderId="95" xfId="0" applyFont="1" applyFill="1" applyBorder="1"/>
    <xf numFmtId="0" fontId="10" fillId="16" borderId="96" xfId="0" applyFont="1" applyFill="1" applyBorder="1"/>
    <xf numFmtId="3" fontId="11" fillId="16" borderId="96" xfId="0" applyNumberFormat="1" applyFont="1" applyFill="1" applyBorder="1"/>
    <xf numFmtId="3" fontId="11" fillId="16" borderId="97" xfId="0" applyNumberFormat="1" applyFont="1" applyFill="1" applyBorder="1"/>
    <xf numFmtId="0" fontId="11" fillId="25" borderId="95" xfId="0" applyFont="1" applyFill="1" applyBorder="1" applyAlignment="1">
      <alignment horizontal="left"/>
    </xf>
    <xf numFmtId="0" fontId="11" fillId="25" borderId="96" xfId="0" applyFont="1" applyFill="1" applyBorder="1" applyAlignment="1">
      <alignment horizontal="left"/>
    </xf>
    <xf numFmtId="0" fontId="11" fillId="25" borderId="97" xfId="0" applyFont="1" applyFill="1" applyBorder="1" applyAlignment="1">
      <alignment horizontal="left"/>
    </xf>
    <xf numFmtId="0" fontId="11" fillId="24" borderId="0" xfId="0" applyFont="1" applyFill="1" applyAlignment="1">
      <alignment horizontal="left"/>
    </xf>
    <xf numFmtId="0" fontId="17" fillId="6" borderId="1" xfId="0" applyFont="1" applyFill="1" applyBorder="1" applyAlignment="1">
      <alignment horizontal="center" vertical="center"/>
    </xf>
    <xf numFmtId="0" fontId="20" fillId="15" borderId="2" xfId="0" applyFont="1" applyFill="1" applyBorder="1" applyAlignment="1">
      <alignment horizontal="center" vertical="center"/>
    </xf>
    <xf numFmtId="0" fontId="20" fillId="7" borderId="2" xfId="0" applyFont="1" applyFill="1" applyBorder="1" applyAlignment="1">
      <alignment horizontal="center" vertical="center"/>
    </xf>
    <xf numFmtId="49" fontId="2" fillId="0" borderId="0" xfId="0" applyNumberFormat="1" applyFont="1"/>
    <xf numFmtId="49" fontId="2" fillId="0" borderId="97" xfId="0" applyNumberFormat="1" applyFont="1" applyBorder="1"/>
    <xf numFmtId="49" fontId="2" fillId="0" borderId="47" xfId="0" applyNumberFormat="1" applyFont="1" applyBorder="1"/>
    <xf numFmtId="49" fontId="0" fillId="0" borderId="0" xfId="0" applyNumberFormat="1"/>
    <xf numFmtId="49" fontId="0" fillId="0" borderId="47" xfId="0" applyNumberFormat="1" applyBorder="1"/>
    <xf numFmtId="0" fontId="17" fillId="6" borderId="1" xfId="0" applyFont="1" applyFill="1" applyBorder="1" applyAlignment="1">
      <alignment horizontal="left" vertical="center"/>
    </xf>
    <xf numFmtId="49" fontId="57" fillId="0" borderId="92" xfId="0" applyNumberFormat="1" applyFont="1" applyBorder="1"/>
    <xf numFmtId="49" fontId="57" fillId="0" borderId="93" xfId="0" applyNumberFormat="1" applyFont="1" applyBorder="1"/>
    <xf numFmtId="49" fontId="57" fillId="0" borderId="94" xfId="0" applyNumberFormat="1" applyFont="1" applyBorder="1"/>
    <xf numFmtId="49" fontId="2" fillId="0" borderId="92" xfId="0" applyNumberFormat="1" applyFont="1" applyBorder="1"/>
    <xf numFmtId="49" fontId="2" fillId="0" borderId="93" xfId="0" applyNumberFormat="1" applyFont="1" applyBorder="1"/>
    <xf numFmtId="49" fontId="2" fillId="0" borderId="94" xfId="0" applyNumberFormat="1" applyFont="1" applyBorder="1"/>
    <xf numFmtId="49" fontId="2" fillId="0" borderId="49" xfId="0" applyNumberFormat="1" applyFont="1" applyBorder="1"/>
    <xf numFmtId="3" fontId="2" fillId="0" borderId="95" xfId="0" applyNumberFormat="1" applyFont="1" applyBorder="1"/>
    <xf numFmtId="3" fontId="2" fillId="0" borderId="97" xfId="0" applyNumberFormat="1" applyFont="1" applyBorder="1"/>
    <xf numFmtId="0" fontId="55" fillId="0" borderId="49" xfId="0" applyFont="1" applyBorder="1" applyAlignment="1"/>
    <xf numFmtId="0" fontId="55" fillId="0" borderId="95" xfId="0" applyFont="1" applyBorder="1" applyAlignment="1">
      <alignment horizontal="center"/>
    </xf>
    <xf numFmtId="0" fontId="55" fillId="0" borderId="96" xfId="0" applyFont="1" applyBorder="1" applyAlignment="1">
      <alignment horizontal="center"/>
    </xf>
    <xf numFmtId="0" fontId="55" fillId="0" borderId="97" xfId="0" applyFont="1" applyBorder="1" applyAlignment="1">
      <alignment horizontal="center"/>
    </xf>
    <xf numFmtId="3" fontId="55" fillId="26" borderId="97" xfId="0" applyNumberFormat="1" applyFont="1" applyFill="1" applyBorder="1"/>
    <xf numFmtId="3" fontId="59" fillId="0" borderId="96" xfId="0" applyNumberFormat="1" applyFont="1" applyBorder="1" applyAlignment="1">
      <alignment horizontal="center"/>
    </xf>
    <xf numFmtId="3" fontId="59" fillId="0" borderId="95" xfId="0" applyNumberFormat="1" applyFont="1" applyBorder="1" applyAlignment="1">
      <alignment horizontal="center"/>
    </xf>
    <xf numFmtId="0" fontId="56" fillId="0" borderId="98" xfId="0" applyFont="1" applyBorder="1"/>
    <xf numFmtId="0" fontId="135" fillId="70" borderId="92" xfId="0" applyFont="1" applyFill="1" applyBorder="1"/>
    <xf numFmtId="0" fontId="135" fillId="70" borderId="93" xfId="0" applyFont="1" applyFill="1" applyBorder="1"/>
    <xf numFmtId="0" fontId="135" fillId="70" borderId="94" xfId="0" applyFont="1" applyFill="1" applyBorder="1"/>
    <xf numFmtId="3" fontId="2" fillId="0" borderId="100" xfId="0" applyNumberFormat="1" applyFont="1" applyBorder="1"/>
    <xf numFmtId="3" fontId="2" fillId="0" borderId="99" xfId="0" applyNumberFormat="1" applyFont="1" applyBorder="1"/>
    <xf numFmtId="0" fontId="2" fillId="0" borderId="102" xfId="0" applyFont="1" applyBorder="1"/>
    <xf numFmtId="0" fontId="2" fillId="0" borderId="101" xfId="0" applyFont="1" applyBorder="1"/>
    <xf numFmtId="3" fontId="2" fillId="0" borderId="49" xfId="0" applyNumberFormat="1" applyFont="1" applyBorder="1"/>
    <xf numFmtId="49" fontId="2" fillId="0" borderId="100" xfId="0" applyNumberFormat="1" applyFont="1" applyBorder="1"/>
    <xf numFmtId="164" fontId="2" fillId="0" borderId="97" xfId="0" applyNumberFormat="1" applyFont="1" applyBorder="1"/>
    <xf numFmtId="3" fontId="55" fillId="26" borderId="49" xfId="0" applyNumberFormat="1" applyFont="1" applyFill="1" applyBorder="1"/>
    <xf numFmtId="3" fontId="2" fillId="0" borderId="95" xfId="0" applyNumberFormat="1" applyFont="1" applyBorder="1" applyAlignment="1">
      <alignment horizontal="center"/>
    </xf>
    <xf numFmtId="3" fontId="2" fillId="0" borderId="96" xfId="0" applyNumberFormat="1" applyFont="1" applyBorder="1" applyAlignment="1">
      <alignment horizontal="center"/>
    </xf>
    <xf numFmtId="0" fontId="200" fillId="83" borderId="0" xfId="0" applyFont="1" applyFill="1" applyAlignment="1">
      <alignment vertical="center"/>
    </xf>
    <xf numFmtId="3" fontId="60" fillId="83" borderId="0" xfId="0" applyNumberFormat="1" applyFont="1" applyFill="1"/>
    <xf numFmtId="49" fontId="0" fillId="0" borderId="92" xfId="0" applyNumberFormat="1" applyBorder="1"/>
    <xf numFmtId="49" fontId="0" fillId="0" borderId="93" xfId="0" applyNumberFormat="1" applyBorder="1"/>
    <xf numFmtId="49" fontId="0" fillId="0" borderId="94" xfId="0" applyNumberFormat="1" applyBorder="1"/>
    <xf numFmtId="0" fontId="194" fillId="83" borderId="0" xfId="0" applyFont="1" applyFill="1" applyAlignment="1">
      <alignment vertical="center"/>
    </xf>
    <xf numFmtId="3" fontId="3" fillId="83" borderId="0" xfId="0" applyNumberFormat="1" applyFont="1" applyFill="1"/>
    <xf numFmtId="49" fontId="0" fillId="0" borderId="49" xfId="0" applyNumberFormat="1" applyBorder="1"/>
    <xf numFmtId="0" fontId="189" fillId="81" borderId="0" xfId="0" applyFont="1" applyFill="1"/>
    <xf numFmtId="0" fontId="201" fillId="81" borderId="0" xfId="0" applyFont="1" applyFill="1"/>
    <xf numFmtId="0" fontId="175" fillId="81" borderId="0" xfId="0" applyFont="1" applyFill="1"/>
    <xf numFmtId="0" fontId="189" fillId="84" borderId="0" xfId="0" applyFont="1" applyFill="1"/>
    <xf numFmtId="167" fontId="90" fillId="6" borderId="49" xfId="0" applyNumberFormat="1" applyFont="1" applyFill="1" applyBorder="1"/>
    <xf numFmtId="167" fontId="122" fillId="85" borderId="49" xfId="0" applyNumberFormat="1" applyFont="1" applyFill="1" applyBorder="1"/>
    <xf numFmtId="167" fontId="6" fillId="5" borderId="92" xfId="0" applyNumberFormat="1" applyFont="1" applyFill="1" applyBorder="1"/>
    <xf numFmtId="167" fontId="6" fillId="5" borderId="94" xfId="0" applyNumberFormat="1" applyFont="1" applyFill="1" applyBorder="1"/>
    <xf numFmtId="167" fontId="139" fillId="0" borderId="49" xfId="0" applyNumberFormat="1" applyFont="1" applyBorder="1"/>
    <xf numFmtId="167" fontId="6" fillId="5" borderId="49" xfId="0" applyNumberFormat="1" applyFont="1" applyFill="1" applyBorder="1"/>
    <xf numFmtId="167" fontId="90" fillId="72" borderId="49" xfId="0" applyNumberFormat="1" applyFont="1" applyFill="1" applyBorder="1"/>
    <xf numFmtId="167" fontId="135" fillId="49" borderId="0" xfId="0" applyNumberFormat="1" applyFont="1" applyFill="1"/>
    <xf numFmtId="166" fontId="135" fillId="49" borderId="0" xfId="0" applyNumberFormat="1" applyFont="1" applyFill="1"/>
  </cellXfs>
  <cellStyles count="1">
    <cellStyle name="Normal" xfId="0" builtinId="0"/>
  </cellStyles>
  <dxfs count="11">
    <dxf>
      <font>
        <color rgb="FFEF4444"/>
      </font>
      <fill>
        <patternFill patternType="solid">
          <fgColor indexed="64"/>
          <bgColor rgb="FF450A0A"/>
        </patternFill>
      </fill>
    </dxf>
    <dxf>
      <font>
        <color rgb="FF34D399"/>
      </font>
      <fill>
        <patternFill patternType="solid">
          <fgColor indexed="64"/>
          <bgColor rgb="FF064E3B"/>
        </patternFill>
      </fill>
    </dxf>
    <dxf>
      <font>
        <b/>
        <i val="0"/>
        <color rgb="FFEF4444"/>
      </font>
    </dxf>
    <dxf>
      <font>
        <color rgb="FFF59E0B"/>
      </font>
    </dxf>
    <dxf>
      <font>
        <b/>
        <i val="0"/>
        <color rgb="FF34D399"/>
      </font>
    </dxf>
    <dxf>
      <font>
        <b/>
        <i val="0"/>
        <color rgb="FFFF4444"/>
      </font>
      <fill>
        <patternFill patternType="solid">
          <fgColor indexed="64"/>
          <bgColor rgb="FF3A1010"/>
        </patternFill>
      </fill>
    </dxf>
    <dxf>
      <font>
        <color rgb="FF2ECC71"/>
      </font>
    </dxf>
    <dxf>
      <font>
        <b/>
        <i val="0"/>
        <color rgb="FFFF4444"/>
      </font>
    </dxf>
    <dxf>
      <font>
        <b/>
        <i val="0"/>
        <color rgb="FFFF4444"/>
      </font>
    </dxf>
    <dxf>
      <font>
        <color rgb="FF2ECC71"/>
      </font>
    </dxf>
    <dxf>
      <font>
        <b/>
        <i val="0"/>
        <color rgb="FF2ECC7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07_COUVERTUR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7_COUVERTURE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udovic Labeaut" id="{B237244A-0BB3-482D-B803-2D238E1E2ABF}" userId="1e6b609a172b5570" providerId="Windows Live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3" dT="2026-03-29T18:45:53.62" personId="{B237244A-0BB3-482D-B803-2D238E1E2ABF}" id="{881F906D-1BFD-47B2-BE9E-A2DDB67D66E4}">
    <text>Ex: 'Aurelia' → utilisé dans les titres d'onglets</text>
  </threadedComment>
  <threadedComment ref="S4" dT="2026-03-29T18:45:53.63" personId="{B237244A-0BB3-482D-B803-2D238E1E2ABF}" id="{17924FC6-5888-466C-AE9C-49DC911F8006}">
    <text>Nom légal complet de la société mère</text>
  </threadedComment>
  <threadedComment ref="S5" dT="2026-03-29T18:45:53.64" personId="{B237244A-0BB3-482D-B803-2D238E1E2ABF}" id="{BFC04F74-9A00-4A7E-B1B5-DDB2439D1A9E}">
    <text>Ex: 'Groupe Aurelia' → titres bilans/PNL consolidés</text>
  </threadedComment>
  <threadedComment ref="S6" dT="2026-03-29T18:45:53.64" personId="{B237244A-0BB3-482D-B803-2D238E1E2ABF}" id="{7E8E1F6D-ADDC-4CD6-A17C-85D0B07BCC2D}">
    <text>Nom du fichier affiché en A1 de chaque onglet</text>
  </threadedComment>
  <threadedComment ref="B36" dT="2026-03-24T23:53:24.53" personId="{B237244A-0BB3-482D-B803-2D238E1E2ABF}" id="{7C76DB17-165D-4834-9479-4A424EB5307F}">
    <text>Peut être lié à NEURAL_MultiCurrency_IAS21.xlsx via :
='[NEURAL_MultiCurrency_IAS21.xlsx]01_PARAMETRES'!E17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45" dT="2026-03-25T00:18:01.86" personId="{B237244A-0BB3-482D-B803-2D238E1E2ABF}" id="{0B38BECC-CA87-45F8-8069-807A37B33635}">
    <text>EAU : 9% IS depuis juin 2023 pour bénéfices &gt; 375 000 AED.
Calcul : 9% × (18 800 - 375) ≈ 1 658 → arrondi 1 692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52" dT="2026-03-25T09:04:48.94" personId="{B237244A-0BB3-482D-B803-2D238E1E2ABF}" id="{3F3423E9-976B-4CC5-875A-66FBBF9D4C9F}">
    <text>Lié à J52 (solde ouverture calculé). Ancienne valeur manuelle : 62 000 K€ — inchangée car EUR, pas d'écart de change.</text>
  </threadedComment>
  <threadedComment ref="I52" dT="2026-03-25T09:04:48.92" personId="{B237244A-0BB3-482D-B803-2D238E1E2ABF}" id="{66DA88A7-D628-4334-8623-85AD85DDEDC1}">
    <text>Dépréciations cumulées de goodwill AU-IT au 31/03/2025 (N-1).
Saisie manuelle (fond jaune). = 0 si aucune dépréciation passée.</text>
  </threadedComment>
  <threadedComment ref="B53" dT="2026-03-25T09:04:48.94" personId="{B237244A-0BB3-482D-B803-2D238E1E2ABF}" id="{658AA928-77B4-4CC3-AD00-CCBD82A2FE99}">
    <text>Lié à J53 (solde ouverture calculé = K14/taux ouverture USD). Ancienne valeur manuelle : 43 800 K€.</text>
  </threadedComment>
  <threadedComment ref="I53" dT="2026-03-25T09:04:48.93" personId="{B237244A-0BB3-482D-B803-2D238E1E2ABF}" id="{D669F191-F8D6-4E73-9C19-7BEA09581EC6}">
    <text>Dépréciations cumulées de goodwill AU-US au 31/03/2025 (N-1) en USD.
Saisie manuelle (fond jaune). Converti en EUR via taux ouverture D36.</text>
  </threadedComment>
  <threadedComment ref="J53" dT="2026-03-25T09:04:48.93" personId="{B237244A-0BB3-482D-B803-2D238E1E2ABF}" id="{F4DD47D6-C961-449F-91DE-725263C51983}">
    <text>Solde ouverture net en EUR = (Goodwill brut USD - Dépréc. cumulées USD) / Taux ouverture USD
= (H53 - I53) / 01_PARAMETRES!D36
Conformément à IAS 21 : le goodwill est retraduit au taux de clôture N-1 (= taux d'ouverture N).</text>
  </threadedComment>
  <threadedComment ref="I54" dT="2026-03-25T09:04:48.93" personId="{B237244A-0BB3-482D-B803-2D238E1E2ABF}" id="{E01CD5A0-B352-4786-AFBF-2A98A2AC1B47}">
    <text>Dépréciations cumulées de goodwill AU-JP au 31/03/2025 (N-1) en JPY.
Saisie manuelle (fond jaune). Converti en EUR via taux ouverture D37.</text>
  </threadedComment>
  <threadedComment ref="I55" dT="2026-03-25T09:04:48.93" personId="{B237244A-0BB3-482D-B803-2D238E1E2ABF}" id="{8F0C2499-C49C-48CB-887A-7ACDD0818498}">
    <text>Dépréciations cumulées de goodwill AU-CN au 31/03/2025 (N-1) en CNY.
Saisie manuelle (fond jaune). Converti en EUR via taux ouverture D39.</text>
  </threadedComment>
  <threadedComment ref="I56" dT="2026-03-25T09:04:48.93" personId="{B237244A-0BB3-482D-B803-2D238E1E2ABF}" id="{BA1F50DB-A032-40FE-811B-273F6984D931}">
    <text>Dépréciations cumulées de goodwill AU-AE au 31/03/2025 (N-1) en AED.
Saisie manuelle (fond jaune). Converti en EUR via taux ouverture D41.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86" dT="2026-03-25T09:03:51.31" personId="{B237244A-0BB3-482D-B803-2D238E1E2ABF}" id="{5790AF99-F368-4A3C-BD34-8E0DEAE6D42F}">
    <text>Lié à 04_PNL_IND!C11 (ligne 'dont redevances intra-groupe reçues MA-FR').
= Total E5 ÉLIMINATIONS (D85). Contrôle symétrie produits mère / charges filiales.</text>
  </threadedComment>
  <threadedComment ref="F86" dT="2026-03-25T09:03:51.32" personId="{B237244A-0BB3-482D-B803-2D238E1E2ABF}" id="{9B4A3579-DBF9-4190-BF23-8E93CF7C338B}">
    <text>Charges redevances filiales converties en EUR au taux moyen P&amp;L (IAS 21):
- AU-IT : E24 (EUR, direct)
- AU-US : G24 / taux moyen USD (01_PARAMETRES!C36)
- AU-JP : I24 / taux moyen JPY (01_PARAMETRES!C37)
AU-CH, AU-CN, AU-AE : redevances = 0 selon 04_PNL_IND.</text>
  </threadedComment>
  <threadedComment ref="G86" dT="2026-03-25T09:05:17.16" personId="{B237244A-0BB3-482D-B803-2D238E1E2ABF}" id="{359BEE48-1ABB-4C2F-9F34-980BCED3A3C9}">
    <text>Écart ATTENDU si AU-CH/CN/AE ont des redevances dans E5 (D82-D84) mais pas dans 04_PNL_IND (K24/M24/O24 = 0).
Pour résorber l'écart : soit renseigner les charges redevances dans PNL_IND lignes 24 pour ces entités,
soit accepter l'écart si les montants E5 sont des redevances estimées hors périmètre P&amp;L individuel.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F7" dT="2026-03-25T09:13:34.19" personId="{B237244A-0BB3-482D-B803-2D238E1E2ABF}" id="{46950141-BD97-40A0-93C6-CBE03A2BCD46}">
    <text>Écart de conversion total OCI = 
1. Écart sur bilans filiales : 05_CONVERSION_IAS21!B127
2. Écart sur goodwill (IAS 21 §47) : 06_GOODWILL!F58
Conformément à IAS 21 §39c — les deux composantes sont en OCI.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47BC8BC-2BD0-4438-8070-FE969D7C5C90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9D985-4CC9-4877-B88F-4233D9602F56}">
  <dimension ref="A1:F35"/>
  <sheetViews>
    <sheetView workbookViewId="0"/>
  </sheetViews>
  <sheetFormatPr baseColWidth="10" defaultRowHeight="15" x14ac:dyDescent="0.25"/>
  <cols>
    <col min="1" max="1" width="10.42578125" customWidth="1"/>
    <col min="2" max="2" width="17.140625" customWidth="1"/>
    <col min="3" max="3" width="41.85546875" customWidth="1"/>
    <col min="4" max="4" width="34.28515625" customWidth="1"/>
    <col min="5" max="5" width="53.28515625" customWidth="1"/>
    <col min="6" max="6" width="38.140625" customWidth="1"/>
  </cols>
  <sheetData>
    <row r="1" spans="1:6" ht="20.100000000000001" customHeight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x14ac:dyDescent="0.25">
      <c r="A2">
        <v>1</v>
      </c>
      <c r="B2" s="3">
        <v>46105</v>
      </c>
      <c r="C2" t="s">
        <v>7</v>
      </c>
      <c r="D2" t="s">
        <v>8</v>
      </c>
      <c r="E2" t="s">
        <v>9</v>
      </c>
      <c r="F2" t="s">
        <v>151</v>
      </c>
    </row>
    <row r="3" spans="1:6" x14ac:dyDescent="0.25">
      <c r="A3">
        <v>2</v>
      </c>
      <c r="B3" s="3">
        <v>46105</v>
      </c>
      <c r="C3" t="s">
        <v>210</v>
      </c>
      <c r="D3" t="s">
        <v>211</v>
      </c>
      <c r="E3" t="s">
        <v>212</v>
      </c>
      <c r="F3" t="s">
        <v>213</v>
      </c>
    </row>
    <row r="4" spans="1:6" x14ac:dyDescent="0.25">
      <c r="A4">
        <v>3</v>
      </c>
      <c r="B4" s="3">
        <v>46106</v>
      </c>
      <c r="C4" t="s">
        <v>214</v>
      </c>
      <c r="D4" t="s">
        <v>215</v>
      </c>
      <c r="E4" t="s">
        <v>216</v>
      </c>
      <c r="F4" t="s">
        <v>217</v>
      </c>
    </row>
    <row r="5" spans="1:6" x14ac:dyDescent="0.25">
      <c r="A5">
        <v>4</v>
      </c>
      <c r="B5" s="3">
        <v>46106</v>
      </c>
      <c r="C5" t="s">
        <v>287</v>
      </c>
      <c r="D5" t="s">
        <v>288</v>
      </c>
      <c r="E5" t="s">
        <v>289</v>
      </c>
      <c r="F5" t="s">
        <v>290</v>
      </c>
    </row>
    <row r="6" spans="1:6" x14ac:dyDescent="0.25">
      <c r="A6">
        <v>5</v>
      </c>
      <c r="B6" s="3">
        <v>46106</v>
      </c>
      <c r="C6" t="s">
        <v>291</v>
      </c>
      <c r="D6" t="s">
        <v>292</v>
      </c>
      <c r="E6" t="s">
        <v>293</v>
      </c>
      <c r="F6" t="s">
        <v>294</v>
      </c>
    </row>
    <row r="7" spans="1:6" x14ac:dyDescent="0.25">
      <c r="A7">
        <v>6</v>
      </c>
      <c r="B7" s="3">
        <v>46106</v>
      </c>
      <c r="C7" t="s">
        <v>295</v>
      </c>
      <c r="D7" t="s">
        <v>296</v>
      </c>
      <c r="E7" t="s">
        <v>297</v>
      </c>
      <c r="F7" t="s">
        <v>298</v>
      </c>
    </row>
    <row r="8" spans="1:6" x14ac:dyDescent="0.25">
      <c r="A8">
        <v>7</v>
      </c>
      <c r="B8" s="3">
        <v>46106</v>
      </c>
      <c r="C8" t="s">
        <v>299</v>
      </c>
      <c r="D8" t="s">
        <v>300</v>
      </c>
      <c r="E8" t="s">
        <v>301</v>
      </c>
      <c r="F8" t="s">
        <v>302</v>
      </c>
    </row>
    <row r="9" spans="1:6" x14ac:dyDescent="0.25">
      <c r="A9">
        <v>8</v>
      </c>
      <c r="B9" s="3">
        <v>46106</v>
      </c>
      <c r="C9" t="s">
        <v>345</v>
      </c>
      <c r="D9" t="s">
        <v>346</v>
      </c>
      <c r="E9" t="s">
        <v>347</v>
      </c>
      <c r="F9" t="s">
        <v>348</v>
      </c>
    </row>
    <row r="10" spans="1:6" x14ac:dyDescent="0.25">
      <c r="A10">
        <v>9</v>
      </c>
      <c r="B10" s="3">
        <v>46106</v>
      </c>
      <c r="C10" t="s">
        <v>431</v>
      </c>
      <c r="D10" t="s">
        <v>432</v>
      </c>
      <c r="E10" t="s">
        <v>433</v>
      </c>
      <c r="F10" t="s">
        <v>434</v>
      </c>
    </row>
    <row r="11" spans="1:6" x14ac:dyDescent="0.25">
      <c r="A11" s="55">
        <v>10</v>
      </c>
      <c r="B11" s="190">
        <v>46106</v>
      </c>
      <c r="C11" s="55" t="s">
        <v>494</v>
      </c>
      <c r="D11" s="55" t="s">
        <v>495</v>
      </c>
      <c r="E11" s="55" t="s">
        <v>496</v>
      </c>
      <c r="F11" s="55" t="s">
        <v>497</v>
      </c>
    </row>
    <row r="12" spans="1:6" x14ac:dyDescent="0.25">
      <c r="A12" s="55">
        <v>11</v>
      </c>
      <c r="B12" s="190">
        <v>46106</v>
      </c>
      <c r="C12" s="55" t="s">
        <v>670</v>
      </c>
      <c r="D12" s="55" t="s">
        <v>671</v>
      </c>
      <c r="E12" s="55" t="s">
        <v>672</v>
      </c>
      <c r="F12" s="55" t="s">
        <v>673</v>
      </c>
    </row>
    <row r="13" spans="1:6" x14ac:dyDescent="0.25">
      <c r="A13" s="55">
        <v>12</v>
      </c>
      <c r="B13" s="190">
        <v>46106</v>
      </c>
      <c r="C13" s="55" t="s">
        <v>736</v>
      </c>
      <c r="D13" s="55" t="s">
        <v>737</v>
      </c>
      <c r="E13" s="55" t="s">
        <v>738</v>
      </c>
      <c r="F13" s="55" t="s">
        <v>739</v>
      </c>
    </row>
    <row r="14" spans="1:6" x14ac:dyDescent="0.25">
      <c r="A14" s="55">
        <v>13</v>
      </c>
      <c r="B14" s="190">
        <v>46106</v>
      </c>
      <c r="C14" s="55" t="s">
        <v>825</v>
      </c>
      <c r="D14" s="55" t="s">
        <v>826</v>
      </c>
      <c r="E14" s="55" t="s">
        <v>827</v>
      </c>
      <c r="F14" s="55" t="s">
        <v>828</v>
      </c>
    </row>
    <row r="15" spans="1:6" x14ac:dyDescent="0.25">
      <c r="A15" s="55">
        <v>14</v>
      </c>
      <c r="B15" s="190">
        <v>46106</v>
      </c>
      <c r="C15" s="55" t="s">
        <v>980</v>
      </c>
      <c r="D15" s="55" t="s">
        <v>981</v>
      </c>
      <c r="E15" s="55" t="s">
        <v>982</v>
      </c>
      <c r="F15" s="55" t="s">
        <v>983</v>
      </c>
    </row>
    <row r="16" spans="1:6" x14ac:dyDescent="0.25">
      <c r="A16" s="55">
        <v>15</v>
      </c>
      <c r="B16" s="190">
        <v>46106</v>
      </c>
      <c r="C16" s="55" t="s">
        <v>984</v>
      </c>
      <c r="D16" s="55" t="s">
        <v>985</v>
      </c>
      <c r="E16" s="55" t="s">
        <v>986</v>
      </c>
      <c r="F16" s="55" t="s">
        <v>987</v>
      </c>
    </row>
    <row r="17" spans="1:6" x14ac:dyDescent="0.25">
      <c r="A17" s="55">
        <v>16</v>
      </c>
      <c r="B17" s="190">
        <v>46106</v>
      </c>
      <c r="C17" s="55" t="s">
        <v>989</v>
      </c>
      <c r="D17" s="55" t="s">
        <v>990</v>
      </c>
      <c r="E17" s="55" t="s">
        <v>991</v>
      </c>
      <c r="F17" s="55" t="s">
        <v>992</v>
      </c>
    </row>
    <row r="18" spans="1:6" x14ac:dyDescent="0.25">
      <c r="A18" s="55">
        <v>17</v>
      </c>
      <c r="B18" s="190">
        <v>46106</v>
      </c>
      <c r="C18" s="55" t="s">
        <v>1005</v>
      </c>
      <c r="D18" s="55" t="s">
        <v>1006</v>
      </c>
      <c r="E18" s="55" t="s">
        <v>1007</v>
      </c>
      <c r="F18" s="55" t="s">
        <v>1008</v>
      </c>
    </row>
    <row r="19" spans="1:6" ht="96.75" x14ac:dyDescent="0.25">
      <c r="A19" s="458">
        <v>19</v>
      </c>
      <c r="B19" s="459">
        <v>46106</v>
      </c>
      <c r="C19" s="458" t="s">
        <v>1012</v>
      </c>
      <c r="D19" s="458" t="s">
        <v>1013</v>
      </c>
      <c r="E19" s="458" t="s">
        <v>1014</v>
      </c>
      <c r="F19" s="458" t="s">
        <v>1015</v>
      </c>
    </row>
    <row r="20" spans="1:6" x14ac:dyDescent="0.25">
      <c r="A20">
        <v>19</v>
      </c>
      <c r="B20" s="3">
        <v>46106</v>
      </c>
      <c r="C20" t="s">
        <v>1027</v>
      </c>
      <c r="D20" t="s">
        <v>1028</v>
      </c>
      <c r="E20" t="s">
        <v>1029</v>
      </c>
      <c r="F20" t="s">
        <v>1030</v>
      </c>
    </row>
    <row r="21" spans="1:6" x14ac:dyDescent="0.25">
      <c r="A21">
        <v>20</v>
      </c>
      <c r="B21" s="3">
        <v>46106</v>
      </c>
      <c r="C21" t="s">
        <v>1066</v>
      </c>
      <c r="D21" t="s">
        <v>1067</v>
      </c>
      <c r="E21" t="s">
        <v>1068</v>
      </c>
      <c r="F21" t="s">
        <v>1069</v>
      </c>
    </row>
    <row r="22" spans="1:6" x14ac:dyDescent="0.25">
      <c r="A22">
        <v>22</v>
      </c>
      <c r="B22" s="3">
        <v>46106</v>
      </c>
      <c r="C22" t="s">
        <v>1128</v>
      </c>
      <c r="D22" t="s">
        <v>1129</v>
      </c>
      <c r="E22" t="s">
        <v>1130</v>
      </c>
      <c r="F22" t="s">
        <v>1145</v>
      </c>
    </row>
    <row r="23" spans="1:6" x14ac:dyDescent="0.25">
      <c r="A23">
        <v>23</v>
      </c>
      <c r="B23" s="3">
        <v>46106</v>
      </c>
      <c r="C23" t="s">
        <v>1167</v>
      </c>
      <c r="D23" t="s">
        <v>1168</v>
      </c>
      <c r="E23" t="s">
        <v>1169</v>
      </c>
      <c r="F23" t="s">
        <v>1170</v>
      </c>
    </row>
    <row r="24" spans="1:6" x14ac:dyDescent="0.25">
      <c r="A24">
        <v>24</v>
      </c>
      <c r="B24" s="3">
        <v>46106</v>
      </c>
      <c r="C24" t="s">
        <v>1234</v>
      </c>
      <c r="D24" t="s">
        <v>1235</v>
      </c>
      <c r="E24" t="s">
        <v>1240</v>
      </c>
      <c r="F24" t="s">
        <v>1241</v>
      </c>
    </row>
    <row r="25" spans="1:6" x14ac:dyDescent="0.25">
      <c r="A25">
        <v>25</v>
      </c>
      <c r="B25" s="3">
        <v>46106</v>
      </c>
      <c r="C25" t="s">
        <v>1267</v>
      </c>
      <c r="D25" t="s">
        <v>1268</v>
      </c>
      <c r="E25" t="s">
        <v>1269</v>
      </c>
      <c r="F25" t="s">
        <v>1270</v>
      </c>
    </row>
    <row r="26" spans="1:6" x14ac:dyDescent="0.25">
      <c r="A26">
        <v>26</v>
      </c>
      <c r="B26" s="3">
        <v>46106</v>
      </c>
      <c r="C26" t="s">
        <v>1298</v>
      </c>
      <c r="D26" t="s">
        <v>1299</v>
      </c>
      <c r="E26" t="s">
        <v>1300</v>
      </c>
      <c r="F26" t="s">
        <v>1301</v>
      </c>
    </row>
    <row r="27" spans="1:6" x14ac:dyDescent="0.25">
      <c r="A27">
        <v>27</v>
      </c>
      <c r="B27" s="3">
        <v>46110</v>
      </c>
      <c r="C27" t="s">
        <v>1302</v>
      </c>
      <c r="D27" t="s">
        <v>1303</v>
      </c>
      <c r="E27" t="s">
        <v>1304</v>
      </c>
      <c r="F27" t="s">
        <v>1305</v>
      </c>
    </row>
    <row r="28" spans="1:6" x14ac:dyDescent="0.25">
      <c r="A28">
        <v>28</v>
      </c>
      <c r="B28" s="3">
        <v>46110</v>
      </c>
      <c r="C28" t="s">
        <v>1306</v>
      </c>
      <c r="D28" t="s">
        <v>1307</v>
      </c>
      <c r="E28" t="s">
        <v>1308</v>
      </c>
      <c r="F28" t="s">
        <v>1309</v>
      </c>
    </row>
    <row r="29" spans="1:6" x14ac:dyDescent="0.25">
      <c r="A29">
        <v>5</v>
      </c>
      <c r="B29" s="3">
        <v>46110</v>
      </c>
      <c r="C29" t="s">
        <v>1318</v>
      </c>
      <c r="D29" t="s">
        <v>1319</v>
      </c>
      <c r="E29" t="s">
        <v>1320</v>
      </c>
      <c r="F29" t="s">
        <v>1321</v>
      </c>
    </row>
    <row r="30" spans="1:6" x14ac:dyDescent="0.25">
      <c r="A30">
        <v>8</v>
      </c>
      <c r="B30" s="3">
        <v>46110</v>
      </c>
      <c r="C30" t="s">
        <v>1324</v>
      </c>
      <c r="D30" t="s">
        <v>1325</v>
      </c>
      <c r="E30" t="s">
        <v>1326</v>
      </c>
      <c r="F30" t="s">
        <v>1327</v>
      </c>
    </row>
    <row r="31" spans="1:6" x14ac:dyDescent="0.25">
      <c r="A31">
        <v>11</v>
      </c>
      <c r="B31" s="3">
        <v>46110</v>
      </c>
      <c r="C31" t="s">
        <v>1328</v>
      </c>
      <c r="D31" t="s">
        <v>1329</v>
      </c>
      <c r="E31" t="s">
        <v>1330</v>
      </c>
      <c r="F31" t="s">
        <v>1331</v>
      </c>
    </row>
    <row r="32" spans="1:6" x14ac:dyDescent="0.25">
      <c r="A32">
        <v>13</v>
      </c>
      <c r="B32" s="3">
        <v>46110</v>
      </c>
      <c r="C32" t="s">
        <v>1347</v>
      </c>
      <c r="D32" t="s">
        <v>1348</v>
      </c>
      <c r="E32" t="s">
        <v>1349</v>
      </c>
      <c r="F32" t="s">
        <v>1350</v>
      </c>
    </row>
    <row r="33" spans="1:6" x14ac:dyDescent="0.25">
      <c r="A33">
        <v>14</v>
      </c>
      <c r="B33" s="3">
        <v>46110</v>
      </c>
      <c r="C33" t="s">
        <v>1352</v>
      </c>
      <c r="D33" t="s">
        <v>1353</v>
      </c>
      <c r="E33" t="s">
        <v>1354</v>
      </c>
      <c r="F33" t="s">
        <v>1355</v>
      </c>
    </row>
    <row r="34" spans="1:6" x14ac:dyDescent="0.25">
      <c r="A34">
        <v>15</v>
      </c>
      <c r="B34" s="3">
        <v>46110</v>
      </c>
      <c r="C34" t="s">
        <v>1366</v>
      </c>
      <c r="D34" t="s">
        <v>1367</v>
      </c>
      <c r="E34" t="s">
        <v>1368</v>
      </c>
      <c r="F34" t="s">
        <v>1369</v>
      </c>
    </row>
    <row r="35" spans="1:6" x14ac:dyDescent="0.25">
      <c r="A35">
        <v>23</v>
      </c>
      <c r="B35" s="3">
        <v>46110</v>
      </c>
      <c r="C35" t="s">
        <v>1372</v>
      </c>
      <c r="D35" t="s">
        <v>1373</v>
      </c>
      <c r="E35" t="s">
        <v>1374</v>
      </c>
      <c r="F35" t="s">
        <v>1375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5A843-3484-48D0-8B27-B1631B04B37D}">
  <sheetPr>
    <tabColor rgb="FF0A0A0A"/>
  </sheetPr>
  <dimension ref="A1:S109"/>
  <sheetViews>
    <sheetView showGridLines="0" workbookViewId="0">
      <pane ySplit="1" topLeftCell="A2" activePane="bottomLeft" state="frozen"/>
      <selection pane="bottomLeft" sqref="A1:J1"/>
    </sheetView>
  </sheetViews>
  <sheetFormatPr baseColWidth="10" defaultRowHeight="15" x14ac:dyDescent="0.25"/>
  <cols>
    <col min="1" max="1" width="72" customWidth="1"/>
    <col min="2" max="2" width="43.85546875" customWidth="1"/>
    <col min="3" max="3" width="54.42578125" customWidth="1"/>
    <col min="4" max="4" width="19" customWidth="1"/>
    <col min="5" max="5" width="15.28515625" customWidth="1"/>
    <col min="6" max="6" width="22.85546875" customWidth="1"/>
    <col min="7" max="10" width="15.28515625" customWidth="1"/>
    <col min="11" max="11" width="19" customWidth="1"/>
    <col min="12" max="13" width="21" customWidth="1"/>
    <col min="14" max="14" width="30.42578125" customWidth="1"/>
    <col min="15" max="15" width="13.28515625" customWidth="1"/>
    <col min="16" max="16" width="116.5703125" bestFit="1" customWidth="1"/>
    <col min="17" max="17" width="17.140625" bestFit="1" customWidth="1"/>
    <col min="18" max="18" width="35.28515625" customWidth="1"/>
    <col min="19" max="19" width="41.85546875" customWidth="1"/>
  </cols>
  <sheetData>
    <row r="1" spans="1:19" ht="27.95" customHeight="1" x14ac:dyDescent="0.25">
      <c r="A1" s="789" t="str">
        <f>'01_PARAMETRES'!$S$6</f>
        <v>NEURAL — Consolidation Multi-Maisons</v>
      </c>
      <c r="B1" s="789"/>
      <c r="C1" s="789"/>
      <c r="D1" s="789"/>
      <c r="E1" s="789"/>
      <c r="F1" s="789"/>
      <c r="G1" s="789"/>
      <c r="H1" s="789"/>
      <c r="I1" s="789"/>
      <c r="J1" s="789"/>
      <c r="K1" s="8"/>
      <c r="L1" s="8"/>
      <c r="M1" s="8"/>
      <c r="N1" s="8"/>
      <c r="O1" s="8"/>
      <c r="R1" s="686" t="s">
        <v>1310</v>
      </c>
      <c r="S1" s="690"/>
    </row>
    <row r="2" spans="1:19" ht="18" customHeight="1" x14ac:dyDescent="0.25">
      <c r="A2" s="9" t="str">
        <f>S5&amp;" — Paramètres de Consolidation"</f>
        <v>Groupe Aurelia — Paramètres de Consolidation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R2" s="687" t="s">
        <v>1311</v>
      </c>
      <c r="S2" s="691"/>
    </row>
    <row r="3" spans="1:19" ht="21.95" customHeight="1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R3" s="688" t="s">
        <v>1312</v>
      </c>
      <c r="S3" s="692" t="s">
        <v>1313</v>
      </c>
    </row>
    <row r="4" spans="1:19" ht="21.95" customHeight="1" thickBot="1" x14ac:dyDescent="0.3">
      <c r="A4" s="869" t="s">
        <v>0</v>
      </c>
      <c r="B4" s="869"/>
      <c r="C4" s="869"/>
      <c r="D4" s="869"/>
      <c r="E4" s="869"/>
      <c r="F4" s="869"/>
      <c r="G4" s="869"/>
      <c r="H4" s="869"/>
      <c r="I4" s="869"/>
      <c r="J4" s="869"/>
      <c r="K4" s="869"/>
      <c r="L4" s="869"/>
      <c r="M4" s="869"/>
      <c r="N4" s="869"/>
      <c r="O4" s="869"/>
      <c r="R4" s="688" t="s">
        <v>1314</v>
      </c>
      <c r="S4" s="692" t="s">
        <v>21</v>
      </c>
    </row>
    <row r="5" spans="1:19" ht="21.95" customHeight="1" x14ac:dyDescent="0.25">
      <c r="A5" s="866" t="s">
        <v>11</v>
      </c>
      <c r="B5" s="11" t="str">
        <f>'01_PARAMETRES'!$S$4</f>
        <v>Maison Aurelia SAS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R5" s="688" t="s">
        <v>1315</v>
      </c>
      <c r="S5" s="692" t="s">
        <v>1316</v>
      </c>
    </row>
    <row r="6" spans="1:19" ht="21.95" customHeight="1" thickBot="1" x14ac:dyDescent="0.3">
      <c r="A6" s="867" t="s">
        <v>12</v>
      </c>
      <c r="B6" s="674" t="s">
        <v>22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R6" s="689" t="s">
        <v>1317</v>
      </c>
      <c r="S6" s="693" t="s">
        <v>10</v>
      </c>
    </row>
    <row r="7" spans="1:19" x14ac:dyDescent="0.25">
      <c r="A7" s="867" t="s">
        <v>13</v>
      </c>
      <c r="B7" s="673" t="s">
        <v>23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9" x14ac:dyDescent="0.25">
      <c r="A8" s="867" t="s">
        <v>14</v>
      </c>
      <c r="B8" s="674" t="s">
        <v>24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19" x14ac:dyDescent="0.25">
      <c r="A9" s="867" t="s">
        <v>15</v>
      </c>
      <c r="B9" s="673" t="s">
        <v>24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9" x14ac:dyDescent="0.25">
      <c r="A10" s="867" t="s">
        <v>16</v>
      </c>
      <c r="B10" s="11" t="s">
        <v>25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9" x14ac:dyDescent="0.25">
      <c r="A11" s="867" t="s">
        <v>17</v>
      </c>
      <c r="B11" s="39">
        <v>46112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9" x14ac:dyDescent="0.25">
      <c r="A12" s="867" t="s">
        <v>18</v>
      </c>
      <c r="B12" s="674" t="s">
        <v>26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9" x14ac:dyDescent="0.25">
      <c r="A13" s="867" t="s">
        <v>19</v>
      </c>
      <c r="B13" s="11" t="s">
        <v>27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9" ht="15.75" thickBot="1" x14ac:dyDescent="0.3">
      <c r="A14" s="868" t="s">
        <v>20</v>
      </c>
      <c r="B14" s="11" t="s">
        <v>28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9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9" ht="21.95" customHeight="1" thickBot="1" x14ac:dyDescent="0.3">
      <c r="A16" s="791" t="s">
        <v>29</v>
      </c>
      <c r="B16" s="791"/>
      <c r="C16" s="791"/>
      <c r="D16" s="791"/>
      <c r="E16" s="791"/>
      <c r="F16" s="791"/>
      <c r="G16" s="791"/>
      <c r="H16" s="791"/>
      <c r="I16" s="791"/>
      <c r="J16" s="791"/>
      <c r="K16" s="791"/>
      <c r="L16" s="791"/>
      <c r="M16" s="791"/>
      <c r="N16" s="791"/>
      <c r="O16" s="791"/>
      <c r="P16" s="791"/>
      <c r="Q16" s="791"/>
    </row>
    <row r="17" spans="1:17" ht="21.95" customHeight="1" thickBot="1" x14ac:dyDescent="0.3">
      <c r="A17" s="676" t="s">
        <v>30</v>
      </c>
      <c r="B17" s="677" t="s">
        <v>31</v>
      </c>
      <c r="C17" s="677" t="s">
        <v>32</v>
      </c>
      <c r="D17" s="677" t="s">
        <v>33</v>
      </c>
      <c r="E17" s="677" t="s">
        <v>34</v>
      </c>
      <c r="F17" s="677" t="s">
        <v>35</v>
      </c>
      <c r="G17" s="677" t="s">
        <v>36</v>
      </c>
      <c r="H17" s="677" t="s">
        <v>37</v>
      </c>
      <c r="I17" s="677" t="s">
        <v>38</v>
      </c>
      <c r="J17" s="677" t="s">
        <v>39</v>
      </c>
      <c r="K17" s="677" t="s">
        <v>40</v>
      </c>
      <c r="L17" s="677" t="s">
        <v>41</v>
      </c>
      <c r="M17" s="677" t="s">
        <v>42</v>
      </c>
      <c r="N17" s="677" t="s">
        <v>43</v>
      </c>
      <c r="O17" s="678" t="s">
        <v>44</v>
      </c>
      <c r="P17" s="679" t="s">
        <v>1163</v>
      </c>
      <c r="Q17" s="680" t="s">
        <v>1164</v>
      </c>
    </row>
    <row r="18" spans="1:17" ht="20.100000000000001" customHeight="1" x14ac:dyDescent="0.25">
      <c r="A18" s="681" t="s">
        <v>45</v>
      </c>
      <c r="B18" s="682" t="s">
        <v>21</v>
      </c>
      <c r="C18" s="682" t="s">
        <v>46</v>
      </c>
      <c r="D18" s="682" t="s">
        <v>47</v>
      </c>
      <c r="E18" s="682" t="s">
        <v>24</v>
      </c>
      <c r="F18" s="682" t="s">
        <v>22</v>
      </c>
      <c r="G18" s="683">
        <v>1</v>
      </c>
      <c r="H18" s="683">
        <f t="shared" ref="H18:H25" si="0">VLOOKUP(A18,$A$86:$F$93,6,FALSE)-G18</f>
        <v>0</v>
      </c>
      <c r="I18" s="683">
        <f t="shared" ref="I18:I25" si="1">G18+H18</f>
        <v>1</v>
      </c>
      <c r="J18" s="683">
        <v>1</v>
      </c>
      <c r="K18" s="675" t="s">
        <v>48</v>
      </c>
      <c r="L18" s="682"/>
      <c r="M18" s="684">
        <v>40269</v>
      </c>
      <c r="N18" s="682" t="s">
        <v>49</v>
      </c>
      <c r="O18" s="685" t="s">
        <v>50</v>
      </c>
      <c r="P18" s="578" t="s">
        <v>48</v>
      </c>
      <c r="Q18" s="579" t="s">
        <v>1165</v>
      </c>
    </row>
    <row r="19" spans="1:17" ht="20.100000000000001" customHeight="1" x14ac:dyDescent="0.25">
      <c r="A19" s="545" t="s">
        <v>51</v>
      </c>
      <c r="B19" s="546" t="s">
        <v>52</v>
      </c>
      <c r="C19" s="546" t="s">
        <v>53</v>
      </c>
      <c r="D19" s="546" t="s">
        <v>54</v>
      </c>
      <c r="E19" s="546" t="s">
        <v>24</v>
      </c>
      <c r="F19" s="546" t="s">
        <v>55</v>
      </c>
      <c r="G19" s="547">
        <v>0.95</v>
      </c>
      <c r="H19" s="547">
        <f t="shared" si="0"/>
        <v>0</v>
      </c>
      <c r="I19" s="547">
        <f t="shared" si="1"/>
        <v>0.95</v>
      </c>
      <c r="J19" s="547">
        <v>0.95</v>
      </c>
      <c r="K19" s="546" t="s">
        <v>56</v>
      </c>
      <c r="L19" s="548">
        <v>42262</v>
      </c>
      <c r="M19" s="548">
        <v>42278</v>
      </c>
      <c r="N19" s="546" t="s">
        <v>57</v>
      </c>
      <c r="O19" s="549" t="s">
        <v>50</v>
      </c>
      <c r="P19" s="580" t="str">
        <f t="shared" ref="P19:P25" si="2">IF(K19="Mère","Mère",IF(J19&gt;0.5,"IG — Intégration Globale (IFRS 10)",IF(AND(J19&gt;=0.2,J19&lt;=0.5),"MEE — Mise en Équivalence (IAS 28)","IFRS 9 — Actif financier")))</f>
        <v>IG — Intégration Globale (IFRS 10)</v>
      </c>
      <c r="Q19" s="581" t="str">
        <f t="shared" ref="Q19:Q25" si="3">IF(K19="Mère","✅ Mère",IF(K19=LEFT(P19,FIND(" —",P19)-1),"✅ OK","⚠️ Manuelle ≠ Auto → documenter contrôle de fait"))</f>
        <v>✅ OK</v>
      </c>
    </row>
    <row r="20" spans="1:17" ht="20.100000000000001" customHeight="1" x14ac:dyDescent="0.25">
      <c r="A20" s="545" t="s">
        <v>58</v>
      </c>
      <c r="B20" s="546" t="s">
        <v>59</v>
      </c>
      <c r="C20" s="546" t="s">
        <v>60</v>
      </c>
      <c r="D20" s="546" t="s">
        <v>61</v>
      </c>
      <c r="E20" s="546" t="s">
        <v>62</v>
      </c>
      <c r="F20" s="546" t="s">
        <v>63</v>
      </c>
      <c r="G20" s="547">
        <v>1</v>
      </c>
      <c r="H20" s="547">
        <f t="shared" si="0"/>
        <v>0</v>
      </c>
      <c r="I20" s="547">
        <f t="shared" si="1"/>
        <v>1</v>
      </c>
      <c r="J20" s="547">
        <v>1</v>
      </c>
      <c r="K20" s="546" t="s">
        <v>56</v>
      </c>
      <c r="L20" s="548">
        <v>42795</v>
      </c>
      <c r="M20" s="548">
        <v>42826</v>
      </c>
      <c r="N20" s="546" t="s">
        <v>64</v>
      </c>
      <c r="O20" s="549" t="s">
        <v>50</v>
      </c>
      <c r="P20" s="580" t="str">
        <f t="shared" si="2"/>
        <v>IG — Intégration Globale (IFRS 10)</v>
      </c>
      <c r="Q20" s="581" t="str">
        <f t="shared" si="3"/>
        <v>✅ OK</v>
      </c>
    </row>
    <row r="21" spans="1:17" ht="20.100000000000001" customHeight="1" x14ac:dyDescent="0.25">
      <c r="A21" s="545" t="s">
        <v>65</v>
      </c>
      <c r="B21" s="546" t="s">
        <v>66</v>
      </c>
      <c r="C21" s="546" t="s">
        <v>67</v>
      </c>
      <c r="D21" s="546" t="s">
        <v>68</v>
      </c>
      <c r="E21" s="546" t="s">
        <v>69</v>
      </c>
      <c r="F21" s="546" t="s">
        <v>70</v>
      </c>
      <c r="G21" s="547">
        <v>0.8</v>
      </c>
      <c r="H21" s="547">
        <f t="shared" si="0"/>
        <v>0</v>
      </c>
      <c r="I21" s="547">
        <f t="shared" si="1"/>
        <v>0.8</v>
      </c>
      <c r="J21" s="547">
        <v>0.8</v>
      </c>
      <c r="K21" s="546" t="s">
        <v>56</v>
      </c>
      <c r="L21" s="548">
        <v>43282</v>
      </c>
      <c r="M21" s="548">
        <v>43282</v>
      </c>
      <c r="N21" s="546" t="s">
        <v>64</v>
      </c>
      <c r="O21" s="549" t="s">
        <v>50</v>
      </c>
      <c r="P21" s="580" t="str">
        <f t="shared" si="2"/>
        <v>IG — Intégration Globale (IFRS 10)</v>
      </c>
      <c r="Q21" s="581" t="str">
        <f t="shared" si="3"/>
        <v>✅ OK</v>
      </c>
    </row>
    <row r="22" spans="1:17" ht="20.100000000000001" customHeight="1" x14ac:dyDescent="0.25">
      <c r="A22" s="545" t="s">
        <v>71</v>
      </c>
      <c r="B22" s="546" t="s">
        <v>72</v>
      </c>
      <c r="C22" s="546" t="s">
        <v>73</v>
      </c>
      <c r="D22" s="546" t="s">
        <v>74</v>
      </c>
      <c r="E22" s="546" t="s">
        <v>75</v>
      </c>
      <c r="F22" s="546" t="s">
        <v>76</v>
      </c>
      <c r="G22" s="547">
        <v>1</v>
      </c>
      <c r="H22" s="547">
        <f t="shared" si="0"/>
        <v>0</v>
      </c>
      <c r="I22" s="547">
        <f t="shared" si="1"/>
        <v>1</v>
      </c>
      <c r="J22" s="547">
        <v>1</v>
      </c>
      <c r="K22" s="546" t="s">
        <v>56</v>
      </c>
      <c r="L22" s="548">
        <v>41640</v>
      </c>
      <c r="M22" s="548">
        <v>41640</v>
      </c>
      <c r="N22" s="546" t="s">
        <v>77</v>
      </c>
      <c r="O22" s="549" t="s">
        <v>50</v>
      </c>
      <c r="P22" s="580" t="str">
        <f t="shared" si="2"/>
        <v>IG — Intégration Globale (IFRS 10)</v>
      </c>
      <c r="Q22" s="581" t="str">
        <f t="shared" si="3"/>
        <v>✅ OK</v>
      </c>
    </row>
    <row r="23" spans="1:17" ht="20.100000000000001" customHeight="1" x14ac:dyDescent="0.25">
      <c r="A23" s="545" t="s">
        <v>78</v>
      </c>
      <c r="B23" s="546" t="s">
        <v>79</v>
      </c>
      <c r="C23" s="546" t="s">
        <v>80</v>
      </c>
      <c r="D23" s="546" t="s">
        <v>81</v>
      </c>
      <c r="E23" s="546" t="s">
        <v>82</v>
      </c>
      <c r="F23" s="546" t="s">
        <v>83</v>
      </c>
      <c r="G23" s="547">
        <v>0.7</v>
      </c>
      <c r="H23" s="547">
        <f t="shared" si="0"/>
        <v>0</v>
      </c>
      <c r="I23" s="547">
        <f t="shared" si="1"/>
        <v>0.7</v>
      </c>
      <c r="J23" s="547">
        <v>0.7</v>
      </c>
      <c r="K23" s="546" t="s">
        <v>56</v>
      </c>
      <c r="L23" s="548">
        <v>43997</v>
      </c>
      <c r="M23" s="548">
        <v>44013</v>
      </c>
      <c r="N23" s="546" t="s">
        <v>64</v>
      </c>
      <c r="O23" s="549" t="s">
        <v>50</v>
      </c>
      <c r="P23" s="580" t="str">
        <f t="shared" si="2"/>
        <v>IG — Intégration Globale (IFRS 10)</v>
      </c>
      <c r="Q23" s="581" t="str">
        <f t="shared" si="3"/>
        <v>✅ OK</v>
      </c>
    </row>
    <row r="24" spans="1:17" ht="20.100000000000001" customHeight="1" x14ac:dyDescent="0.25">
      <c r="A24" s="545" t="s">
        <v>84</v>
      </c>
      <c r="B24" s="546" t="s">
        <v>85</v>
      </c>
      <c r="C24" s="546" t="s">
        <v>86</v>
      </c>
      <c r="D24" s="546" t="s">
        <v>87</v>
      </c>
      <c r="E24" s="546" t="s">
        <v>88</v>
      </c>
      <c r="F24" s="546" t="s">
        <v>89</v>
      </c>
      <c r="G24" s="547">
        <v>0</v>
      </c>
      <c r="H24" s="547">
        <f t="shared" si="0"/>
        <v>0.35</v>
      </c>
      <c r="I24" s="547">
        <f t="shared" si="1"/>
        <v>0.35</v>
      </c>
      <c r="J24" s="547">
        <v>0.35</v>
      </c>
      <c r="K24" s="550" t="s">
        <v>90</v>
      </c>
      <c r="L24" s="548">
        <v>44501</v>
      </c>
      <c r="M24" s="548">
        <v>44562</v>
      </c>
      <c r="N24" s="546" t="s">
        <v>91</v>
      </c>
      <c r="O24" s="549" t="s">
        <v>50</v>
      </c>
      <c r="P24" s="580" t="str">
        <f t="shared" si="2"/>
        <v>MEE — Mise en Équivalence (IAS 28)</v>
      </c>
      <c r="Q24" s="581" t="str">
        <f t="shared" si="3"/>
        <v>✅ OK</v>
      </c>
    </row>
    <row r="25" spans="1:17" ht="20.100000000000001" customHeight="1" x14ac:dyDescent="0.25">
      <c r="A25" s="551" t="s">
        <v>92</v>
      </c>
      <c r="B25" s="552" t="s">
        <v>93</v>
      </c>
      <c r="C25" s="552" t="s">
        <v>94</v>
      </c>
      <c r="D25" s="552" t="s">
        <v>95</v>
      </c>
      <c r="E25" s="552" t="s">
        <v>96</v>
      </c>
      <c r="F25" s="552" t="s">
        <v>97</v>
      </c>
      <c r="G25" s="553">
        <v>0</v>
      </c>
      <c r="H25" s="553">
        <f t="shared" si="0"/>
        <v>1</v>
      </c>
      <c r="I25" s="553">
        <f t="shared" si="1"/>
        <v>1</v>
      </c>
      <c r="J25" s="553">
        <v>1</v>
      </c>
      <c r="K25" s="552" t="s">
        <v>56</v>
      </c>
      <c r="L25" s="554">
        <v>44805</v>
      </c>
      <c r="M25" s="554">
        <v>44835</v>
      </c>
      <c r="N25" s="552" t="s">
        <v>64</v>
      </c>
      <c r="O25" s="555" t="s">
        <v>50</v>
      </c>
      <c r="P25" s="580" t="str">
        <f t="shared" si="2"/>
        <v>IG — Intégration Globale (IFRS 10)</v>
      </c>
      <c r="Q25" s="581" t="str">
        <f t="shared" si="3"/>
        <v>✅ OK</v>
      </c>
    </row>
    <row r="26" spans="1:17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582" t="s">
        <v>1166</v>
      </c>
    </row>
    <row r="27" spans="1:17" ht="21.95" customHeight="1" x14ac:dyDescent="0.25">
      <c r="A27" s="543" t="s">
        <v>98</v>
      </c>
      <c r="B27" s="544"/>
      <c r="C27" s="544"/>
      <c r="D27" s="544"/>
      <c r="E27" s="544"/>
      <c r="F27" s="544"/>
      <c r="G27" s="544"/>
      <c r="H27" s="544"/>
      <c r="I27" s="544"/>
      <c r="J27" s="544"/>
      <c r="K27" s="544"/>
      <c r="L27" s="544"/>
      <c r="M27" s="544"/>
      <c r="N27" s="544"/>
      <c r="O27" s="544"/>
    </row>
    <row r="28" spans="1:17" x14ac:dyDescent="0.25">
      <c r="A28" s="13" t="s">
        <v>99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17" x14ac:dyDescent="0.25">
      <c r="A29" s="13" t="s">
        <v>100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7" x14ac:dyDescent="0.25">
      <c r="A30" s="13" t="s">
        <v>101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1:17" x14ac:dyDescent="0.25">
      <c r="A31" s="13" t="s">
        <v>102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7" x14ac:dyDescent="0.25">
      <c r="A32" s="13" t="s">
        <v>103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spans="1:15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ht="21.95" customHeight="1" x14ac:dyDescent="0.25">
      <c r="A34" s="31" t="s">
        <v>104</v>
      </c>
      <c r="B34" s="32" t="s">
        <v>105</v>
      </c>
      <c r="C34" s="32" t="s">
        <v>106</v>
      </c>
      <c r="D34" s="32" t="s">
        <v>107</v>
      </c>
      <c r="E34" s="32" t="s">
        <v>108</v>
      </c>
      <c r="F34" s="33" t="s">
        <v>109</v>
      </c>
      <c r="G34" s="8"/>
      <c r="H34" s="8"/>
      <c r="I34" s="8"/>
      <c r="J34" s="8"/>
      <c r="K34" s="8"/>
      <c r="L34" s="8"/>
      <c r="M34" s="8"/>
      <c r="N34" s="8"/>
      <c r="O34" s="8"/>
    </row>
    <row r="35" spans="1:15" ht="20.100000000000001" customHeight="1" x14ac:dyDescent="0.25">
      <c r="A35" s="556" t="s">
        <v>24</v>
      </c>
      <c r="B35" s="35">
        <v>1</v>
      </c>
      <c r="C35" s="35">
        <v>1</v>
      </c>
      <c r="D35" s="35">
        <v>1</v>
      </c>
      <c r="E35" s="559">
        <v>1</v>
      </c>
      <c r="F35" s="560" t="s">
        <v>110</v>
      </c>
      <c r="G35" s="8"/>
      <c r="H35" s="8"/>
      <c r="I35" s="8"/>
      <c r="J35" s="8"/>
      <c r="K35" s="8"/>
      <c r="L35" s="8"/>
      <c r="M35" s="8"/>
      <c r="N35" s="8"/>
      <c r="O35" s="8"/>
    </row>
    <row r="36" spans="1:15" ht="20.100000000000001" customHeight="1" x14ac:dyDescent="0.25">
      <c r="A36" s="557" t="s">
        <v>62</v>
      </c>
      <c r="B36" s="36">
        <v>1.1020000000000001</v>
      </c>
      <c r="C36" s="36">
        <v>1.0940000000000001</v>
      </c>
      <c r="D36" s="36">
        <v>1.085</v>
      </c>
      <c r="E36" s="559">
        <v>1.0680000000000001</v>
      </c>
      <c r="F36" s="560" t="s">
        <v>111</v>
      </c>
      <c r="G36" s="8"/>
      <c r="H36" s="8"/>
      <c r="I36" s="8"/>
      <c r="J36" s="8"/>
      <c r="K36" s="8"/>
      <c r="L36" s="8"/>
      <c r="M36" s="8"/>
      <c r="N36" s="8"/>
      <c r="O36" s="8"/>
    </row>
    <row r="37" spans="1:15" ht="20.100000000000001" customHeight="1" x14ac:dyDescent="0.25">
      <c r="A37" s="557" t="s">
        <v>69</v>
      </c>
      <c r="B37" s="37">
        <v>164.8</v>
      </c>
      <c r="C37" s="37">
        <v>163.19999999999999</v>
      </c>
      <c r="D37" s="37">
        <v>162.5</v>
      </c>
      <c r="E37" s="561">
        <v>130.4</v>
      </c>
      <c r="F37" s="560" t="s">
        <v>111</v>
      </c>
      <c r="G37" s="8"/>
      <c r="H37" s="8"/>
      <c r="I37" s="8"/>
      <c r="J37" s="8"/>
      <c r="K37" s="8"/>
      <c r="L37" s="8"/>
      <c r="M37" s="8"/>
      <c r="N37" s="8"/>
      <c r="O37" s="8"/>
    </row>
    <row r="38" spans="1:15" ht="20.100000000000001" customHeight="1" x14ac:dyDescent="0.25">
      <c r="A38" s="557" t="s">
        <v>75</v>
      </c>
      <c r="B38" s="36">
        <v>0.93500000000000005</v>
      </c>
      <c r="C38" s="36">
        <v>0.93899999999999995</v>
      </c>
      <c r="D38" s="36">
        <v>0.94199999999999995</v>
      </c>
      <c r="E38" s="559">
        <v>1.234</v>
      </c>
      <c r="F38" s="560" t="s">
        <v>111</v>
      </c>
      <c r="G38" s="8"/>
      <c r="H38" s="8"/>
      <c r="I38" s="8"/>
      <c r="J38" s="8"/>
      <c r="K38" s="8"/>
      <c r="L38" s="8"/>
      <c r="M38" s="8"/>
      <c r="N38" s="8"/>
      <c r="O38" s="8"/>
    </row>
    <row r="39" spans="1:15" ht="20.100000000000001" customHeight="1" x14ac:dyDescent="0.25">
      <c r="A39" s="557" t="s">
        <v>82</v>
      </c>
      <c r="B39" s="36">
        <v>7.98</v>
      </c>
      <c r="C39" s="36">
        <v>7.9</v>
      </c>
      <c r="D39" s="36">
        <v>7.82</v>
      </c>
      <c r="E39" s="559">
        <v>7.6719999999999997</v>
      </c>
      <c r="F39" s="560" t="s">
        <v>111</v>
      </c>
      <c r="G39" s="8"/>
      <c r="H39" s="8"/>
      <c r="I39" s="8"/>
      <c r="J39" s="8"/>
      <c r="K39" s="8"/>
      <c r="L39" s="8"/>
      <c r="M39" s="8"/>
      <c r="N39" s="8"/>
      <c r="O39" s="8"/>
    </row>
    <row r="40" spans="1:15" ht="20.100000000000001" customHeight="1" x14ac:dyDescent="0.25">
      <c r="A40" s="557" t="s">
        <v>88</v>
      </c>
      <c r="B40" s="36">
        <v>8.59</v>
      </c>
      <c r="C40" s="36">
        <v>8.5299999999999994</v>
      </c>
      <c r="D40" s="36">
        <v>8.48</v>
      </c>
      <c r="E40" s="559">
        <v>8.8640000000000008</v>
      </c>
      <c r="F40" s="560" t="s">
        <v>111</v>
      </c>
      <c r="G40" s="8"/>
      <c r="H40" s="8"/>
      <c r="I40" s="8"/>
      <c r="J40" s="8"/>
      <c r="K40" s="8"/>
      <c r="L40" s="8"/>
      <c r="M40" s="8"/>
      <c r="N40" s="8"/>
      <c r="O40" s="8"/>
    </row>
    <row r="41" spans="1:15" ht="20.100000000000001" customHeight="1" x14ac:dyDescent="0.25">
      <c r="A41" s="558" t="s">
        <v>96</v>
      </c>
      <c r="B41" s="38">
        <v>4.048</v>
      </c>
      <c r="C41" s="38">
        <v>4.0170000000000003</v>
      </c>
      <c r="D41" s="38">
        <v>3.9849999999999999</v>
      </c>
      <c r="E41" s="562">
        <v>3.9239999999999999</v>
      </c>
      <c r="F41" s="563" t="s">
        <v>111</v>
      </c>
      <c r="G41" s="8"/>
      <c r="H41" s="8"/>
      <c r="I41" s="8"/>
      <c r="J41" s="8"/>
      <c r="K41" s="8"/>
      <c r="L41" s="8"/>
      <c r="M41" s="8"/>
      <c r="N41" s="8"/>
      <c r="O41" s="8"/>
    </row>
    <row r="42" spans="1:15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</row>
    <row r="43" spans="1:15" ht="21.95" customHeight="1" x14ac:dyDescent="0.25">
      <c r="A43" s="10" t="s">
        <v>112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</row>
    <row r="44" spans="1:15" x14ac:dyDescent="0.25">
      <c r="A44" s="15" t="s">
        <v>113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</row>
    <row r="45" spans="1:15" ht="18.95" customHeight="1" x14ac:dyDescent="0.25">
      <c r="A45" s="16" t="s">
        <v>114</v>
      </c>
      <c r="B45" s="17">
        <v>207000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  <row r="46" spans="1:15" ht="18.95" customHeight="1" x14ac:dyDescent="0.25">
      <c r="A46" s="18" t="s">
        <v>115</v>
      </c>
      <c r="B46" s="19">
        <v>2907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</row>
    <row r="47" spans="1:15" ht="18.95" customHeight="1" x14ac:dyDescent="0.25">
      <c r="A47" s="532" t="s">
        <v>1131</v>
      </c>
      <c r="B47" s="17">
        <v>105100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spans="1:15" ht="18.95" customHeight="1" x14ac:dyDescent="0.25">
      <c r="A48" s="533" t="s">
        <v>1132</v>
      </c>
      <c r="B48" s="19">
        <v>106800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</row>
    <row r="49" spans="1:15" ht="18.95" customHeight="1" x14ac:dyDescent="0.25">
      <c r="A49" s="534" t="s">
        <v>1133</v>
      </c>
      <c r="B49" s="17">
        <v>120000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spans="1:15" ht="18.95" customHeight="1" x14ac:dyDescent="0.25">
      <c r="A50" s="535" t="s">
        <v>1134</v>
      </c>
      <c r="B50" s="19">
        <v>105500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</row>
    <row r="51" spans="1:15" ht="18.95" customHeight="1" x14ac:dyDescent="0.25">
      <c r="A51" s="536"/>
      <c r="B51" s="536"/>
      <c r="C51" s="536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spans="1:15" ht="18.95" customHeight="1" x14ac:dyDescent="0.25">
      <c r="A52" s="537"/>
      <c r="B52" s="538"/>
      <c r="C52" s="539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</row>
    <row r="53" spans="1:15" ht="18.95" customHeight="1" x14ac:dyDescent="0.25">
      <c r="A53" s="537"/>
      <c r="B53" s="538"/>
      <c r="C53" s="539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x14ac:dyDescent="0.25">
      <c r="A54" s="537"/>
      <c r="B54" s="537"/>
      <c r="C54" s="539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</row>
    <row r="55" spans="1:15" ht="21.95" customHeight="1" x14ac:dyDescent="0.25">
      <c r="A55" s="538"/>
      <c r="B55" s="537"/>
      <c r="C55" s="53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ht="20.100000000000001" customHeight="1" x14ac:dyDescent="0.25">
      <c r="A56" s="694" t="s">
        <v>1135</v>
      </c>
      <c r="B56" s="695">
        <v>0.1</v>
      </c>
      <c r="C56" s="696" t="s">
        <v>1136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</row>
    <row r="57" spans="1:15" ht="20.100000000000001" customHeight="1" x14ac:dyDescent="0.25">
      <c r="A57" s="694" t="s">
        <v>1137</v>
      </c>
      <c r="B57" s="695">
        <v>0.02</v>
      </c>
      <c r="C57" s="696" t="s">
        <v>1138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ht="20.100000000000001" customHeight="1" x14ac:dyDescent="0.25">
      <c r="A58" s="694" t="s">
        <v>1139</v>
      </c>
      <c r="B58" s="694">
        <v>5</v>
      </c>
      <c r="C58" s="696" t="s">
        <v>1140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</row>
    <row r="59" spans="1:15" ht="20.100000000000001" customHeight="1" x14ac:dyDescent="0.25">
      <c r="A59" s="537"/>
      <c r="B59" s="537"/>
      <c r="C59" s="539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spans="1:15" x14ac:dyDescent="0.25">
      <c r="A60" s="537"/>
      <c r="B60" s="537"/>
      <c r="C60" s="539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</row>
    <row r="61" spans="1:15" ht="21.95" customHeight="1" x14ac:dyDescent="0.25">
      <c r="A61" s="538"/>
      <c r="B61" s="537"/>
      <c r="C61" s="539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</row>
    <row r="62" spans="1:15" x14ac:dyDescent="0.25">
      <c r="A62" s="14" t="s">
        <v>117</v>
      </c>
      <c r="B62" s="14" t="s">
        <v>118</v>
      </c>
      <c r="C62" s="14" t="s">
        <v>2</v>
      </c>
      <c r="D62" s="14" t="s">
        <v>119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</row>
    <row r="63" spans="1:15" ht="18.95" customHeight="1" x14ac:dyDescent="0.25">
      <c r="A63" s="20" t="s">
        <v>120</v>
      </c>
      <c r="B63" s="20" t="s">
        <v>110</v>
      </c>
      <c r="C63" s="20" t="s">
        <v>110</v>
      </c>
      <c r="D63" s="20" t="s">
        <v>121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ht="18.95" customHeight="1" x14ac:dyDescent="0.25">
      <c r="A64" s="21" t="s">
        <v>122</v>
      </c>
      <c r="B64" s="21" t="s">
        <v>110</v>
      </c>
      <c r="C64" s="21" t="s">
        <v>110</v>
      </c>
      <c r="D64" s="21" t="s">
        <v>123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</row>
    <row r="65" spans="1:15" ht="18.95" customHeight="1" x14ac:dyDescent="0.25">
      <c r="A65" s="20" t="s">
        <v>124</v>
      </c>
      <c r="B65" s="20" t="s">
        <v>110</v>
      </c>
      <c r="C65" s="20" t="s">
        <v>110</v>
      </c>
      <c r="D65" s="20" t="s">
        <v>125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</row>
    <row r="66" spans="1:15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</row>
    <row r="67" spans="1:15" x14ac:dyDescent="0.25">
      <c r="A67" s="22" t="s">
        <v>126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spans="1:15" x14ac:dyDescent="0.25">
      <c r="A68" s="22" t="s">
        <v>127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</row>
    <row r="69" spans="1:15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 spans="1:15" ht="21.95" customHeight="1" x14ac:dyDescent="0.25">
      <c r="A70" s="790" t="s">
        <v>128</v>
      </c>
      <c r="B70" s="790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</row>
    <row r="71" spans="1:15" x14ac:dyDescent="0.25">
      <c r="A71" s="14" t="s">
        <v>129</v>
      </c>
      <c r="B71" s="14" t="s">
        <v>130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</row>
    <row r="72" spans="1:15" ht="18" customHeight="1" x14ac:dyDescent="0.25">
      <c r="A72" s="23" t="s">
        <v>131</v>
      </c>
      <c r="B72" s="20" t="s">
        <v>132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</row>
    <row r="73" spans="1:15" ht="18" customHeight="1" x14ac:dyDescent="0.25">
      <c r="A73" s="24" t="s">
        <v>133</v>
      </c>
      <c r="B73" s="21" t="s">
        <v>134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 spans="1:15" ht="18" customHeight="1" x14ac:dyDescent="0.25">
      <c r="A74" s="23" t="s">
        <v>135</v>
      </c>
      <c r="B74" s="20" t="s">
        <v>136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</row>
    <row r="75" spans="1:15" ht="18" customHeight="1" x14ac:dyDescent="0.25">
      <c r="A75" s="24" t="s">
        <v>137</v>
      </c>
      <c r="B75" s="21" t="s">
        <v>138</v>
      </c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spans="1:15" ht="18" customHeight="1" x14ac:dyDescent="0.25">
      <c r="A76" s="23" t="s">
        <v>139</v>
      </c>
      <c r="B76" s="20" t="s">
        <v>140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</row>
    <row r="77" spans="1:15" ht="18" customHeight="1" x14ac:dyDescent="0.25">
      <c r="A77" s="24" t="s">
        <v>141</v>
      </c>
      <c r="B77" s="21" t="s">
        <v>142</v>
      </c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spans="1:15" ht="18" customHeight="1" x14ac:dyDescent="0.25">
      <c r="A78" s="23" t="s">
        <v>143</v>
      </c>
      <c r="B78" s="20" t="s">
        <v>144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</row>
    <row r="79" spans="1:15" ht="18" customHeight="1" x14ac:dyDescent="0.25">
      <c r="A79" s="24" t="s">
        <v>145</v>
      </c>
      <c r="B79" s="21" t="s">
        <v>146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 spans="1:15" ht="18" customHeight="1" x14ac:dyDescent="0.25">
      <c r="A80" s="23" t="s">
        <v>147</v>
      </c>
      <c r="B80" s="20" t="s">
        <v>148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</row>
    <row r="81" spans="1:15" ht="18" customHeight="1" x14ac:dyDescent="0.25">
      <c r="A81" s="24" t="s">
        <v>149</v>
      </c>
      <c r="B81" s="21" t="s">
        <v>150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</row>
    <row r="82" spans="1:15" ht="18" customHeight="1" x14ac:dyDescent="0.25">
      <c r="A82" s="97"/>
      <c r="B82" s="564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</row>
    <row r="83" spans="1:15" ht="18" customHeight="1" x14ac:dyDescent="0.25">
      <c r="A83" s="97"/>
      <c r="B83" s="564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 spans="1:15" x14ac:dyDescent="0.25">
      <c r="A84" s="435" t="s">
        <v>973</v>
      </c>
    </row>
    <row r="85" spans="1:15" x14ac:dyDescent="0.25">
      <c r="A85" s="436" t="s">
        <v>118</v>
      </c>
      <c r="B85" s="436" t="s">
        <v>974</v>
      </c>
      <c r="C85" s="437" t="s">
        <v>975</v>
      </c>
      <c r="D85" s="437" t="s">
        <v>976</v>
      </c>
      <c r="E85" s="437" t="s">
        <v>977</v>
      </c>
      <c r="F85" s="437" t="s">
        <v>978</v>
      </c>
      <c r="G85" s="438" t="s">
        <v>979</v>
      </c>
    </row>
    <row r="86" spans="1:15" x14ac:dyDescent="0.25">
      <c r="A86" s="439" t="s">
        <v>45</v>
      </c>
      <c r="B86" s="439" t="s">
        <v>110</v>
      </c>
      <c r="C86" s="441">
        <v>1</v>
      </c>
      <c r="D86" s="439" t="s">
        <v>110</v>
      </c>
      <c r="E86" s="441">
        <v>1</v>
      </c>
      <c r="F86" s="441">
        <f>C86</f>
        <v>1</v>
      </c>
      <c r="G86" s="443" t="str">
        <f t="shared" ref="G86:G93" si="4">IF(ABS(F86-I18)&lt;0.001,"OK","!!")</f>
        <v>OK</v>
      </c>
    </row>
    <row r="87" spans="1:15" x14ac:dyDescent="0.25">
      <c r="A87" s="440" t="s">
        <v>51</v>
      </c>
      <c r="B87" s="440" t="s">
        <v>45</v>
      </c>
      <c r="C87" s="442">
        <f>G19</f>
        <v>0.95</v>
      </c>
      <c r="D87" s="440" t="s">
        <v>110</v>
      </c>
      <c r="E87" s="442">
        <v>1</v>
      </c>
      <c r="F87" s="442">
        <f t="shared" ref="F87:F93" si="5">C87*E87</f>
        <v>0.95</v>
      </c>
      <c r="G87" s="444" t="str">
        <f t="shared" si="4"/>
        <v>OK</v>
      </c>
    </row>
    <row r="88" spans="1:15" x14ac:dyDescent="0.25">
      <c r="A88" s="439" t="s">
        <v>58</v>
      </c>
      <c r="B88" s="439" t="s">
        <v>45</v>
      </c>
      <c r="C88" s="441">
        <f>G20</f>
        <v>1</v>
      </c>
      <c r="D88" s="439" t="s">
        <v>110</v>
      </c>
      <c r="E88" s="441">
        <v>1</v>
      </c>
      <c r="F88" s="441">
        <f t="shared" si="5"/>
        <v>1</v>
      </c>
      <c r="G88" s="443" t="str">
        <f t="shared" si="4"/>
        <v>OK</v>
      </c>
    </row>
    <row r="89" spans="1:15" x14ac:dyDescent="0.25">
      <c r="A89" s="440" t="s">
        <v>65</v>
      </c>
      <c r="B89" s="440" t="s">
        <v>45</v>
      </c>
      <c r="C89" s="442">
        <f>G21</f>
        <v>0.8</v>
      </c>
      <c r="D89" s="440" t="s">
        <v>110</v>
      </c>
      <c r="E89" s="442">
        <v>1</v>
      </c>
      <c r="F89" s="442">
        <f t="shared" si="5"/>
        <v>0.8</v>
      </c>
      <c r="G89" s="444" t="str">
        <f t="shared" si="4"/>
        <v>OK</v>
      </c>
    </row>
    <row r="90" spans="1:15" x14ac:dyDescent="0.25">
      <c r="A90" s="439" t="s">
        <v>71</v>
      </c>
      <c r="B90" s="439" t="s">
        <v>45</v>
      </c>
      <c r="C90" s="441">
        <f>G22</f>
        <v>1</v>
      </c>
      <c r="D90" s="439" t="s">
        <v>110</v>
      </c>
      <c r="E90" s="441">
        <v>1</v>
      </c>
      <c r="F90" s="441">
        <f t="shared" si="5"/>
        <v>1</v>
      </c>
      <c r="G90" s="443" t="str">
        <f t="shared" si="4"/>
        <v>OK</v>
      </c>
    </row>
    <row r="91" spans="1:15" x14ac:dyDescent="0.25">
      <c r="A91" s="440" t="s">
        <v>78</v>
      </c>
      <c r="B91" s="440" t="s">
        <v>45</v>
      </c>
      <c r="C91" s="442">
        <f>G23</f>
        <v>0.7</v>
      </c>
      <c r="D91" s="440" t="s">
        <v>110</v>
      </c>
      <c r="E91" s="442">
        <v>1</v>
      </c>
      <c r="F91" s="442">
        <f t="shared" si="5"/>
        <v>0.7</v>
      </c>
      <c r="G91" s="444" t="str">
        <f t="shared" si="4"/>
        <v>OK</v>
      </c>
    </row>
    <row r="92" spans="1:15" x14ac:dyDescent="0.25">
      <c r="A92" s="439" t="s">
        <v>84</v>
      </c>
      <c r="B92" s="439" t="s">
        <v>78</v>
      </c>
      <c r="C92" s="441">
        <v>0.5</v>
      </c>
      <c r="D92" s="439" t="s">
        <v>45</v>
      </c>
      <c r="E92" s="441">
        <f>G23</f>
        <v>0.7</v>
      </c>
      <c r="F92" s="441">
        <f t="shared" si="5"/>
        <v>0.35</v>
      </c>
      <c r="G92" s="443" t="str">
        <f t="shared" si="4"/>
        <v>OK</v>
      </c>
    </row>
    <row r="93" spans="1:15" x14ac:dyDescent="0.25">
      <c r="A93" s="440" t="s">
        <v>92</v>
      </c>
      <c r="B93" s="440" t="s">
        <v>58</v>
      </c>
      <c r="C93" s="442">
        <v>1</v>
      </c>
      <c r="D93" s="440" t="s">
        <v>45</v>
      </c>
      <c r="E93" s="442">
        <f>G20</f>
        <v>1</v>
      </c>
      <c r="F93" s="442">
        <f t="shared" si="5"/>
        <v>1</v>
      </c>
      <c r="G93" s="444" t="str">
        <f t="shared" si="4"/>
        <v>OK</v>
      </c>
    </row>
    <row r="95" spans="1:15" x14ac:dyDescent="0.25">
      <c r="A95" s="541" t="s">
        <v>1141</v>
      </c>
    </row>
    <row r="96" spans="1:15" x14ac:dyDescent="0.25">
      <c r="A96" t="s">
        <v>1142</v>
      </c>
    </row>
    <row r="97" spans="1:3" x14ac:dyDescent="0.25">
      <c r="A97" t="s">
        <v>1094</v>
      </c>
    </row>
    <row r="98" spans="1:3" x14ac:dyDescent="0.25">
      <c r="A98" t="s">
        <v>1143</v>
      </c>
    </row>
    <row r="99" spans="1:3" x14ac:dyDescent="0.25">
      <c r="A99" s="542" t="s">
        <v>1095</v>
      </c>
      <c r="B99" s="542" t="s">
        <v>1096</v>
      </c>
      <c r="C99" s="542" t="s">
        <v>1144</v>
      </c>
    </row>
    <row r="100" spans="1:3" x14ac:dyDescent="0.25">
      <c r="A100" s="565" t="s">
        <v>1097</v>
      </c>
      <c r="B100" s="565" t="s">
        <v>1098</v>
      </c>
      <c r="C100" s="566" t="s">
        <v>1099</v>
      </c>
    </row>
    <row r="101" spans="1:3" x14ac:dyDescent="0.25">
      <c r="A101" s="565" t="s">
        <v>1100</v>
      </c>
      <c r="B101" s="565" t="s">
        <v>1101</v>
      </c>
      <c r="C101" s="566" t="s">
        <v>1102</v>
      </c>
    </row>
    <row r="102" spans="1:3" x14ac:dyDescent="0.25">
      <c r="A102" s="565" t="s">
        <v>1103</v>
      </c>
      <c r="B102" s="565" t="s">
        <v>1104</v>
      </c>
      <c r="C102" s="566" t="s">
        <v>1105</v>
      </c>
    </row>
    <row r="103" spans="1:3" x14ac:dyDescent="0.25">
      <c r="A103" s="565" t="s">
        <v>1106</v>
      </c>
      <c r="B103" s="565" t="s">
        <v>1107</v>
      </c>
      <c r="C103" s="566" t="s">
        <v>1108</v>
      </c>
    </row>
    <row r="104" spans="1:3" x14ac:dyDescent="0.25">
      <c r="A104" s="565" t="s">
        <v>1109</v>
      </c>
      <c r="B104" s="565" t="s">
        <v>1110</v>
      </c>
      <c r="C104" s="566" t="s">
        <v>1111</v>
      </c>
    </row>
    <row r="105" spans="1:3" x14ac:dyDescent="0.25">
      <c r="A105" s="565" t="s">
        <v>1112</v>
      </c>
      <c r="B105" s="565" t="s">
        <v>1113</v>
      </c>
      <c r="C105" s="566" t="s">
        <v>1114</v>
      </c>
    </row>
    <row r="106" spans="1:3" x14ac:dyDescent="0.25">
      <c r="A106" s="565" t="s">
        <v>1115</v>
      </c>
      <c r="B106" s="565" t="s">
        <v>1116</v>
      </c>
      <c r="C106" s="566" t="s">
        <v>1117</v>
      </c>
    </row>
    <row r="107" spans="1:3" x14ac:dyDescent="0.25">
      <c r="A107" s="565" t="s">
        <v>1118</v>
      </c>
      <c r="B107" s="565" t="s">
        <v>1119</v>
      </c>
      <c r="C107" s="566" t="s">
        <v>1120</v>
      </c>
    </row>
    <row r="108" spans="1:3" x14ac:dyDescent="0.25">
      <c r="A108" s="565" t="s">
        <v>1121</v>
      </c>
      <c r="B108" s="565" t="s">
        <v>1122</v>
      </c>
      <c r="C108" s="566" t="s">
        <v>1123</v>
      </c>
    </row>
    <row r="109" spans="1:3" x14ac:dyDescent="0.25">
      <c r="A109" s="565" t="s">
        <v>1124</v>
      </c>
      <c r="B109" s="565" t="s">
        <v>1125</v>
      </c>
      <c r="C109" s="566" t="s">
        <v>1126</v>
      </c>
    </row>
  </sheetData>
  <mergeCells count="4">
    <mergeCell ref="A1:J1"/>
    <mergeCell ref="A70:B70"/>
    <mergeCell ref="A16:Q16"/>
    <mergeCell ref="A4:O4"/>
  </mergeCells>
  <dataValidations count="3">
    <dataValidation type="list" allowBlank="1" showInputMessage="1" showErrorMessage="1" promptTitle="Méthode goodwill NCI" prompt="Choisir la méthode de comptabilisation du goodwill pour les intérêts minoritaires" sqref="B13" xr:uid="{D2E2C071-493D-4563-B008-191D5AAD8E4D}">
      <mc:AlternateContent xmlns:x12ac="http://schemas.microsoft.com/office/spreadsheetml/2011/1/ac" xmlns:mc="http://schemas.openxmlformats.org/markup-compatibility/2006">
        <mc:Choice Requires="x12ac">
          <x12ac:list>"""Quote-part actifs nets (partial goodwill)","Juste valeur (full goodwill)"""</x12ac:list>
        </mc:Choice>
        <mc:Fallback>
          <formula1>"""Quote-part actifs nets (partial goodwill),Juste valeur (full goodwill)"""</formula1>
        </mc:Fallback>
      </mc:AlternateContent>
    </dataValidation>
    <dataValidation type="list" allowBlank="1" showInputMessage="1" showErrorMessage="1" sqref="B14" xr:uid="{4D460184-692E-4C82-B2A1-5CE277F48FA8}">
      <mc:AlternateContent xmlns:x12ac="http://schemas.microsoft.com/office/spreadsheetml/2011/1/ac" xmlns:mc="http://schemas.openxmlformats.org/markup-compatibility/2006">
        <mc:Choice Requires="x12ac">
          <x12ac:list>"""Euros (€)",Milliers d'euros (K€),"Millions d'euros (M€)"""</x12ac:list>
        </mc:Choice>
        <mc:Fallback>
          <formula1>"""Euros (€),Milliers d'euros (K€),Millions d'euros (M€)"""</formula1>
        </mc:Fallback>
      </mc:AlternateContent>
    </dataValidation>
    <dataValidation type="list" allowBlank="1" showInputMessage="1" showErrorMessage="1" sqref="B59" xr:uid="{7F5F91DB-18B2-4E9D-ACEB-08DC2482A5C1}">
      <mc:AlternateContent xmlns:x12ac="http://schemas.microsoft.com/office/spreadsheetml/2011/1/ac" xmlns:mc="http://schemas.openxmlformats.org/markup-compatibility/2006">
        <mc:Choice Requires="x12ac">
          <x12ac:list>"""DCF — Valeur d'utilité","Juste valeur - coûts de cession"""</x12ac:list>
        </mc:Choice>
        <mc:Fallback>
          <formula1>"""DCF — Valeur d'utilité,Juste valeur - coûts de cession"""</formula1>
        </mc:Fallback>
      </mc:AlternateContent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C840F-E450-4D9A-8B82-EF086F39EC95}">
  <sheetPr>
    <tabColor rgb="FFD4A843"/>
  </sheetPr>
  <dimension ref="A1:L55"/>
  <sheetViews>
    <sheetView showGridLines="0" workbookViewId="0">
      <pane ySplit="1" topLeftCell="A31" activePane="bottomLeft" state="frozen"/>
      <selection pane="bottomLeft" activeCell="B44" sqref="B44"/>
    </sheetView>
  </sheetViews>
  <sheetFormatPr baseColWidth="10" defaultRowHeight="15" x14ac:dyDescent="0.25"/>
  <cols>
    <col min="1" max="1" width="31.42578125" customWidth="1"/>
    <col min="2" max="2" width="21.85546875" customWidth="1"/>
    <col min="3" max="3" width="74.5703125" bestFit="1" customWidth="1"/>
    <col min="4" max="5" width="25.7109375" customWidth="1"/>
    <col min="6" max="6" width="30" customWidth="1"/>
    <col min="7" max="7" width="26.7109375" customWidth="1"/>
    <col min="8" max="8" width="27.5703125" customWidth="1"/>
    <col min="9" max="10" width="22.85546875" customWidth="1"/>
  </cols>
  <sheetData>
    <row r="1" spans="1:12" ht="32.1" customHeight="1" x14ac:dyDescent="0.35">
      <c r="A1" s="638" t="str">
        <f>"PÉRIMÈTRE DE CONSOLIDATION — "&amp;UPPER('01_PARAMETRES'!$S$5)</f>
        <v>PÉRIMÈTRE DE CONSOLIDATION — GROUPE AURELIA</v>
      </c>
      <c r="B1" s="46"/>
      <c r="C1" s="46"/>
      <c r="D1" s="46"/>
      <c r="E1" s="46"/>
      <c r="F1" s="46"/>
      <c r="G1" s="46"/>
      <c r="H1" s="46"/>
      <c r="I1" s="40"/>
      <c r="J1" s="40"/>
      <c r="K1" s="40"/>
      <c r="L1" s="40"/>
    </row>
    <row r="2" spans="1:12" ht="18" customHeight="1" x14ac:dyDescent="0.25">
      <c r="A2" s="9" t="s">
        <v>152</v>
      </c>
      <c r="B2" s="8"/>
      <c r="C2" s="8"/>
      <c r="D2" s="8"/>
      <c r="E2" s="8"/>
      <c r="F2" s="8"/>
      <c r="G2" s="8"/>
      <c r="H2" s="8"/>
    </row>
    <row r="3" spans="1:12" ht="9.9499999999999993" customHeight="1" x14ac:dyDescent="0.25">
      <c r="A3" s="668"/>
      <c r="B3" s="668"/>
      <c r="C3" s="668"/>
      <c r="D3" s="668"/>
      <c r="E3" s="668"/>
      <c r="F3" s="668"/>
      <c r="G3" s="668"/>
      <c r="H3" s="668"/>
      <c r="I3" s="669"/>
      <c r="J3" s="669"/>
    </row>
    <row r="4" spans="1:12" ht="24" customHeight="1" x14ac:dyDescent="0.25">
      <c r="A4" s="10" t="s">
        <v>153</v>
      </c>
      <c r="B4" s="25"/>
      <c r="C4" s="25"/>
      <c r="D4" s="25"/>
      <c r="E4" s="25"/>
      <c r="F4" s="25"/>
      <c r="G4" s="25"/>
      <c r="H4" s="25"/>
      <c r="I4" s="41"/>
      <c r="J4" s="41"/>
      <c r="K4" s="41"/>
      <c r="L4" s="41"/>
    </row>
    <row r="5" spans="1:12" ht="15.95" customHeight="1" x14ac:dyDescent="0.3">
      <c r="A5" s="672" t="s">
        <v>166</v>
      </c>
      <c r="B5" s="5"/>
      <c r="C5" s="5"/>
      <c r="D5" s="5"/>
      <c r="E5" s="8"/>
      <c r="F5" s="8"/>
      <c r="G5" s="8"/>
      <c r="H5" s="8"/>
    </row>
    <row r="6" spans="1:12" ht="40.5" customHeight="1" x14ac:dyDescent="0.25">
      <c r="A6" s="794" t="str">
        <f>'01_PARAMETRES'!$S$4&amp;" ("&amp;'01_PARAMETRES'!$C$18&amp;")"&amp;CHAR(10)&amp;"Société Mère — "&amp;'01_PARAMETRES'!$E$18</f>
        <v>Maison Aurelia SAS (France)
Société Mère — EUR</v>
      </c>
      <c r="B6" s="795"/>
      <c r="C6" s="795"/>
      <c r="D6" s="796"/>
      <c r="E6" s="8"/>
      <c r="F6" s="8"/>
      <c r="G6" s="8"/>
      <c r="H6" s="8"/>
    </row>
    <row r="7" spans="1:12" ht="20.100000000000001" customHeight="1" x14ac:dyDescent="0.25">
      <c r="A7" s="797"/>
      <c r="B7" s="798"/>
      <c r="C7" s="798"/>
      <c r="D7" s="799"/>
      <c r="E7" s="8"/>
      <c r="F7" s="8"/>
      <c r="G7" s="8"/>
      <c r="H7" s="8"/>
    </row>
    <row r="8" spans="1:12" ht="20.100000000000001" customHeight="1" x14ac:dyDescent="0.25">
      <c r="A8" s="800"/>
      <c r="B8" s="801"/>
      <c r="C8" s="801"/>
      <c r="D8" s="802"/>
      <c r="E8" s="8"/>
      <c r="F8" s="8"/>
      <c r="G8" s="8"/>
      <c r="H8" s="8"/>
    </row>
    <row r="9" spans="1:12" ht="6" customHeight="1" x14ac:dyDescent="0.25">
      <c r="A9" s="668"/>
      <c r="B9" s="668"/>
      <c r="C9" s="668"/>
      <c r="D9" s="668"/>
      <c r="E9" s="668"/>
      <c r="F9" s="668"/>
      <c r="G9" s="668"/>
      <c r="H9" s="668"/>
      <c r="I9" s="669"/>
      <c r="J9" s="669"/>
    </row>
    <row r="10" spans="1:12" ht="20.100000000000001" customHeight="1" x14ac:dyDescent="0.25">
      <c r="A10" s="8"/>
      <c r="B10" s="666" t="s">
        <v>154</v>
      </c>
      <c r="C10" s="8"/>
      <c r="D10" s="666" t="s">
        <v>155</v>
      </c>
      <c r="E10" s="8"/>
      <c r="F10" s="666" t="s">
        <v>156</v>
      </c>
      <c r="G10" s="8"/>
      <c r="H10" s="666" t="s">
        <v>155</v>
      </c>
      <c r="J10" s="667" t="s">
        <v>157</v>
      </c>
    </row>
    <row r="11" spans="1:12" ht="6" customHeight="1" x14ac:dyDescent="0.25">
      <c r="A11" s="668"/>
      <c r="B11" s="668"/>
      <c r="C11" s="668"/>
      <c r="D11" s="668"/>
      <c r="E11" s="668"/>
      <c r="F11" s="668"/>
      <c r="G11" s="668"/>
      <c r="H11" s="668"/>
      <c r="I11" s="669"/>
      <c r="J11" s="669"/>
    </row>
    <row r="12" spans="1:12" ht="49.5" customHeight="1" x14ac:dyDescent="0.25">
      <c r="A12" s="803" t="s">
        <v>158</v>
      </c>
      <c r="B12" s="804"/>
      <c r="C12" s="803" t="s">
        <v>159</v>
      </c>
      <c r="D12" s="804"/>
      <c r="E12" s="803" t="s">
        <v>160</v>
      </c>
      <c r="F12" s="804"/>
      <c r="G12" s="803" t="s">
        <v>161</v>
      </c>
      <c r="H12" s="804"/>
      <c r="I12" s="813" t="s">
        <v>162</v>
      </c>
      <c r="J12" s="814"/>
    </row>
    <row r="13" spans="1:12" ht="20.100000000000001" customHeight="1" x14ac:dyDescent="0.25">
      <c r="A13" s="805"/>
      <c r="B13" s="806"/>
      <c r="C13" s="805"/>
      <c r="D13" s="806"/>
      <c r="E13" s="805"/>
      <c r="F13" s="806"/>
      <c r="G13" s="805"/>
      <c r="H13" s="806"/>
      <c r="I13" s="815"/>
      <c r="J13" s="816"/>
    </row>
    <row r="14" spans="1:12" ht="20.100000000000001" customHeight="1" x14ac:dyDescent="0.25">
      <c r="A14" s="792"/>
      <c r="B14" s="793"/>
      <c r="C14" s="792"/>
      <c r="D14" s="793"/>
      <c r="E14" s="792"/>
      <c r="F14" s="793"/>
      <c r="G14" s="792"/>
      <c r="H14" s="793"/>
      <c r="I14" s="817"/>
      <c r="J14" s="818"/>
    </row>
    <row r="15" spans="1:12" ht="8.1" customHeight="1" x14ac:dyDescent="0.25">
      <c r="A15" s="668"/>
      <c r="B15" s="668"/>
      <c r="C15" s="668"/>
      <c r="D15" s="668"/>
      <c r="E15" s="668"/>
      <c r="F15" s="668"/>
      <c r="G15" s="668"/>
      <c r="H15" s="668"/>
      <c r="I15" s="669"/>
      <c r="J15" s="669"/>
    </row>
    <row r="16" spans="1:12" ht="20.100000000000001" customHeight="1" x14ac:dyDescent="0.25">
      <c r="A16" s="8"/>
      <c r="B16" s="8"/>
      <c r="C16" s="8"/>
      <c r="D16" s="666" t="s">
        <v>155</v>
      </c>
      <c r="E16" s="8"/>
      <c r="F16" s="8"/>
      <c r="G16" s="8"/>
      <c r="H16" s="8"/>
    </row>
    <row r="17" spans="1:10" ht="8.1" customHeight="1" x14ac:dyDescent="0.25">
      <c r="A17" s="668"/>
      <c r="B17" s="668"/>
      <c r="C17" s="668"/>
      <c r="D17" s="668"/>
      <c r="E17" s="668"/>
      <c r="F17" s="668"/>
      <c r="G17" s="668"/>
      <c r="H17" s="668"/>
      <c r="I17" s="669"/>
      <c r="J17" s="669"/>
    </row>
    <row r="18" spans="1:10" ht="44.25" customHeight="1" x14ac:dyDescent="0.25">
      <c r="A18" s="8"/>
      <c r="B18" s="8"/>
      <c r="C18" s="803" t="s">
        <v>163</v>
      </c>
      <c r="D18" s="819"/>
      <c r="E18" s="8"/>
      <c r="F18" s="8"/>
      <c r="G18" s="8"/>
      <c r="H18" s="8"/>
    </row>
    <row r="19" spans="1:10" ht="20.100000000000001" customHeight="1" x14ac:dyDescent="0.25">
      <c r="A19" s="8"/>
      <c r="B19" s="8"/>
      <c r="C19" s="805"/>
      <c r="D19" s="820"/>
      <c r="E19" s="8"/>
      <c r="F19" s="8"/>
      <c r="G19" s="8"/>
      <c r="H19" s="8"/>
    </row>
    <row r="20" spans="1:10" ht="20.100000000000001" customHeight="1" x14ac:dyDescent="0.25">
      <c r="A20" s="8"/>
      <c r="B20" s="8"/>
      <c r="C20" s="792"/>
      <c r="D20" s="821"/>
      <c r="E20" s="8"/>
      <c r="F20" s="8"/>
      <c r="G20" s="8"/>
      <c r="H20" s="8"/>
    </row>
    <row r="21" spans="1:10" ht="8.1" customHeight="1" x14ac:dyDescent="0.25">
      <c r="A21" s="668"/>
      <c r="B21" s="668"/>
      <c r="C21" s="668"/>
      <c r="D21" s="668"/>
      <c r="E21" s="668"/>
      <c r="F21" s="668"/>
      <c r="G21" s="668"/>
      <c r="H21" s="668"/>
      <c r="I21" s="669"/>
      <c r="J21" s="669"/>
    </row>
    <row r="22" spans="1:10" ht="18" customHeight="1" x14ac:dyDescent="0.25">
      <c r="A22" s="9" t="s">
        <v>164</v>
      </c>
      <c r="B22" s="8"/>
      <c r="C22" s="8"/>
      <c r="D22" s="8"/>
      <c r="E22" s="8"/>
      <c r="F22" s="8"/>
      <c r="G22" s="8"/>
      <c r="H22" s="8"/>
    </row>
    <row r="23" spans="1:10" ht="8.1" customHeight="1" x14ac:dyDescent="0.25">
      <c r="A23" s="668"/>
      <c r="B23" s="668"/>
      <c r="C23" s="668"/>
      <c r="D23" s="668"/>
      <c r="E23" s="668"/>
      <c r="F23" s="668"/>
      <c r="G23" s="668"/>
      <c r="H23" s="668"/>
      <c r="I23" s="669"/>
      <c r="J23" s="669"/>
    </row>
    <row r="24" spans="1:10" ht="53.25" customHeight="1" x14ac:dyDescent="0.25">
      <c r="A24" s="807" t="s">
        <v>165</v>
      </c>
      <c r="B24" s="808"/>
      <c r="C24" s="8"/>
      <c r="D24" s="8"/>
      <c r="E24" s="8"/>
      <c r="F24" s="8"/>
      <c r="G24" s="8"/>
      <c r="H24" s="8"/>
    </row>
    <row r="25" spans="1:10" ht="20.100000000000001" customHeight="1" x14ac:dyDescent="0.25">
      <c r="A25" s="809"/>
      <c r="B25" s="810"/>
      <c r="C25" s="8"/>
      <c r="D25" s="8"/>
      <c r="E25" s="8"/>
      <c r="F25" s="8"/>
      <c r="G25" s="8"/>
      <c r="H25" s="8"/>
    </row>
    <row r="26" spans="1:10" ht="20.100000000000001" customHeight="1" x14ac:dyDescent="0.25">
      <c r="A26" s="811"/>
      <c r="B26" s="812"/>
      <c r="C26" s="8"/>
      <c r="D26" s="8"/>
      <c r="E26" s="8"/>
      <c r="F26" s="8"/>
      <c r="G26" s="8"/>
      <c r="H26" s="8"/>
    </row>
    <row r="27" spans="1:10" ht="12" customHeight="1" x14ac:dyDescent="0.25">
      <c r="A27" s="670"/>
      <c r="B27" s="670"/>
      <c r="C27" s="670"/>
      <c r="D27" s="670"/>
      <c r="E27" s="670"/>
      <c r="F27" s="670"/>
      <c r="G27" s="670"/>
      <c r="H27" s="670"/>
      <c r="I27" s="671"/>
      <c r="J27" s="671"/>
    </row>
    <row r="28" spans="1:10" ht="24" customHeight="1" x14ac:dyDescent="0.25">
      <c r="A28" s="10" t="s">
        <v>167</v>
      </c>
      <c r="B28" s="25"/>
      <c r="C28" s="25"/>
      <c r="D28" s="25"/>
      <c r="E28" s="25"/>
      <c r="F28" s="25"/>
      <c r="G28" s="25"/>
      <c r="H28" s="25"/>
    </row>
    <row r="29" spans="1:10" ht="15.95" customHeight="1" x14ac:dyDescent="0.25">
      <c r="A29" s="13" t="s">
        <v>168</v>
      </c>
      <c r="B29" s="8"/>
      <c r="C29" s="8"/>
      <c r="D29" s="8"/>
      <c r="E29" s="8"/>
      <c r="F29" s="8"/>
      <c r="G29" s="8"/>
      <c r="H29" s="8"/>
    </row>
    <row r="30" spans="1:10" ht="38.1" customHeight="1" x14ac:dyDescent="0.25">
      <c r="A30" s="639" t="s">
        <v>118</v>
      </c>
      <c r="B30" s="640" t="s">
        <v>169</v>
      </c>
      <c r="C30" s="640" t="s">
        <v>170</v>
      </c>
      <c r="D30" s="640" t="s">
        <v>171</v>
      </c>
      <c r="E30" s="640" t="s">
        <v>172</v>
      </c>
      <c r="F30" s="640" t="s">
        <v>173</v>
      </c>
      <c r="G30" s="640" t="s">
        <v>174</v>
      </c>
      <c r="H30" s="641" t="s">
        <v>175</v>
      </c>
    </row>
    <row r="31" spans="1:10" ht="42" customHeight="1" x14ac:dyDescent="0.25">
      <c r="A31" s="642" t="str">
        <f>'01_PARAMETRES'!B19</f>
        <v>Aurelia Italia SpA</v>
      </c>
      <c r="B31" s="645">
        <f>'01_PARAMETRES'!J19</f>
        <v>0.95</v>
      </c>
      <c r="C31" s="652" t="s">
        <v>176</v>
      </c>
      <c r="D31" s="652" t="s">
        <v>177</v>
      </c>
      <c r="E31" s="652" t="s">
        <v>178</v>
      </c>
      <c r="F31" s="648" t="str">
        <f t="shared" ref="F31:F37" si="0">IF(AND(LEFT(C31,3)="OUI",LEFT(D31,3)="OUI",LEFT(E31,3)="OUI"),"CONTRÔLE ÉTABLI","PAS DE CONTRÔLE")</f>
        <v>CONTRÔLE ÉTABLI</v>
      </c>
      <c r="G31" s="648" t="str">
        <f t="shared" ref="G31:G36" si="1">IF(F31="CONTRÔLE ÉTABLI","IG — Intégration Globale","À analyser")</f>
        <v>IG — Intégration Globale</v>
      </c>
      <c r="H31" s="655" t="s">
        <v>179</v>
      </c>
    </row>
    <row r="32" spans="1:10" ht="42" customHeight="1" x14ac:dyDescent="0.25">
      <c r="A32" s="643" t="str">
        <f>'01_PARAMETRES'!B20</f>
        <v>Aurelia USA Inc.</v>
      </c>
      <c r="B32" s="646">
        <f>'01_PARAMETRES'!J20</f>
        <v>1</v>
      </c>
      <c r="C32" s="653" t="s">
        <v>180</v>
      </c>
      <c r="D32" s="653" t="s">
        <v>181</v>
      </c>
      <c r="E32" s="653" t="s">
        <v>182</v>
      </c>
      <c r="F32" s="649" t="str">
        <f t="shared" si="0"/>
        <v>CONTRÔLE ÉTABLI</v>
      </c>
      <c r="G32" s="649" t="str">
        <f t="shared" si="1"/>
        <v>IG — Intégration Globale</v>
      </c>
      <c r="H32" s="656" t="s">
        <v>183</v>
      </c>
    </row>
    <row r="33" spans="1:10" ht="42" customHeight="1" x14ac:dyDescent="0.25">
      <c r="A33" s="642" t="str">
        <f>'01_PARAMETRES'!B21</f>
        <v>Aurelia Japan KK</v>
      </c>
      <c r="B33" s="645">
        <f>'01_PARAMETRES'!J21</f>
        <v>0.8</v>
      </c>
      <c r="C33" s="652" t="s">
        <v>184</v>
      </c>
      <c r="D33" s="652" t="s">
        <v>185</v>
      </c>
      <c r="E33" s="652" t="s">
        <v>186</v>
      </c>
      <c r="F33" s="648" t="str">
        <f t="shared" si="0"/>
        <v>CONTRÔLE ÉTABLI</v>
      </c>
      <c r="G33" s="648" t="str">
        <f t="shared" si="1"/>
        <v>IG — Intégration Globale</v>
      </c>
      <c r="H33" s="655" t="s">
        <v>179</v>
      </c>
    </row>
    <row r="34" spans="1:10" ht="42" customHeight="1" x14ac:dyDescent="0.25">
      <c r="A34" s="643" t="str">
        <f>'01_PARAMETRES'!B22</f>
        <v>Aurelia Suisse SA</v>
      </c>
      <c r="B34" s="646">
        <f>'01_PARAMETRES'!J22</f>
        <v>1</v>
      </c>
      <c r="C34" s="653" t="s">
        <v>180</v>
      </c>
      <c r="D34" s="653" t="s">
        <v>181</v>
      </c>
      <c r="E34" s="653" t="s">
        <v>182</v>
      </c>
      <c r="F34" s="649" t="str">
        <f t="shared" si="0"/>
        <v>CONTRÔLE ÉTABLI</v>
      </c>
      <c r="G34" s="649" t="str">
        <f t="shared" si="1"/>
        <v>IG — Intégration Globale</v>
      </c>
      <c r="H34" s="656" t="s">
        <v>183</v>
      </c>
    </row>
    <row r="35" spans="1:10" ht="42" customHeight="1" x14ac:dyDescent="0.25">
      <c r="A35" s="642" t="str">
        <f>'01_PARAMETRES'!B23</f>
        <v>Aurelia China Ltd</v>
      </c>
      <c r="B35" s="645">
        <f>'01_PARAMETRES'!J23</f>
        <v>0.7</v>
      </c>
      <c r="C35" s="652" t="s">
        <v>187</v>
      </c>
      <c r="D35" s="652" t="s">
        <v>188</v>
      </c>
      <c r="E35" s="652" t="s">
        <v>186</v>
      </c>
      <c r="F35" s="648" t="str">
        <f t="shared" si="0"/>
        <v>CONTRÔLE ÉTABLI</v>
      </c>
      <c r="G35" s="648" t="str">
        <f t="shared" si="1"/>
        <v>IG — Intégration Globale</v>
      </c>
      <c r="H35" s="655" t="s">
        <v>179</v>
      </c>
    </row>
    <row r="36" spans="1:10" ht="42" customHeight="1" x14ac:dyDescent="0.25">
      <c r="A36" s="643" t="str">
        <f>'01_PARAMETRES'!B25</f>
        <v>Aurelia Middle East FZE</v>
      </c>
      <c r="B36" s="646">
        <f>'01_PARAMETRES'!J25</f>
        <v>1</v>
      </c>
      <c r="C36" s="653" t="s">
        <v>189</v>
      </c>
      <c r="D36" s="653" t="s">
        <v>190</v>
      </c>
      <c r="E36" s="653" t="s">
        <v>191</v>
      </c>
      <c r="F36" s="649" t="str">
        <f t="shared" si="0"/>
        <v>CONTRÔLE ÉTABLI</v>
      </c>
      <c r="G36" s="649" t="str">
        <f t="shared" si="1"/>
        <v>IG — Intégration Globale</v>
      </c>
      <c r="H36" s="656" t="s">
        <v>192</v>
      </c>
    </row>
    <row r="37" spans="1:10" ht="51.95" customHeight="1" x14ac:dyDescent="0.25">
      <c r="A37" s="644" t="str">
        <f>'01_PARAMETRES'!B24</f>
        <v>Aurelia HK JV Ltd</v>
      </c>
      <c r="B37" s="647">
        <f>'01_PARAMETRES'!J24</f>
        <v>0.35</v>
      </c>
      <c r="C37" s="654" t="s">
        <v>193</v>
      </c>
      <c r="D37" s="654" t="s">
        <v>194</v>
      </c>
      <c r="E37" s="654" t="s">
        <v>195</v>
      </c>
      <c r="F37" s="650" t="str">
        <f t="shared" si="0"/>
        <v>PAS DE CONTRÔLE</v>
      </c>
      <c r="G37" s="651" t="str">
        <f>IF(F37="PAS DE CONTRÔLE","MEE — Mise en Équivalence (IAS 28)",IF(F37="CONTRÔLE ÉTABLI","IG — Intégration Globale","À analyser"))</f>
        <v>MEE — Mise en Équivalence (IAS 28)</v>
      </c>
      <c r="H37" s="657" t="s">
        <v>196</v>
      </c>
    </row>
    <row r="38" spans="1:10" ht="8.1" customHeight="1" x14ac:dyDescent="0.25">
      <c r="A38" s="668"/>
      <c r="B38" s="668"/>
      <c r="C38" s="668"/>
      <c r="D38" s="668"/>
      <c r="E38" s="668"/>
      <c r="F38" s="668"/>
      <c r="G38" s="668"/>
      <c r="H38" s="668"/>
      <c r="I38" s="669"/>
      <c r="J38" s="669"/>
    </row>
    <row r="39" spans="1:10" ht="18" customHeight="1" x14ac:dyDescent="0.25">
      <c r="A39" s="48" t="s">
        <v>197</v>
      </c>
      <c r="B39" s="8"/>
      <c r="C39" s="8"/>
      <c r="D39" s="8"/>
      <c r="E39" s="8"/>
      <c r="F39" s="8"/>
      <c r="G39" s="8"/>
      <c r="H39" s="8"/>
    </row>
    <row r="40" spans="1:10" ht="18" customHeight="1" x14ac:dyDescent="0.25">
      <c r="A40" s="22" t="s">
        <v>198</v>
      </c>
      <c r="B40" s="8"/>
      <c r="C40" s="8"/>
      <c r="D40" s="8"/>
      <c r="E40" s="8"/>
      <c r="F40" s="8"/>
      <c r="G40" s="8"/>
      <c r="H40" s="8"/>
    </row>
    <row r="41" spans="1:10" ht="12" customHeight="1" x14ac:dyDescent="0.25">
      <c r="A41" s="670"/>
      <c r="B41" s="670"/>
      <c r="C41" s="670"/>
      <c r="D41" s="670"/>
      <c r="E41" s="670"/>
      <c r="F41" s="670"/>
      <c r="G41" s="670"/>
      <c r="H41" s="670"/>
      <c r="I41" s="671"/>
      <c r="J41" s="671"/>
    </row>
    <row r="42" spans="1:10" ht="26.1" customHeight="1" x14ac:dyDescent="0.25">
      <c r="A42" s="49" t="s">
        <v>199</v>
      </c>
      <c r="B42" s="25"/>
      <c r="C42" s="25"/>
      <c r="D42" s="25"/>
      <c r="E42" s="25"/>
      <c r="F42" s="25"/>
      <c r="G42" s="25"/>
      <c r="H42" s="25"/>
    </row>
    <row r="43" spans="1:10" ht="20.100000000000001" customHeight="1" x14ac:dyDescent="0.25">
      <c r="A43" s="661" t="s">
        <v>200</v>
      </c>
      <c r="B43" s="662" t="s">
        <v>201</v>
      </c>
      <c r="C43" s="8"/>
      <c r="D43" s="8"/>
      <c r="E43" s="8"/>
      <c r="F43" s="8"/>
      <c r="G43" s="8"/>
      <c r="H43" s="8"/>
    </row>
    <row r="44" spans="1:10" ht="20.100000000000001" customHeight="1" x14ac:dyDescent="0.25">
      <c r="A44" s="658" t="s">
        <v>202</v>
      </c>
      <c r="B44" s="663">
        <f>COUNTA('01_PARAMETRES'!A18:A25)</f>
        <v>8</v>
      </c>
      <c r="C44" s="8"/>
      <c r="D44" s="8"/>
      <c r="E44" s="8"/>
      <c r="F44" s="8"/>
      <c r="G44" s="8"/>
      <c r="H44" s="8"/>
    </row>
    <row r="45" spans="1:10" ht="20.100000000000001" customHeight="1" x14ac:dyDescent="0.25">
      <c r="A45" s="659" t="s">
        <v>203</v>
      </c>
      <c r="B45" s="664">
        <f>COUNTIF('01_PARAMETRES'!K18:K25,"IG")+COUNTIF('01_PARAMETRES'!K18:K25,"Mère")</f>
        <v>7</v>
      </c>
      <c r="C45" s="8"/>
      <c r="D45" s="8"/>
      <c r="E45" s="8"/>
      <c r="F45" s="8"/>
      <c r="G45" s="8"/>
      <c r="H45" s="8"/>
    </row>
    <row r="46" spans="1:10" ht="20.100000000000001" customHeight="1" x14ac:dyDescent="0.25">
      <c r="A46" s="658" t="s">
        <v>204</v>
      </c>
      <c r="B46" s="663">
        <f>COUNTIF('01_PARAMETRES'!K18:K25,"MEE")</f>
        <v>1</v>
      </c>
      <c r="C46" s="8"/>
      <c r="D46" s="8"/>
      <c r="E46" s="8"/>
      <c r="F46" s="8"/>
      <c r="G46" s="8"/>
      <c r="H46" s="8"/>
    </row>
    <row r="47" spans="1:10" ht="20.100000000000001" customHeight="1" x14ac:dyDescent="0.25">
      <c r="A47" s="659" t="s">
        <v>205</v>
      </c>
      <c r="B47" s="664">
        <f>COUNTIF('01_PARAMETRES'!E18:E25,"&lt;&gt;EUR")</f>
        <v>6</v>
      </c>
      <c r="C47" s="8"/>
      <c r="D47" s="8"/>
      <c r="E47" s="8"/>
      <c r="F47" s="8"/>
      <c r="G47" s="8"/>
      <c r="H47" s="8"/>
    </row>
    <row r="48" spans="1:10" ht="20.100000000000001" customHeight="1" x14ac:dyDescent="0.25">
      <c r="A48" s="658" t="s">
        <v>206</v>
      </c>
      <c r="B48" s="663" cm="1">
        <f t="array" ref="B48">SUMPRODUCT(1/COUNTIF('01_PARAMETRES'!C18:C25,'01_PARAMETRES'!C18:C25))</f>
        <v>8</v>
      </c>
      <c r="C48" s="50" t="s">
        <v>209</v>
      </c>
      <c r="D48" s="8"/>
      <c r="E48" s="8"/>
      <c r="F48" s="8"/>
      <c r="G48" s="8"/>
      <c r="H48" s="8"/>
    </row>
    <row r="49" spans="1:8" ht="21.95" customHeight="1" x14ac:dyDescent="0.25">
      <c r="A49" s="659" t="s">
        <v>207</v>
      </c>
      <c r="B49" s="664">
        <f>COUNTIFS('01_PARAMETRES'!I18:I25,"&lt;1",'01_PARAMETRES'!K18:K25,"IG")</f>
        <v>3</v>
      </c>
      <c r="C49" s="8"/>
      <c r="D49" s="8"/>
      <c r="E49" s="8"/>
      <c r="F49" s="8"/>
      <c r="G49" s="8"/>
      <c r="H49" s="8"/>
    </row>
    <row r="50" spans="1:8" ht="20.100000000000001" customHeight="1" x14ac:dyDescent="0.25">
      <c r="A50" s="660" t="s">
        <v>208</v>
      </c>
      <c r="B50" s="665">
        <f>COUNTIF('01_PARAMETRES'!O18:O25,"Nouveau")</f>
        <v>0</v>
      </c>
      <c r="C50" s="8"/>
      <c r="D50" s="8"/>
      <c r="E50" s="8"/>
      <c r="F50" s="8"/>
      <c r="G50" s="8"/>
      <c r="H50" s="8"/>
    </row>
    <row r="51" spans="1:8" x14ac:dyDescent="0.25">
      <c r="A51" s="8"/>
      <c r="B51" s="8"/>
      <c r="C51" s="8"/>
      <c r="D51" s="8"/>
      <c r="E51" s="8"/>
      <c r="F51" s="8"/>
      <c r="G51" s="8"/>
      <c r="H51" s="8"/>
    </row>
    <row r="52" spans="1:8" x14ac:dyDescent="0.25">
      <c r="A52" s="8"/>
      <c r="B52" s="8"/>
      <c r="C52" s="8"/>
      <c r="D52" s="8"/>
      <c r="E52" s="8"/>
      <c r="F52" s="8"/>
      <c r="G52" s="8"/>
      <c r="H52" s="8"/>
    </row>
    <row r="53" spans="1:8" x14ac:dyDescent="0.25">
      <c r="A53" s="8"/>
      <c r="B53" s="8"/>
      <c r="C53" s="8"/>
      <c r="D53" s="8"/>
      <c r="E53" s="8"/>
      <c r="F53" s="8"/>
      <c r="G53" s="8"/>
      <c r="H53" s="8"/>
    </row>
    <row r="54" spans="1:8" x14ac:dyDescent="0.25">
      <c r="A54" s="8"/>
      <c r="B54" s="8"/>
      <c r="C54" s="8"/>
      <c r="D54" s="8"/>
      <c r="E54" s="8"/>
      <c r="F54" s="8"/>
      <c r="G54" s="8"/>
      <c r="H54" s="8"/>
    </row>
    <row r="55" spans="1:8" x14ac:dyDescent="0.25">
      <c r="A55" s="8"/>
      <c r="B55" s="8"/>
      <c r="C55" s="8"/>
      <c r="D55" s="8"/>
      <c r="E55" s="8"/>
      <c r="F55" s="8"/>
      <c r="G55" s="8"/>
      <c r="H55" s="8"/>
    </row>
  </sheetData>
  <mergeCells count="24">
    <mergeCell ref="A24:B24"/>
    <mergeCell ref="A25:B25"/>
    <mergeCell ref="A26:B26"/>
    <mergeCell ref="I12:J12"/>
    <mergeCell ref="I13:J13"/>
    <mergeCell ref="I14:J14"/>
    <mergeCell ref="C18:D18"/>
    <mergeCell ref="C19:D19"/>
    <mergeCell ref="C20:D20"/>
    <mergeCell ref="E12:F12"/>
    <mergeCell ref="E13:F13"/>
    <mergeCell ref="E14:F14"/>
    <mergeCell ref="G12:H12"/>
    <mergeCell ref="G13:H13"/>
    <mergeCell ref="G14:H14"/>
    <mergeCell ref="A14:B14"/>
    <mergeCell ref="C14:D14"/>
    <mergeCell ref="A6:D6"/>
    <mergeCell ref="A7:D7"/>
    <mergeCell ref="A8:D8"/>
    <mergeCell ref="A12:B12"/>
    <mergeCell ref="A13:B13"/>
    <mergeCell ref="C12:D12"/>
    <mergeCell ref="C13:D13"/>
  </mergeCells>
  <conditionalFormatting sqref="F31:F36">
    <cfRule type="containsText" dxfId="10" priority="1" operator="containsText" text="CONTRÔLE ÉTABLI">
      <formula>NOT(ISERROR(SEARCH("CONTRÔLE ÉTABLI",F31)))</formula>
    </cfRule>
  </conditionalFormatting>
  <conditionalFormatting sqref="G31:G36">
    <cfRule type="containsText" dxfId="9" priority="2" operator="containsText" text="IG">
      <formula>NOT(ISERROR(SEARCH("IG",G31)))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9DD7E-547B-4C5C-8697-494C1372152A}">
  <sheetPr>
    <tabColor rgb="FF3B82F6"/>
  </sheetPr>
  <dimension ref="A1:T58"/>
  <sheetViews>
    <sheetView showGridLines="0" topLeftCell="A22" zoomScale="85" zoomScaleNormal="85" workbookViewId="0">
      <selection activeCell="S9" sqref="S9"/>
    </sheetView>
  </sheetViews>
  <sheetFormatPr baseColWidth="10" defaultRowHeight="15" x14ac:dyDescent="0.25"/>
  <cols>
    <col min="1" max="1" width="38.140625" customWidth="1"/>
    <col min="2" max="2" width="11.42578125" bestFit="1" customWidth="1"/>
    <col min="3" max="3" width="18.140625" customWidth="1"/>
    <col min="4" max="4" width="5.7109375" customWidth="1"/>
    <col min="5" max="5" width="18.140625" customWidth="1"/>
    <col min="6" max="6" width="5.7109375" customWidth="1"/>
    <col min="7" max="7" width="18.140625" customWidth="1"/>
    <col min="8" max="8" width="5.7109375" customWidth="1"/>
    <col min="9" max="9" width="18.140625" customWidth="1"/>
    <col min="10" max="10" width="5.7109375" customWidth="1"/>
    <col min="11" max="11" width="18.140625" customWidth="1"/>
    <col min="12" max="12" width="5.7109375" customWidth="1"/>
    <col min="13" max="13" width="18.140625" customWidth="1"/>
    <col min="14" max="14" width="5.7109375" customWidth="1"/>
    <col min="15" max="15" width="18.140625" customWidth="1"/>
    <col min="16" max="16" width="5.7109375" customWidth="1"/>
    <col min="17" max="17" width="18.140625" customWidth="1"/>
    <col min="18" max="18" width="5.7109375" customWidth="1"/>
    <col min="19" max="19" width="26.7109375" customWidth="1"/>
  </cols>
  <sheetData>
    <row r="1" spans="1:20" ht="36" customHeight="1" x14ac:dyDescent="0.5">
      <c r="A1" s="84" t="s">
        <v>218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3"/>
      <c r="S1" s="43"/>
      <c r="T1" s="43"/>
    </row>
    <row r="2" spans="1:20" ht="21.95" customHeight="1" x14ac:dyDescent="0.3">
      <c r="A2" s="85" t="str">
        <f>"Au "&amp;TEXT('01_PARAMETRES'!B11,"jj/mm/aaaa")</f>
        <v>Au 31/03/2026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5"/>
      <c r="S2" s="5"/>
      <c r="T2" s="5"/>
    </row>
    <row r="3" spans="1:20" ht="21.95" customHeight="1" x14ac:dyDescent="0.3">
      <c r="A3" s="86" t="s">
        <v>219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5"/>
      <c r="S3" s="5"/>
      <c r="T3" s="5"/>
    </row>
    <row r="4" spans="1:20" ht="8.1" customHeight="1" x14ac:dyDescent="0.3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5"/>
      <c r="S4" s="5"/>
      <c r="T4" s="5"/>
    </row>
    <row r="5" spans="1:20" ht="26.1" customHeight="1" x14ac:dyDescent="0.3">
      <c r="A5" s="6" t="s">
        <v>220</v>
      </c>
      <c r="B5" s="6" t="s">
        <v>221</v>
      </c>
      <c r="C5" s="58" t="str">
        <f>'01_PARAMETRES'!A18</f>
        <v>MA-FR</v>
      </c>
      <c r="D5" s="58" t="str">
        <f>'01_PARAMETRES'!E18</f>
        <v>EUR</v>
      </c>
      <c r="E5" s="58" t="str">
        <f>'01_PARAMETRES'!A19</f>
        <v>AU-IT</v>
      </c>
      <c r="F5" s="58" t="str">
        <f>'01_PARAMETRES'!E19</f>
        <v>EUR</v>
      </c>
      <c r="G5" s="59" t="str">
        <f>'01_PARAMETRES'!A20</f>
        <v>AU-US</v>
      </c>
      <c r="H5" s="59" t="str">
        <f>'01_PARAMETRES'!E20</f>
        <v>USD</v>
      </c>
      <c r="I5" s="60" t="str">
        <f>'01_PARAMETRES'!A21</f>
        <v>AU-JP</v>
      </c>
      <c r="J5" s="60" t="str">
        <f>'01_PARAMETRES'!E21</f>
        <v>JPY</v>
      </c>
      <c r="K5" s="61" t="str">
        <f>'01_PARAMETRES'!A22</f>
        <v>AU-CH</v>
      </c>
      <c r="L5" s="61" t="str">
        <f>'01_PARAMETRES'!E22</f>
        <v>CHF</v>
      </c>
      <c r="M5" s="62" t="str">
        <f>'01_PARAMETRES'!A23</f>
        <v>AU-CN</v>
      </c>
      <c r="N5" s="62" t="str">
        <f>'01_PARAMETRES'!E23</f>
        <v>CNY</v>
      </c>
      <c r="O5" s="63" t="str">
        <f>'01_PARAMETRES'!A25</f>
        <v>AU-AE</v>
      </c>
      <c r="P5" s="63" t="str">
        <f>'01_PARAMETRES'!E25</f>
        <v>AED</v>
      </c>
      <c r="Q5" s="6" t="s">
        <v>1322</v>
      </c>
      <c r="R5" s="6" t="s">
        <v>1323</v>
      </c>
      <c r="S5" s="6" t="s">
        <v>223</v>
      </c>
      <c r="T5" s="6"/>
    </row>
    <row r="6" spans="1:20" ht="24" customHeight="1" x14ac:dyDescent="0.3">
      <c r="A6" s="64" t="s">
        <v>224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</row>
    <row r="7" spans="1:20" ht="16.5" x14ac:dyDescent="0.3">
      <c r="A7" s="66" t="s">
        <v>225</v>
      </c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</row>
    <row r="8" spans="1:20" ht="16.5" x14ac:dyDescent="0.3">
      <c r="A8" s="717" t="s">
        <v>226</v>
      </c>
      <c r="B8" s="69" t="s">
        <v>227</v>
      </c>
      <c r="C8" s="70">
        <v>0</v>
      </c>
      <c r="D8" s="5"/>
      <c r="E8" s="70">
        <v>0</v>
      </c>
      <c r="F8" s="5"/>
      <c r="G8" s="70">
        <v>0</v>
      </c>
      <c r="H8" s="5"/>
      <c r="I8" s="70">
        <v>0</v>
      </c>
      <c r="J8" s="5"/>
      <c r="K8" s="70">
        <v>0</v>
      </c>
      <c r="L8" s="5"/>
      <c r="M8" s="70">
        <v>0</v>
      </c>
      <c r="N8" s="5"/>
      <c r="O8" s="70">
        <v>0</v>
      </c>
      <c r="P8" s="5"/>
      <c r="Q8" s="71">
        <f>C8+E8+G8/'01_PARAMETRES'!$B$36+I8/'01_PARAMETRES'!$B$37+K8/'01_PARAMETRES'!$B$38+M8/'01_PARAMETRES'!$B$39+O8/'01_PARAMETRES'!$B$41</f>
        <v>0</v>
      </c>
      <c r="R8" s="5"/>
      <c r="S8" s="7" t="s">
        <v>286</v>
      </c>
      <c r="T8" s="5"/>
    </row>
    <row r="9" spans="1:20" ht="16.5" x14ac:dyDescent="0.3">
      <c r="A9" s="717" t="s">
        <v>228</v>
      </c>
      <c r="B9" s="69" t="s">
        <v>229</v>
      </c>
      <c r="C9" s="70">
        <v>185000</v>
      </c>
      <c r="D9" s="5"/>
      <c r="E9" s="70">
        <v>95000</v>
      </c>
      <c r="F9" s="5"/>
      <c r="G9" s="70">
        <v>68000</v>
      </c>
      <c r="H9" s="5"/>
      <c r="I9" s="70">
        <v>2800000</v>
      </c>
      <c r="J9" s="5"/>
      <c r="K9" s="70">
        <v>42000</v>
      </c>
      <c r="L9" s="5"/>
      <c r="M9" s="70">
        <v>35000</v>
      </c>
      <c r="N9" s="5"/>
      <c r="O9" s="70">
        <v>12000</v>
      </c>
      <c r="P9" s="5"/>
      <c r="Q9" s="71">
        <f>C9+E9+G9/'01_PARAMETRES'!$B$36+I9/'01_PARAMETRES'!$B$37+K9/'01_PARAMETRES'!$B$38+M9/'01_PARAMETRES'!$B$39+O9/'01_PARAMETRES'!$B$41</f>
        <v>410966.45825885137</v>
      </c>
      <c r="R9" s="5"/>
      <c r="S9" s="72" t="str">
        <f>IF(ABS(C28-C55)&lt;1,"MA-FR ✅","MA-FR ❌ Écart: "&amp;TEXT(C28-C55,"#,##0"))</f>
        <v>MA-FR ✅</v>
      </c>
      <c r="T9" s="5"/>
    </row>
    <row r="10" spans="1:20" ht="16.5" x14ac:dyDescent="0.3">
      <c r="A10" s="717" t="s">
        <v>230</v>
      </c>
      <c r="B10" s="69" t="s">
        <v>231</v>
      </c>
      <c r="C10" s="70">
        <v>420000</v>
      </c>
      <c r="D10" s="5"/>
      <c r="E10" s="70">
        <v>180000</v>
      </c>
      <c r="F10" s="5"/>
      <c r="G10" s="70">
        <v>295000</v>
      </c>
      <c r="H10" s="5"/>
      <c r="I10" s="70">
        <v>4500000</v>
      </c>
      <c r="J10" s="5"/>
      <c r="K10" s="70">
        <v>85000</v>
      </c>
      <c r="L10" s="5"/>
      <c r="M10" s="70">
        <v>120000</v>
      </c>
      <c r="N10" s="5"/>
      <c r="O10" s="70">
        <v>45000</v>
      </c>
      <c r="P10" s="5"/>
      <c r="Q10" s="71">
        <f>C10+E10+G10/'01_PARAMETRES'!$B$36+I10/'01_PARAMETRES'!$B$37+K10/'01_PARAMETRES'!$B$38+M10/'01_PARAMETRES'!$B$39+O10/'01_PARAMETRES'!$B$41</f>
        <v>1012064.2107457974</v>
      </c>
      <c r="R10" s="5"/>
      <c r="S10" s="72" t="str">
        <f>IF(ABS(E28-E55)&lt;1,"AU-IT ✅","AU-IT ❌ Écart: "&amp;TEXT(E28-E55,"#,##0"))</f>
        <v>AU-IT ✅</v>
      </c>
      <c r="T10" s="5"/>
    </row>
    <row r="11" spans="1:20" ht="16.5" x14ac:dyDescent="0.3">
      <c r="A11" s="717" t="s">
        <v>232</v>
      </c>
      <c r="B11" s="69" t="s">
        <v>233</v>
      </c>
      <c r="C11" s="70">
        <v>310000</v>
      </c>
      <c r="D11" s="5"/>
      <c r="E11" s="70">
        <v>125000</v>
      </c>
      <c r="F11" s="5"/>
      <c r="G11" s="70">
        <v>480000</v>
      </c>
      <c r="H11" s="5"/>
      <c r="I11" s="70">
        <v>8200000</v>
      </c>
      <c r="J11" s="5"/>
      <c r="K11" s="70">
        <v>62000</v>
      </c>
      <c r="L11" s="5"/>
      <c r="M11" s="70">
        <v>180000</v>
      </c>
      <c r="N11" s="5"/>
      <c r="O11" s="70">
        <v>85000</v>
      </c>
      <c r="P11" s="5"/>
      <c r="Q11" s="71">
        <f>C11+E11+G11/'01_PARAMETRES'!$B$36+I11/'01_PARAMETRES'!$B$37+K11/'01_PARAMETRES'!$B$38+M11/'01_PARAMETRES'!$B$39+O11/'01_PARAMETRES'!$B$41</f>
        <v>1030193.5445143546</v>
      </c>
      <c r="R11" s="5"/>
      <c r="S11" s="72" t="str">
        <f>IF(ABS(G28-G55)&lt;1,"AU-US ✅","AU-US ❌ Écart: "&amp;TEXT(G28-G55,"#,##0"))</f>
        <v>AU-US ✅</v>
      </c>
      <c r="T11" s="5"/>
    </row>
    <row r="12" spans="1:20" ht="16.5" x14ac:dyDescent="0.3">
      <c r="A12" s="717" t="s">
        <v>234</v>
      </c>
      <c r="B12" s="69" t="s">
        <v>235</v>
      </c>
      <c r="C12" s="70">
        <v>892000</v>
      </c>
      <c r="D12" s="5"/>
      <c r="E12" s="70">
        <v>0</v>
      </c>
      <c r="F12" s="5"/>
      <c r="G12" s="70">
        <v>0</v>
      </c>
      <c r="H12" s="5"/>
      <c r="I12" s="70">
        <v>0</v>
      </c>
      <c r="J12" s="5"/>
      <c r="K12" s="70">
        <v>0</v>
      </c>
      <c r="L12" s="5"/>
      <c r="M12" s="70">
        <v>0</v>
      </c>
      <c r="N12" s="5"/>
      <c r="O12" s="70">
        <v>0</v>
      </c>
      <c r="P12" s="5"/>
      <c r="Q12" s="71">
        <f>C12+E12+G12/'01_PARAMETRES'!$B$36+I12/'01_PARAMETRES'!$B$37+K12/'01_PARAMETRES'!$B$38+M12/'01_PARAMETRES'!$B$39+O12/'01_PARAMETRES'!$B$41</f>
        <v>892000</v>
      </c>
      <c r="R12" s="5"/>
      <c r="S12" s="72" t="str">
        <f>IF(ABS(I28-I55)&lt;1,"AU-JP ✅","AU-JP ❌ Écart: "&amp;TEXT(I28-I55,"#,##0"))</f>
        <v>AU-JP ✅</v>
      </c>
      <c r="T12" s="5"/>
    </row>
    <row r="13" spans="1:20" ht="16.5" x14ac:dyDescent="0.3">
      <c r="A13" s="717" t="s">
        <v>236</v>
      </c>
      <c r="B13" s="69" t="s">
        <v>237</v>
      </c>
      <c r="C13" s="70">
        <v>0</v>
      </c>
      <c r="D13" s="5"/>
      <c r="E13" s="70">
        <v>0</v>
      </c>
      <c r="F13" s="5"/>
      <c r="G13" s="70">
        <v>0</v>
      </c>
      <c r="H13" s="5"/>
      <c r="I13" s="70">
        <v>0</v>
      </c>
      <c r="J13" s="5"/>
      <c r="K13" s="70">
        <v>0</v>
      </c>
      <c r="L13" s="5"/>
      <c r="M13" s="70">
        <v>0</v>
      </c>
      <c r="N13" s="5"/>
      <c r="O13" s="70">
        <v>0</v>
      </c>
      <c r="P13" s="5"/>
      <c r="Q13" s="71">
        <f>C13+E13+G13/'01_PARAMETRES'!$B$36+I13/'01_PARAMETRES'!$B$37+K13/'01_PARAMETRES'!$B$38+M13/'01_PARAMETRES'!$B$39+O13/'01_PARAMETRES'!$B$41</f>
        <v>0</v>
      </c>
      <c r="R13" s="5"/>
      <c r="S13" s="72" t="str">
        <f>IF(ABS(K28-K55)&lt;1,"AU-CH ✅","AU-CH ❌ Écart: "&amp;TEXT(K28-K55,"#,##0"))</f>
        <v>AU-CH ✅</v>
      </c>
      <c r="T13" s="5"/>
    </row>
    <row r="14" spans="1:20" ht="16.5" x14ac:dyDescent="0.3">
      <c r="A14" s="717" t="s">
        <v>238</v>
      </c>
      <c r="B14" s="69" t="s">
        <v>239</v>
      </c>
      <c r="C14" s="70">
        <v>45000</v>
      </c>
      <c r="D14" s="5"/>
      <c r="E14" s="70">
        <v>12000</v>
      </c>
      <c r="F14" s="5"/>
      <c r="G14" s="70">
        <v>22000</v>
      </c>
      <c r="H14" s="5"/>
      <c r="I14" s="70">
        <v>450000</v>
      </c>
      <c r="J14" s="5"/>
      <c r="K14" s="70">
        <v>8500</v>
      </c>
      <c r="L14" s="5"/>
      <c r="M14" s="70">
        <v>8000</v>
      </c>
      <c r="N14" s="5"/>
      <c r="O14" s="70">
        <v>3500</v>
      </c>
      <c r="P14" s="5"/>
      <c r="Q14" s="71">
        <f>C14+E14+G14/'01_PARAMETRES'!$B$36+I14/'01_PARAMETRES'!$B$37+K14/'01_PARAMETRES'!$B$38+M14/'01_PARAMETRES'!$B$39+O14/'01_PARAMETRES'!$B$41</f>
        <v>90652.32474612059</v>
      </c>
      <c r="R14" s="5"/>
      <c r="S14" s="72" t="str">
        <f>IF(ABS(M28-M55)&lt;1,"AU-CN ✅","AU-CN ❌ Écart: "&amp;TEXT(M28-M55,"#,##0"))</f>
        <v>AU-CN ✅</v>
      </c>
      <c r="T14" s="5"/>
    </row>
    <row r="15" spans="1:20" ht="16.5" x14ac:dyDescent="0.3">
      <c r="A15" s="717" t="s">
        <v>240</v>
      </c>
      <c r="B15" s="69" t="s">
        <v>241</v>
      </c>
      <c r="C15" s="70">
        <v>38000</v>
      </c>
      <c r="D15" s="5"/>
      <c r="E15" s="70">
        <v>15000</v>
      </c>
      <c r="F15" s="5"/>
      <c r="G15" s="70">
        <v>35000</v>
      </c>
      <c r="H15" s="5"/>
      <c r="I15" s="70">
        <v>680000</v>
      </c>
      <c r="J15" s="5"/>
      <c r="K15" s="70">
        <v>5200</v>
      </c>
      <c r="L15" s="5"/>
      <c r="M15" s="70">
        <v>12000</v>
      </c>
      <c r="N15" s="5"/>
      <c r="O15" s="70">
        <v>0</v>
      </c>
      <c r="P15" s="5"/>
      <c r="Q15" s="71">
        <f>C15+E15+G15/'01_PARAMETRES'!$B$36+I15/'01_PARAMETRES'!$B$37+K15/'01_PARAMETRES'!$B$38+M15/'01_PARAMETRES'!$B$39+O15/'01_PARAMETRES'!$B$41</f>
        <v>95951.905888620298</v>
      </c>
      <c r="R15" s="5"/>
      <c r="S15" s="72" t="str">
        <f>IF(ABS(O28-O55)&lt;1,"AU-AE ✅","AU-AE ❌ Écart: "&amp;TEXT(O28-O55,"#,##0"))</f>
        <v>AU-AE ✅</v>
      </c>
      <c r="T15" s="5"/>
    </row>
    <row r="16" spans="1:20" ht="16.5" x14ac:dyDescent="0.3">
      <c r="A16" s="717" t="s">
        <v>242</v>
      </c>
      <c r="B16" s="73" t="s">
        <v>243</v>
      </c>
      <c r="C16" s="70">
        <v>185000</v>
      </c>
      <c r="D16" s="5"/>
      <c r="E16" s="70">
        <v>0</v>
      </c>
      <c r="F16" s="5"/>
      <c r="G16" s="70">
        <v>0</v>
      </c>
      <c r="H16" s="5"/>
      <c r="I16" s="70">
        <v>0</v>
      </c>
      <c r="J16" s="5"/>
      <c r="K16" s="70">
        <v>0</v>
      </c>
      <c r="L16" s="5"/>
      <c r="M16" s="70">
        <v>0</v>
      </c>
      <c r="N16" s="5"/>
      <c r="O16" s="70">
        <v>0</v>
      </c>
      <c r="P16" s="5"/>
      <c r="Q16" s="71">
        <f>C16+E16+G16/'01_PARAMETRES'!$B$36+I16/'01_PARAMETRES'!$B$37+K16/'01_PARAMETRES'!$B$38+M16/'01_PARAMETRES'!$B$39+O16/'01_PARAMETRES'!$B$41</f>
        <v>185000</v>
      </c>
      <c r="R16" s="5"/>
      <c r="S16" s="5"/>
      <c r="T16" s="5"/>
    </row>
    <row r="17" spans="1:20" ht="16.5" x14ac:dyDescent="0.3">
      <c r="A17" s="74" t="s">
        <v>244</v>
      </c>
      <c r="B17" s="75"/>
      <c r="C17" s="76">
        <f>SUM(C8:C16)</f>
        <v>2075000</v>
      </c>
      <c r="D17" s="75"/>
      <c r="E17" s="76">
        <f>SUM(E8:E16)</f>
        <v>427000</v>
      </c>
      <c r="F17" s="75"/>
      <c r="G17" s="76">
        <f>SUM(G8:G16)</f>
        <v>900000</v>
      </c>
      <c r="H17" s="75"/>
      <c r="I17" s="76">
        <f>SUM(I8:I16)</f>
        <v>16630000</v>
      </c>
      <c r="J17" s="75"/>
      <c r="K17" s="76">
        <f>SUM(K8:K16)</f>
        <v>202700</v>
      </c>
      <c r="L17" s="75"/>
      <c r="M17" s="76">
        <f>SUM(M8:M16)</f>
        <v>355000</v>
      </c>
      <c r="N17" s="75"/>
      <c r="O17" s="76">
        <f>SUM(O8:O16)</f>
        <v>145500</v>
      </c>
      <c r="P17" s="75"/>
      <c r="Q17" s="76">
        <f>SUM(Q8:Q16)</f>
        <v>3716828.4441537443</v>
      </c>
      <c r="R17" s="75"/>
      <c r="S17" s="75"/>
      <c r="T17" s="75"/>
    </row>
    <row r="18" spans="1:20" ht="16.5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16.5" x14ac:dyDescent="0.3">
      <c r="A19" s="66" t="s">
        <v>245</v>
      </c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</row>
    <row r="20" spans="1:20" ht="16.5" x14ac:dyDescent="0.3">
      <c r="A20" s="717" t="s">
        <v>246</v>
      </c>
      <c r="B20" s="69" t="s">
        <v>247</v>
      </c>
      <c r="C20" s="70">
        <v>280000</v>
      </c>
      <c r="D20" s="5"/>
      <c r="E20" s="70">
        <v>156000</v>
      </c>
      <c r="F20" s="5"/>
      <c r="G20" s="70">
        <v>85000</v>
      </c>
      <c r="H20" s="5"/>
      <c r="I20" s="70">
        <v>3200000</v>
      </c>
      <c r="J20" s="5"/>
      <c r="K20" s="70">
        <v>95000</v>
      </c>
      <c r="L20" s="5"/>
      <c r="M20" s="70">
        <v>42000</v>
      </c>
      <c r="N20" s="5"/>
      <c r="O20" s="70">
        <v>18000</v>
      </c>
      <c r="P20" s="5"/>
      <c r="Q20" s="71">
        <f>C20+E20+G20/'01_PARAMETRES'!$B$36+I20/'01_PARAMETRES'!$B$37+K20/'01_PARAMETRES'!$B$38+M20/'01_PARAMETRES'!$B$39+O20/'01_PARAMETRES'!$B$41</f>
        <v>643864.03840234876</v>
      </c>
      <c r="R20" s="5"/>
      <c r="S20" s="5"/>
      <c r="T20" s="5"/>
    </row>
    <row r="21" spans="1:20" ht="16.5" x14ac:dyDescent="0.3">
      <c r="A21" s="717" t="s">
        <v>248</v>
      </c>
      <c r="B21" s="69" t="s">
        <v>249</v>
      </c>
      <c r="C21" s="70">
        <v>145000</v>
      </c>
      <c r="D21" s="5"/>
      <c r="E21" s="70">
        <v>78000</v>
      </c>
      <c r="F21" s="5"/>
      <c r="G21" s="70">
        <v>125000</v>
      </c>
      <c r="H21" s="5"/>
      <c r="I21" s="70">
        <v>4100000</v>
      </c>
      <c r="J21" s="5"/>
      <c r="K21" s="70">
        <v>38000</v>
      </c>
      <c r="L21" s="5"/>
      <c r="M21" s="70">
        <v>65000</v>
      </c>
      <c r="N21" s="5"/>
      <c r="O21" s="70">
        <v>22000</v>
      </c>
      <c r="P21" s="5"/>
      <c r="Q21" s="71">
        <f>C21+E21+G21/'01_PARAMETRES'!$B$36+I21/'01_PARAMETRES'!$B$37+K21/'01_PARAMETRES'!$B$38+M21/'01_PARAMETRES'!$B$39+O21/'01_PARAMETRES'!$B$41</f>
        <v>415530.62506560475</v>
      </c>
      <c r="R21" s="5"/>
      <c r="S21" s="5"/>
      <c r="T21" s="5"/>
    </row>
    <row r="22" spans="1:20" ht="16.5" x14ac:dyDescent="0.3">
      <c r="A22" s="717" t="s">
        <v>250</v>
      </c>
      <c r="B22" s="73" t="s">
        <v>243</v>
      </c>
      <c r="C22" s="70">
        <v>95000</v>
      </c>
      <c r="D22" s="5"/>
      <c r="E22" s="70">
        <v>45000</v>
      </c>
      <c r="F22" s="5"/>
      <c r="G22" s="70">
        <v>0</v>
      </c>
      <c r="H22" s="5"/>
      <c r="I22" s="70">
        <v>0</v>
      </c>
      <c r="J22" s="5"/>
      <c r="K22" s="70">
        <v>25000</v>
      </c>
      <c r="L22" s="5"/>
      <c r="M22" s="70">
        <v>0</v>
      </c>
      <c r="N22" s="5"/>
      <c r="O22" s="70">
        <v>0</v>
      </c>
      <c r="P22" s="5"/>
      <c r="Q22" s="71">
        <f>C22+E22+G22/'01_PARAMETRES'!$B$36+I22/'01_PARAMETRES'!$B$37+K22/'01_PARAMETRES'!$B$38+M22/'01_PARAMETRES'!$B$39+O22/'01_PARAMETRES'!$B$41</f>
        <v>166737.96791443852</v>
      </c>
      <c r="R22" s="5"/>
      <c r="S22" s="5"/>
      <c r="T22" s="5"/>
    </row>
    <row r="23" spans="1:20" ht="16.5" x14ac:dyDescent="0.3">
      <c r="A23" s="717" t="s">
        <v>251</v>
      </c>
      <c r="B23" s="69" t="s">
        <v>252</v>
      </c>
      <c r="C23" s="70">
        <v>52000</v>
      </c>
      <c r="D23" s="5"/>
      <c r="E23" s="70">
        <v>28000</v>
      </c>
      <c r="F23" s="5"/>
      <c r="G23" s="70">
        <v>42000</v>
      </c>
      <c r="H23" s="5"/>
      <c r="I23" s="70">
        <v>1500000</v>
      </c>
      <c r="J23" s="5"/>
      <c r="K23" s="70">
        <v>12000</v>
      </c>
      <c r="L23" s="5"/>
      <c r="M23" s="70">
        <v>18000</v>
      </c>
      <c r="N23" s="5"/>
      <c r="O23" s="70">
        <v>8000</v>
      </c>
      <c r="P23" s="5"/>
      <c r="Q23" s="71">
        <f>C23+E23+G23/'01_PARAMETRES'!$B$36+I23/'01_PARAMETRES'!$B$37+K23/'01_PARAMETRES'!$B$38+M23/'01_PARAMETRES'!$B$39+O23/'01_PARAMETRES'!$B$41</f>
        <v>144280.61271525329</v>
      </c>
      <c r="R23" s="5"/>
      <c r="S23" s="5"/>
      <c r="T23" s="5"/>
    </row>
    <row r="24" spans="1:20" ht="16.5" x14ac:dyDescent="0.3">
      <c r="A24" s="717" t="s">
        <v>253</v>
      </c>
      <c r="B24" s="69" t="s">
        <v>252</v>
      </c>
      <c r="C24" s="70">
        <v>18000</v>
      </c>
      <c r="D24" s="5"/>
      <c r="E24" s="70">
        <v>8000</v>
      </c>
      <c r="F24" s="5"/>
      <c r="G24" s="70">
        <v>15000</v>
      </c>
      <c r="H24" s="5"/>
      <c r="I24" s="70">
        <v>350000</v>
      </c>
      <c r="J24" s="5"/>
      <c r="K24" s="70">
        <v>4500</v>
      </c>
      <c r="L24" s="5"/>
      <c r="M24" s="70">
        <v>5000</v>
      </c>
      <c r="N24" s="5"/>
      <c r="O24" s="70">
        <v>2000</v>
      </c>
      <c r="P24" s="5"/>
      <c r="Q24" s="71">
        <f>C24+E24+G24/'01_PARAMETRES'!$B$36+I24/'01_PARAMETRES'!$B$37+K24/'01_PARAMETRES'!$B$38+M24/'01_PARAMETRES'!$B$39+O24/'01_PARAMETRES'!$B$41</f>
        <v>47668.87343966015</v>
      </c>
      <c r="R24" s="5"/>
      <c r="S24" s="5"/>
      <c r="T24" s="5"/>
    </row>
    <row r="25" spans="1:20" ht="16.5" x14ac:dyDescent="0.3">
      <c r="A25" s="717" t="s">
        <v>254</v>
      </c>
      <c r="B25" s="69" t="s">
        <v>239</v>
      </c>
      <c r="C25" s="461">
        <f>MAX(0,'08_EFFICACITE'!F17)</f>
        <v>34500</v>
      </c>
      <c r="D25" s="5"/>
      <c r="E25" s="70">
        <v>0</v>
      </c>
      <c r="F25" s="5"/>
      <c r="G25" s="70">
        <v>0</v>
      </c>
      <c r="H25" s="5"/>
      <c r="I25" s="70">
        <v>0</v>
      </c>
      <c r="J25" s="5"/>
      <c r="K25" s="70">
        <v>0</v>
      </c>
      <c r="L25" s="5"/>
      <c r="M25" s="70">
        <v>0</v>
      </c>
      <c r="N25" s="5"/>
      <c r="O25" s="70">
        <v>0</v>
      </c>
      <c r="P25" s="5"/>
      <c r="Q25" s="71">
        <f>C25+E25+G25/'01_PARAMETRES'!$B$36+I25/'01_PARAMETRES'!$B$37+K25/'01_PARAMETRES'!$B$38+M25/'01_PARAMETRES'!$B$39+O25/'01_PARAMETRES'!$B$41</f>
        <v>34500</v>
      </c>
      <c r="R25" s="5"/>
      <c r="S25" s="5"/>
      <c r="T25" s="5"/>
    </row>
    <row r="26" spans="1:20" ht="16.5" x14ac:dyDescent="0.3">
      <c r="A26" s="717" t="s">
        <v>255</v>
      </c>
      <c r="B26" s="69" t="s">
        <v>256</v>
      </c>
      <c r="C26" s="70">
        <v>185000</v>
      </c>
      <c r="D26" s="5"/>
      <c r="E26" s="70">
        <v>62000</v>
      </c>
      <c r="F26" s="5"/>
      <c r="G26" s="70">
        <v>78000</v>
      </c>
      <c r="H26" s="5"/>
      <c r="I26" s="70">
        <v>2800000</v>
      </c>
      <c r="J26" s="5"/>
      <c r="K26" s="70">
        <v>45000</v>
      </c>
      <c r="L26" s="5"/>
      <c r="M26" s="70">
        <v>28000</v>
      </c>
      <c r="N26" s="5"/>
      <c r="O26" s="70">
        <v>15000</v>
      </c>
      <c r="P26" s="5"/>
      <c r="Q26" s="71">
        <f>C26+E26+G26/'01_PARAMETRES'!$B$36+I26/'01_PARAMETRES'!$B$37+K26/'01_PARAMETRES'!$B$38+M26/'01_PARAMETRES'!$B$39+O26/'01_PARAMETRES'!$B$41</f>
        <v>390113.33830883488</v>
      </c>
      <c r="R26" s="5"/>
      <c r="S26" s="5"/>
      <c r="T26" s="5"/>
    </row>
    <row r="27" spans="1:20" ht="17.25" thickBot="1" x14ac:dyDescent="0.35">
      <c r="A27" s="77" t="s">
        <v>257</v>
      </c>
      <c r="B27" s="78"/>
      <c r="C27" s="79">
        <f>SUM(C20:C26)</f>
        <v>809500</v>
      </c>
      <c r="D27" s="78"/>
      <c r="E27" s="79">
        <f>SUM(E20:E26)</f>
        <v>377000</v>
      </c>
      <c r="F27" s="78"/>
      <c r="G27" s="79">
        <f>SUM(G20:G26)</f>
        <v>345000</v>
      </c>
      <c r="H27" s="78"/>
      <c r="I27" s="79">
        <f>SUM(I20:I26)</f>
        <v>11950000</v>
      </c>
      <c r="J27" s="78"/>
      <c r="K27" s="79">
        <f>SUM(K20:K26)</f>
        <v>219500</v>
      </c>
      <c r="L27" s="78"/>
      <c r="M27" s="79">
        <f>SUM(M20:M26)</f>
        <v>158000</v>
      </c>
      <c r="N27" s="78"/>
      <c r="O27" s="79">
        <f>SUM(O20:O26)</f>
        <v>65000</v>
      </c>
      <c r="P27" s="78"/>
      <c r="Q27" s="79">
        <f>SUM(Q20:Q26)</f>
        <v>1842695.4558461404</v>
      </c>
      <c r="R27" s="78"/>
      <c r="S27" s="78"/>
      <c r="T27" s="78"/>
    </row>
    <row r="28" spans="1:20" ht="18" thickTop="1" thickBot="1" x14ac:dyDescent="0.35">
      <c r="A28" s="80" t="s">
        <v>258</v>
      </c>
      <c r="B28" s="81"/>
      <c r="C28" s="82">
        <f>C17+C27</f>
        <v>2884500</v>
      </c>
      <c r="D28" s="81"/>
      <c r="E28" s="82">
        <f>E17+E27</f>
        <v>804000</v>
      </c>
      <c r="F28" s="81"/>
      <c r="G28" s="82">
        <f>G17+G27</f>
        <v>1245000</v>
      </c>
      <c r="H28" s="81"/>
      <c r="I28" s="82">
        <f>I17+I27</f>
        <v>28580000</v>
      </c>
      <c r="J28" s="81"/>
      <c r="K28" s="82">
        <f>K17+K27</f>
        <v>422200</v>
      </c>
      <c r="L28" s="81"/>
      <c r="M28" s="82">
        <f>M17+M27</f>
        <v>513000</v>
      </c>
      <c r="N28" s="81"/>
      <c r="O28" s="82">
        <f>O17+O27</f>
        <v>210500</v>
      </c>
      <c r="P28" s="81"/>
      <c r="Q28" s="82">
        <f>Q17+Q27</f>
        <v>5559523.8999998849</v>
      </c>
      <c r="R28" s="81"/>
      <c r="S28" s="81"/>
      <c r="T28" s="81"/>
    </row>
    <row r="29" spans="1:20" ht="17.25" thickTop="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24" customHeight="1" x14ac:dyDescent="0.3">
      <c r="A30" s="64" t="s">
        <v>259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</row>
    <row r="31" spans="1:20" ht="16.5" x14ac:dyDescent="0.3">
      <c r="A31" s="66" t="s">
        <v>260</v>
      </c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</row>
    <row r="32" spans="1:20" ht="16.5" x14ac:dyDescent="0.3">
      <c r="A32" s="717" t="s">
        <v>261</v>
      </c>
      <c r="B32" s="69" t="s">
        <v>252</v>
      </c>
      <c r="C32" s="70">
        <v>150000</v>
      </c>
      <c r="D32" s="5"/>
      <c r="E32" s="70">
        <v>50000</v>
      </c>
      <c r="F32" s="5"/>
      <c r="G32" s="70">
        <v>100000</v>
      </c>
      <c r="H32" s="5"/>
      <c r="I32" s="70">
        <v>1500000</v>
      </c>
      <c r="J32" s="5"/>
      <c r="K32" s="70">
        <v>30000</v>
      </c>
      <c r="L32" s="5"/>
      <c r="M32" s="70">
        <v>40000</v>
      </c>
      <c r="N32" s="5"/>
      <c r="O32" s="70">
        <v>15000</v>
      </c>
      <c r="P32" s="5"/>
      <c r="Q32" s="71">
        <f>C32+E32+G32/'01_PARAMETRES'!$B$36+I32/'01_PARAMETRES'!$B$37+K32/'01_PARAMETRES'!$B$38+M32/'01_PARAMETRES'!$B$39+O32/'01_PARAMETRES'!$B$41</f>
        <v>340649.66980345151</v>
      </c>
      <c r="R32" s="5"/>
      <c r="S32" s="5"/>
      <c r="T32" s="5"/>
    </row>
    <row r="33" spans="1:20" ht="16.5" x14ac:dyDescent="0.3">
      <c r="A33" s="717" t="s">
        <v>262</v>
      </c>
      <c r="B33" s="69" t="s">
        <v>252</v>
      </c>
      <c r="C33" s="70">
        <v>280000</v>
      </c>
      <c r="D33" s="5"/>
      <c r="E33" s="70">
        <v>80000</v>
      </c>
      <c r="F33" s="5"/>
      <c r="G33" s="70">
        <v>150000</v>
      </c>
      <c r="H33" s="5"/>
      <c r="I33" s="70">
        <v>2000000</v>
      </c>
      <c r="J33" s="5"/>
      <c r="K33" s="70">
        <v>45000</v>
      </c>
      <c r="L33" s="5"/>
      <c r="M33" s="70">
        <v>25000</v>
      </c>
      <c r="N33" s="5"/>
      <c r="O33" s="70">
        <v>10000</v>
      </c>
      <c r="P33" s="5"/>
      <c r="Q33" s="71">
        <f>C33+E33+G33/'01_PARAMETRES'!$B$36+I33/'01_PARAMETRES'!$B$37+K33/'01_PARAMETRES'!$B$38+M33/'01_PARAMETRES'!$B$39+O33/'01_PARAMETRES'!$B$41</f>
        <v>561983.60483760294</v>
      </c>
      <c r="R33" s="5"/>
      <c r="S33" s="5"/>
      <c r="T33" s="5"/>
    </row>
    <row r="34" spans="1:20" ht="16.5" x14ac:dyDescent="0.3">
      <c r="A34" s="717" t="s">
        <v>263</v>
      </c>
      <c r="B34" s="69" t="s">
        <v>252</v>
      </c>
      <c r="C34" s="70">
        <v>850000</v>
      </c>
      <c r="D34" s="5"/>
      <c r="E34" s="70">
        <v>185000</v>
      </c>
      <c r="F34" s="5"/>
      <c r="G34" s="70">
        <v>320000</v>
      </c>
      <c r="H34" s="5"/>
      <c r="I34" s="70">
        <v>6800000</v>
      </c>
      <c r="J34" s="5"/>
      <c r="K34" s="70">
        <v>105000</v>
      </c>
      <c r="L34" s="5"/>
      <c r="M34" s="70">
        <v>88000</v>
      </c>
      <c r="N34" s="5"/>
      <c r="O34" s="70">
        <v>35000</v>
      </c>
      <c r="P34" s="5"/>
      <c r="Q34" s="71">
        <f>C34+E34+G34/'01_PARAMETRES'!$B$36+I34/'01_PARAMETRES'!$B$37+K34/'01_PARAMETRES'!$B$38+M34/'01_PARAMETRES'!$B$39+O34/'01_PARAMETRES'!$B$41</f>
        <v>1498616.5403714264</v>
      </c>
      <c r="R34" s="5"/>
      <c r="S34" s="5"/>
      <c r="T34" s="5"/>
    </row>
    <row r="35" spans="1:20" ht="16.5" x14ac:dyDescent="0.3">
      <c r="A35" s="717" t="s">
        <v>264</v>
      </c>
      <c r="B35" s="69" t="s">
        <v>252</v>
      </c>
      <c r="C35" s="445">
        <f>'04_PNL_IND'!C47</f>
        <v>178000</v>
      </c>
      <c r="D35" s="5"/>
      <c r="E35" s="445">
        <f>'04_PNL_IND'!E47</f>
        <v>28600</v>
      </c>
      <c r="F35" s="5"/>
      <c r="G35" s="445">
        <f>'04_PNL_IND'!G47</f>
        <v>0</v>
      </c>
      <c r="H35" s="5"/>
      <c r="I35" s="445">
        <f>'04_PNL_IND'!I47</f>
        <v>735000</v>
      </c>
      <c r="J35" s="5"/>
      <c r="K35" s="445">
        <f>'04_PNL_IND'!K47</f>
        <v>36600</v>
      </c>
      <c r="L35" s="5"/>
      <c r="M35" s="445">
        <f>'04_PNL_IND'!M47</f>
        <v>34810</v>
      </c>
      <c r="N35" s="5"/>
      <c r="O35" s="445">
        <f>'04_PNL_IND'!O47</f>
        <v>17108</v>
      </c>
      <c r="P35" s="5"/>
      <c r="Q35" s="71">
        <f>C35+E35+G35/'01_PARAMETRES'!$B$36+I35/'01_PARAMETRES'!$B$37+K35/'01_PARAMETRES'!$B$38+M35/'01_PARAMETRES'!$B$39+O35/'01_PARAMETRES'!$B$41</f>
        <v>258792.77645650005</v>
      </c>
      <c r="R35" s="5"/>
      <c r="S35" s="5"/>
      <c r="T35" s="5"/>
    </row>
    <row r="36" spans="1:20" ht="16.5" x14ac:dyDescent="0.3">
      <c r="A36" s="717" t="s">
        <v>265</v>
      </c>
      <c r="B36" s="69" t="s">
        <v>266</v>
      </c>
      <c r="C36" s="70">
        <v>0</v>
      </c>
      <c r="D36" s="5"/>
      <c r="E36" s="70">
        <v>0</v>
      </c>
      <c r="F36" s="5"/>
      <c r="G36" s="70">
        <v>0</v>
      </c>
      <c r="H36" s="5"/>
      <c r="I36" s="70">
        <v>0</v>
      </c>
      <c r="J36" s="5"/>
      <c r="K36" s="70">
        <v>0</v>
      </c>
      <c r="L36" s="5"/>
      <c r="M36" s="70">
        <v>0</v>
      </c>
      <c r="N36" s="5"/>
      <c r="O36" s="70">
        <v>0</v>
      </c>
      <c r="P36" s="5"/>
      <c r="Q36" s="71">
        <f>C36+E36+G36/'01_PARAMETRES'!$B$36+I36/'01_PARAMETRES'!$B$37+K36/'01_PARAMETRES'!$B$38+M36/'01_PARAMETRES'!$B$39+O36/'01_PARAMETRES'!$B$41</f>
        <v>0</v>
      </c>
      <c r="R36" s="5"/>
      <c r="S36" s="5"/>
      <c r="T36" s="5"/>
    </row>
    <row r="37" spans="1:20" ht="16.5" x14ac:dyDescent="0.3">
      <c r="A37" s="717" t="s">
        <v>267</v>
      </c>
      <c r="B37" s="69" t="s">
        <v>252</v>
      </c>
      <c r="C37" s="70">
        <v>12000</v>
      </c>
      <c r="D37" s="5"/>
      <c r="E37" s="70">
        <v>5000</v>
      </c>
      <c r="F37" s="5"/>
      <c r="G37" s="70">
        <v>8000</v>
      </c>
      <c r="H37" s="5"/>
      <c r="I37" s="70">
        <v>120000</v>
      </c>
      <c r="J37" s="5"/>
      <c r="K37" s="70">
        <v>2200</v>
      </c>
      <c r="L37" s="5"/>
      <c r="M37" s="70">
        <v>3000</v>
      </c>
      <c r="N37" s="5"/>
      <c r="O37" s="70">
        <v>500</v>
      </c>
      <c r="P37" s="5"/>
      <c r="Q37" s="71">
        <f>C37+E37+G37/'01_PARAMETRES'!$B$36+I37/'01_PARAMETRES'!$B$37+K37/'01_PARAMETRES'!$B$38+M37/'01_PARAMETRES'!$B$39+O37/'01_PARAMETRES'!$B$41</f>
        <v>27840.082283133241</v>
      </c>
      <c r="R37" s="5"/>
      <c r="S37" s="5"/>
      <c r="T37" s="5"/>
    </row>
    <row r="38" spans="1:20" ht="16.5" x14ac:dyDescent="0.3">
      <c r="A38" s="74" t="s">
        <v>268</v>
      </c>
      <c r="B38" s="75"/>
      <c r="C38" s="76">
        <f>SUM(C32:C37)</f>
        <v>1470000</v>
      </c>
      <c r="D38" s="75"/>
      <c r="E38" s="76">
        <f>SUM(E32:E37)</f>
        <v>348600</v>
      </c>
      <c r="F38" s="75"/>
      <c r="G38" s="76">
        <f>SUM(G32:G37)</f>
        <v>578000</v>
      </c>
      <c r="H38" s="75"/>
      <c r="I38" s="76">
        <f>SUM(I32:I37)</f>
        <v>11155000</v>
      </c>
      <c r="J38" s="75"/>
      <c r="K38" s="76">
        <f>SUM(K32:K37)</f>
        <v>218800</v>
      </c>
      <c r="L38" s="75"/>
      <c r="M38" s="76">
        <f>SUM(M32:M37)</f>
        <v>190810</v>
      </c>
      <c r="N38" s="75"/>
      <c r="O38" s="76">
        <f>SUM(O32:O37)</f>
        <v>77608</v>
      </c>
      <c r="P38" s="75"/>
      <c r="Q38" s="76">
        <f>SUM(Q32:Q37)</f>
        <v>2687882.6737521142</v>
      </c>
      <c r="R38" s="75"/>
      <c r="S38" s="75"/>
      <c r="T38" s="75"/>
    </row>
    <row r="39" spans="1:20" ht="16.5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ht="16.5" x14ac:dyDescent="0.3">
      <c r="A40" s="66" t="s">
        <v>269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</row>
    <row r="41" spans="1:20" ht="16.5" x14ac:dyDescent="0.3">
      <c r="A41" s="717" t="s">
        <v>270</v>
      </c>
      <c r="B41" s="69" t="s">
        <v>239</v>
      </c>
      <c r="C41" s="70">
        <v>520000</v>
      </c>
      <c r="D41" s="5"/>
      <c r="E41" s="70">
        <v>120000</v>
      </c>
      <c r="F41" s="5"/>
      <c r="G41" s="70">
        <v>180000</v>
      </c>
      <c r="H41" s="5"/>
      <c r="I41" s="70">
        <v>5200000</v>
      </c>
      <c r="J41" s="5"/>
      <c r="K41" s="70">
        <v>55000</v>
      </c>
      <c r="L41" s="5"/>
      <c r="M41" s="70">
        <v>85000</v>
      </c>
      <c r="N41" s="5"/>
      <c r="O41" s="70">
        <v>42000</v>
      </c>
      <c r="P41" s="5"/>
      <c r="Q41" s="71">
        <f>C41+E41+G41/'01_PARAMETRES'!$B$36+I41/'01_PARAMETRES'!$B$37+K41/'01_PARAMETRES'!$B$38+M41/'01_PARAMETRES'!$B$39+O41/'01_PARAMETRES'!$B$41</f>
        <v>914743.43355395389</v>
      </c>
      <c r="R41" s="5"/>
      <c r="S41" s="5"/>
      <c r="T41" s="5"/>
    </row>
    <row r="42" spans="1:20" ht="16.5" x14ac:dyDescent="0.3">
      <c r="A42" s="717" t="s">
        <v>271</v>
      </c>
      <c r="B42" s="69" t="s">
        <v>233</v>
      </c>
      <c r="C42" s="70">
        <v>285000</v>
      </c>
      <c r="D42" s="5"/>
      <c r="E42" s="70">
        <v>115000</v>
      </c>
      <c r="F42" s="5"/>
      <c r="G42" s="70">
        <v>145000</v>
      </c>
      <c r="H42" s="5"/>
      <c r="I42" s="70">
        <v>3800000</v>
      </c>
      <c r="J42" s="5"/>
      <c r="K42" s="70">
        <v>58000</v>
      </c>
      <c r="L42" s="5"/>
      <c r="M42" s="70">
        <v>95000</v>
      </c>
      <c r="N42" s="5"/>
      <c r="O42" s="70">
        <v>48000</v>
      </c>
      <c r="P42" s="5"/>
      <c r="Q42" s="71">
        <f>C42+E42+G42/'01_PARAMETRES'!$B$36+I42/'01_PARAMETRES'!$B$37+K42/'01_PARAMETRES'!$B$38+M42/'01_PARAMETRES'!$B$39+O42/'01_PARAMETRES'!$B$41</f>
        <v>640431.75477174623</v>
      </c>
      <c r="R42" s="5"/>
      <c r="S42" s="5"/>
      <c r="T42" s="5"/>
    </row>
    <row r="43" spans="1:20" ht="16.5" x14ac:dyDescent="0.3">
      <c r="A43" s="717" t="s">
        <v>272</v>
      </c>
      <c r="B43" s="69" t="s">
        <v>273</v>
      </c>
      <c r="C43" s="70">
        <v>45000</v>
      </c>
      <c r="D43" s="5"/>
      <c r="E43" s="70">
        <v>18000</v>
      </c>
      <c r="F43" s="5"/>
      <c r="G43" s="70">
        <v>25000</v>
      </c>
      <c r="H43" s="5"/>
      <c r="I43" s="70">
        <v>850000</v>
      </c>
      <c r="J43" s="5"/>
      <c r="K43" s="70">
        <v>12000</v>
      </c>
      <c r="L43" s="5"/>
      <c r="M43" s="70">
        <v>15000</v>
      </c>
      <c r="N43" s="5"/>
      <c r="O43" s="70">
        <v>5000</v>
      </c>
      <c r="P43" s="5"/>
      <c r="Q43" s="71">
        <f>C43+E43+G43/'01_PARAMETRES'!$B$36+I43/'01_PARAMETRES'!$B$37+K43/'01_PARAMETRES'!$B$38+M43/'01_PARAMETRES'!$B$39+O43/'01_PARAMETRES'!$B$41</f>
        <v>106792.89411130315</v>
      </c>
      <c r="R43" s="5"/>
      <c r="S43" s="5"/>
      <c r="T43" s="5"/>
    </row>
    <row r="44" spans="1:20" ht="16.5" x14ac:dyDescent="0.3">
      <c r="A44" s="717" t="s">
        <v>274</v>
      </c>
      <c r="B44" s="69" t="s">
        <v>241</v>
      </c>
      <c r="C44" s="70">
        <v>62000</v>
      </c>
      <c r="D44" s="5"/>
      <c r="E44" s="70">
        <v>22000</v>
      </c>
      <c r="F44" s="5"/>
      <c r="G44" s="70">
        <v>18000</v>
      </c>
      <c r="H44" s="5"/>
      <c r="I44" s="70">
        <v>420000</v>
      </c>
      <c r="J44" s="5"/>
      <c r="K44" s="70">
        <v>8000</v>
      </c>
      <c r="L44" s="5"/>
      <c r="M44" s="70">
        <v>12000</v>
      </c>
      <c r="N44" s="5"/>
      <c r="O44" s="70">
        <v>3000</v>
      </c>
      <c r="P44" s="5"/>
      <c r="Q44" s="71">
        <f>C44+E44+G44/'01_PARAMETRES'!$B$36+I44/'01_PARAMETRES'!$B$37+K44/'01_PARAMETRES'!$B$38+M44/'01_PARAMETRES'!$B$39+O44/'01_PARAMETRES'!$B$41</f>
        <v>113683.49783381543</v>
      </c>
      <c r="R44" s="5"/>
      <c r="S44" s="5"/>
      <c r="T44" s="5"/>
    </row>
    <row r="45" spans="1:20" ht="16.5" x14ac:dyDescent="0.3">
      <c r="A45" s="717" t="s">
        <v>275</v>
      </c>
      <c r="B45" s="73" t="s">
        <v>243</v>
      </c>
      <c r="C45" s="70">
        <v>0</v>
      </c>
      <c r="D45" s="5"/>
      <c r="E45" s="70">
        <v>0</v>
      </c>
      <c r="F45" s="5"/>
      <c r="G45" s="70">
        <v>0</v>
      </c>
      <c r="H45" s="5"/>
      <c r="I45" s="70">
        <v>0</v>
      </c>
      <c r="J45" s="5"/>
      <c r="K45" s="70">
        <v>0</v>
      </c>
      <c r="L45" s="5"/>
      <c r="M45" s="70">
        <v>0</v>
      </c>
      <c r="N45" s="5"/>
      <c r="O45" s="70">
        <v>0</v>
      </c>
      <c r="P45" s="5"/>
      <c r="Q45" s="71">
        <f>C45+E45+G45/'01_PARAMETRES'!$B$36+I45/'01_PARAMETRES'!$B$37+K45/'01_PARAMETRES'!$B$38+M45/'01_PARAMETRES'!$B$39+O45/'01_PARAMETRES'!$B$41</f>
        <v>0</v>
      </c>
      <c r="R45" s="5"/>
      <c r="S45" s="5"/>
      <c r="T45" s="5"/>
    </row>
    <row r="46" spans="1:20" ht="16.5" x14ac:dyDescent="0.3">
      <c r="A46" s="74" t="s">
        <v>276</v>
      </c>
      <c r="B46" s="75"/>
      <c r="C46" s="76">
        <f>SUM(C41:C45)</f>
        <v>912000</v>
      </c>
      <c r="D46" s="75"/>
      <c r="E46" s="76">
        <f>SUM(E41:E45)</f>
        <v>275000</v>
      </c>
      <c r="F46" s="75"/>
      <c r="G46" s="76">
        <f>SUM(G41:G45)</f>
        <v>368000</v>
      </c>
      <c r="H46" s="75"/>
      <c r="I46" s="76">
        <f>SUM(I41:I45)</f>
        <v>10270000</v>
      </c>
      <c r="J46" s="75"/>
      <c r="K46" s="76">
        <f>SUM(K41:K45)</f>
        <v>133000</v>
      </c>
      <c r="L46" s="75"/>
      <c r="M46" s="76">
        <f>SUM(M41:M45)</f>
        <v>207000</v>
      </c>
      <c r="N46" s="75"/>
      <c r="O46" s="76">
        <f>SUM(O41:O45)</f>
        <v>98000</v>
      </c>
      <c r="P46" s="75"/>
      <c r="Q46" s="76">
        <f>SUM(Q41:Q45)</f>
        <v>1775651.5802708187</v>
      </c>
      <c r="R46" s="75"/>
      <c r="S46" s="75"/>
      <c r="T46" s="75"/>
    </row>
    <row r="47" spans="1:20" ht="16.5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 ht="16.5" x14ac:dyDescent="0.3">
      <c r="A48" s="66" t="s">
        <v>277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</row>
    <row r="49" spans="1:20" ht="16.5" x14ac:dyDescent="0.3">
      <c r="A49" s="717" t="s">
        <v>278</v>
      </c>
      <c r="B49" s="69" t="s">
        <v>239</v>
      </c>
      <c r="C49" s="70">
        <v>252950</v>
      </c>
      <c r="D49" s="5"/>
      <c r="E49" s="70">
        <v>85000</v>
      </c>
      <c r="F49" s="5"/>
      <c r="G49" s="70">
        <v>98000</v>
      </c>
      <c r="H49" s="5"/>
      <c r="I49" s="70">
        <v>2800000</v>
      </c>
      <c r="J49" s="5"/>
      <c r="K49" s="70">
        <v>42000</v>
      </c>
      <c r="L49" s="5"/>
      <c r="M49" s="70">
        <v>62000</v>
      </c>
      <c r="N49" s="5"/>
      <c r="O49" s="70">
        <v>18000</v>
      </c>
      <c r="P49" s="5"/>
      <c r="Q49" s="71">
        <f>C49+E49+G49/'01_PARAMETRES'!$B$36+I49/'01_PARAMETRES'!$B$37+K49/'01_PARAMETRES'!$B$38+M49/'01_PARAMETRES'!$B$39+O49/'01_PARAMETRES'!$B$41</f>
        <v>501005.36083422124</v>
      </c>
      <c r="R49" s="5"/>
      <c r="S49" s="5"/>
      <c r="T49" s="5"/>
    </row>
    <row r="50" spans="1:20" ht="16.5" x14ac:dyDescent="0.3">
      <c r="A50" s="717" t="s">
        <v>279</v>
      </c>
      <c r="B50" s="73" t="s">
        <v>243</v>
      </c>
      <c r="C50" s="70">
        <v>0</v>
      </c>
      <c r="D50" s="5"/>
      <c r="E50" s="70">
        <v>0</v>
      </c>
      <c r="F50" s="5"/>
      <c r="G50" s="70">
        <v>0</v>
      </c>
      <c r="H50" s="5"/>
      <c r="I50" s="70">
        <v>0</v>
      </c>
      <c r="J50" s="5"/>
      <c r="K50" s="70">
        <v>0</v>
      </c>
      <c r="L50" s="5"/>
      <c r="M50" s="70">
        <v>0</v>
      </c>
      <c r="N50" s="5"/>
      <c r="O50" s="70">
        <v>0</v>
      </c>
      <c r="P50" s="5"/>
      <c r="Q50" s="71">
        <f>C50+E50+G50/'01_PARAMETRES'!$B$36+I50/'01_PARAMETRES'!$B$37+K50/'01_PARAMETRES'!$B$38+M50/'01_PARAMETRES'!$B$39+O50/'01_PARAMETRES'!$B$41</f>
        <v>0</v>
      </c>
      <c r="R50" s="5"/>
      <c r="S50" s="5"/>
      <c r="T50" s="5"/>
    </row>
    <row r="51" spans="1:20" ht="16.5" x14ac:dyDescent="0.3">
      <c r="A51" s="717" t="s">
        <v>280</v>
      </c>
      <c r="B51" s="69" t="s">
        <v>241</v>
      </c>
      <c r="C51" s="70">
        <v>142000</v>
      </c>
      <c r="D51" s="5"/>
      <c r="E51" s="70">
        <v>48000</v>
      </c>
      <c r="F51" s="5"/>
      <c r="G51" s="70">
        <v>62000</v>
      </c>
      <c r="H51" s="5"/>
      <c r="I51" s="70">
        <v>1850000</v>
      </c>
      <c r="J51" s="5"/>
      <c r="K51" s="70">
        <v>28000</v>
      </c>
      <c r="L51" s="5"/>
      <c r="M51" s="70">
        <v>38000</v>
      </c>
      <c r="N51" s="5"/>
      <c r="O51" s="70">
        <v>12000</v>
      </c>
      <c r="P51" s="5"/>
      <c r="Q51" s="71">
        <f>C51+E51+G51/'01_PARAMETRES'!$B$36+I51/'01_PARAMETRES'!$B$37+K51/'01_PARAMETRES'!$B$38+M51/'01_PARAMETRES'!$B$39+O51/'01_PARAMETRES'!$B$41</f>
        <v>295159.92687159014</v>
      </c>
      <c r="R51" s="5"/>
      <c r="S51" s="5"/>
      <c r="T51" s="5"/>
    </row>
    <row r="52" spans="1:20" ht="16.5" x14ac:dyDescent="0.3">
      <c r="A52" s="717" t="s">
        <v>281</v>
      </c>
      <c r="B52" s="69" t="s">
        <v>252</v>
      </c>
      <c r="C52" s="445">
        <f>C28-C38-C46-(C49+C50+C51+C53)</f>
        <v>107550</v>
      </c>
      <c r="D52" s="5"/>
      <c r="E52" s="445">
        <f>E28-E38-E46-(E49+E50+E51+E53)</f>
        <v>41400</v>
      </c>
      <c r="F52" s="5"/>
      <c r="G52" s="445">
        <f>G28-G38-G46-(G49+G50+G51+G53)</f>
        <v>133000</v>
      </c>
      <c r="H52" s="5"/>
      <c r="I52" s="445">
        <f>I28-I38-I46-(I49+I50+I51+I53)</f>
        <v>2305000</v>
      </c>
      <c r="J52" s="5"/>
      <c r="K52" s="445">
        <f>K28-K38-K46-(K49+K50+K51+K53)</f>
        <v>-3600</v>
      </c>
      <c r="L52" s="5"/>
      <c r="M52" s="445">
        <f>M28-M38-M46-(M49+M50+M51+M53)</f>
        <v>9190</v>
      </c>
      <c r="N52" s="5"/>
      <c r="O52" s="445">
        <f>O28-O38-O46-(O49+O50+O51+O53)</f>
        <v>2892</v>
      </c>
      <c r="P52" s="5"/>
      <c r="Q52" s="71">
        <f>C52+E52+G52/'01_PARAMETRES'!$B$36+I52/'01_PARAMETRES'!$B$37+K52/'01_PARAMETRES'!$B$38+M52/'01_PARAMETRES'!$B$39+O52/'01_PARAMETRES'!$B$41</f>
        <v>281642.09422832361</v>
      </c>
      <c r="R52" s="5"/>
      <c r="S52" s="5"/>
      <c r="T52" s="5"/>
    </row>
    <row r="53" spans="1:20" ht="16.5" x14ac:dyDescent="0.3">
      <c r="A53" s="717" t="s">
        <v>282</v>
      </c>
      <c r="B53" s="69" t="s">
        <v>239</v>
      </c>
      <c r="C53" s="461">
        <f>MAX(0,-'08_EFFICACITE'!F17)</f>
        <v>0</v>
      </c>
      <c r="D53" s="5"/>
      <c r="E53" s="70">
        <v>6000</v>
      </c>
      <c r="F53" s="5"/>
      <c r="G53" s="70">
        <v>6000</v>
      </c>
      <c r="H53" s="5"/>
      <c r="I53" s="70">
        <v>200000</v>
      </c>
      <c r="J53" s="5"/>
      <c r="K53" s="70">
        <v>4000</v>
      </c>
      <c r="L53" s="5"/>
      <c r="M53" s="70">
        <v>6000</v>
      </c>
      <c r="N53" s="5"/>
      <c r="O53" s="70">
        <v>2000</v>
      </c>
      <c r="P53" s="5"/>
      <c r="Q53" s="71">
        <f>C53+E53+G53/'01_PARAMETRES'!$B$36+I53/'01_PARAMETRES'!$B$37+K53/'01_PARAMETRES'!$B$38+M53/'01_PARAMETRES'!$B$39+O53/'01_PARAMETRES'!$B$41</f>
        <v>18182.264042816681</v>
      </c>
      <c r="R53" s="5"/>
      <c r="S53" s="5"/>
      <c r="T53" s="5"/>
    </row>
    <row r="54" spans="1:20" ht="17.25" thickBot="1" x14ac:dyDescent="0.35">
      <c r="A54" s="77" t="s">
        <v>283</v>
      </c>
      <c r="B54" s="78"/>
      <c r="C54" s="79">
        <f>SUM(C49:C53)</f>
        <v>502500</v>
      </c>
      <c r="D54" s="78"/>
      <c r="E54" s="79">
        <f>SUM(E49:E53)</f>
        <v>180400</v>
      </c>
      <c r="F54" s="78"/>
      <c r="G54" s="79">
        <f>SUM(G49:G53)</f>
        <v>299000</v>
      </c>
      <c r="H54" s="78"/>
      <c r="I54" s="79">
        <f>SUM(I49:I53)</f>
        <v>7155000</v>
      </c>
      <c r="J54" s="78"/>
      <c r="K54" s="79">
        <f>SUM(K49:K53)</f>
        <v>70400</v>
      </c>
      <c r="L54" s="78"/>
      <c r="M54" s="79">
        <f>SUM(M49:M53)</f>
        <v>115190</v>
      </c>
      <c r="N54" s="78"/>
      <c r="O54" s="79">
        <f>SUM(O49:O53)</f>
        <v>34892</v>
      </c>
      <c r="P54" s="78"/>
      <c r="Q54" s="79">
        <f>SUM(Q49:Q53)</f>
        <v>1095989.6459769516</v>
      </c>
      <c r="R54" s="78"/>
      <c r="S54" s="78"/>
      <c r="T54" s="78"/>
    </row>
    <row r="55" spans="1:20" ht="18" thickTop="1" thickBot="1" x14ac:dyDescent="0.35">
      <c r="A55" s="80" t="s">
        <v>284</v>
      </c>
      <c r="B55" s="81"/>
      <c r="C55" s="82">
        <f>C38+C46+C54</f>
        <v>2884500</v>
      </c>
      <c r="D55" s="81"/>
      <c r="E55" s="82">
        <f>E38+E46+E54</f>
        <v>804000</v>
      </c>
      <c r="F55" s="81"/>
      <c r="G55" s="82">
        <f>G38+G46+G54</f>
        <v>1245000</v>
      </c>
      <c r="H55" s="81"/>
      <c r="I55" s="82">
        <f>I38+I46+I54</f>
        <v>28580000</v>
      </c>
      <c r="J55" s="81"/>
      <c r="K55" s="82">
        <f>K38+K46+K54</f>
        <v>422200</v>
      </c>
      <c r="L55" s="81"/>
      <c r="M55" s="82">
        <f>M38+M46+M54</f>
        <v>513000</v>
      </c>
      <c r="N55" s="81"/>
      <c r="O55" s="82">
        <f>O38+O46+O54</f>
        <v>210500</v>
      </c>
      <c r="P55" s="81"/>
      <c r="Q55" s="82">
        <f>Q38+Q46+Q54</f>
        <v>5559523.899999884</v>
      </c>
      <c r="R55" s="81"/>
      <c r="S55" s="81"/>
      <c r="T55" s="81"/>
    </row>
    <row r="56" spans="1:20" ht="17.25" thickTop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 ht="26.25" x14ac:dyDescent="0.45">
      <c r="A57" s="7" t="s">
        <v>285</v>
      </c>
      <c r="B57" s="5"/>
      <c r="C57" s="83" t="str">
        <f>IF(ABS(C28-C55)&lt;1,"✅","❌ "&amp;TEXT(C28-C55,"#,##0")&amp;" K")</f>
        <v>✅</v>
      </c>
      <c r="D57" s="5"/>
      <c r="E57" s="83" t="str">
        <f>IF(ABS(E28-E55)&lt;1,"✅","❌ "&amp;TEXT(E28-E55,"#,##0")&amp;" K")</f>
        <v>✅</v>
      </c>
      <c r="F57" s="5"/>
      <c r="G57" s="83" t="str">
        <f>IF(ABS(G28-G55)&lt;1,"✅","❌ "&amp;TEXT(G28-G55,"#,##0")&amp;" K")</f>
        <v>✅</v>
      </c>
      <c r="H57" s="5"/>
      <c r="I57" s="83" t="str">
        <f>IF(ABS(I28-I55)&lt;1,"✅","❌ "&amp;TEXT(I28-I55,"#,##0")&amp;" K")</f>
        <v>✅</v>
      </c>
      <c r="J57" s="5"/>
      <c r="K57" s="83" t="str">
        <f>IF(ABS(K28-K55)&lt;1,"✅","❌ "&amp;TEXT(K28-K55,"#,##0")&amp;" K")</f>
        <v>✅</v>
      </c>
      <c r="L57" s="5"/>
      <c r="M57" s="83" t="str">
        <f>IF(ABS(M28-M55)&lt;1,"✅","❌ "&amp;TEXT(M28-M55,"#,##0")&amp;" K")</f>
        <v>✅</v>
      </c>
      <c r="N57" s="5"/>
      <c r="O57" s="83" t="str">
        <f>IF(ABS(O28-O55)&lt;1,"✅","❌ "&amp;TEXT(O28-O55,"#,##0")&amp;" K")</f>
        <v>✅</v>
      </c>
      <c r="P57" s="5"/>
      <c r="Q57" s="83" t="str">
        <f>IF(ABS(Q28-Q55)&lt;1,"✅","❌")</f>
        <v>✅</v>
      </c>
      <c r="R57" s="5"/>
      <c r="S57" s="5"/>
      <c r="T57" s="5"/>
    </row>
    <row r="58" spans="1:20" x14ac:dyDescent="0.25">
      <c r="A58" s="446" t="s">
        <v>988</v>
      </c>
      <c r="C58" s="447" t="str">
        <f>IF(C52&lt;0,"⚠️ Passif &lt; 0",IF(C52&gt;C28*0.3,"⚠️ &gt;30% actif","✅"))</f>
        <v>✅</v>
      </c>
      <c r="E58" s="447" t="str">
        <f>IF(E52&lt;0,"⚠️ Passif &lt; 0",IF(E52&gt;E28*0.3,"⚠️ &gt;30% actif","✅"))</f>
        <v>✅</v>
      </c>
      <c r="G58" s="447" t="str">
        <f>IF(G52&lt;0,"⚠️ Passif &lt; 0",IF(G52&gt;G28*0.3,"⚠️ &gt;30% actif","✅"))</f>
        <v>✅</v>
      </c>
      <c r="I58" s="447" t="str">
        <f>IF(I52&lt;0,"⚠️ Passif &lt; 0",IF(I52&gt;I28*0.3,"⚠️ &gt;30% actif","✅"))</f>
        <v>✅</v>
      </c>
      <c r="K58" s="447" t="str">
        <f>IF(K52&lt;0,"⚠️ Passif &lt; 0",IF(K52&gt;K28*0.3,"⚠️ &gt;30% actif","✅"))</f>
        <v>⚠️ Passif &lt; 0</v>
      </c>
      <c r="M58" s="447" t="str">
        <f>IF(M52&lt;0,"⚠️ Passif &lt; 0",IF(M52&gt;M28*0.3,"⚠️ &gt;30% actif","✅"))</f>
        <v>✅</v>
      </c>
      <c r="O58" s="447" t="str">
        <f>IF(O52&lt;0,"⚠️ Passif &lt; 0",IF(O52&gt;O28*0.3,"⚠️ &gt;30% actif","✅"))</f>
        <v>✅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7F263-6B40-489F-A217-07EFEB53D2C4}">
  <sheetPr>
    <tabColor rgb="FF10B981"/>
  </sheetPr>
  <dimension ref="A1:Q50"/>
  <sheetViews>
    <sheetView showGridLines="0" zoomScale="70" zoomScaleNormal="70" workbookViewId="0">
      <selection activeCell="A6" sqref="A6:Q6"/>
    </sheetView>
  </sheetViews>
  <sheetFormatPr baseColWidth="10" defaultRowHeight="15" x14ac:dyDescent="0.25"/>
  <cols>
    <col min="1" max="1" width="61.42578125" customWidth="1"/>
    <col min="2" max="2" width="14.28515625" customWidth="1"/>
    <col min="3" max="3" width="18.140625" customWidth="1"/>
    <col min="4" max="4" width="5.7109375" customWidth="1"/>
    <col min="5" max="5" width="18.140625" customWidth="1"/>
    <col min="6" max="6" width="5.7109375" customWidth="1"/>
    <col min="7" max="7" width="18.140625" customWidth="1"/>
    <col min="8" max="8" width="5.7109375" customWidth="1"/>
    <col min="9" max="9" width="18.140625" customWidth="1"/>
    <col min="10" max="10" width="5.7109375" customWidth="1"/>
    <col min="11" max="11" width="18.140625" customWidth="1"/>
    <col min="12" max="12" width="5.7109375" customWidth="1"/>
    <col min="13" max="13" width="18.140625" customWidth="1"/>
    <col min="14" max="14" width="5.7109375" customWidth="1"/>
    <col min="15" max="15" width="18.140625" customWidth="1"/>
    <col min="16" max="16" width="5.7109375" customWidth="1"/>
    <col min="17" max="17" width="18.140625" customWidth="1"/>
  </cols>
  <sheetData>
    <row r="1" spans="1:17" ht="36" customHeight="1" x14ac:dyDescent="0.5">
      <c r="A1" s="84" t="s">
        <v>303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</row>
    <row r="2" spans="1:17" ht="21.95" customHeight="1" x14ac:dyDescent="0.3">
      <c r="A2" s="85" t="s">
        <v>304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</row>
    <row r="3" spans="1:17" ht="21.95" customHeight="1" x14ac:dyDescent="0.3">
      <c r="A3" s="86" t="s">
        <v>219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</row>
    <row r="4" spans="1:17" ht="8.1" customHeight="1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ht="24" customHeight="1" x14ac:dyDescent="0.3">
      <c r="A5" s="6" t="s">
        <v>220</v>
      </c>
      <c r="B5" s="6" t="s">
        <v>221</v>
      </c>
      <c r="C5" s="6" t="str">
        <f>'01_PARAMETRES'!A18</f>
        <v>MA-FR</v>
      </c>
      <c r="D5" s="6" t="str">
        <f>'01_PARAMETRES'!E18</f>
        <v>EUR</v>
      </c>
      <c r="E5" s="6" t="str">
        <f>'01_PARAMETRES'!A19</f>
        <v>AU-IT</v>
      </c>
      <c r="F5" s="6" t="str">
        <f>'01_PARAMETRES'!E19</f>
        <v>EUR</v>
      </c>
      <c r="G5" s="6" t="str">
        <f>'01_PARAMETRES'!A20</f>
        <v>AU-US</v>
      </c>
      <c r="H5" s="6" t="str">
        <f>'01_PARAMETRES'!E20</f>
        <v>USD</v>
      </c>
      <c r="I5" s="6" t="str">
        <f>'01_PARAMETRES'!A21</f>
        <v>AU-JP</v>
      </c>
      <c r="J5" s="6" t="str">
        <f>'01_PARAMETRES'!E21</f>
        <v>JPY</v>
      </c>
      <c r="K5" s="6" t="str">
        <f>'01_PARAMETRES'!A22</f>
        <v>AU-CH</v>
      </c>
      <c r="L5" s="6" t="str">
        <f>'01_PARAMETRES'!E22</f>
        <v>CHF</v>
      </c>
      <c r="M5" s="6" t="str">
        <f>'01_PARAMETRES'!A23</f>
        <v>AU-CN</v>
      </c>
      <c r="N5" s="6" t="str">
        <f>'01_PARAMETRES'!E23</f>
        <v>CNY</v>
      </c>
      <c r="O5" s="6" t="str">
        <f>'01_PARAMETRES'!A25</f>
        <v>AU-AE</v>
      </c>
      <c r="P5" s="6" t="str">
        <f>'01_PARAMETRES'!E25</f>
        <v>AED</v>
      </c>
      <c r="Q5" s="6" t="s">
        <v>222</v>
      </c>
    </row>
    <row r="6" spans="1:17" ht="24" customHeight="1" x14ac:dyDescent="0.3">
      <c r="A6" s="900" t="s">
        <v>305</v>
      </c>
      <c r="B6" s="900"/>
      <c r="C6" s="900"/>
      <c r="D6" s="900"/>
      <c r="E6" s="900"/>
      <c r="F6" s="900"/>
      <c r="G6" s="900"/>
      <c r="H6" s="900"/>
      <c r="I6" s="900"/>
      <c r="J6" s="900"/>
      <c r="K6" s="900"/>
      <c r="L6" s="900"/>
      <c r="M6" s="900"/>
      <c r="N6" s="900"/>
      <c r="O6" s="900"/>
      <c r="P6" s="900"/>
      <c r="Q6" s="900"/>
    </row>
    <row r="7" spans="1:17" ht="16.5" x14ac:dyDescent="0.3">
      <c r="A7" s="717" t="s">
        <v>308</v>
      </c>
      <c r="B7" s="69" t="s">
        <v>309</v>
      </c>
      <c r="C7" s="70">
        <v>725000</v>
      </c>
      <c r="D7" s="5"/>
      <c r="E7" s="70">
        <v>140000</v>
      </c>
      <c r="F7" s="5"/>
      <c r="G7" s="70">
        <v>480000</v>
      </c>
      <c r="H7" s="5"/>
      <c r="I7" s="70">
        <v>42000000</v>
      </c>
      <c r="J7" s="5"/>
      <c r="K7" s="70">
        <v>75000</v>
      </c>
      <c r="L7" s="5"/>
      <c r="M7" s="70">
        <v>350000</v>
      </c>
      <c r="N7" s="5"/>
      <c r="O7" s="70">
        <v>125000</v>
      </c>
      <c r="P7" s="5"/>
      <c r="Q7" s="71">
        <f>C7+E7+G7+I7+K7+M7+O7</f>
        <v>43895000</v>
      </c>
    </row>
    <row r="8" spans="1:17" ht="16.5" x14ac:dyDescent="0.3">
      <c r="A8" s="717" t="s">
        <v>310</v>
      </c>
      <c r="B8" s="73" t="s">
        <v>243</v>
      </c>
      <c r="C8" s="70">
        <v>125000</v>
      </c>
      <c r="D8" s="5"/>
      <c r="E8" s="70">
        <v>180000</v>
      </c>
      <c r="F8" s="5"/>
      <c r="G8" s="70">
        <v>0</v>
      </c>
      <c r="H8" s="5"/>
      <c r="I8" s="70">
        <v>0</v>
      </c>
      <c r="J8" s="5"/>
      <c r="K8" s="70">
        <v>120000</v>
      </c>
      <c r="L8" s="5"/>
      <c r="M8" s="70">
        <v>0</v>
      </c>
      <c r="N8" s="5"/>
      <c r="O8" s="70">
        <v>0</v>
      </c>
      <c r="P8" s="5"/>
      <c r="Q8" s="71">
        <f>C8+E8+G8+I8+K8+M8+O8</f>
        <v>425000</v>
      </c>
    </row>
    <row r="9" spans="1:17" ht="16.5" x14ac:dyDescent="0.3">
      <c r="A9" s="87" t="s">
        <v>333</v>
      </c>
      <c r="B9" s="78"/>
      <c r="C9" s="79">
        <f>C7+C8</f>
        <v>850000</v>
      </c>
      <c r="D9" s="78"/>
      <c r="E9" s="79">
        <f>E7+E8</f>
        <v>320000</v>
      </c>
      <c r="F9" s="78"/>
      <c r="G9" s="79">
        <f>G7+G8</f>
        <v>480000</v>
      </c>
      <c r="H9" s="78"/>
      <c r="I9" s="79">
        <f>I7+I8</f>
        <v>42000000</v>
      </c>
      <c r="J9" s="78"/>
      <c r="K9" s="79">
        <f>K7+K8</f>
        <v>195000</v>
      </c>
      <c r="L9" s="78"/>
      <c r="M9" s="79">
        <f>M7+M8</f>
        <v>350000</v>
      </c>
      <c r="N9" s="78"/>
      <c r="O9" s="79">
        <f>O7+O8</f>
        <v>125000</v>
      </c>
      <c r="P9" s="78"/>
      <c r="Q9" s="79">
        <f>Q7+Q8</f>
        <v>44320000</v>
      </c>
    </row>
    <row r="10" spans="1:17" ht="16.5" x14ac:dyDescent="0.3">
      <c r="A10" s="717" t="s">
        <v>311</v>
      </c>
      <c r="B10" s="69" t="s">
        <v>252</v>
      </c>
      <c r="C10" s="70">
        <v>8000</v>
      </c>
      <c r="D10" s="5"/>
      <c r="E10" s="70">
        <v>8000</v>
      </c>
      <c r="F10" s="5"/>
      <c r="G10" s="70">
        <v>8000</v>
      </c>
      <c r="H10" s="5"/>
      <c r="I10" s="70">
        <v>0</v>
      </c>
      <c r="J10" s="5"/>
      <c r="K10" s="70">
        <v>0</v>
      </c>
      <c r="L10" s="5"/>
      <c r="M10" s="70">
        <v>0</v>
      </c>
      <c r="N10" s="5"/>
      <c r="O10" s="70">
        <v>0</v>
      </c>
      <c r="P10" s="5"/>
      <c r="Q10" s="71">
        <f>C10+E10+G10+I10+K10+M10+O10</f>
        <v>24000</v>
      </c>
    </row>
    <row r="11" spans="1:17" ht="16.5" x14ac:dyDescent="0.3">
      <c r="A11" s="460" t="s">
        <v>1016</v>
      </c>
      <c r="B11" s="73" t="s">
        <v>1017</v>
      </c>
      <c r="C11" s="462">
        <f>'07_ELIMINATIONS'!D85</f>
        <v>65600</v>
      </c>
      <c r="D11" s="5"/>
      <c r="E11" s="463">
        <v>0</v>
      </c>
      <c r="F11" s="5"/>
      <c r="G11" s="463">
        <v>0</v>
      </c>
      <c r="H11" s="5"/>
      <c r="I11" s="463">
        <v>0</v>
      </c>
      <c r="J11" s="5"/>
      <c r="K11" s="463">
        <v>0</v>
      </c>
      <c r="L11" s="5"/>
      <c r="M11" s="463">
        <v>0</v>
      </c>
      <c r="N11" s="5"/>
      <c r="O11" s="463">
        <v>0</v>
      </c>
      <c r="P11" s="5"/>
      <c r="Q11" s="464">
        <f>C11+E11+G11+I11+K11+M11+O11</f>
        <v>65600</v>
      </c>
    </row>
    <row r="12" spans="1:17" ht="17.25" thickBot="1" x14ac:dyDescent="0.35">
      <c r="A12" s="5"/>
      <c r="B12" s="5"/>
      <c r="C12" s="71"/>
      <c r="D12" s="5"/>
      <c r="E12" s="71"/>
      <c r="F12" s="5"/>
      <c r="G12" s="71"/>
      <c r="H12" s="5"/>
      <c r="I12" s="71"/>
      <c r="J12" s="5"/>
      <c r="K12" s="71"/>
      <c r="L12" s="5"/>
      <c r="M12" s="71"/>
      <c r="N12" s="5"/>
      <c r="O12" s="71"/>
      <c r="P12" s="5"/>
      <c r="Q12" s="71"/>
    </row>
    <row r="13" spans="1:17" ht="24" customHeight="1" thickBot="1" x14ac:dyDescent="0.35">
      <c r="A13" s="897" t="s">
        <v>306</v>
      </c>
      <c r="B13" s="898"/>
      <c r="C13" s="898"/>
      <c r="D13" s="898"/>
      <c r="E13" s="898"/>
      <c r="F13" s="898"/>
      <c r="G13" s="898"/>
      <c r="H13" s="898"/>
      <c r="I13" s="898"/>
      <c r="J13" s="898"/>
      <c r="K13" s="898"/>
      <c r="L13" s="898"/>
      <c r="M13" s="898"/>
      <c r="N13" s="898"/>
      <c r="O13" s="898"/>
      <c r="P13" s="898"/>
      <c r="Q13" s="899"/>
    </row>
    <row r="14" spans="1:17" ht="16.5" x14ac:dyDescent="0.3">
      <c r="A14" s="717" t="s">
        <v>312</v>
      </c>
      <c r="B14" s="69" t="s">
        <v>247</v>
      </c>
      <c r="C14" s="70">
        <v>-295000</v>
      </c>
      <c r="D14" s="5"/>
      <c r="E14" s="70">
        <v>-95000</v>
      </c>
      <c r="F14" s="5"/>
      <c r="G14" s="70">
        <v>-168000</v>
      </c>
      <c r="H14" s="5"/>
      <c r="I14" s="70">
        <v>-16800000</v>
      </c>
      <c r="J14" s="5"/>
      <c r="K14" s="70">
        <v>-48000</v>
      </c>
      <c r="L14" s="5"/>
      <c r="M14" s="70">
        <v>-140000</v>
      </c>
      <c r="N14" s="5"/>
      <c r="O14" s="70">
        <v>-50000</v>
      </c>
      <c r="P14" s="5"/>
      <c r="Q14" s="71">
        <f>C14+E14+G14+I14+K14+M14+O14</f>
        <v>-17596000</v>
      </c>
    </row>
    <row r="15" spans="1:17" ht="16.5" x14ac:dyDescent="0.3">
      <c r="A15" s="717" t="s">
        <v>313</v>
      </c>
      <c r="B15" s="73" t="s">
        <v>243</v>
      </c>
      <c r="C15" s="70">
        <v>-45000</v>
      </c>
      <c r="D15" s="5"/>
      <c r="E15" s="70">
        <v>-50000</v>
      </c>
      <c r="F15" s="5"/>
      <c r="G15" s="70">
        <v>-42000</v>
      </c>
      <c r="H15" s="5"/>
      <c r="I15" s="70">
        <v>-2500000</v>
      </c>
      <c r="J15" s="5"/>
      <c r="K15" s="70">
        <v>-34000</v>
      </c>
      <c r="L15" s="5"/>
      <c r="M15" s="70">
        <v>-28000</v>
      </c>
      <c r="N15" s="5"/>
      <c r="O15" s="70">
        <v>-12000</v>
      </c>
      <c r="P15" s="5"/>
      <c r="Q15" s="71">
        <f>C15+E15+G15+I15+K15+M15+O15</f>
        <v>-2711000</v>
      </c>
    </row>
    <row r="16" spans="1:17" ht="16.5" x14ac:dyDescent="0.3">
      <c r="A16" s="87" t="s">
        <v>334</v>
      </c>
      <c r="B16" s="78"/>
      <c r="C16" s="79">
        <f>C14+C15</f>
        <v>-340000</v>
      </c>
      <c r="D16" s="78"/>
      <c r="E16" s="79">
        <f>E14+E15</f>
        <v>-145000</v>
      </c>
      <c r="F16" s="78"/>
      <c r="G16" s="79">
        <f>G14+G15</f>
        <v>-210000</v>
      </c>
      <c r="H16" s="78"/>
      <c r="I16" s="79">
        <f>I14+I15</f>
        <v>-19300000</v>
      </c>
      <c r="J16" s="78"/>
      <c r="K16" s="79">
        <f>K14+K15</f>
        <v>-82000</v>
      </c>
      <c r="L16" s="78"/>
      <c r="M16" s="79">
        <f>M14+M15</f>
        <v>-168000</v>
      </c>
      <c r="N16" s="78"/>
      <c r="O16" s="79">
        <f>O14+O15</f>
        <v>-62000</v>
      </c>
      <c r="P16" s="78"/>
      <c r="Q16" s="79">
        <f>Q14+Q15</f>
        <v>-20307000</v>
      </c>
    </row>
    <row r="17" spans="1:17" ht="16.5" x14ac:dyDescent="0.3">
      <c r="A17" s="88" t="s">
        <v>335</v>
      </c>
      <c r="B17" s="5"/>
      <c r="C17" s="89">
        <f>C9+C16+C10</f>
        <v>518000</v>
      </c>
      <c r="D17" s="5"/>
      <c r="E17" s="89">
        <f>E9+E16+E10</f>
        <v>183000</v>
      </c>
      <c r="F17" s="5"/>
      <c r="G17" s="89">
        <f>G9+G16+G10</f>
        <v>278000</v>
      </c>
      <c r="H17" s="5"/>
      <c r="I17" s="89">
        <f>I9+I16+I10</f>
        <v>22700000</v>
      </c>
      <c r="J17" s="5"/>
      <c r="K17" s="89">
        <f>K9+K16+K10</f>
        <v>113000</v>
      </c>
      <c r="L17" s="5"/>
      <c r="M17" s="89">
        <f>M9+M16+M10</f>
        <v>182000</v>
      </c>
      <c r="N17" s="5"/>
      <c r="O17" s="89">
        <f>O9+O16+O10</f>
        <v>63000</v>
      </c>
      <c r="P17" s="5"/>
      <c r="Q17" s="89">
        <f>Q9+Q16+Q10</f>
        <v>24037000</v>
      </c>
    </row>
    <row r="18" spans="1:17" ht="16.5" x14ac:dyDescent="0.3">
      <c r="A18" s="87" t="s">
        <v>336</v>
      </c>
      <c r="B18" s="78"/>
      <c r="C18" s="90">
        <f>IF(C9=0,"",C17/C9)</f>
        <v>0.60941176470588232</v>
      </c>
      <c r="D18" s="78"/>
      <c r="E18" s="90">
        <f>IF(E9=0,"",E17/E9)</f>
        <v>0.57187500000000002</v>
      </c>
      <c r="F18" s="78"/>
      <c r="G18" s="90">
        <f>IF(G9=0,"",G17/G9)</f>
        <v>0.57916666666666672</v>
      </c>
      <c r="H18" s="78"/>
      <c r="I18" s="90">
        <f>IF(I9=0,"",I17/I9)</f>
        <v>0.54047619047619044</v>
      </c>
      <c r="J18" s="78"/>
      <c r="K18" s="90">
        <f>IF(K9=0,"",K17/K9)</f>
        <v>0.57948717948717954</v>
      </c>
      <c r="L18" s="78"/>
      <c r="M18" s="90">
        <f>IF(M9=0,"",M17/M9)</f>
        <v>0.52</v>
      </c>
      <c r="N18" s="78"/>
      <c r="O18" s="90">
        <f>IF(O9=0,"",O17/O9)</f>
        <v>0.504</v>
      </c>
      <c r="P18" s="78"/>
      <c r="Q18" s="90">
        <f>IF(Q9=0,"",Q17/Q9)</f>
        <v>0.54235108303249102</v>
      </c>
    </row>
    <row r="19" spans="1:17" ht="16.5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1:17" ht="16.5" x14ac:dyDescent="0.3">
      <c r="A20" s="717" t="s">
        <v>314</v>
      </c>
      <c r="B20" s="69" t="s">
        <v>315</v>
      </c>
      <c r="C20" s="70">
        <v>-128000</v>
      </c>
      <c r="D20" s="5"/>
      <c r="E20" s="70">
        <v>-52000</v>
      </c>
      <c r="F20" s="5"/>
      <c r="G20" s="70">
        <v>-85000</v>
      </c>
      <c r="H20" s="5"/>
      <c r="I20" s="70">
        <v>-8500000</v>
      </c>
      <c r="J20" s="5"/>
      <c r="K20" s="70">
        <v>-28000</v>
      </c>
      <c r="L20" s="5"/>
      <c r="M20" s="70">
        <v>-65000</v>
      </c>
      <c r="N20" s="5"/>
      <c r="O20" s="70">
        <v>-18000</v>
      </c>
      <c r="P20" s="5"/>
      <c r="Q20" s="71">
        <f t="shared" ref="Q20:Q26" si="0">C20+E20+G20+I20+K20+M20+O20</f>
        <v>-8876000</v>
      </c>
    </row>
    <row r="21" spans="1:17" ht="16.5" x14ac:dyDescent="0.3">
      <c r="A21" s="717" t="s">
        <v>316</v>
      </c>
      <c r="B21" s="69" t="s">
        <v>233</v>
      </c>
      <c r="C21" s="70">
        <v>-22000</v>
      </c>
      <c r="D21" s="5"/>
      <c r="E21" s="70">
        <v>-12000</v>
      </c>
      <c r="F21" s="5"/>
      <c r="G21" s="70">
        <v>-35000</v>
      </c>
      <c r="H21" s="5"/>
      <c r="I21" s="70">
        <v>-2200000</v>
      </c>
      <c r="J21" s="5"/>
      <c r="K21" s="70">
        <v>-6500</v>
      </c>
      <c r="L21" s="5"/>
      <c r="M21" s="70">
        <v>-18000</v>
      </c>
      <c r="N21" s="5"/>
      <c r="O21" s="70">
        <v>-8000</v>
      </c>
      <c r="P21" s="5"/>
      <c r="Q21" s="71">
        <f t="shared" si="0"/>
        <v>-2301500</v>
      </c>
    </row>
    <row r="22" spans="1:17" ht="16.5" x14ac:dyDescent="0.3">
      <c r="A22" s="717" t="s">
        <v>317</v>
      </c>
      <c r="B22" s="69"/>
      <c r="C22" s="70">
        <v>-45000</v>
      </c>
      <c r="D22" s="5"/>
      <c r="E22" s="70">
        <v>-15000</v>
      </c>
      <c r="F22" s="5"/>
      <c r="G22" s="70">
        <v>-32000</v>
      </c>
      <c r="H22" s="5"/>
      <c r="I22" s="70">
        <v>-2800000</v>
      </c>
      <c r="J22" s="5"/>
      <c r="K22" s="70">
        <v>-8000</v>
      </c>
      <c r="L22" s="5"/>
      <c r="M22" s="70">
        <v>-22000</v>
      </c>
      <c r="N22" s="5"/>
      <c r="O22" s="70">
        <v>-5500</v>
      </c>
      <c r="P22" s="5"/>
      <c r="Q22" s="71">
        <f t="shared" si="0"/>
        <v>-2927500</v>
      </c>
    </row>
    <row r="23" spans="1:17" ht="16.5" x14ac:dyDescent="0.3">
      <c r="A23" s="717" t="s">
        <v>318</v>
      </c>
      <c r="B23" s="69" t="s">
        <v>319</v>
      </c>
      <c r="C23" s="70">
        <v>-38000</v>
      </c>
      <c r="D23" s="5"/>
      <c r="E23" s="70">
        <v>-14000</v>
      </c>
      <c r="F23" s="5"/>
      <c r="G23" s="70">
        <v>-28000</v>
      </c>
      <c r="H23" s="5"/>
      <c r="I23" s="70">
        <v>-1800000</v>
      </c>
      <c r="J23" s="5"/>
      <c r="K23" s="70">
        <v>-7500</v>
      </c>
      <c r="L23" s="5"/>
      <c r="M23" s="70">
        <v>-12500</v>
      </c>
      <c r="N23" s="5"/>
      <c r="O23" s="70">
        <v>-4200</v>
      </c>
      <c r="P23" s="5"/>
      <c r="Q23" s="71">
        <f t="shared" si="0"/>
        <v>-1904200</v>
      </c>
    </row>
    <row r="24" spans="1:17" ht="16.5" x14ac:dyDescent="0.3">
      <c r="A24" s="717" t="s">
        <v>320</v>
      </c>
      <c r="B24" s="73" t="s">
        <v>243</v>
      </c>
      <c r="C24" s="70">
        <v>0</v>
      </c>
      <c r="D24" s="5"/>
      <c r="E24" s="70">
        <v>-14400</v>
      </c>
      <c r="F24" s="5"/>
      <c r="G24" s="70">
        <v>-28800</v>
      </c>
      <c r="H24" s="5"/>
      <c r="I24" s="70">
        <v>-1885000</v>
      </c>
      <c r="J24" s="5"/>
      <c r="K24" s="70">
        <v>0</v>
      </c>
      <c r="L24" s="5"/>
      <c r="M24" s="70">
        <v>0</v>
      </c>
      <c r="N24" s="5"/>
      <c r="O24" s="70">
        <v>0</v>
      </c>
      <c r="P24" s="5"/>
      <c r="Q24" s="71">
        <f t="shared" si="0"/>
        <v>-1928200</v>
      </c>
    </row>
    <row r="25" spans="1:17" ht="16.5" x14ac:dyDescent="0.3">
      <c r="A25" s="718" t="s">
        <v>1018</v>
      </c>
      <c r="B25" s="465" t="s">
        <v>1017</v>
      </c>
      <c r="C25" s="466">
        <v>0</v>
      </c>
      <c r="D25" s="467"/>
      <c r="E25" s="468">
        <f>E24</f>
        <v>-14400</v>
      </c>
      <c r="F25" s="467"/>
      <c r="G25" s="469">
        <f>G24</f>
        <v>-28800</v>
      </c>
      <c r="H25" s="467"/>
      <c r="I25" s="469">
        <f>I24</f>
        <v>-1885000</v>
      </c>
      <c r="J25" s="467"/>
      <c r="K25" s="466">
        <v>0</v>
      </c>
      <c r="L25" s="467"/>
      <c r="M25" s="466">
        <v>0</v>
      </c>
      <c r="N25" s="467"/>
      <c r="O25" s="466">
        <v>0</v>
      </c>
      <c r="P25" s="467"/>
      <c r="Q25" s="470">
        <f>C25+E25+G25+I25+K25+M25+O25</f>
        <v>-1928200</v>
      </c>
    </row>
    <row r="26" spans="1:17" ht="16.5" x14ac:dyDescent="0.3">
      <c r="A26" s="717" t="s">
        <v>321</v>
      </c>
      <c r="B26" s="69"/>
      <c r="C26" s="70">
        <v>-55000</v>
      </c>
      <c r="D26" s="5"/>
      <c r="E26" s="70">
        <v>-18000</v>
      </c>
      <c r="F26" s="5"/>
      <c r="G26" s="70">
        <v>-22000</v>
      </c>
      <c r="H26" s="5"/>
      <c r="I26" s="70">
        <v>-1500000</v>
      </c>
      <c r="J26" s="5"/>
      <c r="K26" s="70">
        <v>-16000</v>
      </c>
      <c r="L26" s="5"/>
      <c r="M26" s="70">
        <v>-15000</v>
      </c>
      <c r="N26" s="5"/>
      <c r="O26" s="70">
        <v>-6000</v>
      </c>
      <c r="P26" s="5"/>
      <c r="Q26" s="71">
        <f t="shared" si="0"/>
        <v>-1632000</v>
      </c>
    </row>
    <row r="27" spans="1:17" ht="16.5" x14ac:dyDescent="0.3">
      <c r="A27" s="87" t="s">
        <v>337</v>
      </c>
      <c r="B27" s="78"/>
      <c r="C27" s="79">
        <f>SUM(C20:C26)</f>
        <v>-288000</v>
      </c>
      <c r="D27" s="78"/>
      <c r="E27" s="79">
        <f>SUM(E20:E26)</f>
        <v>-139800</v>
      </c>
      <c r="F27" s="78"/>
      <c r="G27" s="79">
        <f>SUM(G20:G26)</f>
        <v>-259600</v>
      </c>
      <c r="H27" s="78"/>
      <c r="I27" s="79">
        <f>SUM(I20:I26)</f>
        <v>-20570000</v>
      </c>
      <c r="J27" s="78"/>
      <c r="K27" s="79">
        <f>SUM(K20:K26)</f>
        <v>-66000</v>
      </c>
      <c r="L27" s="78"/>
      <c r="M27" s="79">
        <f>SUM(M20:M26)</f>
        <v>-132500</v>
      </c>
      <c r="N27" s="78"/>
      <c r="O27" s="79">
        <f>SUM(O20:O26)</f>
        <v>-41700</v>
      </c>
      <c r="P27" s="78"/>
      <c r="Q27" s="79">
        <f>SUM(Q20:Q26)</f>
        <v>-21497600</v>
      </c>
    </row>
    <row r="28" spans="1:17" ht="17.25" thickBot="1" x14ac:dyDescent="0.35">
      <c r="A28" s="5"/>
      <c r="B28" s="5"/>
      <c r="C28" s="71"/>
      <c r="D28" s="5"/>
      <c r="E28" s="71"/>
      <c r="F28" s="5"/>
      <c r="G28" s="71"/>
      <c r="H28" s="5"/>
      <c r="I28" s="71"/>
      <c r="J28" s="5"/>
      <c r="K28" s="71"/>
      <c r="L28" s="5"/>
      <c r="M28" s="71"/>
      <c r="N28" s="5"/>
      <c r="O28" s="71"/>
      <c r="P28" s="5"/>
      <c r="Q28" s="71"/>
    </row>
    <row r="29" spans="1:17" ht="17.25" thickBot="1" x14ac:dyDescent="0.35">
      <c r="A29" s="893" t="s">
        <v>338</v>
      </c>
      <c r="B29" s="894"/>
      <c r="C29" s="895">
        <f>C17+C27</f>
        <v>230000</v>
      </c>
      <c r="D29" s="894"/>
      <c r="E29" s="895">
        <f>E17+E27</f>
        <v>43200</v>
      </c>
      <c r="F29" s="894"/>
      <c r="G29" s="895">
        <f>G17+G27</f>
        <v>18400</v>
      </c>
      <c r="H29" s="894"/>
      <c r="I29" s="895">
        <f>I17+I27</f>
        <v>2130000</v>
      </c>
      <c r="J29" s="894"/>
      <c r="K29" s="895">
        <f>K17+K27</f>
        <v>47000</v>
      </c>
      <c r="L29" s="894"/>
      <c r="M29" s="895">
        <f>M17+M27</f>
        <v>49500</v>
      </c>
      <c r="N29" s="894"/>
      <c r="O29" s="895">
        <f>O17+O27</f>
        <v>21300</v>
      </c>
      <c r="P29" s="894"/>
      <c r="Q29" s="896">
        <f>Q17+Q27</f>
        <v>2539400</v>
      </c>
    </row>
    <row r="30" spans="1:17" ht="16.5" x14ac:dyDescent="0.3">
      <c r="A30" s="890" t="s">
        <v>339</v>
      </c>
      <c r="B30" s="891"/>
      <c r="C30" s="892">
        <f>IF(C9=0,"",C29/C9)</f>
        <v>0.27058823529411763</v>
      </c>
      <c r="D30" s="891"/>
      <c r="E30" s="892">
        <f>IF(E9=0,"",E29/E9)</f>
        <v>0.13500000000000001</v>
      </c>
      <c r="F30" s="891"/>
      <c r="G30" s="892">
        <f>IF(G9=0,"",G29/G9)</f>
        <v>3.833333333333333E-2</v>
      </c>
      <c r="H30" s="891"/>
      <c r="I30" s="892">
        <f>IF(I9=0,"",I29/I9)</f>
        <v>5.0714285714285712E-2</v>
      </c>
      <c r="J30" s="891"/>
      <c r="K30" s="892">
        <f>IF(K9=0,"",K29/K9)</f>
        <v>0.24102564102564103</v>
      </c>
      <c r="L30" s="891"/>
      <c r="M30" s="892">
        <f>IF(M9=0,"",M29/M9)</f>
        <v>0.14142857142857143</v>
      </c>
      <c r="N30" s="891"/>
      <c r="O30" s="892">
        <f>IF(O9=0,"",O29/O9)</f>
        <v>0.1704</v>
      </c>
      <c r="P30" s="891"/>
      <c r="Q30" s="892">
        <f>IF(Q9=0,"",Q29/Q9)</f>
        <v>5.7296931407942238E-2</v>
      </c>
    </row>
    <row r="31" spans="1:17" ht="16.5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16.5" x14ac:dyDescent="0.3">
      <c r="A32" s="717" t="s">
        <v>322</v>
      </c>
      <c r="B32" s="69" t="s">
        <v>252</v>
      </c>
      <c r="C32" s="70">
        <v>0</v>
      </c>
      <c r="D32" s="5"/>
      <c r="E32" s="70">
        <v>0</v>
      </c>
      <c r="F32" s="5"/>
      <c r="G32" s="70">
        <v>0</v>
      </c>
      <c r="H32" s="5"/>
      <c r="I32" s="70">
        <v>0</v>
      </c>
      <c r="J32" s="5"/>
      <c r="K32" s="70">
        <v>0</v>
      </c>
      <c r="L32" s="5"/>
      <c r="M32" s="70">
        <v>0</v>
      </c>
      <c r="N32" s="5"/>
      <c r="O32" s="70">
        <v>0</v>
      </c>
      <c r="P32" s="5"/>
      <c r="Q32" s="71">
        <f>C32+E32+G32+I32+K32+M32+O32</f>
        <v>0</v>
      </c>
    </row>
    <row r="33" spans="1:17" ht="16.5" x14ac:dyDescent="0.3">
      <c r="A33" s="717" t="s">
        <v>323</v>
      </c>
      <c r="B33" s="69" t="s">
        <v>324</v>
      </c>
      <c r="C33" s="70">
        <v>0</v>
      </c>
      <c r="D33" s="5"/>
      <c r="E33" s="70">
        <v>0</v>
      </c>
      <c r="F33" s="5"/>
      <c r="G33" s="70">
        <v>0</v>
      </c>
      <c r="H33" s="5"/>
      <c r="I33" s="70">
        <v>0</v>
      </c>
      <c r="J33" s="5"/>
      <c r="K33" s="70">
        <v>0</v>
      </c>
      <c r="L33" s="5"/>
      <c r="M33" s="70">
        <v>0</v>
      </c>
      <c r="N33" s="5"/>
      <c r="O33" s="70">
        <v>0</v>
      </c>
      <c r="P33" s="5"/>
      <c r="Q33" s="71">
        <f>C33+E33+G33+I33+K33+M33+O33</f>
        <v>0</v>
      </c>
    </row>
    <row r="34" spans="1:17" ht="16.5" x14ac:dyDescent="0.3">
      <c r="A34" s="717" t="s">
        <v>325</v>
      </c>
      <c r="B34" s="69" t="s">
        <v>326</v>
      </c>
      <c r="C34" s="70">
        <v>0</v>
      </c>
      <c r="D34" s="5"/>
      <c r="E34" s="70">
        <v>0</v>
      </c>
      <c r="F34" s="5"/>
      <c r="G34" s="70">
        <v>0</v>
      </c>
      <c r="H34" s="5"/>
      <c r="I34" s="70">
        <v>0</v>
      </c>
      <c r="J34" s="5"/>
      <c r="K34" s="70">
        <v>0</v>
      </c>
      <c r="L34" s="5"/>
      <c r="M34" s="70">
        <v>0</v>
      </c>
      <c r="N34" s="5"/>
      <c r="O34" s="70">
        <v>0</v>
      </c>
      <c r="P34" s="5"/>
      <c r="Q34" s="71">
        <f>C34+E34+G34+I34+K34+M34+O34</f>
        <v>0</v>
      </c>
    </row>
    <row r="35" spans="1:17" ht="16.5" x14ac:dyDescent="0.3">
      <c r="A35" s="77" t="s">
        <v>340</v>
      </c>
      <c r="B35" s="78"/>
      <c r="C35" s="79">
        <f>C29+C32+C33+C34</f>
        <v>230000</v>
      </c>
      <c r="D35" s="78"/>
      <c r="E35" s="79">
        <f>E29+E32+E33+E34</f>
        <v>43200</v>
      </c>
      <c r="F35" s="78"/>
      <c r="G35" s="79">
        <f>G29+G32+G33+G34</f>
        <v>18400</v>
      </c>
      <c r="H35" s="78"/>
      <c r="I35" s="79">
        <f>I29+I32+I33+I34</f>
        <v>2130000</v>
      </c>
      <c r="J35" s="78"/>
      <c r="K35" s="79">
        <f>K29+K32+K33+K34</f>
        <v>47000</v>
      </c>
      <c r="L35" s="78"/>
      <c r="M35" s="79">
        <f>M29+M32+M33+M34</f>
        <v>49500</v>
      </c>
      <c r="N35" s="78"/>
      <c r="O35" s="79">
        <f>O29+O32+O33+O34</f>
        <v>21300</v>
      </c>
      <c r="P35" s="78"/>
      <c r="Q35" s="79">
        <f>Q29+Q32+Q33+Q34</f>
        <v>2539400</v>
      </c>
    </row>
    <row r="36" spans="1:17" ht="16.5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 ht="24" customHeight="1" x14ac:dyDescent="0.3">
      <c r="A37" s="64" t="s">
        <v>307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</row>
    <row r="38" spans="1:17" ht="16.5" x14ac:dyDescent="0.3">
      <c r="A38" s="717" t="s">
        <v>327</v>
      </c>
      <c r="B38" s="69" t="s">
        <v>239</v>
      </c>
      <c r="C38" s="70">
        <v>62000</v>
      </c>
      <c r="D38" s="5"/>
      <c r="E38" s="70">
        <v>5200</v>
      </c>
      <c r="F38" s="5"/>
      <c r="G38" s="70">
        <v>2800</v>
      </c>
      <c r="H38" s="5"/>
      <c r="I38" s="70">
        <v>280000</v>
      </c>
      <c r="J38" s="5"/>
      <c r="K38" s="70">
        <v>3200</v>
      </c>
      <c r="L38" s="5"/>
      <c r="M38" s="70">
        <v>1800</v>
      </c>
      <c r="N38" s="5"/>
      <c r="O38" s="70">
        <v>500</v>
      </c>
      <c r="P38" s="5"/>
      <c r="Q38" s="71">
        <f>C38+E38+G38+I38+K38+M38+O38</f>
        <v>355500</v>
      </c>
    </row>
    <row r="39" spans="1:17" ht="16.5" x14ac:dyDescent="0.3">
      <c r="A39" s="717" t="s">
        <v>328</v>
      </c>
      <c r="B39" s="69" t="s">
        <v>239</v>
      </c>
      <c r="C39" s="70">
        <v>-38000</v>
      </c>
      <c r="D39" s="5"/>
      <c r="E39" s="70">
        <v>-8400</v>
      </c>
      <c r="F39" s="5"/>
      <c r="G39" s="70">
        <v>-12500</v>
      </c>
      <c r="H39" s="5"/>
      <c r="I39" s="70">
        <v>-850000</v>
      </c>
      <c r="J39" s="5"/>
      <c r="K39" s="70">
        <v>-4800</v>
      </c>
      <c r="L39" s="5"/>
      <c r="M39" s="70">
        <v>-5200</v>
      </c>
      <c r="N39" s="5"/>
      <c r="O39" s="70">
        <v>-2800</v>
      </c>
      <c r="P39" s="5"/>
      <c r="Q39" s="71">
        <f>C39+E39+G39+I39+K39+M39+O39</f>
        <v>-921700</v>
      </c>
    </row>
    <row r="40" spans="1:17" ht="16.5" x14ac:dyDescent="0.3">
      <c r="A40" s="717" t="s">
        <v>329</v>
      </c>
      <c r="B40" s="69" t="s">
        <v>1127</v>
      </c>
      <c r="C40" s="70">
        <v>3500</v>
      </c>
      <c r="D40" s="5"/>
      <c r="E40" s="70">
        <v>800</v>
      </c>
      <c r="F40" s="5"/>
      <c r="G40" s="70">
        <v>-2100</v>
      </c>
      <c r="H40" s="5"/>
      <c r="I40" s="70">
        <v>125000</v>
      </c>
      <c r="J40" s="5"/>
      <c r="K40" s="70">
        <v>500</v>
      </c>
      <c r="L40" s="5"/>
      <c r="M40" s="70">
        <v>-350</v>
      </c>
      <c r="N40" s="5"/>
      <c r="O40" s="70">
        <v>-200</v>
      </c>
      <c r="P40" s="5"/>
      <c r="Q40" s="71">
        <f>C40+E40+G40+I40+K40+M40+O40</f>
        <v>127150</v>
      </c>
    </row>
    <row r="41" spans="1:17" ht="16.5" x14ac:dyDescent="0.3">
      <c r="A41" s="717" t="s">
        <v>330</v>
      </c>
      <c r="B41" s="73" t="s">
        <v>243</v>
      </c>
      <c r="C41" s="70">
        <v>12000</v>
      </c>
      <c r="D41" s="5"/>
      <c r="E41" s="70">
        <v>0</v>
      </c>
      <c r="F41" s="5"/>
      <c r="G41" s="70">
        <v>0</v>
      </c>
      <c r="H41" s="5"/>
      <c r="I41" s="70">
        <v>0</v>
      </c>
      <c r="J41" s="5"/>
      <c r="K41" s="70">
        <v>0</v>
      </c>
      <c r="L41" s="5"/>
      <c r="M41" s="70">
        <v>0</v>
      </c>
      <c r="N41" s="5"/>
      <c r="O41" s="70">
        <v>0</v>
      </c>
      <c r="P41" s="5"/>
      <c r="Q41" s="71">
        <f>C41+E41+G41+I41+K41+M41+O41</f>
        <v>12000</v>
      </c>
    </row>
    <row r="42" spans="1:17" ht="16.5" x14ac:dyDescent="0.3">
      <c r="A42" s="87" t="s">
        <v>341</v>
      </c>
      <c r="B42" s="78"/>
      <c r="C42" s="79">
        <f>C38+C39+C40+C41</f>
        <v>39500</v>
      </c>
      <c r="D42" s="78"/>
      <c r="E42" s="79">
        <f>E38+E39+E40+E41</f>
        <v>-2400</v>
      </c>
      <c r="F42" s="78"/>
      <c r="G42" s="79">
        <f>G38+G39+G40+G41</f>
        <v>-11800</v>
      </c>
      <c r="H42" s="78"/>
      <c r="I42" s="79">
        <f>I38+I39+I40+I41</f>
        <v>-445000</v>
      </c>
      <c r="J42" s="78"/>
      <c r="K42" s="79">
        <f>K38+K39+K40+K41</f>
        <v>-1100</v>
      </c>
      <c r="L42" s="78"/>
      <c r="M42" s="79">
        <f>M38+M39+M40+M41</f>
        <v>-3750</v>
      </c>
      <c r="N42" s="78"/>
      <c r="O42" s="79">
        <f>O38+O39+O40+O41</f>
        <v>-2500</v>
      </c>
      <c r="P42" s="78"/>
      <c r="Q42" s="79">
        <f>Q38+Q39+Q40+Q41</f>
        <v>-427050</v>
      </c>
    </row>
    <row r="43" spans="1:17" ht="16.5" x14ac:dyDescent="0.3">
      <c r="A43" s="5"/>
      <c r="B43" s="5"/>
      <c r="C43" s="71"/>
      <c r="D43" s="5"/>
      <c r="E43" s="71"/>
      <c r="F43" s="5"/>
      <c r="G43" s="71"/>
      <c r="H43" s="5"/>
      <c r="I43" s="71"/>
      <c r="J43" s="5"/>
      <c r="K43" s="71"/>
      <c r="L43" s="5"/>
      <c r="M43" s="71"/>
      <c r="N43" s="5"/>
      <c r="O43" s="71"/>
      <c r="P43" s="5"/>
      <c r="Q43" s="71"/>
    </row>
    <row r="44" spans="1:17" ht="16.5" x14ac:dyDescent="0.3">
      <c r="A44" s="77" t="s">
        <v>342</v>
      </c>
      <c r="B44" s="78"/>
      <c r="C44" s="79">
        <f>C35+C42</f>
        <v>269500</v>
      </c>
      <c r="D44" s="78"/>
      <c r="E44" s="79">
        <f>E35+E42</f>
        <v>40800</v>
      </c>
      <c r="F44" s="78"/>
      <c r="G44" s="79">
        <f>G35+G42</f>
        <v>6600</v>
      </c>
      <c r="H44" s="78"/>
      <c r="I44" s="79">
        <f>I35+I42</f>
        <v>1685000</v>
      </c>
      <c r="J44" s="78"/>
      <c r="K44" s="79">
        <f>K35+K42</f>
        <v>45900</v>
      </c>
      <c r="L44" s="78"/>
      <c r="M44" s="79">
        <f>M35+M42</f>
        <v>45750</v>
      </c>
      <c r="N44" s="78"/>
      <c r="O44" s="79">
        <f>O35+O42</f>
        <v>18800</v>
      </c>
      <c r="P44" s="78"/>
      <c r="Q44" s="79">
        <f>Q35+Q42</f>
        <v>2112350</v>
      </c>
    </row>
    <row r="45" spans="1:17" ht="16.5" x14ac:dyDescent="0.3">
      <c r="A45" s="68" t="s">
        <v>331</v>
      </c>
      <c r="B45" s="69" t="s">
        <v>241</v>
      </c>
      <c r="C45" s="70">
        <v>-82000</v>
      </c>
      <c r="D45" s="5"/>
      <c r="E45" s="70">
        <v>-13800</v>
      </c>
      <c r="F45" s="5"/>
      <c r="G45" s="70">
        <v>-7400</v>
      </c>
      <c r="H45" s="5"/>
      <c r="I45" s="70">
        <v>-1070000</v>
      </c>
      <c r="J45" s="5"/>
      <c r="K45" s="70">
        <v>-9900</v>
      </c>
      <c r="L45" s="5"/>
      <c r="M45" s="70">
        <v>-11440</v>
      </c>
      <c r="N45" s="5"/>
      <c r="O45" s="70">
        <v>-1692</v>
      </c>
      <c r="P45" s="5"/>
      <c r="Q45" s="71">
        <f>C45+E45+G45+I45+K45+M45+O45</f>
        <v>-1196232</v>
      </c>
    </row>
    <row r="46" spans="1:17" ht="17.25" thickBot="1" x14ac:dyDescent="0.35">
      <c r="A46" s="68" t="s">
        <v>332</v>
      </c>
      <c r="B46" s="69" t="s">
        <v>241</v>
      </c>
      <c r="C46" s="70">
        <v>-9500</v>
      </c>
      <c r="D46" s="5"/>
      <c r="E46" s="70">
        <v>1600</v>
      </c>
      <c r="F46" s="5"/>
      <c r="G46" s="70">
        <v>800</v>
      </c>
      <c r="H46" s="5"/>
      <c r="I46" s="70">
        <v>120000</v>
      </c>
      <c r="J46" s="5"/>
      <c r="K46" s="70">
        <v>600</v>
      </c>
      <c r="L46" s="5"/>
      <c r="M46" s="70">
        <v>500</v>
      </c>
      <c r="N46" s="5"/>
      <c r="O46" s="70">
        <v>0</v>
      </c>
      <c r="P46" s="5"/>
      <c r="Q46" s="71">
        <f>C46+E46+G46+I46+K46+M46+O46</f>
        <v>114000</v>
      </c>
    </row>
    <row r="47" spans="1:17" ht="18" thickTop="1" thickBot="1" x14ac:dyDescent="0.35">
      <c r="A47" s="91" t="s">
        <v>343</v>
      </c>
      <c r="B47" s="92"/>
      <c r="C47" s="93">
        <f>C44+C45+C46</f>
        <v>178000</v>
      </c>
      <c r="D47" s="92"/>
      <c r="E47" s="93">
        <f>E44+E45+E46</f>
        <v>28600</v>
      </c>
      <c r="F47" s="92"/>
      <c r="G47" s="93">
        <f>G44+G45+G46</f>
        <v>0</v>
      </c>
      <c r="H47" s="92"/>
      <c r="I47" s="93">
        <f>I44+I45+I46</f>
        <v>735000</v>
      </c>
      <c r="J47" s="92"/>
      <c r="K47" s="93">
        <f>K44+K45+K46</f>
        <v>36600</v>
      </c>
      <c r="L47" s="92"/>
      <c r="M47" s="93">
        <f>M44+M45+M46</f>
        <v>34810</v>
      </c>
      <c r="N47" s="92"/>
      <c r="O47" s="93">
        <f>O44+O45+O46</f>
        <v>17108</v>
      </c>
      <c r="P47" s="92"/>
      <c r="Q47" s="93">
        <f>Q44+Q45+Q46</f>
        <v>1030118</v>
      </c>
    </row>
    <row r="48" spans="1:17" ht="17.25" thickTop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 ht="16.5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 ht="26.25" x14ac:dyDescent="0.45">
      <c r="A50" s="7" t="s">
        <v>344</v>
      </c>
      <c r="B50" s="5"/>
      <c r="C50" s="83" t="str">
        <f>IF(ABS(C47-'03_BILANS_IND'!C35)&lt;1,"✅","❌ ÉCART "&amp;TEXT(C47-'03_BILANS_IND'!C35,"#,##0"))</f>
        <v>✅</v>
      </c>
      <c r="D50" s="5"/>
      <c r="E50" s="83" t="str">
        <f>IF(ABS(E47-'03_BILANS_IND'!E35)&lt;1,"✅","❌ ÉCART "&amp;TEXT(E47-'03_BILANS_IND'!E35,"#,##0"))</f>
        <v>✅</v>
      </c>
      <c r="F50" s="5"/>
      <c r="G50" s="83" t="str">
        <f>IF(ABS(G47-'03_BILANS_IND'!G35)&lt;1,"✅","❌ ÉCART "&amp;TEXT(G47-'03_BILANS_IND'!G35,"#,##0"))</f>
        <v>✅</v>
      </c>
      <c r="H50" s="5"/>
      <c r="I50" s="83" t="str">
        <f>IF(ABS(I47-'03_BILANS_IND'!I35)&lt;1,"✅","❌ ÉCART "&amp;TEXT(I47-'03_BILANS_IND'!I35,"#,##0"))</f>
        <v>✅</v>
      </c>
      <c r="J50" s="5"/>
      <c r="K50" s="83" t="str">
        <f>IF(ABS(K47-'03_BILANS_IND'!K35)&lt;1,"✅","❌ ÉCART "&amp;TEXT(K47-'03_BILANS_IND'!K35,"#,##0"))</f>
        <v>✅</v>
      </c>
      <c r="L50" s="5"/>
      <c r="M50" s="83" t="str">
        <f>IF(ABS(M47-'03_BILANS_IND'!M35)&lt;1,"✅","❌ ÉCART "&amp;TEXT(M47-'03_BILANS_IND'!M35,"#,##0"))</f>
        <v>✅</v>
      </c>
      <c r="N50" s="5"/>
      <c r="O50" s="83" t="str">
        <f>IF(ABS(O47-'03_BILANS_IND'!O35)&lt;1,"✅","❌ ÉCART "&amp;TEXT(O47-'03_BILANS_IND'!O35,"#,##0"))</f>
        <v>✅</v>
      </c>
      <c r="P50" s="5"/>
      <c r="Q50" s="5"/>
    </row>
  </sheetData>
  <mergeCells count="2">
    <mergeCell ref="A13:Q13"/>
    <mergeCell ref="A6:Q6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118B2-FEBE-41A6-981F-C7F0270001B7}">
  <sheetPr>
    <tabColor rgb="FF8B5CF6"/>
  </sheetPr>
  <dimension ref="A1:F247"/>
  <sheetViews>
    <sheetView showGridLines="0" topLeftCell="A217" zoomScaleNormal="100" workbookViewId="0">
      <selection activeCell="E233" sqref="E233"/>
    </sheetView>
  </sheetViews>
  <sheetFormatPr baseColWidth="10" defaultRowHeight="15" x14ac:dyDescent="0.25"/>
  <cols>
    <col min="1" max="1" width="38.140625" customWidth="1"/>
    <col min="2" max="2" width="28.5703125" style="56" bestFit="1" customWidth="1"/>
    <col min="3" max="3" width="26.7109375" style="56" customWidth="1"/>
    <col min="4" max="4" width="16.140625" style="125" customWidth="1"/>
    <col min="5" max="5" width="20" style="56" customWidth="1"/>
    <col min="6" max="6" width="30.85546875" customWidth="1"/>
  </cols>
  <sheetData>
    <row r="1" spans="1:6" ht="36" customHeight="1" x14ac:dyDescent="0.25">
      <c r="A1" s="782" t="s">
        <v>349</v>
      </c>
      <c r="B1" s="782"/>
      <c r="C1" s="782"/>
      <c r="D1" s="782"/>
      <c r="E1" s="782"/>
      <c r="F1" s="782"/>
    </row>
    <row r="2" spans="1:6" x14ac:dyDescent="0.25">
      <c r="A2" s="94" t="s">
        <v>350</v>
      </c>
      <c r="B2" s="105"/>
      <c r="C2" s="105"/>
      <c r="D2" s="120"/>
      <c r="E2" s="105"/>
      <c r="F2" s="25"/>
    </row>
    <row r="3" spans="1:6" x14ac:dyDescent="0.25">
      <c r="A3" s="8"/>
      <c r="B3" s="106"/>
      <c r="C3" s="106"/>
      <c r="D3" s="121"/>
      <c r="E3" s="106"/>
      <c r="F3" s="8"/>
    </row>
    <row r="4" spans="1:6" ht="24" customHeight="1" x14ac:dyDescent="0.25">
      <c r="A4" s="783" t="s">
        <v>351</v>
      </c>
      <c r="B4" s="783"/>
      <c r="C4" s="783"/>
      <c r="D4" s="783"/>
      <c r="E4" s="783"/>
      <c r="F4" s="783"/>
    </row>
    <row r="5" spans="1:6" x14ac:dyDescent="0.25">
      <c r="A5" s="787" t="s">
        <v>352</v>
      </c>
      <c r="B5" s="787"/>
      <c r="C5" s="787"/>
      <c r="D5" s="787"/>
      <c r="E5" s="787"/>
      <c r="F5" s="787"/>
    </row>
    <row r="6" spans="1:6" x14ac:dyDescent="0.25">
      <c r="A6" s="787" t="s">
        <v>353</v>
      </c>
      <c r="B6" s="787"/>
      <c r="C6" s="787"/>
      <c r="D6" s="787"/>
      <c r="E6" s="787"/>
      <c r="F6" s="787"/>
    </row>
    <row r="7" spans="1:6" x14ac:dyDescent="0.25">
      <c r="A7" s="787" t="s">
        <v>354</v>
      </c>
      <c r="B7" s="787"/>
      <c r="C7" s="787"/>
      <c r="D7" s="787"/>
      <c r="E7" s="787"/>
      <c r="F7" s="787"/>
    </row>
    <row r="8" spans="1:6" x14ac:dyDescent="0.25">
      <c r="A8" s="787" t="s">
        <v>355</v>
      </c>
      <c r="B8" s="787"/>
      <c r="C8" s="787"/>
      <c r="D8" s="787"/>
      <c r="E8" s="787"/>
      <c r="F8" s="787"/>
    </row>
    <row r="9" spans="1:6" x14ac:dyDescent="0.25">
      <c r="A9" s="788" t="s">
        <v>356</v>
      </c>
      <c r="B9" s="788"/>
      <c r="C9" s="788"/>
      <c r="D9" s="788"/>
      <c r="E9" s="788"/>
      <c r="F9" s="788"/>
    </row>
    <row r="10" spans="1:6" x14ac:dyDescent="0.25">
      <c r="A10" s="8"/>
      <c r="B10" s="106"/>
      <c r="C10" s="106"/>
      <c r="D10" s="121"/>
      <c r="E10" s="106"/>
      <c r="F10" s="8"/>
    </row>
    <row r="11" spans="1:6" x14ac:dyDescent="0.25">
      <c r="A11" s="8"/>
      <c r="B11" s="106"/>
      <c r="C11" s="106"/>
      <c r="D11" s="121"/>
      <c r="E11" s="106"/>
      <c r="F11" s="8"/>
    </row>
    <row r="12" spans="1:6" ht="16.5" x14ac:dyDescent="0.3">
      <c r="A12" s="6" t="s">
        <v>357</v>
      </c>
      <c r="B12" s="107"/>
      <c r="C12" s="107"/>
      <c r="D12" s="122"/>
      <c r="E12" s="107"/>
      <c r="F12" s="95"/>
    </row>
    <row r="13" spans="1:6" ht="15.75" thickBot="1" x14ac:dyDescent="0.3">
      <c r="A13" s="10" t="s">
        <v>220</v>
      </c>
      <c r="B13" s="108" t="s">
        <v>358</v>
      </c>
      <c r="C13" s="108" t="s">
        <v>359</v>
      </c>
      <c r="D13" s="123" t="s">
        <v>360</v>
      </c>
      <c r="E13" s="108" t="s">
        <v>361</v>
      </c>
      <c r="F13" s="10" t="s">
        <v>362</v>
      </c>
    </row>
    <row r="14" spans="1:6" ht="15.75" thickBot="1" x14ac:dyDescent="0.3">
      <c r="A14" s="875" t="s">
        <v>363</v>
      </c>
      <c r="B14" s="876"/>
      <c r="C14" s="876"/>
      <c r="D14" s="876"/>
      <c r="E14" s="876"/>
      <c r="F14" s="877"/>
    </row>
    <row r="15" spans="1:6" x14ac:dyDescent="0.25">
      <c r="A15" s="725" t="s">
        <v>226</v>
      </c>
      <c r="B15" s="106">
        <f>'03_BILANS_IND'!G8</f>
        <v>0</v>
      </c>
      <c r="C15" s="129" t="s">
        <v>364</v>
      </c>
      <c r="D15" s="121">
        <f>'01_PARAMETRES'!$B$36</f>
        <v>1.1020000000000001</v>
      </c>
      <c r="E15" s="106">
        <f>B15/D15</f>
        <v>0</v>
      </c>
      <c r="F15" s="910" t="s">
        <v>1356</v>
      </c>
    </row>
    <row r="16" spans="1:6" x14ac:dyDescent="0.25">
      <c r="A16" s="725" t="s">
        <v>365</v>
      </c>
      <c r="B16" s="106">
        <f>'03_BILANS_IND'!G9</f>
        <v>68000</v>
      </c>
      <c r="C16" s="129" t="s">
        <v>366</v>
      </c>
      <c r="D16" s="121">
        <f>'01_PARAMETRES'!$B$36</f>
        <v>1.1020000000000001</v>
      </c>
      <c r="E16" s="106">
        <f t="shared" ref="E16:E26" si="0">B16/D16</f>
        <v>61705.9891107078</v>
      </c>
      <c r="F16" s="911" t="s">
        <v>1357</v>
      </c>
    </row>
    <row r="17" spans="1:6" x14ac:dyDescent="0.25">
      <c r="A17" s="725" t="s">
        <v>367</v>
      </c>
      <c r="B17" s="106">
        <f>'03_BILANS_IND'!G10</f>
        <v>295000</v>
      </c>
      <c r="C17" s="129" t="s">
        <v>366</v>
      </c>
      <c r="D17" s="121">
        <f>'01_PARAMETRES'!$B$36</f>
        <v>1.1020000000000001</v>
      </c>
      <c r="E17" s="106">
        <f t="shared" si="0"/>
        <v>267695.09981851175</v>
      </c>
      <c r="F17" s="911" t="s">
        <v>1357</v>
      </c>
    </row>
    <row r="18" spans="1:6" x14ac:dyDescent="0.25">
      <c r="A18" s="725" t="s">
        <v>368</v>
      </c>
      <c r="B18" s="106">
        <f>'03_BILANS_IND'!G11</f>
        <v>480000</v>
      </c>
      <c r="C18" s="129" t="s">
        <v>366</v>
      </c>
      <c r="D18" s="121">
        <f>'01_PARAMETRES'!$B$36</f>
        <v>1.1020000000000001</v>
      </c>
      <c r="E18" s="106">
        <f t="shared" si="0"/>
        <v>435571.68784029037</v>
      </c>
      <c r="F18" s="911" t="s">
        <v>1357</v>
      </c>
    </row>
    <row r="19" spans="1:6" x14ac:dyDescent="0.25">
      <c r="A19" s="725" t="s">
        <v>369</v>
      </c>
      <c r="B19" s="106">
        <f>'03_BILANS_IND'!G12</f>
        <v>0</v>
      </c>
      <c r="C19" s="129" t="s">
        <v>366</v>
      </c>
      <c r="D19" s="121">
        <f>'01_PARAMETRES'!$B$36</f>
        <v>1.1020000000000001</v>
      </c>
      <c r="E19" s="106">
        <f t="shared" si="0"/>
        <v>0</v>
      </c>
      <c r="F19" s="911" t="s">
        <v>1357</v>
      </c>
    </row>
    <row r="20" spans="1:6" x14ac:dyDescent="0.25">
      <c r="A20" s="725" t="s">
        <v>370</v>
      </c>
      <c r="B20" s="106">
        <f>'03_BILANS_IND'!G14</f>
        <v>22000</v>
      </c>
      <c r="C20" s="129" t="s">
        <v>366</v>
      </c>
      <c r="D20" s="121">
        <f>'01_PARAMETRES'!$B$36</f>
        <v>1.1020000000000001</v>
      </c>
      <c r="E20" s="106">
        <f t="shared" si="0"/>
        <v>19963.70235934664</v>
      </c>
      <c r="F20" s="911" t="s">
        <v>1357</v>
      </c>
    </row>
    <row r="21" spans="1:6" x14ac:dyDescent="0.25">
      <c r="A21" s="725" t="s">
        <v>371</v>
      </c>
      <c r="B21" s="106">
        <f>'03_BILANS_IND'!G15</f>
        <v>35000</v>
      </c>
      <c r="C21" s="129" t="s">
        <v>366</v>
      </c>
      <c r="D21" s="121">
        <f>'01_PARAMETRES'!$B$36</f>
        <v>1.1020000000000001</v>
      </c>
      <c r="E21" s="106">
        <f t="shared" si="0"/>
        <v>31760.435571687838</v>
      </c>
      <c r="F21" s="911" t="s">
        <v>1357</v>
      </c>
    </row>
    <row r="22" spans="1:6" x14ac:dyDescent="0.25">
      <c r="A22" s="725" t="s">
        <v>372</v>
      </c>
      <c r="B22" s="106">
        <f>'03_BILANS_IND'!G20</f>
        <v>85000</v>
      </c>
      <c r="C22" s="129" t="s">
        <v>366</v>
      </c>
      <c r="D22" s="121">
        <f>'01_PARAMETRES'!$B$36</f>
        <v>1.1020000000000001</v>
      </c>
      <c r="E22" s="106">
        <f t="shared" si="0"/>
        <v>77132.486388384743</v>
      </c>
      <c r="F22" s="911" t="s">
        <v>1357</v>
      </c>
    </row>
    <row r="23" spans="1:6" x14ac:dyDescent="0.25">
      <c r="A23" s="725" t="s">
        <v>248</v>
      </c>
      <c r="B23" s="106">
        <f>'03_BILANS_IND'!G21</f>
        <v>125000</v>
      </c>
      <c r="C23" s="129" t="s">
        <v>366</v>
      </c>
      <c r="D23" s="121">
        <f>'01_PARAMETRES'!$B$36</f>
        <v>1.1020000000000001</v>
      </c>
      <c r="E23" s="106">
        <f t="shared" si="0"/>
        <v>113430.12704174228</v>
      </c>
      <c r="F23" s="911" t="s">
        <v>1357</v>
      </c>
    </row>
    <row r="24" spans="1:6" x14ac:dyDescent="0.25">
      <c r="A24" s="725" t="s">
        <v>251</v>
      </c>
      <c r="B24" s="106">
        <f>'03_BILANS_IND'!G23</f>
        <v>42000</v>
      </c>
      <c r="C24" s="129" t="s">
        <v>366</v>
      </c>
      <c r="D24" s="121">
        <f>'01_PARAMETRES'!$B$36</f>
        <v>1.1020000000000001</v>
      </c>
      <c r="E24" s="106">
        <f t="shared" si="0"/>
        <v>38112.522686025404</v>
      </c>
      <c r="F24" s="911" t="s">
        <v>1357</v>
      </c>
    </row>
    <row r="25" spans="1:6" x14ac:dyDescent="0.25">
      <c r="A25" s="725" t="s">
        <v>373</v>
      </c>
      <c r="B25" s="106">
        <f>'03_BILANS_IND'!G24</f>
        <v>15000</v>
      </c>
      <c r="C25" s="129" t="s">
        <v>366</v>
      </c>
      <c r="D25" s="121">
        <f>'01_PARAMETRES'!$B$36</f>
        <v>1.1020000000000001</v>
      </c>
      <c r="E25" s="106">
        <f t="shared" si="0"/>
        <v>13611.615245009074</v>
      </c>
      <c r="F25" s="911" t="s">
        <v>1357</v>
      </c>
    </row>
    <row r="26" spans="1:6" ht="15.75" thickBot="1" x14ac:dyDescent="0.3">
      <c r="A26" s="725" t="s">
        <v>374</v>
      </c>
      <c r="B26" s="106">
        <f>'03_BILANS_IND'!G26</f>
        <v>78000</v>
      </c>
      <c r="C26" s="129" t="s">
        <v>366</v>
      </c>
      <c r="D26" s="121">
        <f>'01_PARAMETRES'!$B$36</f>
        <v>1.1020000000000001</v>
      </c>
      <c r="E26" s="106">
        <f t="shared" si="0"/>
        <v>70780.399274047188</v>
      </c>
      <c r="F26" s="912" t="s">
        <v>1357</v>
      </c>
    </row>
    <row r="27" spans="1:6" ht="15.75" thickBot="1" x14ac:dyDescent="0.3">
      <c r="A27" s="878" t="s">
        <v>375</v>
      </c>
      <c r="B27" s="879">
        <f>'03_BILANS_IND'!G28</f>
        <v>1245000</v>
      </c>
      <c r="C27" s="879"/>
      <c r="D27" s="880"/>
      <c r="E27" s="879">
        <f>SUM(E15:E26)</f>
        <v>1129764.0653357531</v>
      </c>
      <c r="F27" s="905" t="s">
        <v>1361</v>
      </c>
    </row>
    <row r="28" spans="1:6" ht="15.75" thickBot="1" x14ac:dyDescent="0.3">
      <c r="A28" s="8"/>
      <c r="B28" s="106"/>
      <c r="C28" s="106"/>
      <c r="D28" s="121"/>
      <c r="E28" s="106"/>
      <c r="F28" s="8"/>
    </row>
    <row r="29" spans="1:6" ht="15.75" thickBot="1" x14ac:dyDescent="0.3">
      <c r="A29" s="720" t="s">
        <v>376</v>
      </c>
      <c r="B29" s="106"/>
      <c r="C29" s="106"/>
      <c r="D29" s="121"/>
      <c r="E29" s="106"/>
      <c r="F29" s="8"/>
    </row>
    <row r="30" spans="1:6" x14ac:dyDescent="0.25">
      <c r="A30" s="724" t="s">
        <v>377</v>
      </c>
      <c r="B30" s="106">
        <f>'03_BILANS_IND'!G41</f>
        <v>180000</v>
      </c>
      <c r="C30" s="129" t="s">
        <v>366</v>
      </c>
      <c r="D30" s="121">
        <f>'01_PARAMETRES'!$B$36</f>
        <v>1.1020000000000001</v>
      </c>
      <c r="E30" s="106">
        <f t="shared" ref="E30:E37" si="1">B30/D30</f>
        <v>163339.38294010889</v>
      </c>
      <c r="F30" s="910" t="s">
        <v>1351</v>
      </c>
    </row>
    <row r="31" spans="1:6" x14ac:dyDescent="0.25">
      <c r="A31" s="725" t="s">
        <v>378</v>
      </c>
      <c r="B31" s="106">
        <f>'03_BILANS_IND'!G42</f>
        <v>145000</v>
      </c>
      <c r="C31" s="129" t="s">
        <v>366</v>
      </c>
      <c r="D31" s="121">
        <f>'01_PARAMETRES'!$B$36</f>
        <v>1.1020000000000001</v>
      </c>
      <c r="E31" s="106">
        <f t="shared" si="1"/>
        <v>131578.94736842104</v>
      </c>
      <c r="F31" s="911" t="s">
        <v>1351</v>
      </c>
    </row>
    <row r="32" spans="1:6" x14ac:dyDescent="0.25">
      <c r="A32" s="725" t="s">
        <v>379</v>
      </c>
      <c r="B32" s="106">
        <f>'03_BILANS_IND'!G43</f>
        <v>25000</v>
      </c>
      <c r="C32" s="129" t="s">
        <v>366</v>
      </c>
      <c r="D32" s="121">
        <f>'01_PARAMETRES'!$B$36</f>
        <v>1.1020000000000001</v>
      </c>
      <c r="E32" s="106">
        <f t="shared" si="1"/>
        <v>22686.025408348454</v>
      </c>
      <c r="F32" s="911" t="s">
        <v>1351</v>
      </c>
    </row>
    <row r="33" spans="1:6" x14ac:dyDescent="0.25">
      <c r="A33" s="725" t="s">
        <v>380</v>
      </c>
      <c r="B33" s="106">
        <f>'03_BILANS_IND'!G44</f>
        <v>18000</v>
      </c>
      <c r="C33" s="129" t="s">
        <v>366</v>
      </c>
      <c r="D33" s="121">
        <f>'01_PARAMETRES'!$B$36</f>
        <v>1.1020000000000001</v>
      </c>
      <c r="E33" s="106">
        <f t="shared" si="1"/>
        <v>16333.938294010888</v>
      </c>
      <c r="F33" s="911" t="s">
        <v>1351</v>
      </c>
    </row>
    <row r="34" spans="1:6" x14ac:dyDescent="0.25">
      <c r="A34" s="725" t="s">
        <v>278</v>
      </c>
      <c r="B34" s="106">
        <f>'03_BILANS_IND'!G49</f>
        <v>98000</v>
      </c>
      <c r="C34" s="129" t="s">
        <v>366</v>
      </c>
      <c r="D34" s="121">
        <f>'01_PARAMETRES'!$B$36</f>
        <v>1.1020000000000001</v>
      </c>
      <c r="E34" s="106">
        <f t="shared" si="1"/>
        <v>88929.219600725948</v>
      </c>
      <c r="F34" s="911" t="s">
        <v>1351</v>
      </c>
    </row>
    <row r="35" spans="1:6" x14ac:dyDescent="0.25">
      <c r="A35" s="725" t="s">
        <v>381</v>
      </c>
      <c r="B35" s="106">
        <f>'03_BILANS_IND'!G51</f>
        <v>62000</v>
      </c>
      <c r="C35" s="129" t="s">
        <v>366</v>
      </c>
      <c r="D35" s="121">
        <f>'01_PARAMETRES'!$B$36</f>
        <v>1.1020000000000001</v>
      </c>
      <c r="E35" s="106">
        <f t="shared" si="1"/>
        <v>56261.343012704172</v>
      </c>
      <c r="F35" s="911" t="s">
        <v>1351</v>
      </c>
    </row>
    <row r="36" spans="1:6" x14ac:dyDescent="0.25">
      <c r="A36" s="725" t="s">
        <v>281</v>
      </c>
      <c r="B36" s="106">
        <f>'03_BILANS_IND'!G52</f>
        <v>133000</v>
      </c>
      <c r="C36" s="129" t="s">
        <v>366</v>
      </c>
      <c r="D36" s="121">
        <f>'01_PARAMETRES'!$B$36</f>
        <v>1.1020000000000001</v>
      </c>
      <c r="E36" s="106">
        <f t="shared" si="1"/>
        <v>120689.65517241378</v>
      </c>
      <c r="F36" s="911" t="s">
        <v>1351</v>
      </c>
    </row>
    <row r="37" spans="1:6" ht="15.75" thickBot="1" x14ac:dyDescent="0.3">
      <c r="A37" s="726" t="s">
        <v>382</v>
      </c>
      <c r="B37" s="106">
        <f>'03_BILANS_IND'!G53</f>
        <v>6000</v>
      </c>
      <c r="C37" s="129" t="s">
        <v>366</v>
      </c>
      <c r="D37" s="121">
        <f>'01_PARAMETRES'!$B$36</f>
        <v>1.1020000000000001</v>
      </c>
      <c r="E37" s="106">
        <f t="shared" si="1"/>
        <v>5444.646098003629</v>
      </c>
      <c r="F37" s="912" t="s">
        <v>1351</v>
      </c>
    </row>
    <row r="38" spans="1:6" ht="15.75" thickBot="1" x14ac:dyDescent="0.3">
      <c r="A38" s="191" t="s">
        <v>383</v>
      </c>
      <c r="B38" s="917"/>
      <c r="C38" s="879"/>
      <c r="D38" s="880"/>
      <c r="E38" s="918">
        <f>SUM(E30:E37)</f>
        <v>605263.15789473674</v>
      </c>
      <c r="F38" s="916" t="s">
        <v>1362</v>
      </c>
    </row>
    <row r="39" spans="1:6" ht="15.75" thickBot="1" x14ac:dyDescent="0.3">
      <c r="A39" s="8"/>
      <c r="B39" s="106"/>
      <c r="C39" s="106"/>
      <c r="D39" s="121"/>
      <c r="E39" s="106"/>
      <c r="F39" s="8"/>
    </row>
    <row r="40" spans="1:6" ht="15.75" thickBot="1" x14ac:dyDescent="0.3">
      <c r="A40" s="919" t="s">
        <v>384</v>
      </c>
      <c r="B40" s="920"/>
      <c r="C40" s="921"/>
      <c r="D40" s="921"/>
      <c r="E40" s="921"/>
      <c r="F40" s="922"/>
    </row>
    <row r="41" spans="1:6" x14ac:dyDescent="0.25">
      <c r="A41" s="724" t="s">
        <v>261</v>
      </c>
      <c r="B41" s="106">
        <f>'03_BILANS_IND'!G32</f>
        <v>100000</v>
      </c>
      <c r="C41" s="130" t="s">
        <v>385</v>
      </c>
      <c r="D41" s="121">
        <f>'01_PARAMETRES'!$E$36</f>
        <v>1.0680000000000001</v>
      </c>
      <c r="E41" s="106">
        <f>B41/D41</f>
        <v>93632.958801498127</v>
      </c>
      <c r="F41" s="914" t="s">
        <v>1358</v>
      </c>
    </row>
    <row r="42" spans="1:6" x14ac:dyDescent="0.25">
      <c r="A42" s="725" t="s">
        <v>262</v>
      </c>
      <c r="B42" s="106">
        <f>'03_BILANS_IND'!G33</f>
        <v>150000</v>
      </c>
      <c r="C42" s="130" t="s">
        <v>386</v>
      </c>
      <c r="D42" s="121">
        <f>'01_PARAMETRES'!$E$36</f>
        <v>1.0680000000000001</v>
      </c>
      <c r="E42" s="106">
        <f>B42/D42</f>
        <v>140449.43820224717</v>
      </c>
      <c r="F42" s="914" t="s">
        <v>1358</v>
      </c>
    </row>
    <row r="43" spans="1:6" x14ac:dyDescent="0.25">
      <c r="A43" s="725" t="s">
        <v>263</v>
      </c>
      <c r="B43" s="106">
        <f>'03_BILANS_IND'!G34</f>
        <v>320000</v>
      </c>
      <c r="C43" s="130" t="s">
        <v>387</v>
      </c>
      <c r="D43" s="121">
        <f>'01_PARAMETRES'!$E$36</f>
        <v>1.0680000000000001</v>
      </c>
      <c r="E43" s="106">
        <f>B43/D43</f>
        <v>299625.46816479397</v>
      </c>
      <c r="F43" s="914" t="s">
        <v>1358</v>
      </c>
    </row>
    <row r="44" spans="1:6" x14ac:dyDescent="0.25">
      <c r="A44" s="725" t="s">
        <v>264</v>
      </c>
      <c r="B44" s="106">
        <f>'04_PNL_IND'!G47</f>
        <v>0</v>
      </c>
      <c r="C44" s="131" t="s">
        <v>388</v>
      </c>
      <c r="D44" s="121">
        <f>'01_PARAMETRES'!$C$36</f>
        <v>1.0940000000000001</v>
      </c>
      <c r="E44" s="106">
        <f>B44/D44</f>
        <v>0</v>
      </c>
      <c r="F44" s="914" t="s">
        <v>1359</v>
      </c>
    </row>
    <row r="45" spans="1:6" ht="15.75" thickBot="1" x14ac:dyDescent="0.3">
      <c r="A45" s="726" t="s">
        <v>389</v>
      </c>
      <c r="B45" s="106">
        <f>'03_BILANS_IND'!G37</f>
        <v>8000</v>
      </c>
      <c r="C45" s="106" t="s">
        <v>386</v>
      </c>
      <c r="D45" s="121">
        <f>'01_PARAMETRES'!$E$36</f>
        <v>1.0680000000000001</v>
      </c>
      <c r="E45" s="106">
        <f>B45/D45</f>
        <v>7490.63670411985</v>
      </c>
      <c r="F45" s="915" t="s">
        <v>1358</v>
      </c>
    </row>
    <row r="46" spans="1:6" ht="15.75" thickBot="1" x14ac:dyDescent="0.3">
      <c r="A46" s="720" t="s">
        <v>390</v>
      </c>
      <c r="B46" s="925" t="s">
        <v>391</v>
      </c>
      <c r="C46" s="924"/>
      <c r="D46" s="924"/>
      <c r="E46" s="923">
        <f>E27-E38-SUM(E41:E45)</f>
        <v>-16697.594431642792</v>
      </c>
      <c r="F46" s="916" t="s">
        <v>1360</v>
      </c>
    </row>
    <row r="47" spans="1:6" ht="23.25" customHeight="1" x14ac:dyDescent="0.25">
      <c r="A47" s="96" t="s">
        <v>392</v>
      </c>
      <c r="B47" s="106"/>
      <c r="C47" s="106"/>
      <c r="D47" s="121"/>
      <c r="E47" s="106">
        <f>SUM(E41:E46)</f>
        <v>524500.9074410164</v>
      </c>
      <c r="F47" s="904" t="s">
        <v>1363</v>
      </c>
    </row>
    <row r="48" spans="1:6" ht="23.25" customHeight="1" x14ac:dyDescent="0.25">
      <c r="A48" s="926"/>
      <c r="B48" s="106"/>
      <c r="C48" s="106"/>
      <c r="D48" s="121"/>
      <c r="E48" s="106"/>
      <c r="F48" s="904"/>
    </row>
    <row r="49" spans="1:6" ht="23.25" customHeight="1" thickBot="1" x14ac:dyDescent="0.3">
      <c r="A49" s="96"/>
      <c r="B49" s="106"/>
      <c r="C49" s="106"/>
      <c r="D49" s="121"/>
      <c r="E49" s="106"/>
      <c r="F49" s="904"/>
    </row>
    <row r="50" spans="1:6" ht="15.75" thickTop="1" x14ac:dyDescent="0.25">
      <c r="A50" s="98" t="s">
        <v>393</v>
      </c>
      <c r="B50" s="109"/>
      <c r="C50" s="109"/>
      <c r="D50" s="124"/>
      <c r="E50" s="109">
        <f>E38+E47</f>
        <v>1129764.0653357531</v>
      </c>
      <c r="F50" s="906" t="s">
        <v>1364</v>
      </c>
    </row>
    <row r="51" spans="1:6" ht="25.5" x14ac:dyDescent="0.5">
      <c r="A51" s="8" t="s">
        <v>394</v>
      </c>
      <c r="B51" s="106"/>
      <c r="C51" s="106"/>
      <c r="D51" s="121"/>
      <c r="E51" s="116" t="str">
        <f>IF(ABS(E27-E50)&lt;1,"✅","❌")</f>
        <v>✅</v>
      </c>
      <c r="F51" s="904" t="s">
        <v>1365</v>
      </c>
    </row>
    <row r="52" spans="1:6" x14ac:dyDescent="0.25">
      <c r="A52" s="8"/>
      <c r="B52" s="106"/>
      <c r="C52" s="106"/>
      <c r="D52" s="121"/>
      <c r="E52" s="106"/>
      <c r="F52" s="8"/>
    </row>
    <row r="53" spans="1:6" ht="15.75" thickBot="1" x14ac:dyDescent="0.3">
      <c r="A53" s="786" t="s">
        <v>395</v>
      </c>
      <c r="B53" s="786"/>
      <c r="C53" s="786"/>
      <c r="D53" s="786"/>
      <c r="E53" s="786"/>
      <c r="F53" s="786"/>
    </row>
    <row r="54" spans="1:6" x14ac:dyDescent="0.25">
      <c r="A54" s="927" t="s">
        <v>396</v>
      </c>
      <c r="B54" s="106">
        <f>'04_PNL_IND'!G7</f>
        <v>480000</v>
      </c>
      <c r="C54" s="129" t="s">
        <v>397</v>
      </c>
      <c r="D54" s="121">
        <f>'01_PARAMETRES'!$C$36</f>
        <v>1.0940000000000001</v>
      </c>
      <c r="E54" s="930">
        <f t="shared" ref="E54:E74" si="2">B54/D54</f>
        <v>438756.85557586834</v>
      </c>
      <c r="F54" s="932"/>
    </row>
    <row r="55" spans="1:6" x14ac:dyDescent="0.25">
      <c r="A55" s="928" t="s">
        <v>398</v>
      </c>
      <c r="B55" s="106">
        <f>'04_PNL_IND'!G8</f>
        <v>0</v>
      </c>
      <c r="C55" s="129" t="s">
        <v>397</v>
      </c>
      <c r="D55" s="121">
        <f>'01_PARAMETRES'!$C$36</f>
        <v>1.0940000000000001</v>
      </c>
      <c r="E55" s="930">
        <f t="shared" si="2"/>
        <v>0</v>
      </c>
      <c r="F55" s="932"/>
    </row>
    <row r="56" spans="1:6" x14ac:dyDescent="0.25">
      <c r="A56" s="928" t="s">
        <v>399</v>
      </c>
      <c r="B56" s="106">
        <f>'04_PNL_IND'!G10</f>
        <v>8000</v>
      </c>
      <c r="C56" s="129" t="s">
        <v>397</v>
      </c>
      <c r="D56" s="121">
        <f>'01_PARAMETRES'!$C$36</f>
        <v>1.0940000000000001</v>
      </c>
      <c r="E56" s="930">
        <f t="shared" si="2"/>
        <v>7312.6142595978054</v>
      </c>
      <c r="F56" s="932"/>
    </row>
    <row r="57" spans="1:6" x14ac:dyDescent="0.25">
      <c r="A57" s="928" t="s">
        <v>400</v>
      </c>
      <c r="B57" s="106">
        <f>'04_PNL_IND'!G14</f>
        <v>-168000</v>
      </c>
      <c r="C57" s="129" t="s">
        <v>397</v>
      </c>
      <c r="D57" s="121">
        <f>'01_PARAMETRES'!$C$36</f>
        <v>1.0940000000000001</v>
      </c>
      <c r="E57" s="930">
        <f t="shared" si="2"/>
        <v>-153564.89945155391</v>
      </c>
      <c r="F57" s="932"/>
    </row>
    <row r="58" spans="1:6" x14ac:dyDescent="0.25">
      <c r="A58" s="928" t="s">
        <v>401</v>
      </c>
      <c r="B58" s="106">
        <f>'04_PNL_IND'!G15</f>
        <v>-42000</v>
      </c>
      <c r="C58" s="129" t="s">
        <v>397</v>
      </c>
      <c r="D58" s="121">
        <f>'01_PARAMETRES'!$C$36</f>
        <v>1.0940000000000001</v>
      </c>
      <c r="E58" s="930">
        <f t="shared" si="2"/>
        <v>-38391.224862888477</v>
      </c>
      <c r="F58" s="932"/>
    </row>
    <row r="59" spans="1:6" x14ac:dyDescent="0.25">
      <c r="A59" s="928" t="s">
        <v>402</v>
      </c>
      <c r="B59" s="106">
        <f>'04_PNL_IND'!G20</f>
        <v>-85000</v>
      </c>
      <c r="C59" s="129" t="s">
        <v>397</v>
      </c>
      <c r="D59" s="121">
        <f>'01_PARAMETRES'!$C$36</f>
        <v>1.0940000000000001</v>
      </c>
      <c r="E59" s="930">
        <f t="shared" si="2"/>
        <v>-77696.526508226685</v>
      </c>
      <c r="F59" s="932"/>
    </row>
    <row r="60" spans="1:6" x14ac:dyDescent="0.25">
      <c r="A60" s="928" t="s">
        <v>403</v>
      </c>
      <c r="B60" s="106">
        <f>'04_PNL_IND'!G21</f>
        <v>-35000</v>
      </c>
      <c r="C60" s="129" t="s">
        <v>397</v>
      </c>
      <c r="D60" s="121">
        <f>'01_PARAMETRES'!$C$36</f>
        <v>1.0940000000000001</v>
      </c>
      <c r="E60" s="930">
        <f t="shared" si="2"/>
        <v>-31992.687385740399</v>
      </c>
      <c r="F60" s="932"/>
    </row>
    <row r="61" spans="1:6" x14ac:dyDescent="0.25">
      <c r="A61" s="928" t="s">
        <v>404</v>
      </c>
      <c r="B61" s="106">
        <f>'04_PNL_IND'!G22</f>
        <v>-32000</v>
      </c>
      <c r="C61" s="129" t="s">
        <v>397</v>
      </c>
      <c r="D61" s="121">
        <f>'01_PARAMETRES'!$C$36</f>
        <v>1.0940000000000001</v>
      </c>
      <c r="E61" s="930">
        <f t="shared" si="2"/>
        <v>-29250.457038391221</v>
      </c>
      <c r="F61" s="932"/>
    </row>
    <row r="62" spans="1:6" x14ac:dyDescent="0.25">
      <c r="A62" s="928" t="s">
        <v>405</v>
      </c>
      <c r="B62" s="106">
        <f>'04_PNL_IND'!G23</f>
        <v>-28000</v>
      </c>
      <c r="C62" s="129" t="s">
        <v>397</v>
      </c>
      <c r="D62" s="121">
        <f>'01_PARAMETRES'!$C$36</f>
        <v>1.0940000000000001</v>
      </c>
      <c r="E62" s="930">
        <f t="shared" si="2"/>
        <v>-25594.149908592321</v>
      </c>
      <c r="F62" s="932"/>
    </row>
    <row r="63" spans="1:6" x14ac:dyDescent="0.25">
      <c r="A63" s="928" t="s">
        <v>406</v>
      </c>
      <c r="B63" s="106">
        <f>'04_PNL_IND'!G24</f>
        <v>-28800</v>
      </c>
      <c r="C63" s="129" t="s">
        <v>397</v>
      </c>
      <c r="D63" s="121">
        <f>'01_PARAMETRES'!$C$36</f>
        <v>1.0940000000000001</v>
      </c>
      <c r="E63" s="930">
        <f t="shared" si="2"/>
        <v>-26325.4113345521</v>
      </c>
      <c r="F63" s="932"/>
    </row>
    <row r="64" spans="1:6" x14ac:dyDescent="0.25">
      <c r="A64" s="928" t="s">
        <v>407</v>
      </c>
      <c r="B64" s="106">
        <f>'04_PNL_IND'!G26</f>
        <v>-22000</v>
      </c>
      <c r="C64" s="129" t="s">
        <v>397</v>
      </c>
      <c r="D64" s="121">
        <f>'01_PARAMETRES'!$C$36</f>
        <v>1.0940000000000001</v>
      </c>
      <c r="E64" s="930">
        <f t="shared" si="2"/>
        <v>-20109.689213893966</v>
      </c>
      <c r="F64" s="932"/>
    </row>
    <row r="65" spans="1:6" x14ac:dyDescent="0.25">
      <c r="A65" s="928" t="s">
        <v>408</v>
      </c>
      <c r="B65" s="106">
        <f>'04_PNL_IND'!G32</f>
        <v>0</v>
      </c>
      <c r="C65" s="129" t="s">
        <v>397</v>
      </c>
      <c r="D65" s="121">
        <f>'01_PARAMETRES'!$C$36</f>
        <v>1.0940000000000001</v>
      </c>
      <c r="E65" s="930">
        <f t="shared" si="2"/>
        <v>0</v>
      </c>
      <c r="F65" s="932"/>
    </row>
    <row r="66" spans="1:6" x14ac:dyDescent="0.25">
      <c r="A66" s="928" t="s">
        <v>409</v>
      </c>
      <c r="B66" s="106">
        <f>'04_PNL_IND'!G33</f>
        <v>0</v>
      </c>
      <c r="C66" s="129" t="s">
        <v>397</v>
      </c>
      <c r="D66" s="121">
        <f>'01_PARAMETRES'!$C$36</f>
        <v>1.0940000000000001</v>
      </c>
      <c r="E66" s="930">
        <f t="shared" si="2"/>
        <v>0</v>
      </c>
      <c r="F66" s="932"/>
    </row>
    <row r="67" spans="1:6" x14ac:dyDescent="0.25">
      <c r="A67" s="928" t="s">
        <v>410</v>
      </c>
      <c r="B67" s="106">
        <f>'04_PNL_IND'!G34</f>
        <v>0</v>
      </c>
      <c r="C67" s="129" t="s">
        <v>397</v>
      </c>
      <c r="D67" s="121">
        <f>'01_PARAMETRES'!$C$36</f>
        <v>1.0940000000000001</v>
      </c>
      <c r="E67" s="930">
        <f t="shared" si="2"/>
        <v>0</v>
      </c>
      <c r="F67" s="932"/>
    </row>
    <row r="68" spans="1:6" x14ac:dyDescent="0.25">
      <c r="A68" s="928" t="s">
        <v>327</v>
      </c>
      <c r="B68" s="106">
        <f>'04_PNL_IND'!G38</f>
        <v>2800</v>
      </c>
      <c r="C68" s="129" t="s">
        <v>397</v>
      </c>
      <c r="D68" s="121">
        <f>'01_PARAMETRES'!$C$36</f>
        <v>1.0940000000000001</v>
      </c>
      <c r="E68" s="930">
        <f t="shared" si="2"/>
        <v>2559.4149908592321</v>
      </c>
      <c r="F68" s="932"/>
    </row>
    <row r="69" spans="1:6" x14ac:dyDescent="0.25">
      <c r="A69" s="928" t="s">
        <v>328</v>
      </c>
      <c r="B69" s="106">
        <f>'04_PNL_IND'!G39</f>
        <v>-12500</v>
      </c>
      <c r="C69" s="129" t="s">
        <v>397</v>
      </c>
      <c r="D69" s="121">
        <f>'01_PARAMETRES'!$C$36</f>
        <v>1.0940000000000001</v>
      </c>
      <c r="E69" s="930">
        <f t="shared" si="2"/>
        <v>-11425.959780621572</v>
      </c>
      <c r="F69" s="932"/>
    </row>
    <row r="70" spans="1:6" x14ac:dyDescent="0.25">
      <c r="A70" s="928" t="s">
        <v>411</v>
      </c>
      <c r="B70" s="106">
        <f>'04_PNL_IND'!G40</f>
        <v>-2100</v>
      </c>
      <c r="C70" s="129" t="s">
        <v>397</v>
      </c>
      <c r="D70" s="121">
        <f>'01_PARAMETRES'!$C$36</f>
        <v>1.0940000000000001</v>
      </c>
      <c r="E70" s="930">
        <f t="shared" si="2"/>
        <v>-1919.561243144424</v>
      </c>
      <c r="F70" s="932"/>
    </row>
    <row r="71" spans="1:6" x14ac:dyDescent="0.25">
      <c r="A71" s="928" t="s">
        <v>412</v>
      </c>
      <c r="B71" s="106">
        <f>'04_PNL_IND'!G41</f>
        <v>0</v>
      </c>
      <c r="C71" s="129" t="s">
        <v>397</v>
      </c>
      <c r="D71" s="121">
        <f>'01_PARAMETRES'!$C$36</f>
        <v>1.0940000000000001</v>
      </c>
      <c r="E71" s="930">
        <f t="shared" si="2"/>
        <v>0</v>
      </c>
      <c r="F71" s="932"/>
    </row>
    <row r="72" spans="1:6" x14ac:dyDescent="0.25">
      <c r="A72" s="928" t="s">
        <v>413</v>
      </c>
      <c r="B72" s="106">
        <f>'04_PNL_IND'!G45</f>
        <v>-7400</v>
      </c>
      <c r="C72" s="129" t="s">
        <v>397</v>
      </c>
      <c r="D72" s="121">
        <f>'01_PARAMETRES'!$C$36</f>
        <v>1.0940000000000001</v>
      </c>
      <c r="E72" s="930">
        <f t="shared" si="2"/>
        <v>-6764.1681901279699</v>
      </c>
      <c r="F72" s="932"/>
    </row>
    <row r="73" spans="1:6" ht="15.75" thickBot="1" x14ac:dyDescent="0.3">
      <c r="A73" s="929" t="s">
        <v>414</v>
      </c>
      <c r="B73" s="106">
        <f>'04_PNL_IND'!G46</f>
        <v>800</v>
      </c>
      <c r="C73" s="129" t="s">
        <v>397</v>
      </c>
      <c r="D73" s="121">
        <f>'01_PARAMETRES'!$C$36</f>
        <v>1.0940000000000001</v>
      </c>
      <c r="E73" s="931">
        <f t="shared" si="2"/>
        <v>731.26142595978058</v>
      </c>
      <c r="F73" s="933"/>
    </row>
    <row r="74" spans="1:6" ht="16.5" thickTop="1" thickBot="1" x14ac:dyDescent="0.3">
      <c r="A74" s="191" t="s">
        <v>415</v>
      </c>
      <c r="B74" s="109">
        <f>'04_PNL_IND'!G47</f>
        <v>0</v>
      </c>
      <c r="C74" s="109"/>
      <c r="D74" s="124">
        <f>'01_PARAMETRES'!$C$36</f>
        <v>1.0940000000000001</v>
      </c>
      <c r="E74" s="117">
        <f t="shared" si="2"/>
        <v>0</v>
      </c>
      <c r="F74" s="99"/>
    </row>
    <row r="75" spans="1:6" ht="26.25" thickBot="1" x14ac:dyDescent="0.55000000000000004">
      <c r="A75" s="8" t="s">
        <v>416</v>
      </c>
      <c r="B75" s="106"/>
      <c r="C75" s="106"/>
      <c r="D75" s="121"/>
      <c r="E75" s="116" t="str">
        <f>IF(ABS(E44-E74)&lt;1,"✅","❌ ÉCART "&amp;TEXT(E44-E74,"#,##0"))</f>
        <v>✅</v>
      </c>
      <c r="F75" s="8"/>
    </row>
    <row r="76" spans="1:6" ht="15.75" thickBot="1" x14ac:dyDescent="0.3">
      <c r="A76" s="727" t="s">
        <v>993</v>
      </c>
      <c r="B76" s="448" t="s">
        <v>994</v>
      </c>
      <c r="C76" s="449">
        <f>E74</f>
        <v>0</v>
      </c>
      <c r="D76" s="450" t="s">
        <v>995</v>
      </c>
      <c r="E76" s="449">
        <f>'04_PNL_IND'!G47/'01_PARAMETRES'!$C$36</f>
        <v>0</v>
      </c>
      <c r="F76" s="8"/>
    </row>
    <row r="77" spans="1:6" x14ac:dyDescent="0.25">
      <c r="A77" s="451" t="s">
        <v>996</v>
      </c>
      <c r="B77" s="449">
        <f>C76-E76</f>
        <v>0</v>
      </c>
      <c r="C77" s="449" t="str">
        <f>IF(ABS(B77)&lt;1,"OK","! "&amp;TEXT(B77,"#,##0")&amp;" K")</f>
        <v>OK</v>
      </c>
      <c r="D77" s="121"/>
      <c r="E77" s="106"/>
      <c r="F77" s="8"/>
    </row>
    <row r="78" spans="1:6" ht="16.5" x14ac:dyDescent="0.3">
      <c r="A78" s="6" t="s">
        <v>417</v>
      </c>
      <c r="B78" s="107"/>
      <c r="C78" s="107"/>
      <c r="D78" s="122"/>
      <c r="E78" s="107"/>
      <c r="F78" s="95"/>
    </row>
    <row r="79" spans="1:6" ht="15.75" thickBot="1" x14ac:dyDescent="0.3">
      <c r="A79" s="10" t="s">
        <v>220</v>
      </c>
      <c r="B79" s="108" t="s">
        <v>418</v>
      </c>
      <c r="C79" s="108" t="s">
        <v>359</v>
      </c>
      <c r="D79" s="123" t="s">
        <v>360</v>
      </c>
      <c r="E79" s="108" t="s">
        <v>361</v>
      </c>
      <c r="F79" s="10" t="s">
        <v>362</v>
      </c>
    </row>
    <row r="80" spans="1:6" ht="15.75" thickBot="1" x14ac:dyDescent="0.3">
      <c r="A80" s="720" t="s">
        <v>363</v>
      </c>
      <c r="B80" s="917"/>
      <c r="C80" s="879"/>
      <c r="D80" s="880"/>
      <c r="E80" s="879"/>
      <c r="F80" s="881"/>
    </row>
    <row r="81" spans="1:6" x14ac:dyDescent="0.25">
      <c r="A81" s="719" t="s">
        <v>226</v>
      </c>
      <c r="B81" s="106">
        <f>'03_BILANS_IND'!I8</f>
        <v>0</v>
      </c>
      <c r="C81" s="129" t="s">
        <v>366</v>
      </c>
      <c r="D81" s="121">
        <f>'01_PARAMETRES'!$B$37</f>
        <v>164.8</v>
      </c>
      <c r="E81" s="106">
        <f t="shared" ref="E81:E92" si="3">B81/D81</f>
        <v>0</v>
      </c>
      <c r="F81" s="935" t="s">
        <v>1356</v>
      </c>
    </row>
    <row r="82" spans="1:6" x14ac:dyDescent="0.25">
      <c r="A82" s="719" t="s">
        <v>365</v>
      </c>
      <c r="B82" s="106">
        <f>'03_BILANS_IND'!I9</f>
        <v>2800000</v>
      </c>
      <c r="C82" s="129" t="s">
        <v>366</v>
      </c>
      <c r="D82" s="121">
        <f>'01_PARAMETRES'!$B$37</f>
        <v>164.8</v>
      </c>
      <c r="E82" s="106">
        <f t="shared" si="3"/>
        <v>16990.291262135921</v>
      </c>
      <c r="F82" s="935" t="s">
        <v>1357</v>
      </c>
    </row>
    <row r="83" spans="1:6" x14ac:dyDescent="0.25">
      <c r="A83" s="719" t="s">
        <v>367</v>
      </c>
      <c r="B83" s="106">
        <f>'03_BILANS_IND'!I10</f>
        <v>4500000</v>
      </c>
      <c r="C83" s="129" t="s">
        <v>366</v>
      </c>
      <c r="D83" s="121">
        <f>'01_PARAMETRES'!$B$37</f>
        <v>164.8</v>
      </c>
      <c r="E83" s="106">
        <f t="shared" si="3"/>
        <v>27305.825242718445</v>
      </c>
      <c r="F83" s="935" t="s">
        <v>1357</v>
      </c>
    </row>
    <row r="84" spans="1:6" x14ac:dyDescent="0.25">
      <c r="A84" s="719" t="s">
        <v>368</v>
      </c>
      <c r="B84" s="106">
        <f>'03_BILANS_IND'!I11</f>
        <v>8200000</v>
      </c>
      <c r="C84" s="129" t="s">
        <v>366</v>
      </c>
      <c r="D84" s="121">
        <f>'01_PARAMETRES'!$B$37</f>
        <v>164.8</v>
      </c>
      <c r="E84" s="106">
        <f t="shared" si="3"/>
        <v>49757.281553398054</v>
      </c>
      <c r="F84" s="935" t="s">
        <v>1357</v>
      </c>
    </row>
    <row r="85" spans="1:6" x14ac:dyDescent="0.25">
      <c r="A85" s="719" t="s">
        <v>369</v>
      </c>
      <c r="B85" s="106">
        <f>'03_BILANS_IND'!I12</f>
        <v>0</v>
      </c>
      <c r="C85" s="129" t="s">
        <v>366</v>
      </c>
      <c r="D85" s="121">
        <f>'01_PARAMETRES'!$B$37</f>
        <v>164.8</v>
      </c>
      <c r="E85" s="106">
        <f t="shared" si="3"/>
        <v>0</v>
      </c>
      <c r="F85" s="935" t="s">
        <v>1357</v>
      </c>
    </row>
    <row r="86" spans="1:6" x14ac:dyDescent="0.25">
      <c r="A86" s="719" t="s">
        <v>370</v>
      </c>
      <c r="B86" s="106">
        <f>'03_BILANS_IND'!I14</f>
        <v>450000</v>
      </c>
      <c r="C86" s="129" t="s">
        <v>366</v>
      </c>
      <c r="D86" s="121">
        <f>'01_PARAMETRES'!$B$37</f>
        <v>164.8</v>
      </c>
      <c r="E86" s="106">
        <f t="shared" si="3"/>
        <v>2730.5825242718442</v>
      </c>
      <c r="F86" s="935" t="s">
        <v>1357</v>
      </c>
    </row>
    <row r="87" spans="1:6" x14ac:dyDescent="0.25">
      <c r="A87" s="719" t="s">
        <v>371</v>
      </c>
      <c r="B87" s="106">
        <f>'03_BILANS_IND'!I15</f>
        <v>680000</v>
      </c>
      <c r="C87" s="129" t="s">
        <v>366</v>
      </c>
      <c r="D87" s="121">
        <f>'01_PARAMETRES'!$B$37</f>
        <v>164.8</v>
      </c>
      <c r="E87" s="106">
        <f t="shared" si="3"/>
        <v>4126.2135922330099</v>
      </c>
      <c r="F87" s="935" t="s">
        <v>1357</v>
      </c>
    </row>
    <row r="88" spans="1:6" x14ac:dyDescent="0.25">
      <c r="A88" s="719" t="s">
        <v>372</v>
      </c>
      <c r="B88" s="106">
        <f>'03_BILANS_IND'!I20</f>
        <v>3200000</v>
      </c>
      <c r="C88" s="129" t="s">
        <v>366</v>
      </c>
      <c r="D88" s="121">
        <f>'01_PARAMETRES'!$B$37</f>
        <v>164.8</v>
      </c>
      <c r="E88" s="106">
        <f t="shared" si="3"/>
        <v>19417.475728155339</v>
      </c>
      <c r="F88" s="935" t="s">
        <v>1357</v>
      </c>
    </row>
    <row r="89" spans="1:6" x14ac:dyDescent="0.25">
      <c r="A89" s="719" t="s">
        <v>248</v>
      </c>
      <c r="B89" s="106">
        <f>'03_BILANS_IND'!I21</f>
        <v>4100000</v>
      </c>
      <c r="C89" s="129" t="s">
        <v>366</v>
      </c>
      <c r="D89" s="121">
        <f>'01_PARAMETRES'!$B$37</f>
        <v>164.8</v>
      </c>
      <c r="E89" s="106">
        <f t="shared" si="3"/>
        <v>24878.640776699027</v>
      </c>
      <c r="F89" s="935" t="s">
        <v>1357</v>
      </c>
    </row>
    <row r="90" spans="1:6" x14ac:dyDescent="0.25">
      <c r="A90" s="719" t="s">
        <v>251</v>
      </c>
      <c r="B90" s="106">
        <f>'03_BILANS_IND'!I23</f>
        <v>1500000</v>
      </c>
      <c r="C90" s="129" t="s">
        <v>366</v>
      </c>
      <c r="D90" s="121">
        <f>'01_PARAMETRES'!$B$37</f>
        <v>164.8</v>
      </c>
      <c r="E90" s="106">
        <f t="shared" si="3"/>
        <v>9101.9417475728151</v>
      </c>
      <c r="F90" s="935" t="s">
        <v>1357</v>
      </c>
    </row>
    <row r="91" spans="1:6" x14ac:dyDescent="0.25">
      <c r="A91" s="719" t="s">
        <v>373</v>
      </c>
      <c r="B91" s="106">
        <f>'03_BILANS_IND'!I24</f>
        <v>350000</v>
      </c>
      <c r="C91" s="129" t="s">
        <v>366</v>
      </c>
      <c r="D91" s="121">
        <f>'01_PARAMETRES'!$B$37</f>
        <v>164.8</v>
      </c>
      <c r="E91" s="106">
        <f t="shared" si="3"/>
        <v>2123.7864077669901</v>
      </c>
      <c r="F91" s="935" t="s">
        <v>1357</v>
      </c>
    </row>
    <row r="92" spans="1:6" ht="15.75" thickBot="1" x14ac:dyDescent="0.3">
      <c r="A92" s="719" t="s">
        <v>374</v>
      </c>
      <c r="B92" s="106">
        <f>'03_BILANS_IND'!I26</f>
        <v>2800000</v>
      </c>
      <c r="C92" s="129" t="s">
        <v>366</v>
      </c>
      <c r="D92" s="121">
        <f>'01_PARAMETRES'!$B$37</f>
        <v>164.8</v>
      </c>
      <c r="E92" s="106">
        <f t="shared" si="3"/>
        <v>16990.291262135921</v>
      </c>
      <c r="F92" s="935" t="s">
        <v>1357</v>
      </c>
    </row>
    <row r="93" spans="1:6" ht="15.75" thickBot="1" x14ac:dyDescent="0.3">
      <c r="A93" s="191" t="s">
        <v>375</v>
      </c>
      <c r="B93" s="917">
        <f>'03_BILANS_IND'!I28</f>
        <v>28580000</v>
      </c>
      <c r="C93" s="879"/>
      <c r="D93" s="936"/>
      <c r="E93" s="934">
        <f>SUM(E81:E92)</f>
        <v>173422.33009708737</v>
      </c>
      <c r="F93" s="916" t="s">
        <v>1361</v>
      </c>
    </row>
    <row r="94" spans="1:6" ht="15.75" thickBot="1" x14ac:dyDescent="0.3">
      <c r="A94" s="8"/>
      <c r="B94" s="106"/>
      <c r="C94" s="106"/>
      <c r="D94" s="121"/>
      <c r="E94" s="106"/>
      <c r="F94" s="8"/>
    </row>
    <row r="95" spans="1:6" ht="15.75" thickBot="1" x14ac:dyDescent="0.3">
      <c r="A95" s="720" t="s">
        <v>376</v>
      </c>
      <c r="B95" s="917"/>
      <c r="C95" s="879"/>
      <c r="D95" s="880"/>
      <c r="E95" s="879"/>
      <c r="F95" s="881"/>
    </row>
    <row r="96" spans="1:6" x14ac:dyDescent="0.25">
      <c r="A96" s="724" t="s">
        <v>377</v>
      </c>
      <c r="B96" s="106">
        <f>'03_BILANS_IND'!I41</f>
        <v>5200000</v>
      </c>
      <c r="C96" s="129" t="s">
        <v>366</v>
      </c>
      <c r="D96" s="121">
        <f>'01_PARAMETRES'!$B$37</f>
        <v>164.8</v>
      </c>
      <c r="E96" s="106">
        <f t="shared" ref="E96:E103" si="4">B96/D96</f>
        <v>31553.398058252424</v>
      </c>
      <c r="F96" s="913" t="s">
        <v>1357</v>
      </c>
    </row>
    <row r="97" spans="1:6" x14ac:dyDescent="0.25">
      <c r="A97" s="725" t="s">
        <v>378</v>
      </c>
      <c r="B97" s="106">
        <f>'03_BILANS_IND'!I42</f>
        <v>3800000</v>
      </c>
      <c r="C97" s="129" t="s">
        <v>366</v>
      </c>
      <c r="D97" s="121">
        <f>'01_PARAMETRES'!$B$37</f>
        <v>164.8</v>
      </c>
      <c r="E97" s="106">
        <f t="shared" si="4"/>
        <v>23058.252427184463</v>
      </c>
      <c r="F97" s="914" t="s">
        <v>1357</v>
      </c>
    </row>
    <row r="98" spans="1:6" x14ac:dyDescent="0.25">
      <c r="A98" s="725" t="s">
        <v>379</v>
      </c>
      <c r="B98" s="106">
        <f>'03_BILANS_IND'!I43</f>
        <v>850000</v>
      </c>
      <c r="C98" s="129" t="s">
        <v>366</v>
      </c>
      <c r="D98" s="121">
        <f>'01_PARAMETRES'!$B$37</f>
        <v>164.8</v>
      </c>
      <c r="E98" s="106">
        <f t="shared" si="4"/>
        <v>5157.7669902912621</v>
      </c>
      <c r="F98" s="914" t="s">
        <v>1357</v>
      </c>
    </row>
    <row r="99" spans="1:6" x14ac:dyDescent="0.25">
      <c r="A99" s="725" t="s">
        <v>380</v>
      </c>
      <c r="B99" s="106">
        <f>'03_BILANS_IND'!I44</f>
        <v>420000</v>
      </c>
      <c r="C99" s="129" t="s">
        <v>366</v>
      </c>
      <c r="D99" s="121">
        <f>'01_PARAMETRES'!$B$37</f>
        <v>164.8</v>
      </c>
      <c r="E99" s="106">
        <f t="shared" si="4"/>
        <v>2548.5436893203882</v>
      </c>
      <c r="F99" s="914" t="s">
        <v>1357</v>
      </c>
    </row>
    <row r="100" spans="1:6" x14ac:dyDescent="0.25">
      <c r="A100" s="725" t="s">
        <v>278</v>
      </c>
      <c r="B100" s="106">
        <f>'03_BILANS_IND'!I49</f>
        <v>2800000</v>
      </c>
      <c r="C100" s="129" t="s">
        <v>366</v>
      </c>
      <c r="D100" s="121">
        <f>'01_PARAMETRES'!$B$37</f>
        <v>164.8</v>
      </c>
      <c r="E100" s="106">
        <f t="shared" si="4"/>
        <v>16990.291262135921</v>
      </c>
      <c r="F100" s="914" t="s">
        <v>1357</v>
      </c>
    </row>
    <row r="101" spans="1:6" x14ac:dyDescent="0.25">
      <c r="A101" s="725" t="s">
        <v>381</v>
      </c>
      <c r="B101" s="106">
        <f>'03_BILANS_IND'!I51</f>
        <v>1850000</v>
      </c>
      <c r="C101" s="129" t="s">
        <v>366</v>
      </c>
      <c r="D101" s="121">
        <f>'01_PARAMETRES'!$B$37</f>
        <v>164.8</v>
      </c>
      <c r="E101" s="106">
        <f t="shared" si="4"/>
        <v>11225.728155339804</v>
      </c>
      <c r="F101" s="914" t="s">
        <v>1357</v>
      </c>
    </row>
    <row r="102" spans="1:6" x14ac:dyDescent="0.25">
      <c r="A102" s="725" t="s">
        <v>281</v>
      </c>
      <c r="B102" s="106">
        <f>'03_BILANS_IND'!I52</f>
        <v>2305000</v>
      </c>
      <c r="C102" s="129" t="s">
        <v>366</v>
      </c>
      <c r="D102" s="121">
        <f>'01_PARAMETRES'!$B$37</f>
        <v>164.8</v>
      </c>
      <c r="E102" s="106">
        <f t="shared" si="4"/>
        <v>13986.650485436892</v>
      </c>
      <c r="F102" s="914" t="s">
        <v>1357</v>
      </c>
    </row>
    <row r="103" spans="1:6" ht="15.75" thickBot="1" x14ac:dyDescent="0.3">
      <c r="A103" s="726" t="s">
        <v>382</v>
      </c>
      <c r="B103" s="106">
        <f>'03_BILANS_IND'!I53</f>
        <v>200000</v>
      </c>
      <c r="C103" s="129" t="s">
        <v>366</v>
      </c>
      <c r="D103" s="121">
        <f>'01_PARAMETRES'!$B$37</f>
        <v>164.8</v>
      </c>
      <c r="E103" s="106">
        <f t="shared" si="4"/>
        <v>1213.5922330097087</v>
      </c>
      <c r="F103" s="915" t="s">
        <v>1357</v>
      </c>
    </row>
    <row r="104" spans="1:6" ht="15.75" thickBot="1" x14ac:dyDescent="0.3">
      <c r="A104" s="191" t="s">
        <v>383</v>
      </c>
      <c r="B104" s="917"/>
      <c r="C104" s="879"/>
      <c r="D104" s="880"/>
      <c r="E104" s="879">
        <f>SUM(E96:E103)</f>
        <v>105734.22330097087</v>
      </c>
      <c r="F104" s="905" t="s">
        <v>1362</v>
      </c>
    </row>
    <row r="105" spans="1:6" ht="15.75" thickBot="1" x14ac:dyDescent="0.3">
      <c r="A105" s="8"/>
      <c r="B105" s="106"/>
      <c r="C105" s="106"/>
      <c r="D105" s="121"/>
      <c r="E105" s="106"/>
      <c r="F105" s="8"/>
    </row>
    <row r="106" spans="1:6" ht="15.75" thickBot="1" x14ac:dyDescent="0.3">
      <c r="A106" s="720" t="s">
        <v>384</v>
      </c>
      <c r="B106" s="917"/>
      <c r="C106" s="879"/>
      <c r="D106" s="880"/>
      <c r="E106" s="879"/>
      <c r="F106" s="881"/>
    </row>
    <row r="107" spans="1:6" x14ac:dyDescent="0.25">
      <c r="A107" s="721" t="s">
        <v>261</v>
      </c>
      <c r="B107" s="106">
        <f>'03_BILANS_IND'!I32</f>
        <v>1500000</v>
      </c>
      <c r="C107" s="130" t="s">
        <v>386</v>
      </c>
      <c r="D107" s="121">
        <f>'01_PARAMETRES'!$E$37</f>
        <v>130.4</v>
      </c>
      <c r="E107" s="106">
        <f>B107/D107</f>
        <v>11503.067484662577</v>
      </c>
      <c r="F107" s="913" t="s">
        <v>1358</v>
      </c>
    </row>
    <row r="108" spans="1:6" x14ac:dyDescent="0.25">
      <c r="A108" s="722" t="s">
        <v>262</v>
      </c>
      <c r="B108" s="106">
        <f>'03_BILANS_IND'!I33</f>
        <v>2000000</v>
      </c>
      <c r="C108" s="130" t="s">
        <v>386</v>
      </c>
      <c r="D108" s="121">
        <f>'01_PARAMETRES'!$E$37</f>
        <v>130.4</v>
      </c>
      <c r="E108" s="106">
        <f>B108/D108</f>
        <v>15337.423312883435</v>
      </c>
      <c r="F108" s="914" t="s">
        <v>1358</v>
      </c>
    </row>
    <row r="109" spans="1:6" x14ac:dyDescent="0.25">
      <c r="A109" s="722" t="s">
        <v>263</v>
      </c>
      <c r="B109" s="106">
        <f>'03_BILANS_IND'!I34</f>
        <v>6800000</v>
      </c>
      <c r="C109" s="130" t="s">
        <v>386</v>
      </c>
      <c r="D109" s="121">
        <f>'01_PARAMETRES'!$E$37</f>
        <v>130.4</v>
      </c>
      <c r="E109" s="106">
        <f>B109/D109</f>
        <v>52147.239263803676</v>
      </c>
      <c r="F109" s="914" t="s">
        <v>1358</v>
      </c>
    </row>
    <row r="110" spans="1:6" x14ac:dyDescent="0.25">
      <c r="A110" s="722" t="s">
        <v>264</v>
      </c>
      <c r="B110" s="106">
        <f>'04_PNL_IND'!I47</f>
        <v>735000</v>
      </c>
      <c r="C110" s="131" t="s">
        <v>388</v>
      </c>
      <c r="D110" s="121">
        <f>'01_PARAMETRES'!$C$37</f>
        <v>163.19999999999999</v>
      </c>
      <c r="E110" s="106">
        <f>B110/D110</f>
        <v>4503.676470588236</v>
      </c>
      <c r="F110" s="914" t="s">
        <v>1359</v>
      </c>
    </row>
    <row r="111" spans="1:6" ht="15.75" thickBot="1" x14ac:dyDescent="0.3">
      <c r="A111" s="723" t="s">
        <v>389</v>
      </c>
      <c r="B111" s="106">
        <f>'03_BILANS_IND'!I37</f>
        <v>120000</v>
      </c>
      <c r="C111" s="106" t="s">
        <v>386</v>
      </c>
      <c r="D111" s="121">
        <f>'01_PARAMETRES'!$E$37</f>
        <v>130.4</v>
      </c>
      <c r="E111" s="106">
        <f>B111/D111</f>
        <v>920.24539877300606</v>
      </c>
      <c r="F111" s="914" t="s">
        <v>1358</v>
      </c>
    </row>
    <row r="112" spans="1:6" ht="15.75" thickBot="1" x14ac:dyDescent="0.3">
      <c r="A112" s="720" t="s">
        <v>390</v>
      </c>
      <c r="B112" s="938" t="s">
        <v>391</v>
      </c>
      <c r="C112" s="939"/>
      <c r="D112" s="939"/>
      <c r="E112" s="937">
        <f>E93-E104-SUM(E107:E111)</f>
        <v>-16723.545134594446</v>
      </c>
      <c r="F112" s="915" t="s">
        <v>1360</v>
      </c>
    </row>
    <row r="113" spans="1:6" ht="15.75" thickBot="1" x14ac:dyDescent="0.3">
      <c r="A113" s="784" t="s">
        <v>419</v>
      </c>
      <c r="B113" s="785"/>
      <c r="C113" s="785"/>
      <c r="D113" s="785"/>
      <c r="E113" s="106">
        <f>SUM(E107:E112)</f>
        <v>67688.106796116495</v>
      </c>
      <c r="F113" s="916" t="s">
        <v>1363</v>
      </c>
    </row>
    <row r="114" spans="1:6" ht="15.75" thickBot="1" x14ac:dyDescent="0.3">
      <c r="A114" s="191" t="s">
        <v>393</v>
      </c>
      <c r="B114" s="917"/>
      <c r="C114" s="879"/>
      <c r="D114" s="880"/>
      <c r="E114" s="918">
        <f>E104+E113</f>
        <v>173422.33009708737</v>
      </c>
      <c r="F114" s="916" t="s">
        <v>1364</v>
      </c>
    </row>
    <row r="115" spans="1:6" ht="26.25" thickBot="1" x14ac:dyDescent="0.55000000000000004">
      <c r="A115" s="940" t="s">
        <v>394</v>
      </c>
      <c r="B115" s="106"/>
      <c r="C115" s="106"/>
      <c r="D115" s="121"/>
      <c r="E115" s="941" t="str">
        <f>IF(ABS(E93-E114)&lt;1,"✅","❌")</f>
        <v>✅</v>
      </c>
      <c r="F115" s="916" t="s">
        <v>1365</v>
      </c>
    </row>
    <row r="116" spans="1:6" x14ac:dyDescent="0.25">
      <c r="A116" s="8"/>
      <c r="B116" s="106"/>
      <c r="C116" s="106"/>
      <c r="D116" s="121"/>
      <c r="E116" s="106"/>
      <c r="F116" s="8"/>
    </row>
    <row r="117" spans="1:6" x14ac:dyDescent="0.25">
      <c r="A117" s="8"/>
      <c r="B117" s="106"/>
      <c r="C117" s="106"/>
      <c r="D117" s="121"/>
      <c r="E117" s="106"/>
      <c r="F117" s="8"/>
    </row>
    <row r="118" spans="1:6" ht="16.5" x14ac:dyDescent="0.3">
      <c r="A118" s="6" t="s">
        <v>420</v>
      </c>
      <c r="B118" s="107"/>
      <c r="C118" s="107"/>
      <c r="D118" s="122"/>
      <c r="E118" s="107"/>
      <c r="F118" s="95"/>
    </row>
    <row r="119" spans="1:6" ht="15.75" thickBot="1" x14ac:dyDescent="0.3">
      <c r="A119" s="10" t="s">
        <v>220</v>
      </c>
      <c r="B119" s="108" t="s">
        <v>421</v>
      </c>
      <c r="C119" s="108" t="s">
        <v>359</v>
      </c>
      <c r="D119" s="123" t="s">
        <v>360</v>
      </c>
      <c r="E119" s="108" t="s">
        <v>361</v>
      </c>
      <c r="F119" s="10" t="s">
        <v>362</v>
      </c>
    </row>
    <row r="120" spans="1:6" ht="15.75" thickBot="1" x14ac:dyDescent="0.3">
      <c r="A120" s="720" t="s">
        <v>363</v>
      </c>
      <c r="B120" s="106"/>
      <c r="C120" s="106"/>
      <c r="D120" s="121"/>
      <c r="E120" s="106"/>
      <c r="F120" s="8"/>
    </row>
    <row r="121" spans="1:6" x14ac:dyDescent="0.25">
      <c r="A121" s="882" t="s">
        <v>226</v>
      </c>
      <c r="B121" s="106">
        <f>'03_BILANS_IND'!K8</f>
        <v>0</v>
      </c>
      <c r="C121" s="129" t="s">
        <v>366</v>
      </c>
      <c r="D121" s="121">
        <f>'01_PARAMETRES'!$B$38</f>
        <v>0.93500000000000005</v>
      </c>
      <c r="E121" s="106">
        <f t="shared" ref="E121:E132" si="5">B121/D121</f>
        <v>0</v>
      </c>
      <c r="F121" s="904" t="s">
        <v>1356</v>
      </c>
    </row>
    <row r="122" spans="1:6" x14ac:dyDescent="0.25">
      <c r="A122" s="883" t="s">
        <v>365</v>
      </c>
      <c r="B122" s="106">
        <f>'03_BILANS_IND'!K9</f>
        <v>42000</v>
      </c>
      <c r="C122" s="129" t="s">
        <v>366</v>
      </c>
      <c r="D122" s="121">
        <f>'01_PARAMETRES'!$B$38</f>
        <v>0.93500000000000005</v>
      </c>
      <c r="E122" s="106">
        <f t="shared" si="5"/>
        <v>44919.786096256685</v>
      </c>
      <c r="F122" s="904" t="s">
        <v>1357</v>
      </c>
    </row>
    <row r="123" spans="1:6" x14ac:dyDescent="0.25">
      <c r="A123" s="883" t="s">
        <v>367</v>
      </c>
      <c r="B123" s="106">
        <f>'03_BILANS_IND'!K10</f>
        <v>85000</v>
      </c>
      <c r="C123" s="129" t="s">
        <v>366</v>
      </c>
      <c r="D123" s="121">
        <f>'01_PARAMETRES'!$B$38</f>
        <v>0.93500000000000005</v>
      </c>
      <c r="E123" s="106">
        <f t="shared" si="5"/>
        <v>90909.090909090897</v>
      </c>
      <c r="F123" s="904" t="s">
        <v>1357</v>
      </c>
    </row>
    <row r="124" spans="1:6" x14ac:dyDescent="0.25">
      <c r="A124" s="883" t="s">
        <v>368</v>
      </c>
      <c r="B124" s="106">
        <f>'03_BILANS_IND'!K11</f>
        <v>62000</v>
      </c>
      <c r="C124" s="129" t="s">
        <v>366</v>
      </c>
      <c r="D124" s="121">
        <f>'01_PARAMETRES'!$B$38</f>
        <v>0.93500000000000005</v>
      </c>
      <c r="E124" s="106">
        <f t="shared" si="5"/>
        <v>66310.160427807481</v>
      </c>
      <c r="F124" s="904" t="s">
        <v>1357</v>
      </c>
    </row>
    <row r="125" spans="1:6" x14ac:dyDescent="0.25">
      <c r="A125" s="883" t="s">
        <v>369</v>
      </c>
      <c r="B125" s="106">
        <f>'03_BILANS_IND'!K12</f>
        <v>0</v>
      </c>
      <c r="C125" s="129" t="s">
        <v>366</v>
      </c>
      <c r="D125" s="121">
        <f>'01_PARAMETRES'!$B$38</f>
        <v>0.93500000000000005</v>
      </c>
      <c r="E125" s="106">
        <f t="shared" si="5"/>
        <v>0</v>
      </c>
      <c r="F125" s="904" t="s">
        <v>1357</v>
      </c>
    </row>
    <row r="126" spans="1:6" x14ac:dyDescent="0.25">
      <c r="A126" s="883" t="s">
        <v>370</v>
      </c>
      <c r="B126" s="106">
        <f>'03_BILANS_IND'!K14</f>
        <v>8500</v>
      </c>
      <c r="C126" s="129" t="s">
        <v>366</v>
      </c>
      <c r="D126" s="121">
        <f>'01_PARAMETRES'!$B$38</f>
        <v>0.93500000000000005</v>
      </c>
      <c r="E126" s="106">
        <f t="shared" si="5"/>
        <v>9090.9090909090901</v>
      </c>
      <c r="F126" s="904" t="s">
        <v>1357</v>
      </c>
    </row>
    <row r="127" spans="1:6" x14ac:dyDescent="0.25">
      <c r="A127" s="883" t="s">
        <v>371</v>
      </c>
      <c r="B127" s="106">
        <f>'03_BILANS_IND'!K15</f>
        <v>5200</v>
      </c>
      <c r="C127" s="129" t="s">
        <v>366</v>
      </c>
      <c r="D127" s="121">
        <f>'01_PARAMETRES'!$B$38</f>
        <v>0.93500000000000005</v>
      </c>
      <c r="E127" s="106">
        <f t="shared" si="5"/>
        <v>5561.4973262032081</v>
      </c>
      <c r="F127" s="904" t="s">
        <v>1357</v>
      </c>
    </row>
    <row r="128" spans="1:6" x14ac:dyDescent="0.25">
      <c r="A128" s="883" t="s">
        <v>372</v>
      </c>
      <c r="B128" s="106">
        <f>'03_BILANS_IND'!K20</f>
        <v>95000</v>
      </c>
      <c r="C128" s="129" t="s">
        <v>366</v>
      </c>
      <c r="D128" s="121">
        <f>'01_PARAMETRES'!$B$38</f>
        <v>0.93500000000000005</v>
      </c>
      <c r="E128" s="106">
        <f t="shared" si="5"/>
        <v>101604.27807486631</v>
      </c>
      <c r="F128" s="904" t="s">
        <v>1357</v>
      </c>
    </row>
    <row r="129" spans="1:6" x14ac:dyDescent="0.25">
      <c r="A129" s="883" t="s">
        <v>248</v>
      </c>
      <c r="B129" s="106">
        <f>'03_BILANS_IND'!K21</f>
        <v>38000</v>
      </c>
      <c r="C129" s="129" t="s">
        <v>366</v>
      </c>
      <c r="D129" s="121">
        <f>'01_PARAMETRES'!$B$38</f>
        <v>0.93500000000000005</v>
      </c>
      <c r="E129" s="106">
        <f t="shared" si="5"/>
        <v>40641.711229946523</v>
      </c>
      <c r="F129" s="904" t="s">
        <v>1357</v>
      </c>
    </row>
    <row r="130" spans="1:6" x14ac:dyDescent="0.25">
      <c r="A130" s="883" t="s">
        <v>251</v>
      </c>
      <c r="B130" s="106">
        <f>'03_BILANS_IND'!K23</f>
        <v>12000</v>
      </c>
      <c r="C130" s="129" t="s">
        <v>366</v>
      </c>
      <c r="D130" s="121">
        <f>'01_PARAMETRES'!$B$38</f>
        <v>0.93500000000000005</v>
      </c>
      <c r="E130" s="106">
        <f t="shared" si="5"/>
        <v>12834.224598930481</v>
      </c>
      <c r="F130" s="904" t="s">
        <v>1357</v>
      </c>
    </row>
    <row r="131" spans="1:6" x14ac:dyDescent="0.25">
      <c r="A131" s="883" t="s">
        <v>373</v>
      </c>
      <c r="B131" s="106">
        <f>'03_BILANS_IND'!K24</f>
        <v>4500</v>
      </c>
      <c r="C131" s="129" t="s">
        <v>366</v>
      </c>
      <c r="D131" s="121">
        <f>'01_PARAMETRES'!$B$38</f>
        <v>0.93500000000000005</v>
      </c>
      <c r="E131" s="106">
        <f t="shared" si="5"/>
        <v>4812.8342245989306</v>
      </c>
      <c r="F131" s="904" t="s">
        <v>1357</v>
      </c>
    </row>
    <row r="132" spans="1:6" ht="15.75" thickBot="1" x14ac:dyDescent="0.3">
      <c r="A132" s="884" t="s">
        <v>374</v>
      </c>
      <c r="B132" s="106">
        <f>'03_BILANS_IND'!K26</f>
        <v>45000</v>
      </c>
      <c r="C132" s="129" t="s">
        <v>366</v>
      </c>
      <c r="D132" s="121">
        <f>'01_PARAMETRES'!$B$38</f>
        <v>0.93500000000000005</v>
      </c>
      <c r="E132" s="106">
        <f t="shared" si="5"/>
        <v>48128.342245989305</v>
      </c>
      <c r="F132" s="904" t="s">
        <v>1357</v>
      </c>
    </row>
    <row r="133" spans="1:6" ht="15.75" thickBot="1" x14ac:dyDescent="0.3">
      <c r="A133" s="191" t="s">
        <v>375</v>
      </c>
      <c r="B133" s="106">
        <f>'03_BILANS_IND'!K28</f>
        <v>422200</v>
      </c>
      <c r="C133" s="106"/>
      <c r="D133" s="121"/>
      <c r="E133" s="106">
        <f>SUM(E121:E132)</f>
        <v>424812.83422459895</v>
      </c>
      <c r="F133" s="904" t="s">
        <v>1361</v>
      </c>
    </row>
    <row r="134" spans="1:6" ht="15.75" thickBot="1" x14ac:dyDescent="0.3">
      <c r="A134" s="8"/>
      <c r="B134" s="106"/>
      <c r="C134" s="106"/>
      <c r="D134" s="121"/>
      <c r="E134" s="106"/>
      <c r="F134" s="8"/>
    </row>
    <row r="135" spans="1:6" ht="15.75" thickBot="1" x14ac:dyDescent="0.3">
      <c r="A135" s="720" t="s">
        <v>376</v>
      </c>
      <c r="B135" s="106"/>
      <c r="C135" s="106"/>
      <c r="D135" s="121"/>
      <c r="E135" s="106"/>
      <c r="F135" s="8"/>
    </row>
    <row r="136" spans="1:6" x14ac:dyDescent="0.25">
      <c r="A136" s="882" t="s">
        <v>377</v>
      </c>
      <c r="B136" s="106">
        <f>'03_BILANS_IND'!K41</f>
        <v>55000</v>
      </c>
      <c r="C136" s="129" t="s">
        <v>366</v>
      </c>
      <c r="D136" s="121">
        <f>'01_PARAMETRES'!$B$38</f>
        <v>0.93500000000000005</v>
      </c>
      <c r="E136" s="106">
        <f t="shared" ref="E136:E143" si="6">B136/D136</f>
        <v>58823.529411764699</v>
      </c>
      <c r="F136" s="904" t="s">
        <v>1357</v>
      </c>
    </row>
    <row r="137" spans="1:6" x14ac:dyDescent="0.25">
      <c r="A137" s="883" t="s">
        <v>378</v>
      </c>
      <c r="B137" s="106">
        <f>'03_BILANS_IND'!K42</f>
        <v>58000</v>
      </c>
      <c r="C137" s="129" t="s">
        <v>366</v>
      </c>
      <c r="D137" s="121">
        <f>'01_PARAMETRES'!$B$38</f>
        <v>0.93500000000000005</v>
      </c>
      <c r="E137" s="106">
        <f t="shared" si="6"/>
        <v>62032.085561497326</v>
      </c>
      <c r="F137" s="904" t="s">
        <v>1357</v>
      </c>
    </row>
    <row r="138" spans="1:6" x14ac:dyDescent="0.25">
      <c r="A138" s="883" t="s">
        <v>379</v>
      </c>
      <c r="B138" s="106">
        <f>'03_BILANS_IND'!K43</f>
        <v>12000</v>
      </c>
      <c r="C138" s="129" t="s">
        <v>366</v>
      </c>
      <c r="D138" s="121">
        <f>'01_PARAMETRES'!$B$38</f>
        <v>0.93500000000000005</v>
      </c>
      <c r="E138" s="106">
        <f t="shared" si="6"/>
        <v>12834.224598930481</v>
      </c>
      <c r="F138" s="904" t="s">
        <v>1357</v>
      </c>
    </row>
    <row r="139" spans="1:6" x14ac:dyDescent="0.25">
      <c r="A139" s="883" t="s">
        <v>380</v>
      </c>
      <c r="B139" s="106">
        <f>'03_BILANS_IND'!K44</f>
        <v>8000</v>
      </c>
      <c r="C139" s="129" t="s">
        <v>366</v>
      </c>
      <c r="D139" s="121">
        <f>'01_PARAMETRES'!$B$38</f>
        <v>0.93500000000000005</v>
      </c>
      <c r="E139" s="106">
        <f t="shared" si="6"/>
        <v>8556.1497326203207</v>
      </c>
      <c r="F139" s="904" t="s">
        <v>1357</v>
      </c>
    </row>
    <row r="140" spans="1:6" x14ac:dyDescent="0.25">
      <c r="A140" s="883" t="s">
        <v>278</v>
      </c>
      <c r="B140" s="106">
        <f>'03_BILANS_IND'!K49</f>
        <v>42000</v>
      </c>
      <c r="C140" s="129" t="s">
        <v>366</v>
      </c>
      <c r="D140" s="121">
        <f>'01_PARAMETRES'!$B$38</f>
        <v>0.93500000000000005</v>
      </c>
      <c r="E140" s="106">
        <f t="shared" si="6"/>
        <v>44919.786096256685</v>
      </c>
      <c r="F140" s="904" t="s">
        <v>1357</v>
      </c>
    </row>
    <row r="141" spans="1:6" x14ac:dyDescent="0.25">
      <c r="A141" s="883" t="s">
        <v>381</v>
      </c>
      <c r="B141" s="106">
        <f>'03_BILANS_IND'!K51</f>
        <v>28000</v>
      </c>
      <c r="C141" s="129" t="s">
        <v>366</v>
      </c>
      <c r="D141" s="121">
        <f>'01_PARAMETRES'!$B$38</f>
        <v>0.93500000000000005</v>
      </c>
      <c r="E141" s="106">
        <f t="shared" si="6"/>
        <v>29946.524064171121</v>
      </c>
      <c r="F141" s="904" t="s">
        <v>1357</v>
      </c>
    </row>
    <row r="142" spans="1:6" x14ac:dyDescent="0.25">
      <c r="A142" s="883" t="s">
        <v>281</v>
      </c>
      <c r="B142" s="106">
        <f>'03_BILANS_IND'!K52</f>
        <v>-3600</v>
      </c>
      <c r="C142" s="129" t="s">
        <v>366</v>
      </c>
      <c r="D142" s="121">
        <f>'01_PARAMETRES'!$B$38</f>
        <v>0.93500000000000005</v>
      </c>
      <c r="E142" s="106">
        <f t="shared" si="6"/>
        <v>-3850.2673796791441</v>
      </c>
      <c r="F142" s="904" t="s">
        <v>1357</v>
      </c>
    </row>
    <row r="143" spans="1:6" ht="15.75" thickBot="1" x14ac:dyDescent="0.3">
      <c r="A143" s="884" t="s">
        <v>382</v>
      </c>
      <c r="B143" s="56">
        <f>'03_BILANS_IND'!K53</f>
        <v>4000</v>
      </c>
      <c r="C143" s="129" t="s">
        <v>366</v>
      </c>
      <c r="D143" s="125">
        <f>'01_PARAMETRES'!$B$38</f>
        <v>0.93500000000000005</v>
      </c>
      <c r="E143" s="106">
        <f t="shared" si="6"/>
        <v>4278.0748663101604</v>
      </c>
      <c r="F143" s="907" t="s">
        <v>1357</v>
      </c>
    </row>
    <row r="144" spans="1:6" ht="15.75" thickBot="1" x14ac:dyDescent="0.3">
      <c r="A144" s="885" t="s">
        <v>383</v>
      </c>
      <c r="E144" s="106">
        <f>SUM(E136:E143)</f>
        <v>217540.10695187168</v>
      </c>
      <c r="F144" s="907" t="s">
        <v>1362</v>
      </c>
    </row>
    <row r="145" spans="1:6" ht="15.75" thickBot="1" x14ac:dyDescent="0.3"/>
    <row r="146" spans="1:6" ht="15.75" thickBot="1" x14ac:dyDescent="0.3">
      <c r="A146" s="720" t="s">
        <v>384</v>
      </c>
    </row>
    <row r="147" spans="1:6" x14ac:dyDescent="0.25">
      <c r="A147" s="721" t="s">
        <v>261</v>
      </c>
      <c r="B147" s="56">
        <f>'03_BILANS_IND'!K32</f>
        <v>30000</v>
      </c>
      <c r="C147" s="132" t="s">
        <v>386</v>
      </c>
      <c r="D147" s="125">
        <f>'01_PARAMETRES'!$E$38</f>
        <v>1.234</v>
      </c>
      <c r="E147" s="56">
        <f>B147/D147</f>
        <v>24311.183144246355</v>
      </c>
      <c r="F147" s="907" t="s">
        <v>1358</v>
      </c>
    </row>
    <row r="148" spans="1:6" x14ac:dyDescent="0.25">
      <c r="A148" s="722" t="s">
        <v>262</v>
      </c>
      <c r="B148" s="56">
        <f>'03_BILANS_IND'!K33</f>
        <v>45000</v>
      </c>
      <c r="C148" s="132" t="s">
        <v>386</v>
      </c>
      <c r="D148" s="125">
        <f>'01_PARAMETRES'!$E$38</f>
        <v>1.234</v>
      </c>
      <c r="E148" s="56">
        <f>B148/D148</f>
        <v>36466.774716369531</v>
      </c>
      <c r="F148" s="907" t="s">
        <v>1358</v>
      </c>
    </row>
    <row r="149" spans="1:6" x14ac:dyDescent="0.25">
      <c r="A149" s="722" t="s">
        <v>263</v>
      </c>
      <c r="B149" s="56">
        <f>'03_BILANS_IND'!K34</f>
        <v>105000</v>
      </c>
      <c r="C149" s="132" t="s">
        <v>386</v>
      </c>
      <c r="D149" s="125">
        <f>'01_PARAMETRES'!$E$38</f>
        <v>1.234</v>
      </c>
      <c r="E149" s="56">
        <f>B149/D149</f>
        <v>85089.141004862235</v>
      </c>
      <c r="F149" s="907" t="s">
        <v>1358</v>
      </c>
    </row>
    <row r="150" spans="1:6" x14ac:dyDescent="0.25">
      <c r="A150" s="722" t="s">
        <v>264</v>
      </c>
      <c r="B150" s="56">
        <f>'04_PNL_IND'!K47</f>
        <v>36600</v>
      </c>
      <c r="C150" s="133" t="s">
        <v>388</v>
      </c>
      <c r="D150" s="125">
        <f>'01_PARAMETRES'!$C$38</f>
        <v>0.93899999999999995</v>
      </c>
      <c r="E150" s="56">
        <f>B150/D150</f>
        <v>38977.635782747609</v>
      </c>
      <c r="F150" s="907" t="s">
        <v>1359</v>
      </c>
    </row>
    <row r="151" spans="1:6" ht="15.75" thickBot="1" x14ac:dyDescent="0.3">
      <c r="A151" s="723" t="s">
        <v>389</v>
      </c>
      <c r="B151" s="56">
        <f>'03_BILANS_IND'!K37</f>
        <v>2200</v>
      </c>
      <c r="D151" s="125">
        <f>'01_PARAMETRES'!$E$38</f>
        <v>1.234</v>
      </c>
      <c r="E151" s="56">
        <f>B151/D151</f>
        <v>1782.8200972447326</v>
      </c>
      <c r="F151" s="907" t="s">
        <v>1358</v>
      </c>
    </row>
    <row r="152" spans="1:6" ht="15.75" thickBot="1" x14ac:dyDescent="0.3">
      <c r="A152" s="732" t="s">
        <v>390</v>
      </c>
      <c r="E152" s="118">
        <f>E133-E144-SUM(E147:E151)</f>
        <v>20645.1725272568</v>
      </c>
      <c r="F152" s="907" t="s">
        <v>1360</v>
      </c>
    </row>
    <row r="153" spans="1:6" ht="15.75" thickBot="1" x14ac:dyDescent="0.3">
      <c r="A153" s="192" t="s">
        <v>419</v>
      </c>
      <c r="E153" s="56">
        <f>SUM(E147:E152)</f>
        <v>207272.72727272726</v>
      </c>
      <c r="F153" s="907" t="s">
        <v>1363</v>
      </c>
    </row>
    <row r="154" spans="1:6" ht="16.5" thickTop="1" thickBot="1" x14ac:dyDescent="0.3">
      <c r="A154" s="192" t="s">
        <v>393</v>
      </c>
      <c r="B154" s="110"/>
      <c r="C154" s="110"/>
      <c r="D154" s="126"/>
      <c r="E154" s="110">
        <f>E144+E153</f>
        <v>424812.83422459895</v>
      </c>
      <c r="F154" s="908" t="s">
        <v>1364</v>
      </c>
    </row>
    <row r="155" spans="1:6" ht="21" x14ac:dyDescent="0.35">
      <c r="A155" t="s">
        <v>394</v>
      </c>
      <c r="E155" s="119" t="str">
        <f>IF(ABS(E133-E154)&lt;1,"✅","❌")</f>
        <v>✅</v>
      </c>
      <c r="F155" s="907" t="s">
        <v>1365</v>
      </c>
    </row>
    <row r="157" spans="1:6" x14ac:dyDescent="0.25">
      <c r="A157" s="4" t="s">
        <v>422</v>
      </c>
      <c r="B157" s="111"/>
      <c r="C157" s="111"/>
      <c r="D157" s="127"/>
      <c r="E157" s="111"/>
      <c r="F157" s="54"/>
    </row>
    <row r="158" spans="1:6" x14ac:dyDescent="0.25">
      <c r="A158" s="2" t="s">
        <v>220</v>
      </c>
      <c r="B158" s="112" t="s">
        <v>423</v>
      </c>
      <c r="C158" s="112" t="s">
        <v>359</v>
      </c>
      <c r="D158" s="128" t="s">
        <v>360</v>
      </c>
      <c r="E158" s="112" t="s">
        <v>361</v>
      </c>
      <c r="F158" s="2" t="s">
        <v>362</v>
      </c>
    </row>
    <row r="159" spans="1:6" ht="15.75" thickBot="1" x14ac:dyDescent="0.3">
      <c r="A159" s="101" t="s">
        <v>363</v>
      </c>
    </row>
    <row r="160" spans="1:6" x14ac:dyDescent="0.25">
      <c r="A160" s="728" t="s">
        <v>226</v>
      </c>
      <c r="B160" s="56">
        <f>'03_BILANS_IND'!M8</f>
        <v>0</v>
      </c>
      <c r="C160" s="134" t="s">
        <v>366</v>
      </c>
      <c r="D160" s="125">
        <f>'01_PARAMETRES'!$B$39</f>
        <v>7.98</v>
      </c>
      <c r="E160" s="56">
        <f t="shared" ref="E160:E171" si="7">B160/D160</f>
        <v>0</v>
      </c>
      <c r="F160" s="942" t="s">
        <v>1356</v>
      </c>
    </row>
    <row r="161" spans="1:6" x14ac:dyDescent="0.25">
      <c r="A161" s="729" t="s">
        <v>365</v>
      </c>
      <c r="B161" s="56">
        <f>'03_BILANS_IND'!M9</f>
        <v>35000</v>
      </c>
      <c r="C161" s="134" t="s">
        <v>366</v>
      </c>
      <c r="D161" s="125">
        <f>'01_PARAMETRES'!$B$39</f>
        <v>7.98</v>
      </c>
      <c r="E161" s="56">
        <f t="shared" si="7"/>
        <v>4385.9649122807014</v>
      </c>
      <c r="F161" s="943" t="s">
        <v>1357</v>
      </c>
    </row>
    <row r="162" spans="1:6" x14ac:dyDescent="0.25">
      <c r="A162" s="729" t="s">
        <v>367</v>
      </c>
      <c r="B162" s="56">
        <f>'03_BILANS_IND'!M10</f>
        <v>120000</v>
      </c>
      <c r="C162" s="134" t="s">
        <v>366</v>
      </c>
      <c r="D162" s="125">
        <f>'01_PARAMETRES'!$B$39</f>
        <v>7.98</v>
      </c>
      <c r="E162" s="56">
        <f t="shared" si="7"/>
        <v>15037.593984962405</v>
      </c>
      <c r="F162" s="943" t="s">
        <v>1357</v>
      </c>
    </row>
    <row r="163" spans="1:6" x14ac:dyDescent="0.25">
      <c r="A163" s="729" t="s">
        <v>368</v>
      </c>
      <c r="B163" s="56">
        <f>'03_BILANS_IND'!M11</f>
        <v>180000</v>
      </c>
      <c r="C163" s="134" t="s">
        <v>366</v>
      </c>
      <c r="D163" s="125">
        <f>'01_PARAMETRES'!$B$39</f>
        <v>7.98</v>
      </c>
      <c r="E163" s="56">
        <f t="shared" si="7"/>
        <v>22556.390977443607</v>
      </c>
      <c r="F163" s="943" t="s">
        <v>1357</v>
      </c>
    </row>
    <row r="164" spans="1:6" x14ac:dyDescent="0.25">
      <c r="A164" s="729" t="s">
        <v>369</v>
      </c>
      <c r="B164" s="56">
        <f>'03_BILANS_IND'!M12</f>
        <v>0</v>
      </c>
      <c r="C164" s="134" t="s">
        <v>366</v>
      </c>
      <c r="D164" s="125">
        <f>'01_PARAMETRES'!$B$39</f>
        <v>7.98</v>
      </c>
      <c r="E164" s="56">
        <f t="shared" si="7"/>
        <v>0</v>
      </c>
      <c r="F164" s="943" t="s">
        <v>1357</v>
      </c>
    </row>
    <row r="165" spans="1:6" x14ac:dyDescent="0.25">
      <c r="A165" s="729" t="s">
        <v>370</v>
      </c>
      <c r="B165" s="56">
        <f>'03_BILANS_IND'!M14</f>
        <v>8000</v>
      </c>
      <c r="C165" s="134" t="s">
        <v>366</v>
      </c>
      <c r="D165" s="125">
        <f>'01_PARAMETRES'!$B$39</f>
        <v>7.98</v>
      </c>
      <c r="E165" s="56">
        <f t="shared" si="7"/>
        <v>1002.5062656641603</v>
      </c>
      <c r="F165" s="943" t="s">
        <v>1357</v>
      </c>
    </row>
    <row r="166" spans="1:6" x14ac:dyDescent="0.25">
      <c r="A166" s="729" t="s">
        <v>371</v>
      </c>
      <c r="B166" s="56">
        <f>'03_BILANS_IND'!M15</f>
        <v>12000</v>
      </c>
      <c r="C166" s="134" t="s">
        <v>366</v>
      </c>
      <c r="D166" s="125">
        <f>'01_PARAMETRES'!$B$39</f>
        <v>7.98</v>
      </c>
      <c r="E166" s="56">
        <f t="shared" si="7"/>
        <v>1503.7593984962405</v>
      </c>
      <c r="F166" s="943" t="s">
        <v>1357</v>
      </c>
    </row>
    <row r="167" spans="1:6" x14ac:dyDescent="0.25">
      <c r="A167" s="729" t="s">
        <v>372</v>
      </c>
      <c r="B167" s="56">
        <f>'03_BILANS_IND'!M20</f>
        <v>42000</v>
      </c>
      <c r="C167" s="134" t="s">
        <v>366</v>
      </c>
      <c r="D167" s="125">
        <f>'01_PARAMETRES'!$B$39</f>
        <v>7.98</v>
      </c>
      <c r="E167" s="56">
        <f t="shared" si="7"/>
        <v>5263.1578947368416</v>
      </c>
      <c r="F167" s="943" t="s">
        <v>1357</v>
      </c>
    </row>
    <row r="168" spans="1:6" x14ac:dyDescent="0.25">
      <c r="A168" s="729" t="s">
        <v>248</v>
      </c>
      <c r="B168" s="56">
        <f>'03_BILANS_IND'!M21</f>
        <v>65000</v>
      </c>
      <c r="C168" s="134" t="s">
        <v>366</v>
      </c>
      <c r="D168" s="125">
        <f>'01_PARAMETRES'!$B$39</f>
        <v>7.98</v>
      </c>
      <c r="E168" s="56">
        <f t="shared" si="7"/>
        <v>8145.3634085213025</v>
      </c>
      <c r="F168" s="943" t="s">
        <v>1357</v>
      </c>
    </row>
    <row r="169" spans="1:6" x14ac:dyDescent="0.25">
      <c r="A169" s="729" t="s">
        <v>251</v>
      </c>
      <c r="B169" s="56">
        <f>'03_BILANS_IND'!M23</f>
        <v>18000</v>
      </c>
      <c r="C169" s="134" t="s">
        <v>366</v>
      </c>
      <c r="D169" s="125">
        <f>'01_PARAMETRES'!$B$39</f>
        <v>7.98</v>
      </c>
      <c r="E169" s="56">
        <f t="shared" si="7"/>
        <v>2255.6390977443607</v>
      </c>
      <c r="F169" s="943" t="s">
        <v>1357</v>
      </c>
    </row>
    <row r="170" spans="1:6" x14ac:dyDescent="0.25">
      <c r="A170" s="729" t="s">
        <v>373</v>
      </c>
      <c r="B170" s="56">
        <f>'03_BILANS_IND'!M24</f>
        <v>5000</v>
      </c>
      <c r="C170" s="134" t="s">
        <v>366</v>
      </c>
      <c r="D170" s="125">
        <f>'01_PARAMETRES'!$B$39</f>
        <v>7.98</v>
      </c>
      <c r="E170" s="56">
        <f t="shared" si="7"/>
        <v>626.56641604010019</v>
      </c>
      <c r="F170" s="943" t="s">
        <v>1357</v>
      </c>
    </row>
    <row r="171" spans="1:6" x14ac:dyDescent="0.25">
      <c r="A171" s="729" t="s">
        <v>374</v>
      </c>
      <c r="B171" s="56">
        <f>'03_BILANS_IND'!M26</f>
        <v>28000</v>
      </c>
      <c r="C171" s="134" t="s">
        <v>366</v>
      </c>
      <c r="D171" s="125">
        <f>'01_PARAMETRES'!$B$39</f>
        <v>7.98</v>
      </c>
      <c r="E171" s="56">
        <f t="shared" si="7"/>
        <v>3508.7719298245611</v>
      </c>
      <c r="F171" s="943" t="s">
        <v>1357</v>
      </c>
    </row>
    <row r="172" spans="1:6" ht="15.75" thickBot="1" x14ac:dyDescent="0.3">
      <c r="A172" s="729" t="s">
        <v>375</v>
      </c>
      <c r="B172" s="56">
        <f>'03_BILANS_IND'!M28</f>
        <v>513000</v>
      </c>
      <c r="E172" s="56">
        <f>SUM(E160:E171)</f>
        <v>64285.714285714275</v>
      </c>
      <c r="F172" s="944" t="s">
        <v>1361</v>
      </c>
    </row>
    <row r="173" spans="1:6" ht="15.75" thickBot="1" x14ac:dyDescent="0.3">
      <c r="A173" s="730"/>
    </row>
    <row r="174" spans="1:6" ht="15.75" thickBot="1" x14ac:dyDescent="0.3">
      <c r="A174" s="101" t="s">
        <v>376</v>
      </c>
    </row>
    <row r="175" spans="1:6" x14ac:dyDescent="0.25">
      <c r="A175" s="728" t="s">
        <v>377</v>
      </c>
      <c r="B175" s="56">
        <f>'03_BILANS_IND'!M41</f>
        <v>85000</v>
      </c>
      <c r="C175" s="134" t="s">
        <v>366</v>
      </c>
      <c r="D175" s="125">
        <f>'01_PARAMETRES'!$B$39</f>
        <v>7.98</v>
      </c>
      <c r="E175" s="56">
        <f t="shared" ref="E175:E182" si="8">B175/D175</f>
        <v>10651.629072681704</v>
      </c>
      <c r="F175" s="942" t="s">
        <v>1357</v>
      </c>
    </row>
    <row r="176" spans="1:6" x14ac:dyDescent="0.25">
      <c r="A176" s="729" t="s">
        <v>378</v>
      </c>
      <c r="B176" s="56">
        <f>'03_BILANS_IND'!M42</f>
        <v>95000</v>
      </c>
      <c r="C176" s="134" t="s">
        <v>366</v>
      </c>
      <c r="D176" s="125">
        <f>'01_PARAMETRES'!$B$39</f>
        <v>7.98</v>
      </c>
      <c r="E176" s="56">
        <f t="shared" si="8"/>
        <v>11904.761904761905</v>
      </c>
      <c r="F176" s="943" t="s">
        <v>1357</v>
      </c>
    </row>
    <row r="177" spans="1:6" x14ac:dyDescent="0.25">
      <c r="A177" s="729" t="s">
        <v>379</v>
      </c>
      <c r="B177" s="56">
        <f>'03_BILANS_IND'!M43</f>
        <v>15000</v>
      </c>
      <c r="C177" s="134" t="s">
        <v>366</v>
      </c>
      <c r="D177" s="125">
        <f>'01_PARAMETRES'!$B$39</f>
        <v>7.98</v>
      </c>
      <c r="E177" s="56">
        <f t="shared" si="8"/>
        <v>1879.6992481203006</v>
      </c>
      <c r="F177" s="943" t="s">
        <v>1357</v>
      </c>
    </row>
    <row r="178" spans="1:6" x14ac:dyDescent="0.25">
      <c r="A178" s="729" t="s">
        <v>380</v>
      </c>
      <c r="B178" s="56">
        <f>'03_BILANS_IND'!M44</f>
        <v>12000</v>
      </c>
      <c r="C178" s="134" t="s">
        <v>366</v>
      </c>
      <c r="D178" s="125">
        <f>'01_PARAMETRES'!$B$39</f>
        <v>7.98</v>
      </c>
      <c r="E178" s="56">
        <f t="shared" si="8"/>
        <v>1503.7593984962405</v>
      </c>
      <c r="F178" s="943" t="s">
        <v>1357</v>
      </c>
    </row>
    <row r="179" spans="1:6" x14ac:dyDescent="0.25">
      <c r="A179" s="729" t="s">
        <v>278</v>
      </c>
      <c r="B179" s="56">
        <f>'03_BILANS_IND'!M49</f>
        <v>62000</v>
      </c>
      <c r="C179" s="134" t="s">
        <v>366</v>
      </c>
      <c r="D179" s="125">
        <f>'01_PARAMETRES'!$B$39</f>
        <v>7.98</v>
      </c>
      <c r="E179" s="56">
        <f t="shared" si="8"/>
        <v>7769.4235588972424</v>
      </c>
      <c r="F179" s="943" t="s">
        <v>1357</v>
      </c>
    </row>
    <row r="180" spans="1:6" x14ac:dyDescent="0.25">
      <c r="A180" s="729" t="s">
        <v>381</v>
      </c>
      <c r="B180" s="56">
        <f>'03_BILANS_IND'!M51</f>
        <v>38000</v>
      </c>
      <c r="C180" s="134" t="s">
        <v>366</v>
      </c>
      <c r="D180" s="125">
        <f>'01_PARAMETRES'!$B$39</f>
        <v>7.98</v>
      </c>
      <c r="E180" s="56">
        <f t="shared" si="8"/>
        <v>4761.9047619047615</v>
      </c>
      <c r="F180" s="943" t="s">
        <v>1357</v>
      </c>
    </row>
    <row r="181" spans="1:6" x14ac:dyDescent="0.25">
      <c r="A181" s="729" t="s">
        <v>281</v>
      </c>
      <c r="B181" s="56">
        <f>'03_BILANS_IND'!M52</f>
        <v>9190</v>
      </c>
      <c r="C181" s="134" t="s">
        <v>366</v>
      </c>
      <c r="D181" s="125">
        <f>'01_PARAMETRES'!$B$39</f>
        <v>7.98</v>
      </c>
      <c r="E181" s="56">
        <f t="shared" si="8"/>
        <v>1151.6290726817042</v>
      </c>
      <c r="F181" s="943" t="s">
        <v>1357</v>
      </c>
    </row>
    <row r="182" spans="1:6" x14ac:dyDescent="0.25">
      <c r="A182" s="729" t="s">
        <v>382</v>
      </c>
      <c r="B182" s="56">
        <f>'03_BILANS_IND'!M53</f>
        <v>6000</v>
      </c>
      <c r="C182" s="134" t="s">
        <v>366</v>
      </c>
      <c r="D182" s="125">
        <f>'01_PARAMETRES'!$B$39</f>
        <v>7.98</v>
      </c>
      <c r="E182" s="56">
        <f t="shared" si="8"/>
        <v>751.87969924812023</v>
      </c>
      <c r="F182" s="943" t="s">
        <v>1357</v>
      </c>
    </row>
    <row r="183" spans="1:6" ht="15.75" thickBot="1" x14ac:dyDescent="0.3">
      <c r="A183" s="731" t="s">
        <v>383</v>
      </c>
      <c r="E183" s="56">
        <f>SUM(E175:E182)</f>
        <v>40374.686716791985</v>
      </c>
      <c r="F183" s="944" t="s">
        <v>1362</v>
      </c>
    </row>
    <row r="184" spans="1:6" ht="15.75" thickBot="1" x14ac:dyDescent="0.3"/>
    <row r="185" spans="1:6" ht="15.75" thickBot="1" x14ac:dyDescent="0.3">
      <c r="A185" s="732" t="s">
        <v>384</v>
      </c>
    </row>
    <row r="186" spans="1:6" x14ac:dyDescent="0.25">
      <c r="A186" s="721" t="s">
        <v>261</v>
      </c>
      <c r="B186" s="56">
        <f>'03_BILANS_IND'!M32</f>
        <v>40000</v>
      </c>
      <c r="C186" s="132" t="s">
        <v>386</v>
      </c>
      <c r="D186" s="125">
        <f>'01_PARAMETRES'!$E$39</f>
        <v>7.6719999999999997</v>
      </c>
      <c r="E186" s="56">
        <f>B186/D186</f>
        <v>5213.7643378519297</v>
      </c>
      <c r="F186" s="942" t="s">
        <v>1358</v>
      </c>
    </row>
    <row r="187" spans="1:6" x14ac:dyDescent="0.25">
      <c r="A187" s="722" t="s">
        <v>262</v>
      </c>
      <c r="B187" s="56">
        <f>'03_BILANS_IND'!M33</f>
        <v>25000</v>
      </c>
      <c r="C187" s="132" t="s">
        <v>386</v>
      </c>
      <c r="D187" s="125">
        <f>'01_PARAMETRES'!$E$39</f>
        <v>7.6719999999999997</v>
      </c>
      <c r="E187" s="56">
        <f>B187/D187</f>
        <v>3258.6027111574558</v>
      </c>
      <c r="F187" s="943" t="s">
        <v>1358</v>
      </c>
    </row>
    <row r="188" spans="1:6" x14ac:dyDescent="0.25">
      <c r="A188" s="722" t="s">
        <v>263</v>
      </c>
      <c r="B188" s="56">
        <f>'03_BILANS_IND'!M34</f>
        <v>88000</v>
      </c>
      <c r="C188" s="132" t="s">
        <v>386</v>
      </c>
      <c r="D188" s="125">
        <f>'01_PARAMETRES'!$E$39</f>
        <v>7.6719999999999997</v>
      </c>
      <c r="E188" s="56">
        <f>B188/D188</f>
        <v>11470.281543274245</v>
      </c>
      <c r="F188" s="943" t="s">
        <v>1358</v>
      </c>
    </row>
    <row r="189" spans="1:6" x14ac:dyDescent="0.25">
      <c r="A189" s="722" t="s">
        <v>264</v>
      </c>
      <c r="B189" s="56">
        <f>'04_PNL_IND'!M47</f>
        <v>34810</v>
      </c>
      <c r="C189" s="133" t="s">
        <v>388</v>
      </c>
      <c r="D189" s="125">
        <f>'01_PARAMETRES'!$C$39</f>
        <v>7.9</v>
      </c>
      <c r="E189" s="56">
        <f>B189/D189</f>
        <v>4406.32911392405</v>
      </c>
      <c r="F189" s="943" t="s">
        <v>1359</v>
      </c>
    </row>
    <row r="190" spans="1:6" ht="15.75" thickBot="1" x14ac:dyDescent="0.3">
      <c r="A190" s="723" t="s">
        <v>389</v>
      </c>
      <c r="B190" s="56">
        <f>'03_BILANS_IND'!M37</f>
        <v>3000</v>
      </c>
      <c r="D190" s="125">
        <f>'01_PARAMETRES'!$E$39</f>
        <v>7.6719999999999997</v>
      </c>
      <c r="E190" s="56">
        <f>B190/D190</f>
        <v>391.03232533889468</v>
      </c>
      <c r="F190" s="943" t="s">
        <v>1358</v>
      </c>
    </row>
    <row r="191" spans="1:6" ht="15.75" thickBot="1" x14ac:dyDescent="0.3">
      <c r="A191" s="732" t="s">
        <v>390</v>
      </c>
      <c r="E191" s="118">
        <f>E172-E183-SUM(E186:E190)</f>
        <v>-828.98246262428438</v>
      </c>
      <c r="F191" s="943" t="s">
        <v>1360</v>
      </c>
    </row>
    <row r="192" spans="1:6" ht="15.75" thickBot="1" x14ac:dyDescent="0.3">
      <c r="A192" s="1" t="s">
        <v>419</v>
      </c>
      <c r="E192" s="56">
        <f>SUM(E186:E191)</f>
        <v>23911.027568922291</v>
      </c>
      <c r="F192" s="944" t="s">
        <v>1363</v>
      </c>
    </row>
    <row r="193" spans="1:6" ht="15.75" thickBot="1" x14ac:dyDescent="0.3">
      <c r="A193" s="779" t="s">
        <v>393</v>
      </c>
      <c r="B193" s="780"/>
      <c r="C193" s="780"/>
      <c r="D193" s="781"/>
      <c r="E193" s="733">
        <f>E183+E192</f>
        <v>64285.714285714275</v>
      </c>
      <c r="F193" s="947" t="s">
        <v>1364</v>
      </c>
    </row>
    <row r="194" spans="1:6" ht="21.75" thickBot="1" x14ac:dyDescent="0.4">
      <c r="A194" s="945" t="s">
        <v>394</v>
      </c>
      <c r="E194" s="946" t="str">
        <f>IF(ABS(E172-E193)&lt;1,"✅","❌")</f>
        <v>✅</v>
      </c>
      <c r="F194" s="947" t="s">
        <v>1365</v>
      </c>
    </row>
    <row r="196" spans="1:6" x14ac:dyDescent="0.25">
      <c r="A196" s="4" t="s">
        <v>424</v>
      </c>
      <c r="B196" s="111"/>
      <c r="C196" s="111"/>
      <c r="D196" s="127"/>
      <c r="E196" s="111"/>
      <c r="F196" s="54"/>
    </row>
    <row r="197" spans="1:6" ht="15.75" thickBot="1" x14ac:dyDescent="0.3">
      <c r="A197" s="2" t="s">
        <v>220</v>
      </c>
      <c r="B197" s="112" t="s">
        <v>425</v>
      </c>
      <c r="C197" s="112" t="s">
        <v>359</v>
      </c>
      <c r="D197" s="128" t="s">
        <v>360</v>
      </c>
      <c r="E197" s="112" t="s">
        <v>361</v>
      </c>
      <c r="F197" s="2" t="s">
        <v>362</v>
      </c>
    </row>
    <row r="198" spans="1:6" ht="15.75" thickBot="1" x14ac:dyDescent="0.3">
      <c r="A198" s="732" t="s">
        <v>363</v>
      </c>
    </row>
    <row r="199" spans="1:6" x14ac:dyDescent="0.25">
      <c r="A199" s="728" t="s">
        <v>226</v>
      </c>
      <c r="B199" s="56">
        <f>'03_BILANS_IND'!O8</f>
        <v>0</v>
      </c>
      <c r="C199" s="134" t="s">
        <v>366</v>
      </c>
      <c r="D199" s="125">
        <f>'01_PARAMETRES'!$B$41</f>
        <v>4.048</v>
      </c>
      <c r="E199" s="56">
        <f t="shared" ref="E199:E210" si="9">B199/D199</f>
        <v>0</v>
      </c>
      <c r="F199" s="942" t="s">
        <v>1356</v>
      </c>
    </row>
    <row r="200" spans="1:6" x14ac:dyDescent="0.25">
      <c r="A200" s="729" t="s">
        <v>365</v>
      </c>
      <c r="B200" s="56">
        <f>'03_BILANS_IND'!O9</f>
        <v>12000</v>
      </c>
      <c r="C200" s="134" t="s">
        <v>366</v>
      </c>
      <c r="D200" s="125">
        <f>'01_PARAMETRES'!$B$41</f>
        <v>4.048</v>
      </c>
      <c r="E200" s="56">
        <f t="shared" si="9"/>
        <v>2964.4268774703555</v>
      </c>
      <c r="F200" s="943" t="s">
        <v>1357</v>
      </c>
    </row>
    <row r="201" spans="1:6" x14ac:dyDescent="0.25">
      <c r="A201" s="729" t="s">
        <v>367</v>
      </c>
      <c r="B201" s="56">
        <f>'03_BILANS_IND'!O10</f>
        <v>45000</v>
      </c>
      <c r="C201" s="134" t="s">
        <v>366</v>
      </c>
      <c r="D201" s="125">
        <f>'01_PARAMETRES'!$B$41</f>
        <v>4.048</v>
      </c>
      <c r="E201" s="56">
        <f t="shared" si="9"/>
        <v>11116.600790513834</v>
      </c>
      <c r="F201" s="943" t="s">
        <v>1357</v>
      </c>
    </row>
    <row r="202" spans="1:6" x14ac:dyDescent="0.25">
      <c r="A202" s="729" t="s">
        <v>368</v>
      </c>
      <c r="B202" s="56">
        <f>'03_BILANS_IND'!O11</f>
        <v>85000</v>
      </c>
      <c r="C202" s="134" t="s">
        <v>366</v>
      </c>
      <c r="D202" s="125">
        <f>'01_PARAMETRES'!$B$41</f>
        <v>4.048</v>
      </c>
      <c r="E202" s="56">
        <f t="shared" si="9"/>
        <v>20998.02371541502</v>
      </c>
      <c r="F202" s="943" t="s">
        <v>1357</v>
      </c>
    </row>
    <row r="203" spans="1:6" x14ac:dyDescent="0.25">
      <c r="A203" s="729" t="s">
        <v>369</v>
      </c>
      <c r="B203" s="56">
        <f>'03_BILANS_IND'!O12</f>
        <v>0</v>
      </c>
      <c r="C203" s="134" t="s">
        <v>366</v>
      </c>
      <c r="D203" s="125">
        <f>'01_PARAMETRES'!$B$41</f>
        <v>4.048</v>
      </c>
      <c r="E203" s="56">
        <f t="shared" si="9"/>
        <v>0</v>
      </c>
      <c r="F203" s="943" t="s">
        <v>1357</v>
      </c>
    </row>
    <row r="204" spans="1:6" x14ac:dyDescent="0.25">
      <c r="A204" s="729" t="s">
        <v>370</v>
      </c>
      <c r="B204" s="56">
        <f>'03_BILANS_IND'!O14</f>
        <v>3500</v>
      </c>
      <c r="C204" s="134" t="s">
        <v>366</v>
      </c>
      <c r="D204" s="125">
        <f>'01_PARAMETRES'!$B$41</f>
        <v>4.048</v>
      </c>
      <c r="E204" s="56">
        <f t="shared" si="9"/>
        <v>864.62450592885375</v>
      </c>
      <c r="F204" s="943" t="s">
        <v>1357</v>
      </c>
    </row>
    <row r="205" spans="1:6" x14ac:dyDescent="0.25">
      <c r="A205" s="729" t="s">
        <v>371</v>
      </c>
      <c r="B205" s="56">
        <f>'03_BILANS_IND'!O15</f>
        <v>0</v>
      </c>
      <c r="C205" s="134" t="s">
        <v>366</v>
      </c>
      <c r="D205" s="125">
        <f>'01_PARAMETRES'!$B$41</f>
        <v>4.048</v>
      </c>
      <c r="E205" s="56">
        <f t="shared" si="9"/>
        <v>0</v>
      </c>
      <c r="F205" s="943" t="s">
        <v>1357</v>
      </c>
    </row>
    <row r="206" spans="1:6" x14ac:dyDescent="0.25">
      <c r="A206" s="729" t="s">
        <v>372</v>
      </c>
      <c r="B206" s="56">
        <f>'03_BILANS_IND'!O20</f>
        <v>18000</v>
      </c>
      <c r="C206" s="134" t="s">
        <v>366</v>
      </c>
      <c r="D206" s="125">
        <f>'01_PARAMETRES'!$B$41</f>
        <v>4.048</v>
      </c>
      <c r="E206" s="56">
        <f t="shared" si="9"/>
        <v>4446.640316205534</v>
      </c>
      <c r="F206" s="943" t="s">
        <v>1357</v>
      </c>
    </row>
    <row r="207" spans="1:6" x14ac:dyDescent="0.25">
      <c r="A207" s="729" t="s">
        <v>248</v>
      </c>
      <c r="B207" s="56">
        <f>'03_BILANS_IND'!O21</f>
        <v>22000</v>
      </c>
      <c r="C207" s="134" t="s">
        <v>366</v>
      </c>
      <c r="D207" s="125">
        <f>'01_PARAMETRES'!$B$41</f>
        <v>4.048</v>
      </c>
      <c r="E207" s="56">
        <f t="shared" si="9"/>
        <v>5434.782608695652</v>
      </c>
      <c r="F207" s="943" t="s">
        <v>1357</v>
      </c>
    </row>
    <row r="208" spans="1:6" x14ac:dyDescent="0.25">
      <c r="A208" s="729" t="s">
        <v>251</v>
      </c>
      <c r="B208" s="56">
        <f>'03_BILANS_IND'!O23</f>
        <v>8000</v>
      </c>
      <c r="C208" s="134" t="s">
        <v>366</v>
      </c>
      <c r="D208" s="125">
        <f>'01_PARAMETRES'!$B$41</f>
        <v>4.048</v>
      </c>
      <c r="E208" s="56">
        <f t="shared" si="9"/>
        <v>1976.2845849802372</v>
      </c>
      <c r="F208" s="943" t="s">
        <v>1357</v>
      </c>
    </row>
    <row r="209" spans="1:6" x14ac:dyDescent="0.25">
      <c r="A209" s="729" t="s">
        <v>373</v>
      </c>
      <c r="B209" s="56">
        <f>'03_BILANS_IND'!O24</f>
        <v>2000</v>
      </c>
      <c r="C209" s="134" t="s">
        <v>366</v>
      </c>
      <c r="D209" s="125">
        <f>'01_PARAMETRES'!$B$41</f>
        <v>4.048</v>
      </c>
      <c r="E209" s="56">
        <f t="shared" si="9"/>
        <v>494.07114624505931</v>
      </c>
      <c r="F209" s="943" t="s">
        <v>1357</v>
      </c>
    </row>
    <row r="210" spans="1:6" ht="15.75" thickBot="1" x14ac:dyDescent="0.3">
      <c r="A210" s="729" t="s">
        <v>374</v>
      </c>
      <c r="B210" s="56">
        <f>'03_BILANS_IND'!O26</f>
        <v>15000</v>
      </c>
      <c r="C210" s="134" t="s">
        <v>366</v>
      </c>
      <c r="D210" s="125">
        <f>'01_PARAMETRES'!$B$41</f>
        <v>4.048</v>
      </c>
      <c r="E210" s="56">
        <f t="shared" si="9"/>
        <v>3705.5335968379445</v>
      </c>
      <c r="F210" s="944" t="s">
        <v>1357</v>
      </c>
    </row>
    <row r="211" spans="1:6" ht="15.75" thickBot="1" x14ac:dyDescent="0.3">
      <c r="A211" s="886" t="s">
        <v>375</v>
      </c>
      <c r="B211" s="56">
        <f>'03_BILANS_IND'!O28</f>
        <v>210500</v>
      </c>
      <c r="E211" s="56">
        <f>SUM(E199:E210)</f>
        <v>52000.988142292488</v>
      </c>
      <c r="F211" s="947" t="s">
        <v>1361</v>
      </c>
    </row>
    <row r="212" spans="1:6" ht="15.75" thickBot="1" x14ac:dyDescent="0.3"/>
    <row r="213" spans="1:6" ht="15.75" thickBot="1" x14ac:dyDescent="0.3">
      <c r="A213" s="732" t="s">
        <v>376</v>
      </c>
    </row>
    <row r="214" spans="1:6" x14ac:dyDescent="0.25">
      <c r="A214" s="728" t="s">
        <v>377</v>
      </c>
      <c r="B214" s="56">
        <f>'03_BILANS_IND'!O41</f>
        <v>42000</v>
      </c>
      <c r="C214" s="134" t="s">
        <v>366</v>
      </c>
      <c r="D214" s="125">
        <f>'01_PARAMETRES'!$B$41</f>
        <v>4.048</v>
      </c>
      <c r="E214" s="56">
        <f t="shared" ref="E214:E221" si="10">B214/D214</f>
        <v>10375.494071146244</v>
      </c>
      <c r="F214" s="942" t="s">
        <v>1357</v>
      </c>
    </row>
    <row r="215" spans="1:6" x14ac:dyDescent="0.25">
      <c r="A215" s="729" t="s">
        <v>378</v>
      </c>
      <c r="B215" s="56">
        <f>'03_BILANS_IND'!O42</f>
        <v>48000</v>
      </c>
      <c r="C215" s="134" t="s">
        <v>366</v>
      </c>
      <c r="D215" s="125">
        <f>'01_PARAMETRES'!$B$41</f>
        <v>4.048</v>
      </c>
      <c r="E215" s="56">
        <f t="shared" si="10"/>
        <v>11857.707509881422</v>
      </c>
      <c r="F215" s="943" t="s">
        <v>1357</v>
      </c>
    </row>
    <row r="216" spans="1:6" x14ac:dyDescent="0.25">
      <c r="A216" s="729" t="s">
        <v>379</v>
      </c>
      <c r="B216" s="56">
        <f>'03_BILANS_IND'!O43</f>
        <v>5000</v>
      </c>
      <c r="C216" s="134" t="s">
        <v>366</v>
      </c>
      <c r="D216" s="125">
        <f>'01_PARAMETRES'!$B$41</f>
        <v>4.048</v>
      </c>
      <c r="E216" s="56">
        <f t="shared" si="10"/>
        <v>1235.1778656126482</v>
      </c>
      <c r="F216" s="943" t="s">
        <v>1357</v>
      </c>
    </row>
    <row r="217" spans="1:6" x14ac:dyDescent="0.25">
      <c r="A217" s="729" t="s">
        <v>380</v>
      </c>
      <c r="B217" s="56">
        <f>'03_BILANS_IND'!O44</f>
        <v>3000</v>
      </c>
      <c r="C217" s="134" t="s">
        <v>366</v>
      </c>
      <c r="D217" s="125">
        <f>'01_PARAMETRES'!$B$41</f>
        <v>4.048</v>
      </c>
      <c r="E217" s="56">
        <f t="shared" si="10"/>
        <v>741.10671936758888</v>
      </c>
      <c r="F217" s="943" t="s">
        <v>1357</v>
      </c>
    </row>
    <row r="218" spans="1:6" x14ac:dyDescent="0.25">
      <c r="A218" s="729" t="s">
        <v>278</v>
      </c>
      <c r="B218" s="56">
        <f>'03_BILANS_IND'!O49</f>
        <v>18000</v>
      </c>
      <c r="C218" s="134" t="s">
        <v>366</v>
      </c>
      <c r="D218" s="125">
        <f>'01_PARAMETRES'!$B$41</f>
        <v>4.048</v>
      </c>
      <c r="E218" s="56">
        <f t="shared" si="10"/>
        <v>4446.640316205534</v>
      </c>
      <c r="F218" s="943" t="s">
        <v>1357</v>
      </c>
    </row>
    <row r="219" spans="1:6" x14ac:dyDescent="0.25">
      <c r="A219" s="729" t="s">
        <v>381</v>
      </c>
      <c r="B219" s="56">
        <f>'03_BILANS_IND'!O51</f>
        <v>12000</v>
      </c>
      <c r="C219" s="134" t="s">
        <v>366</v>
      </c>
      <c r="D219" s="125">
        <f>'01_PARAMETRES'!$B$41</f>
        <v>4.048</v>
      </c>
      <c r="E219" s="56">
        <f t="shared" si="10"/>
        <v>2964.4268774703555</v>
      </c>
      <c r="F219" s="943" t="s">
        <v>1357</v>
      </c>
    </row>
    <row r="220" spans="1:6" x14ac:dyDescent="0.25">
      <c r="A220" s="729" t="s">
        <v>281</v>
      </c>
      <c r="B220" s="56">
        <f>'03_BILANS_IND'!O52</f>
        <v>2892</v>
      </c>
      <c r="C220" s="134" t="s">
        <v>366</v>
      </c>
      <c r="D220" s="125">
        <f>'01_PARAMETRES'!$B$41</f>
        <v>4.048</v>
      </c>
      <c r="E220" s="56">
        <f t="shared" si="10"/>
        <v>714.42687747035575</v>
      </c>
      <c r="F220" s="943" t="s">
        <v>1357</v>
      </c>
    </row>
    <row r="221" spans="1:6" ht="15.75" thickBot="1" x14ac:dyDescent="0.3">
      <c r="A221" s="729" t="s">
        <v>382</v>
      </c>
      <c r="B221" s="56">
        <f>'03_BILANS_IND'!O53</f>
        <v>2000</v>
      </c>
      <c r="C221" s="134" t="s">
        <v>366</v>
      </c>
      <c r="D221" s="125">
        <f>'01_PARAMETRES'!$B$41</f>
        <v>4.048</v>
      </c>
      <c r="E221" s="56">
        <f t="shared" si="10"/>
        <v>494.07114624505931</v>
      </c>
      <c r="F221" s="944" t="s">
        <v>1357</v>
      </c>
    </row>
    <row r="222" spans="1:6" ht="15.75" thickBot="1" x14ac:dyDescent="0.3">
      <c r="A222" s="731" t="s">
        <v>383</v>
      </c>
      <c r="E222" s="56">
        <f>SUM(E214:E221)</f>
        <v>32829.051383399201</v>
      </c>
      <c r="F222" s="947" t="s">
        <v>1362</v>
      </c>
    </row>
    <row r="223" spans="1:6" ht="15.75" thickBot="1" x14ac:dyDescent="0.3"/>
    <row r="224" spans="1:6" ht="15.75" thickBot="1" x14ac:dyDescent="0.3">
      <c r="A224" s="732" t="s">
        <v>384</v>
      </c>
    </row>
    <row r="225" spans="1:6" x14ac:dyDescent="0.25">
      <c r="A225" s="721" t="s">
        <v>261</v>
      </c>
      <c r="B225" s="56">
        <f>'03_BILANS_IND'!O32</f>
        <v>15000</v>
      </c>
      <c r="C225" s="132" t="s">
        <v>386</v>
      </c>
      <c r="D225" s="125">
        <f>'01_PARAMETRES'!$E$41</f>
        <v>3.9239999999999999</v>
      </c>
      <c r="E225" s="56">
        <f>B225/D225</f>
        <v>3822.6299694189602</v>
      </c>
      <c r="F225" s="942" t="s">
        <v>1358</v>
      </c>
    </row>
    <row r="226" spans="1:6" x14ac:dyDescent="0.25">
      <c r="A226" s="722" t="s">
        <v>262</v>
      </c>
      <c r="B226" s="56">
        <f>'03_BILANS_IND'!O33</f>
        <v>10000</v>
      </c>
      <c r="C226" s="132" t="s">
        <v>386</v>
      </c>
      <c r="D226" s="125">
        <f>'01_PARAMETRES'!$E$41</f>
        <v>3.9239999999999999</v>
      </c>
      <c r="E226" s="56">
        <f>B226/D226</f>
        <v>2548.4199796126404</v>
      </c>
      <c r="F226" s="943" t="s">
        <v>1358</v>
      </c>
    </row>
    <row r="227" spans="1:6" x14ac:dyDescent="0.25">
      <c r="A227" s="722" t="s">
        <v>263</v>
      </c>
      <c r="B227" s="56">
        <f>'03_BILANS_IND'!O34</f>
        <v>35000</v>
      </c>
      <c r="C227" s="132" t="s">
        <v>386</v>
      </c>
      <c r="D227" s="125">
        <f>'01_PARAMETRES'!$E$41</f>
        <v>3.9239999999999999</v>
      </c>
      <c r="E227" s="56">
        <f>B227/D227</f>
        <v>8919.469928644241</v>
      </c>
      <c r="F227" s="943" t="s">
        <v>1358</v>
      </c>
    </row>
    <row r="228" spans="1:6" x14ac:dyDescent="0.25">
      <c r="A228" s="722" t="s">
        <v>264</v>
      </c>
      <c r="B228" s="56">
        <f>'04_PNL_IND'!O47</f>
        <v>17108</v>
      </c>
      <c r="C228" s="133" t="s">
        <v>388</v>
      </c>
      <c r="D228" s="125">
        <f>'01_PARAMETRES'!$C$41</f>
        <v>4.0170000000000003</v>
      </c>
      <c r="E228" s="56">
        <f>B228/D228</f>
        <v>4258.8996763754039</v>
      </c>
      <c r="F228" s="943" t="s">
        <v>1359</v>
      </c>
    </row>
    <row r="229" spans="1:6" ht="15.75" thickBot="1" x14ac:dyDescent="0.3">
      <c r="A229" s="723" t="s">
        <v>389</v>
      </c>
      <c r="B229" s="56">
        <f>'03_BILANS_IND'!O37</f>
        <v>500</v>
      </c>
      <c r="D229" s="125">
        <f>'01_PARAMETRES'!$E$41</f>
        <v>3.9239999999999999</v>
      </c>
      <c r="E229" s="56">
        <f>B229/D229</f>
        <v>127.42099898063201</v>
      </c>
      <c r="F229" s="944" t="s">
        <v>1358</v>
      </c>
    </row>
    <row r="230" spans="1:6" ht="15.75" thickBot="1" x14ac:dyDescent="0.3">
      <c r="A230" s="732" t="s">
        <v>390</v>
      </c>
      <c r="E230" s="118">
        <f>E211-E222-SUM(E225:E229)</f>
        <v>-504.90379413859046</v>
      </c>
      <c r="F230" s="947" t="s">
        <v>1360</v>
      </c>
    </row>
    <row r="231" spans="1:6" ht="15.75" thickBot="1" x14ac:dyDescent="0.3">
      <c r="A231" s="1" t="s">
        <v>419</v>
      </c>
      <c r="E231" s="56">
        <f>SUM(E225:E230)</f>
        <v>19171.936758893287</v>
      </c>
      <c r="F231" s="907" t="s">
        <v>1363</v>
      </c>
    </row>
    <row r="232" spans="1:6" ht="15.75" thickTop="1" x14ac:dyDescent="0.25">
      <c r="A232" s="102" t="s">
        <v>393</v>
      </c>
      <c r="B232" s="110"/>
      <c r="C232" s="110"/>
      <c r="D232" s="126"/>
      <c r="E232" s="110">
        <f>E222+E231</f>
        <v>52000.988142292488</v>
      </c>
      <c r="F232" s="908" t="s">
        <v>1364</v>
      </c>
    </row>
    <row r="233" spans="1:6" ht="21" x14ac:dyDescent="0.35">
      <c r="A233" s="945" t="s">
        <v>394</v>
      </c>
      <c r="E233" s="946" t="str">
        <f>IF(ABS(E211-E232)&lt;1,"✅","❌")</f>
        <v>✅</v>
      </c>
      <c r="F233" s="907" t="s">
        <v>1365</v>
      </c>
    </row>
    <row r="236" spans="1:6" ht="15.75" thickBot="1" x14ac:dyDescent="0.3"/>
    <row r="237" spans="1:6" ht="15.75" thickBot="1" x14ac:dyDescent="0.3">
      <c r="A237" s="887" t="s">
        <v>426</v>
      </c>
      <c r="B237" s="888"/>
      <c r="C237" s="889"/>
    </row>
    <row r="238" spans="1:6" x14ac:dyDescent="0.25">
      <c r="A238" s="713" t="s">
        <v>118</v>
      </c>
      <c r="B238" s="113" t="s">
        <v>427</v>
      </c>
      <c r="C238" s="113" t="s">
        <v>428</v>
      </c>
    </row>
    <row r="239" spans="1:6" x14ac:dyDescent="0.25">
      <c r="A239" s="734" t="s">
        <v>58</v>
      </c>
      <c r="B239" s="114">
        <f>E46</f>
        <v>-16697.594431642792</v>
      </c>
      <c r="C239" s="57">
        <v>0</v>
      </c>
    </row>
    <row r="240" spans="1:6" x14ac:dyDescent="0.25">
      <c r="A240" s="734" t="s">
        <v>65</v>
      </c>
      <c r="B240" s="114">
        <f>E112</f>
        <v>-16723.545134594446</v>
      </c>
      <c r="C240" s="57">
        <v>0</v>
      </c>
    </row>
    <row r="241" spans="1:3" x14ac:dyDescent="0.25">
      <c r="A241" s="734" t="s">
        <v>71</v>
      </c>
      <c r="B241" s="114">
        <f>E152</f>
        <v>20645.1725272568</v>
      </c>
      <c r="C241" s="57">
        <v>0</v>
      </c>
    </row>
    <row r="242" spans="1:3" x14ac:dyDescent="0.25">
      <c r="A242" s="734" t="s">
        <v>78</v>
      </c>
      <c r="B242" s="114">
        <f>E191</f>
        <v>-828.98246262428438</v>
      </c>
      <c r="C242" s="57">
        <v>0</v>
      </c>
    </row>
    <row r="243" spans="1:3" ht="15.75" thickBot="1" x14ac:dyDescent="0.3">
      <c r="A243" s="734" t="s">
        <v>92</v>
      </c>
      <c r="B243" s="114">
        <f>E230</f>
        <v>-504.90379413859046</v>
      </c>
      <c r="C243" s="57">
        <v>0</v>
      </c>
    </row>
    <row r="244" spans="1:3" ht="15.75" thickTop="1" x14ac:dyDescent="0.25">
      <c r="A244" s="103" t="s">
        <v>222</v>
      </c>
      <c r="B244" s="115">
        <f>SUM(B239:B243)</f>
        <v>-14109.853295743313</v>
      </c>
      <c r="C244" s="110">
        <f>SUM(C239:C243)</f>
        <v>0</v>
      </c>
    </row>
    <row r="246" spans="1:3" x14ac:dyDescent="0.25">
      <c r="A246" s="104" t="s">
        <v>429</v>
      </c>
    </row>
    <row r="247" spans="1:3" x14ac:dyDescent="0.25">
      <c r="A247" s="104" t="s">
        <v>430</v>
      </c>
    </row>
  </sheetData>
  <mergeCells count="15">
    <mergeCell ref="A193:D193"/>
    <mergeCell ref="A237:C237"/>
    <mergeCell ref="A1:F1"/>
    <mergeCell ref="A4:F4"/>
    <mergeCell ref="A113:D113"/>
    <mergeCell ref="B112:D112"/>
    <mergeCell ref="A53:F53"/>
    <mergeCell ref="A5:F5"/>
    <mergeCell ref="A6:F6"/>
    <mergeCell ref="A8:F8"/>
    <mergeCell ref="A7:F7"/>
    <mergeCell ref="A9:F9"/>
    <mergeCell ref="A14:F14"/>
    <mergeCell ref="B40:F40"/>
    <mergeCell ref="B46:D4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B95DC-8736-414E-AA6B-BDE24FA0C805}">
  <sheetPr>
    <tabColor rgb="FFD4A843"/>
  </sheetPr>
  <dimension ref="A1:N60"/>
  <sheetViews>
    <sheetView showGridLines="0" zoomScale="136" zoomScaleNormal="136" workbookViewId="0"/>
  </sheetViews>
  <sheetFormatPr baseColWidth="10" defaultRowHeight="15" x14ac:dyDescent="0.25"/>
  <cols>
    <col min="1" max="1" width="35.28515625" customWidth="1"/>
    <col min="2" max="3" width="16.140625" customWidth="1"/>
    <col min="4" max="4" width="18.140625" customWidth="1"/>
    <col min="5" max="5" width="15.28515625" customWidth="1"/>
    <col min="6" max="8" width="17.140625" customWidth="1"/>
    <col min="9" max="10" width="15.28515625" customWidth="1"/>
    <col min="11" max="11" width="17.140625" customWidth="1"/>
    <col min="12" max="12" width="15.28515625" customWidth="1"/>
    <col min="13" max="13" width="19" customWidth="1"/>
    <col min="14" max="14" width="17.140625" customWidth="1"/>
  </cols>
  <sheetData>
    <row r="1" spans="1:14" ht="32.1" customHeight="1" x14ac:dyDescent="0.25">
      <c r="A1" s="45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spans="1:14" ht="20.100000000000001" customHeight="1" x14ac:dyDescent="0.25">
      <c r="A2" s="137" t="s">
        <v>435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</row>
    <row r="3" spans="1:14" x14ac:dyDescent="0.25">
      <c r="A3" s="138" t="s">
        <v>436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</row>
    <row r="4" spans="1:14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ht="24" customHeight="1" x14ac:dyDescent="0.25">
      <c r="A5" s="10" t="s">
        <v>437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</row>
    <row r="6" spans="1:14" x14ac:dyDescent="0.25">
      <c r="A6" s="13" t="s">
        <v>438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4" x14ac:dyDescent="0.25">
      <c r="A7" s="139" t="s">
        <v>439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x14ac:dyDescent="0.25">
      <c r="A8" s="139" t="s">
        <v>440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spans="1:14" x14ac:dyDescent="0.25">
      <c r="A9" s="139" t="s">
        <v>441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x14ac:dyDescent="0.25">
      <c r="A10" s="139" t="s">
        <v>442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14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ht="39.950000000000003" customHeight="1" x14ac:dyDescent="0.25">
      <c r="A12" s="51" t="s">
        <v>443</v>
      </c>
      <c r="B12" s="52" t="s">
        <v>444</v>
      </c>
      <c r="C12" s="52" t="s">
        <v>445</v>
      </c>
      <c r="D12" s="52" t="s">
        <v>446</v>
      </c>
      <c r="E12" s="52" t="s">
        <v>447</v>
      </c>
      <c r="F12" s="52" t="s">
        <v>448</v>
      </c>
      <c r="G12" s="52" t="s">
        <v>449</v>
      </c>
      <c r="H12" s="52" t="s">
        <v>997</v>
      </c>
      <c r="I12" s="52" t="s">
        <v>450</v>
      </c>
      <c r="J12" s="52" t="s">
        <v>104</v>
      </c>
      <c r="K12" s="52" t="s">
        <v>451</v>
      </c>
      <c r="L12" s="52" t="s">
        <v>452</v>
      </c>
      <c r="M12" s="53" t="s">
        <v>453</v>
      </c>
      <c r="N12" s="8"/>
    </row>
    <row r="13" spans="1:14" ht="21.95" customHeight="1" x14ac:dyDescent="0.25">
      <c r="A13" s="158" t="s">
        <v>52</v>
      </c>
      <c r="B13" s="159">
        <v>42262</v>
      </c>
      <c r="C13" s="160">
        <v>0.95</v>
      </c>
      <c r="D13" s="161">
        <v>385000</v>
      </c>
      <c r="E13" s="162">
        <f>IF('01_PARAMETRES'!$B$13="Quote-part actifs nets (partial goodwill)",(1-C13)*G13,(1-C13)*(D13/C13))</f>
        <v>17000.000000000015</v>
      </c>
      <c r="F13" s="163">
        <v>0</v>
      </c>
      <c r="G13" s="161">
        <v>340000</v>
      </c>
      <c r="H13" s="162">
        <f>D13+E13+F13-G13</f>
        <v>62000</v>
      </c>
      <c r="I13" s="163" t="str">
        <f>'01_PARAMETRES'!$B$13</f>
        <v>Quote-part actifs nets (partial goodwill)</v>
      </c>
      <c r="J13" s="163" t="s">
        <v>24</v>
      </c>
      <c r="K13" s="162">
        <f>H13</f>
        <v>62000</v>
      </c>
      <c r="L13" s="163">
        <v>1</v>
      </c>
      <c r="M13" s="164">
        <f>K13/L13</f>
        <v>62000</v>
      </c>
      <c r="N13" s="8"/>
    </row>
    <row r="14" spans="1:14" ht="21.95" customHeight="1" x14ac:dyDescent="0.25">
      <c r="A14" s="34" t="s">
        <v>59</v>
      </c>
      <c r="B14" s="165">
        <v>42795</v>
      </c>
      <c r="C14" s="29">
        <v>1</v>
      </c>
      <c r="D14" s="161">
        <v>142000</v>
      </c>
      <c r="E14" s="166">
        <f>IF('01_PARAMETRES'!$B$13="Quote-part actifs nets (partial goodwill)",(1-C14)*G14,(1-C14)*(D14/C14))</f>
        <v>0</v>
      </c>
      <c r="F14" s="28">
        <v>0</v>
      </c>
      <c r="G14" s="161">
        <v>98000</v>
      </c>
      <c r="H14" s="166">
        <f>D14+E14+F14-G14</f>
        <v>44000</v>
      </c>
      <c r="I14" s="28" t="str">
        <f>'01_PARAMETRES'!$B$13</f>
        <v>Quote-part actifs nets (partial goodwill)</v>
      </c>
      <c r="J14" s="28" t="s">
        <v>62</v>
      </c>
      <c r="K14" s="166">
        <f>H14*'01_PARAMETRES'!$E$36</f>
        <v>46992</v>
      </c>
      <c r="L14" s="28">
        <f>'01_PARAMETRES'!$B$36</f>
        <v>1.1020000000000001</v>
      </c>
      <c r="M14" s="167">
        <f>K14/L14</f>
        <v>42642.468239564427</v>
      </c>
      <c r="N14" s="8"/>
    </row>
    <row r="15" spans="1:14" ht="21.95" customHeight="1" x14ac:dyDescent="0.25">
      <c r="A15" s="158" t="s">
        <v>66</v>
      </c>
      <c r="B15" s="159">
        <v>43282</v>
      </c>
      <c r="C15" s="160">
        <v>0.8</v>
      </c>
      <c r="D15" s="161">
        <v>95000</v>
      </c>
      <c r="E15" s="162">
        <f>IF('01_PARAMETRES'!$B$13="Quote-part actifs nets (partial goodwill)",(1-C15)*G15,(1-C15)*(D15/C15))</f>
        <v>12399.999999999996</v>
      </c>
      <c r="F15" s="163">
        <v>0</v>
      </c>
      <c r="G15" s="161">
        <v>62000</v>
      </c>
      <c r="H15" s="162">
        <f>D15+E15+F15-G15</f>
        <v>45400</v>
      </c>
      <c r="I15" s="163" t="str">
        <f>'01_PARAMETRES'!$B$13</f>
        <v>Quote-part actifs nets (partial goodwill)</v>
      </c>
      <c r="J15" s="163" t="s">
        <v>69</v>
      </c>
      <c r="K15" s="162">
        <f>H15*'01_PARAMETRES'!$E$37</f>
        <v>5920160</v>
      </c>
      <c r="L15" s="163">
        <f>'01_PARAMETRES'!$B$37</f>
        <v>164.8</v>
      </c>
      <c r="M15" s="164">
        <f>K15/L15</f>
        <v>35923.300970873781</v>
      </c>
      <c r="N15" s="8"/>
    </row>
    <row r="16" spans="1:14" ht="21.95" customHeight="1" x14ac:dyDescent="0.25">
      <c r="A16" s="34" t="s">
        <v>79</v>
      </c>
      <c r="B16" s="165">
        <v>43997</v>
      </c>
      <c r="C16" s="29">
        <v>0.7</v>
      </c>
      <c r="D16" s="161">
        <v>48000</v>
      </c>
      <c r="E16" s="166">
        <f>IF('01_PARAMETRES'!$B$13="Quote-part actifs nets (partial goodwill)",(1-C16)*G16,(1-C16)*(D16/C16))</f>
        <v>10500.000000000002</v>
      </c>
      <c r="F16" s="28">
        <v>0</v>
      </c>
      <c r="G16" s="161">
        <v>35000</v>
      </c>
      <c r="H16" s="166">
        <f>D16+E16+F16-G16</f>
        <v>23500</v>
      </c>
      <c r="I16" s="28" t="str">
        <f>'01_PARAMETRES'!$B$13</f>
        <v>Quote-part actifs nets (partial goodwill)</v>
      </c>
      <c r="J16" s="28" t="s">
        <v>82</v>
      </c>
      <c r="K16" s="166">
        <f>H16*'01_PARAMETRES'!$E$39</f>
        <v>180292</v>
      </c>
      <c r="L16" s="28">
        <f>'01_PARAMETRES'!$B$39</f>
        <v>7.98</v>
      </c>
      <c r="M16" s="167">
        <f>K16/L16</f>
        <v>22592.982456140351</v>
      </c>
      <c r="N16" s="8"/>
    </row>
    <row r="17" spans="1:14" ht="21.95" customHeight="1" x14ac:dyDescent="0.25">
      <c r="A17" s="168" t="s">
        <v>93</v>
      </c>
      <c r="B17" s="169">
        <v>44805</v>
      </c>
      <c r="C17" s="170">
        <v>1</v>
      </c>
      <c r="D17" s="171">
        <v>18000</v>
      </c>
      <c r="E17" s="172">
        <f>IF('01_PARAMETRES'!$B$13="Quote-part actifs nets (partial goodwill)",(1-C17)*G17,(1-C17)*(D17/C17))</f>
        <v>0</v>
      </c>
      <c r="F17" s="173">
        <v>0</v>
      </c>
      <c r="G17" s="171">
        <v>12500</v>
      </c>
      <c r="H17" s="172">
        <f>D17+E17+F17-G17</f>
        <v>5500</v>
      </c>
      <c r="I17" s="173" t="str">
        <f>'01_PARAMETRES'!$B$13</f>
        <v>Quote-part actifs nets (partial goodwill)</v>
      </c>
      <c r="J17" s="173" t="s">
        <v>96</v>
      </c>
      <c r="K17" s="172">
        <f>H17*'01_PARAMETRES'!$E$41</f>
        <v>21582</v>
      </c>
      <c r="L17" s="173">
        <f>'01_PARAMETRES'!$B$41</f>
        <v>4.048</v>
      </c>
      <c r="M17" s="174">
        <f>K17/L17</f>
        <v>5331.521739130435</v>
      </c>
      <c r="N17" s="8"/>
    </row>
    <row r="18" spans="1:14" ht="15.75" thickBot="1" x14ac:dyDescent="0.3">
      <c r="A18" s="141" t="s">
        <v>454</v>
      </c>
      <c r="B18" s="142"/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8"/>
    </row>
    <row r="19" spans="1:14" ht="15.75" thickTop="1" x14ac:dyDescent="0.25">
      <c r="A19" s="100" t="s">
        <v>455</v>
      </c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117">
        <f>SUM(M13:M17)</f>
        <v>168490.27340570895</v>
      </c>
      <c r="N19" s="8"/>
    </row>
    <row r="20" spans="1:14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ht="24" customHeight="1" x14ac:dyDescent="0.25">
      <c r="A22" s="10" t="s">
        <v>456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</row>
    <row r="23" spans="1:14" x14ac:dyDescent="0.25">
      <c r="A23" s="13" t="s">
        <v>457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x14ac:dyDescent="0.25">
      <c r="A24" s="97" t="str">
        <f>"Méthode : "&amp;'01_PARAMETRES'!B59</f>
        <v xml:space="preserve">Méthode : 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 x14ac:dyDescent="0.25">
      <c r="A25" s="15" t="str">
        <f>"WACC : "&amp;TEXT('01_PARAMETRES'!B56,"0.00%")&amp;" | Taux croissance terminal : "&amp;TEXT('01_PARAMETRES'!B57,"0.00%")&amp;" | Horizon : "&amp;'01_PARAMETRES'!B58&amp;" ans"</f>
        <v>WACC : 0.10% | Taux croissance terminal : 0.02% | Horizon : 5 ans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14" ht="39.950000000000003" customHeight="1" x14ac:dyDescent="0.25">
      <c r="A27" s="51" t="s">
        <v>458</v>
      </c>
      <c r="B27" s="52" t="s">
        <v>459</v>
      </c>
      <c r="C27" s="52" t="s">
        <v>460</v>
      </c>
      <c r="D27" s="52" t="s">
        <v>461</v>
      </c>
      <c r="E27" s="52" t="s">
        <v>462</v>
      </c>
      <c r="F27" s="52" t="s">
        <v>463</v>
      </c>
      <c r="G27" s="52" t="s">
        <v>464</v>
      </c>
      <c r="H27" s="52" t="s">
        <v>465</v>
      </c>
      <c r="I27" s="52" t="s">
        <v>466</v>
      </c>
      <c r="J27" s="52" t="s">
        <v>467</v>
      </c>
      <c r="K27" s="52" t="s">
        <v>468</v>
      </c>
      <c r="L27" s="52" t="s">
        <v>998</v>
      </c>
      <c r="M27" s="52" t="s">
        <v>469</v>
      </c>
      <c r="N27" s="53" t="s">
        <v>470</v>
      </c>
    </row>
    <row r="28" spans="1:14" ht="21.95" customHeight="1" x14ac:dyDescent="0.25">
      <c r="A28" s="175" t="s">
        <v>471</v>
      </c>
      <c r="B28" s="176">
        <f>M13</f>
        <v>62000</v>
      </c>
      <c r="C28" s="176">
        <v>370000</v>
      </c>
      <c r="D28" s="177">
        <f t="shared" ref="D28:D33" si="0">B28+C28</f>
        <v>432000</v>
      </c>
      <c r="E28" s="176">
        <v>65000</v>
      </c>
      <c r="F28" s="176">
        <v>70000</v>
      </c>
      <c r="G28" s="176">
        <v>75000</v>
      </c>
      <c r="H28" s="176">
        <v>78000</v>
      </c>
      <c r="I28" s="176">
        <v>82000</v>
      </c>
      <c r="J28" s="176">
        <f>I28*(1+'01_PARAMETRES'!$B$57)/('01_PARAMETRES'!$B$56-'01_PARAMETRES'!$B$57)</f>
        <v>1045500</v>
      </c>
      <c r="K28" s="176">
        <f>NPV('01_PARAMETRES'!$B$56,E28:I28)+J28/((1+'01_PARAMETRES'!$B$56)^'01_PARAMETRES'!$B$58)</f>
        <v>926654.60009562154</v>
      </c>
      <c r="L28" s="177">
        <f t="shared" ref="L28:L33" si="1">K28</f>
        <v>926654.60009562154</v>
      </c>
      <c r="M28" s="178">
        <f t="shared" ref="M28:M33" si="2">L28-D28</f>
        <v>494654.60009562154</v>
      </c>
      <c r="N28" s="179">
        <f>IF(M28&lt;0,MIN(-M28,B28),0)</f>
        <v>0</v>
      </c>
    </row>
    <row r="29" spans="1:14" ht="21.95" customHeight="1" x14ac:dyDescent="0.25">
      <c r="A29" s="180" t="s">
        <v>472</v>
      </c>
      <c r="B29" s="181">
        <f>M14</f>
        <v>42642.468239564427</v>
      </c>
      <c r="C29" s="181">
        <v>1245000</v>
      </c>
      <c r="D29" s="182">
        <f t="shared" si="0"/>
        <v>1287642.4682395644</v>
      </c>
      <c r="E29" s="181">
        <v>95000</v>
      </c>
      <c r="F29" s="181">
        <v>102000</v>
      </c>
      <c r="G29" s="181">
        <v>110000</v>
      </c>
      <c r="H29" s="181">
        <v>115000</v>
      </c>
      <c r="I29" s="181">
        <v>122000</v>
      </c>
      <c r="J29" s="181">
        <f>I29*(1+'01_PARAMETRES'!$B$57)/('01_PARAMETRES'!$B$56-'01_PARAMETRES'!$B$57)</f>
        <v>1555500</v>
      </c>
      <c r="K29" s="181">
        <f>NPV('01_PARAMETRES'!$B$56,E29:I29)+J29/((1+'01_PARAMETRES'!$B$56)^'01_PARAMETRES'!$B$58)</f>
        <v>1373447.8519226825</v>
      </c>
      <c r="L29" s="182">
        <f t="shared" si="1"/>
        <v>1373447.8519226825</v>
      </c>
      <c r="M29" s="183">
        <f t="shared" si="2"/>
        <v>85805.383683118038</v>
      </c>
      <c r="N29" s="184">
        <f>IF(M29&lt;0,MIN(-M29,B29),0)</f>
        <v>0</v>
      </c>
    </row>
    <row r="30" spans="1:14" ht="21.95" customHeight="1" x14ac:dyDescent="0.25">
      <c r="A30" s="175" t="s">
        <v>473</v>
      </c>
      <c r="B30" s="176">
        <f>M15</f>
        <v>35923.300970873781</v>
      </c>
      <c r="C30" s="176">
        <v>148000</v>
      </c>
      <c r="D30" s="177">
        <f t="shared" si="0"/>
        <v>183923.3009708738</v>
      </c>
      <c r="E30" s="176">
        <v>22000</v>
      </c>
      <c r="F30" s="176">
        <v>24000</v>
      </c>
      <c r="G30" s="176">
        <v>26000</v>
      </c>
      <c r="H30" s="176">
        <v>27000</v>
      </c>
      <c r="I30" s="176">
        <v>29000</v>
      </c>
      <c r="J30" s="176">
        <f>I30*(1+'01_PARAMETRES'!$B$57)/('01_PARAMETRES'!$B$56-'01_PARAMETRES'!$B$57)</f>
        <v>369750</v>
      </c>
      <c r="K30" s="176">
        <f>NPV('01_PARAMETRES'!$B$56,E30:I30)+J30/((1+'01_PARAMETRES'!$B$56)^'01_PARAMETRES'!$B$58)</f>
        <v>325402.63643193763</v>
      </c>
      <c r="L30" s="177">
        <f t="shared" si="1"/>
        <v>325402.63643193763</v>
      </c>
      <c r="M30" s="178">
        <f t="shared" si="2"/>
        <v>141479.33546106383</v>
      </c>
      <c r="N30" s="179">
        <f>IF(M30&lt;0,MIN(-M30,B30),0)</f>
        <v>0</v>
      </c>
    </row>
    <row r="31" spans="1:14" ht="21.95" customHeight="1" x14ac:dyDescent="0.25">
      <c r="A31" s="180" t="s">
        <v>474</v>
      </c>
      <c r="B31" s="181">
        <v>0</v>
      </c>
      <c r="C31" s="181">
        <v>422000</v>
      </c>
      <c r="D31" s="182">
        <f t="shared" si="0"/>
        <v>422000</v>
      </c>
      <c r="E31" s="181">
        <v>52000</v>
      </c>
      <c r="F31" s="181">
        <v>55000</v>
      </c>
      <c r="G31" s="181">
        <v>58000</v>
      </c>
      <c r="H31" s="181">
        <v>60000</v>
      </c>
      <c r="I31" s="181">
        <v>63000</v>
      </c>
      <c r="J31" s="181">
        <f>I31*(1+'01_PARAMETRES'!$B$57)/('01_PARAMETRES'!$B$56-'01_PARAMETRES'!$B$57)</f>
        <v>803250</v>
      </c>
      <c r="K31" s="181">
        <f>NPV('01_PARAMETRES'!$B$56,E31:I31)+J31/((1+'01_PARAMETRES'!$B$56)^'01_PARAMETRES'!$B$58)</f>
        <v>715157.43460146151</v>
      </c>
      <c r="L31" s="182">
        <f t="shared" si="1"/>
        <v>715157.43460146151</v>
      </c>
      <c r="M31" s="183">
        <f t="shared" si="2"/>
        <v>293157.43460146151</v>
      </c>
      <c r="N31" s="184">
        <f>IF(M31&lt;0,MIN(-M31,B31),0)</f>
        <v>0</v>
      </c>
    </row>
    <row r="32" spans="1:14" ht="21.95" customHeight="1" x14ac:dyDescent="0.25">
      <c r="A32" s="175" t="s">
        <v>475</v>
      </c>
      <c r="B32" s="176">
        <f>M16</f>
        <v>22592.982456140351</v>
      </c>
      <c r="C32" s="176">
        <v>390000</v>
      </c>
      <c r="D32" s="177">
        <f t="shared" si="0"/>
        <v>412592.98245614034</v>
      </c>
      <c r="E32" s="176">
        <v>35000</v>
      </c>
      <c r="F32" s="176">
        <v>38000</v>
      </c>
      <c r="G32" s="176">
        <v>40000</v>
      </c>
      <c r="H32" s="176">
        <v>42000</v>
      </c>
      <c r="I32" s="176">
        <v>45000</v>
      </c>
      <c r="J32" s="176">
        <f>I32*(1+'01_PARAMETRES'!$B$57)/('01_PARAMETRES'!$B$56-'01_PARAMETRES'!$B$57)</f>
        <v>573750</v>
      </c>
      <c r="K32" s="176">
        <f>NPV('01_PARAMETRES'!$B$56,E32:I32)+J32/((1+'01_PARAMETRES'!$B$56)^'01_PARAMETRES'!$B$58)</f>
        <v>506157.36630011594</v>
      </c>
      <c r="L32" s="177">
        <f t="shared" si="1"/>
        <v>506157.36630011594</v>
      </c>
      <c r="M32" s="178">
        <f t="shared" si="2"/>
        <v>93564.383843975607</v>
      </c>
      <c r="N32" s="179">
        <f>IF(M32&lt;0,MIN(-M32,B32),0)</f>
        <v>0</v>
      </c>
    </row>
    <row r="33" spans="1:14" ht="21.95" customHeight="1" x14ac:dyDescent="0.25">
      <c r="A33" s="180" t="s">
        <v>476</v>
      </c>
      <c r="B33" s="181">
        <f>M17</f>
        <v>5331.521739130435</v>
      </c>
      <c r="C33" s="181">
        <v>180000</v>
      </c>
      <c r="D33" s="182">
        <f t="shared" si="0"/>
        <v>185331.52173913043</v>
      </c>
      <c r="E33" s="181">
        <v>12000</v>
      </c>
      <c r="F33" s="181">
        <v>14000</v>
      </c>
      <c r="G33" s="181">
        <v>15000</v>
      </c>
      <c r="H33" s="181">
        <v>16000</v>
      </c>
      <c r="I33" s="181">
        <v>18000</v>
      </c>
      <c r="J33" s="181">
        <f>I33*(1+'01_PARAMETRES'!$B$57)/('01_PARAMETRES'!$B$56-'01_PARAMETRES'!$B$57)</f>
        <v>229500</v>
      </c>
      <c r="K33" s="181">
        <f>NPV('01_PARAMETRES'!$B$56,E33:I33)+J33/((1+'01_PARAMETRES'!$B$56)^'01_PARAMETRES'!$B$58)</f>
        <v>198355.30359948086</v>
      </c>
      <c r="L33" s="182">
        <f t="shared" si="1"/>
        <v>198355.30359948086</v>
      </c>
      <c r="M33" s="183">
        <f t="shared" si="2"/>
        <v>13023.781860350427</v>
      </c>
      <c r="N33" s="184">
        <f>IF(M33&lt;0,MIN(-M33,B33),0)</f>
        <v>0</v>
      </c>
    </row>
    <row r="34" spans="1:14" x14ac:dyDescent="0.25">
      <c r="A34" s="185" t="s">
        <v>222</v>
      </c>
      <c r="B34" s="186">
        <f>SUM(B28:B33)</f>
        <v>168490.27340570895</v>
      </c>
      <c r="C34" s="187"/>
      <c r="D34" s="186"/>
      <c r="E34" s="187"/>
      <c r="F34" s="187"/>
      <c r="G34" s="187"/>
      <c r="H34" s="187"/>
      <c r="I34" s="187"/>
      <c r="J34" s="187"/>
      <c r="K34" s="186"/>
      <c r="L34" s="188">
        <f>SUM(L28:L33)</f>
        <v>4045175.1929512997</v>
      </c>
      <c r="M34" s="186"/>
      <c r="N34" s="189">
        <f>SUM(N28:N33)</f>
        <v>0</v>
      </c>
    </row>
    <row r="35" spans="1:14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1:14" ht="24" customHeight="1" x14ac:dyDescent="0.25">
      <c r="A37" s="10" t="s">
        <v>477</v>
      </c>
      <c r="B37" s="25"/>
      <c r="C37" s="25"/>
      <c r="D37" s="25"/>
      <c r="E37" s="25"/>
      <c r="F37" s="25"/>
      <c r="G37" s="25"/>
      <c r="H37" s="8"/>
      <c r="I37" s="8"/>
      <c r="J37" s="8"/>
      <c r="K37" s="8"/>
      <c r="L37" s="8"/>
      <c r="M37" s="8"/>
      <c r="N37" s="8"/>
    </row>
    <row r="38" spans="1:14" x14ac:dyDescent="0.25">
      <c r="A38" s="22" t="s">
        <v>478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1:14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ht="30" customHeight="1" x14ac:dyDescent="0.25">
      <c r="A40" s="14" t="s">
        <v>458</v>
      </c>
      <c r="B40" s="14" t="s">
        <v>479</v>
      </c>
      <c r="C40" s="14" t="s">
        <v>480</v>
      </c>
      <c r="D40" s="14" t="s">
        <v>481</v>
      </c>
      <c r="E40" s="14" t="s">
        <v>482</v>
      </c>
      <c r="F40" s="14" t="s">
        <v>483</v>
      </c>
      <c r="G40" s="14" t="s">
        <v>484</v>
      </c>
      <c r="H40" s="452" t="s">
        <v>999</v>
      </c>
      <c r="I40" s="452" t="s">
        <v>1000</v>
      </c>
      <c r="J40" s="452" t="s">
        <v>1001</v>
      </c>
      <c r="K40" s="452" t="s">
        <v>1002</v>
      </c>
      <c r="L40" s="452" t="s">
        <v>1003</v>
      </c>
      <c r="M40" s="452" t="s">
        <v>1004</v>
      </c>
      <c r="N40" s="8"/>
    </row>
    <row r="41" spans="1:14" x14ac:dyDescent="0.25">
      <c r="A41" s="146" t="s">
        <v>471</v>
      </c>
      <c r="B41" s="147">
        <f t="shared" ref="B41:B46" si="3">M28</f>
        <v>494654.60009562154</v>
      </c>
      <c r="C41" s="147">
        <f>NPV('01_PARAMETRES'!$B$56+1%,E28:I28)+J28/((1+'01_PARAMETRES'!$B$56+1%)^'01_PARAMETRES'!$B$58)-D28</f>
        <v>458708.87085254851</v>
      </c>
      <c r="D41" s="147">
        <f>NPV('01_PARAMETRES'!$B$56+2%,E28:I28)+J28/((1+'01_PARAMETRES'!$B$56+2%)^'01_PARAMETRES'!$B$58)-D28</f>
        <v>424566.99423858896</v>
      </c>
      <c r="E41" s="147">
        <f>NPV('01_PARAMETRES'!$B$56,E28:I28)+I28*1/('01_PARAMETRES'!$B$56-0)-D28</f>
        <v>665481.35683727521</v>
      </c>
      <c r="F41" s="147">
        <f>NPV('01_PARAMETRES'!$B$56,E28*0.9,F28*0.9,G28*0.9,H28*0.9,I28*0.9)+I28*0.9*(1+'01_PARAMETRES'!$B$57)/('01_PARAMETRES'!$B$56-'01_PARAMETRES'!$B$57)-D28</f>
        <v>758683.22115354752</v>
      </c>
      <c r="G41" s="148">
        <f t="shared" ref="G41:G46" si="4">IRR(H41:M41,0.1)</f>
        <v>0.31778229469806085</v>
      </c>
      <c r="H41" s="453">
        <f t="shared" ref="H41:H46" si="5">-D28</f>
        <v>-432000</v>
      </c>
      <c r="I41" s="453">
        <f t="shared" ref="I41:L46" si="6">E28</f>
        <v>65000</v>
      </c>
      <c r="J41" s="453">
        <f t="shared" si="6"/>
        <v>70000</v>
      </c>
      <c r="K41" s="453">
        <f t="shared" si="6"/>
        <v>75000</v>
      </c>
      <c r="L41" s="453">
        <f t="shared" si="6"/>
        <v>78000</v>
      </c>
      <c r="M41" s="453">
        <f t="shared" ref="M41:M46" si="7">I28+J28</f>
        <v>1127500</v>
      </c>
      <c r="N41" s="8"/>
    </row>
    <row r="42" spans="1:14" x14ac:dyDescent="0.25">
      <c r="A42" s="143" t="s">
        <v>472</v>
      </c>
      <c r="B42" s="144">
        <f t="shared" si="3"/>
        <v>85805.383683118038</v>
      </c>
      <c r="C42" s="144">
        <f>NPV('01_PARAMETRES'!$B$56+1%,E29:I29)+J29/((1+'01_PARAMETRES'!$B$56+1%)^'01_PARAMETRES'!$B$58)-D29</f>
        <v>32428.322324926266</v>
      </c>
      <c r="D42" s="144">
        <f>NPV('01_PARAMETRES'!$B$56+2%,E29:I29)+J29/((1+'01_PARAMETRES'!$B$56+2%)^'01_PARAMETRES'!$B$58)-D29</f>
        <v>-18268.307413950795</v>
      </c>
      <c r="E42" s="144">
        <f>NPV('01_PARAMETRES'!$B$56,E29:I29)+I29*1/('01_PARAMETRES'!$B$56-0)-D29</f>
        <v>339962.2656646024</v>
      </c>
      <c r="F42" s="144">
        <f>NPV('01_PARAMETRES'!$B$56,E29*0.9,F29*0.9,G29*0.9,H29*0.9,I29*0.9)+I29*0.9*(1+'01_PARAMETRES'!$B$57)/('01_PARAMETRES'!$B$56-'01_PARAMETRES'!$B$57)-D29</f>
        <v>479151.79227418569</v>
      </c>
      <c r="G42" s="148">
        <f t="shared" si="4"/>
        <v>0.11633721420107612</v>
      </c>
      <c r="H42" s="453">
        <f t="shared" si="5"/>
        <v>-1287642.4682395644</v>
      </c>
      <c r="I42" s="453">
        <f t="shared" si="6"/>
        <v>95000</v>
      </c>
      <c r="J42" s="453">
        <f t="shared" si="6"/>
        <v>102000</v>
      </c>
      <c r="K42" s="453">
        <f t="shared" si="6"/>
        <v>110000</v>
      </c>
      <c r="L42" s="453">
        <f t="shared" si="6"/>
        <v>115000</v>
      </c>
      <c r="M42" s="453">
        <f t="shared" si="7"/>
        <v>1677500</v>
      </c>
      <c r="N42" s="8"/>
    </row>
    <row r="43" spans="1:14" x14ac:dyDescent="0.25">
      <c r="A43" s="146" t="s">
        <v>473</v>
      </c>
      <c r="B43" s="147">
        <f t="shared" si="3"/>
        <v>141479.33546106383</v>
      </c>
      <c r="C43" s="147">
        <f>NPV('01_PARAMETRES'!$B$56+1%,E30:I30)+J30/((1+'01_PARAMETRES'!$B$56+1%)^'01_PARAMETRES'!$B$58)-D30</f>
        <v>128810.88652589329</v>
      </c>
      <c r="D43" s="147">
        <f>NPV('01_PARAMETRES'!$B$56+2%,E30:I30)+J30/((1+'01_PARAMETRES'!$B$56+2%)^'01_PARAMETRES'!$B$58)-D30</f>
        <v>116778.94251107838</v>
      </c>
      <c r="E43" s="147">
        <f>NPV('01_PARAMETRES'!$B$56,E30:I30)+I30*1/('01_PARAMETRES'!$B$56-0)-D30</f>
        <v>201893.67625994125</v>
      </c>
      <c r="F43" s="147">
        <f>NPV('01_PARAMETRES'!$B$56,E30*0.9,F30*0.9,G30*0.9,H30*0.9,I30*0.9)+I30*0.9*(1+'01_PARAMETRES'!$B$57)/('01_PARAMETRES'!$B$56-'01_PARAMETRES'!$B$57)-D30</f>
        <v>235086.97853685974</v>
      </c>
      <c r="G43" s="148">
        <f t="shared" si="4"/>
        <v>0.25657090870852262</v>
      </c>
      <c r="H43" s="453">
        <f t="shared" si="5"/>
        <v>-183923.3009708738</v>
      </c>
      <c r="I43" s="453">
        <f t="shared" si="6"/>
        <v>22000</v>
      </c>
      <c r="J43" s="453">
        <f t="shared" si="6"/>
        <v>24000</v>
      </c>
      <c r="K43" s="453">
        <f t="shared" si="6"/>
        <v>26000</v>
      </c>
      <c r="L43" s="453">
        <f t="shared" si="6"/>
        <v>27000</v>
      </c>
      <c r="M43" s="453">
        <f t="shared" si="7"/>
        <v>398750</v>
      </c>
      <c r="N43" s="8"/>
    </row>
    <row r="44" spans="1:14" x14ac:dyDescent="0.25">
      <c r="A44" s="143" t="s">
        <v>474</v>
      </c>
      <c r="B44" s="144">
        <f t="shared" si="3"/>
        <v>293157.43460146151</v>
      </c>
      <c r="C44" s="144">
        <f>NPV('01_PARAMETRES'!$B$56+1%,E31:I31)+J31/((1+'01_PARAMETRES'!$B$56+1%)^'01_PARAMETRES'!$B$58)-D31</f>
        <v>265496.25217015133</v>
      </c>
      <c r="D44" s="144">
        <f>NPV('01_PARAMETRES'!$B$56+2%,E31:I31)+J31/((1+'01_PARAMETRES'!$B$56+2%)^'01_PARAMETRES'!$B$58)-D31</f>
        <v>239222.0875375818</v>
      </c>
      <c r="E44" s="144">
        <f>NPV('01_PARAMETRES'!$B$56,E31:I31)+I31*1/('01_PARAMETRES'!$B$56-0)-D31</f>
        <v>424402.38185419515</v>
      </c>
      <c r="F44" s="144">
        <f>NPV('01_PARAMETRES'!$B$56,E31*0.9,F31*0.9,G31*0.9,H31*0.9,I31*0.9)+I31*0.9*(1+'01_PARAMETRES'!$B$57)/('01_PARAMETRES'!$B$56-'01_PARAMETRES'!$B$57)-D31</f>
        <v>495687.14366877568</v>
      </c>
      <c r="G44" s="148">
        <f t="shared" si="4"/>
        <v>0.24491282825882199</v>
      </c>
      <c r="H44" s="453">
        <f t="shared" si="5"/>
        <v>-422000</v>
      </c>
      <c r="I44" s="453">
        <f t="shared" si="6"/>
        <v>52000</v>
      </c>
      <c r="J44" s="453">
        <f t="shared" si="6"/>
        <v>55000</v>
      </c>
      <c r="K44" s="453">
        <f t="shared" si="6"/>
        <v>58000</v>
      </c>
      <c r="L44" s="453">
        <f t="shared" si="6"/>
        <v>60000</v>
      </c>
      <c r="M44" s="453">
        <f t="shared" si="7"/>
        <v>866250</v>
      </c>
      <c r="N44" s="8"/>
    </row>
    <row r="45" spans="1:14" x14ac:dyDescent="0.25">
      <c r="A45" s="146" t="s">
        <v>475</v>
      </c>
      <c r="B45" s="147">
        <f t="shared" si="3"/>
        <v>93564.383843975607</v>
      </c>
      <c r="C45" s="147">
        <f>NPV('01_PARAMETRES'!$B$56+1%,E32:I32)+J32/((1+'01_PARAMETRES'!$B$56+1%)^'01_PARAMETRES'!$B$58)-D32</f>
        <v>73892.566941026482</v>
      </c>
      <c r="D45" s="147">
        <f>NPV('01_PARAMETRES'!$B$56+2%,E32:I32)+J32/((1+'01_PARAMETRES'!$B$56+2%)^'01_PARAMETRES'!$B$58)-D32</f>
        <v>55208.721072221</v>
      </c>
      <c r="E45" s="147">
        <f>NPV('01_PARAMETRES'!$B$56,E32:I32)+I32*1/('01_PARAMETRES'!$B$56-0)-D32</f>
        <v>187310.77473878546</v>
      </c>
      <c r="F45" s="147">
        <f>NPV('01_PARAMETRES'!$B$56,E32*0.9,F32*0.9,G32*0.9,H32*0.9,I32*0.9)+I32*0.9*(1+'01_PARAMETRES'!$B$57)/('01_PARAMETRES'!$B$56-'01_PARAMETRES'!$B$57)-D32</f>
        <v>238695.3990192929</v>
      </c>
      <c r="G45" s="148">
        <f t="shared" si="4"/>
        <v>0.15290546153081386</v>
      </c>
      <c r="H45" s="453">
        <f t="shared" si="5"/>
        <v>-412592.98245614034</v>
      </c>
      <c r="I45" s="453">
        <f t="shared" si="6"/>
        <v>35000</v>
      </c>
      <c r="J45" s="453">
        <f t="shared" si="6"/>
        <v>38000</v>
      </c>
      <c r="K45" s="453">
        <f t="shared" si="6"/>
        <v>40000</v>
      </c>
      <c r="L45" s="453">
        <f t="shared" si="6"/>
        <v>42000</v>
      </c>
      <c r="M45" s="453">
        <f t="shared" si="7"/>
        <v>618750</v>
      </c>
      <c r="N45" s="8"/>
    </row>
    <row r="46" spans="1:14" x14ac:dyDescent="0.25">
      <c r="A46" s="143" t="s">
        <v>476</v>
      </c>
      <c r="B46" s="144">
        <f t="shared" si="3"/>
        <v>13023.781860350427</v>
      </c>
      <c r="C46" s="144">
        <f>NPV('01_PARAMETRES'!$B$56+1%,E33:I33)+J33/((1+'01_PARAMETRES'!$B$56+1%)^'01_PARAMETRES'!$B$58)-D33</f>
        <v>5228.773137424665</v>
      </c>
      <c r="D46" s="144">
        <f>NPV('01_PARAMETRES'!$B$56+2%,E33:I33)+J33/((1+'01_PARAMETRES'!$B$56+2%)^'01_PARAMETRES'!$B$58)-D33</f>
        <v>-2173.3819770986738</v>
      </c>
      <c r="E46" s="144">
        <f>NPV('01_PARAMETRES'!$B$56,E33:I33)+I33*1/('01_PARAMETRES'!$B$56-0)-D33</f>
        <v>50522.338218274352</v>
      </c>
      <c r="F46" s="144">
        <f>NPV('01_PARAMETRES'!$B$56,E33*0.9,F33*0.9,G33*0.9,H33*0.9,I33*0.9)+I33*0.9*(1+'01_PARAMETRES'!$B$57)/('01_PARAMETRES'!$B$56-'01_PARAMETRES'!$B$57)-D33</f>
        <v>71486.952222533873</v>
      </c>
      <c r="G46" s="148">
        <f t="shared" si="4"/>
        <v>0.11701015370369761</v>
      </c>
      <c r="H46" s="453">
        <f t="shared" si="5"/>
        <v>-185331.52173913043</v>
      </c>
      <c r="I46" s="453">
        <f t="shared" si="6"/>
        <v>12000</v>
      </c>
      <c r="J46" s="453">
        <f t="shared" si="6"/>
        <v>14000</v>
      </c>
      <c r="K46" s="453">
        <f t="shared" si="6"/>
        <v>15000</v>
      </c>
      <c r="L46" s="453">
        <f t="shared" si="6"/>
        <v>16000</v>
      </c>
      <c r="M46" s="453">
        <f t="shared" si="7"/>
        <v>247500</v>
      </c>
      <c r="N46" s="8"/>
    </row>
    <row r="47" spans="1:14" x14ac:dyDescent="0.25">
      <c r="A47" s="149" t="s">
        <v>485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</row>
    <row r="49" spans="1:14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 ht="24" customHeight="1" x14ac:dyDescent="0.25">
      <c r="A50" s="10" t="s">
        <v>486</v>
      </c>
      <c r="B50" s="25"/>
      <c r="C50" s="25"/>
      <c r="D50" s="25"/>
      <c r="E50" s="25"/>
      <c r="F50" s="25"/>
      <c r="G50" s="25"/>
      <c r="H50" s="8"/>
      <c r="I50" s="8"/>
      <c r="J50" s="8"/>
      <c r="K50" s="8"/>
      <c r="L50" s="8"/>
      <c r="M50" s="8"/>
      <c r="N50" s="8"/>
    </row>
    <row r="51" spans="1:14" ht="36" customHeight="1" x14ac:dyDescent="0.25">
      <c r="A51" s="47" t="s">
        <v>118</v>
      </c>
      <c r="B51" s="47" t="s">
        <v>487</v>
      </c>
      <c r="C51" s="47" t="s">
        <v>488</v>
      </c>
      <c r="D51" s="47" t="s">
        <v>489</v>
      </c>
      <c r="E51" s="47" t="s">
        <v>490</v>
      </c>
      <c r="F51" s="47" t="s">
        <v>491</v>
      </c>
      <c r="G51" s="47" t="s">
        <v>492</v>
      </c>
      <c r="H51" s="30" t="s">
        <v>1023</v>
      </c>
      <c r="I51" s="30" t="s">
        <v>1024</v>
      </c>
      <c r="J51" s="30" t="s">
        <v>1025</v>
      </c>
      <c r="K51" s="8"/>
      <c r="L51" s="8"/>
      <c r="M51" s="8"/>
      <c r="N51" s="8"/>
    </row>
    <row r="52" spans="1:14" ht="20.100000000000001" customHeight="1" x14ac:dyDescent="0.25">
      <c r="A52" s="12" t="s">
        <v>52</v>
      </c>
      <c r="B52" s="483">
        <f>J52</f>
        <v>62000</v>
      </c>
      <c r="C52" s="140">
        <v>0</v>
      </c>
      <c r="D52" s="140">
        <v>0</v>
      </c>
      <c r="E52" s="150">
        <f>-N28</f>
        <v>0</v>
      </c>
      <c r="F52" s="151">
        <v>0</v>
      </c>
      <c r="G52" s="152">
        <f>M13</f>
        <v>62000</v>
      </c>
      <c r="H52" s="479">
        <f>H13</f>
        <v>62000</v>
      </c>
      <c r="I52" s="140">
        <v>0</v>
      </c>
      <c r="J52" s="480">
        <f>H52-I52</f>
        <v>62000</v>
      </c>
      <c r="K52" s="8"/>
      <c r="L52" s="8"/>
      <c r="M52" s="8"/>
      <c r="N52" s="8"/>
    </row>
    <row r="53" spans="1:14" ht="20.100000000000001" customHeight="1" x14ac:dyDescent="0.25">
      <c r="A53" s="153" t="s">
        <v>59</v>
      </c>
      <c r="B53" s="483">
        <f>J53</f>
        <v>43310.599078341016</v>
      </c>
      <c r="C53" s="140">
        <v>0</v>
      </c>
      <c r="D53" s="140">
        <v>0</v>
      </c>
      <c r="E53" s="154">
        <f>-N29</f>
        <v>0</v>
      </c>
      <c r="F53" s="155">
        <f>G53-B53-C53-D53-E53</f>
        <v>-668.13083877658937</v>
      </c>
      <c r="G53" s="156">
        <f>M14</f>
        <v>42642.468239564427</v>
      </c>
      <c r="H53" s="479">
        <f>K14</f>
        <v>46992</v>
      </c>
      <c r="I53" s="481">
        <v>0</v>
      </c>
      <c r="J53" s="480">
        <f>(H53-I53)/'01_PARAMETRES'!$D$36</f>
        <v>43310.599078341016</v>
      </c>
      <c r="K53" s="8"/>
      <c r="L53" s="8"/>
      <c r="M53" s="8"/>
      <c r="N53" s="8"/>
    </row>
    <row r="54" spans="1:14" ht="20.100000000000001" customHeight="1" x14ac:dyDescent="0.25">
      <c r="A54" s="12" t="s">
        <v>66</v>
      </c>
      <c r="B54" s="483">
        <f>J54</f>
        <v>36431.75384615385</v>
      </c>
      <c r="C54" s="140">
        <v>0</v>
      </c>
      <c r="D54" s="140">
        <v>0</v>
      </c>
      <c r="E54" s="150">
        <f>-N30</f>
        <v>0</v>
      </c>
      <c r="F54" s="157">
        <f>G54-B54-C54-D54-E54</f>
        <v>-508.45287528006884</v>
      </c>
      <c r="G54" s="152">
        <f>M15</f>
        <v>35923.300970873781</v>
      </c>
      <c r="H54" s="479">
        <f>K15</f>
        <v>5920160</v>
      </c>
      <c r="I54" s="481">
        <v>0</v>
      </c>
      <c r="J54" s="480">
        <f>(H54-I54)/'01_PARAMETRES'!$D$37</f>
        <v>36431.75384615385</v>
      </c>
      <c r="K54" s="8"/>
      <c r="L54" s="8"/>
      <c r="M54" s="8"/>
      <c r="N54" s="8"/>
    </row>
    <row r="55" spans="1:14" ht="20.100000000000001" customHeight="1" x14ac:dyDescent="0.25">
      <c r="A55" s="153" t="s">
        <v>79</v>
      </c>
      <c r="B55" s="483">
        <f>J55</f>
        <v>23055.242966751917</v>
      </c>
      <c r="C55" s="140">
        <v>0</v>
      </c>
      <c r="D55" s="140">
        <v>0</v>
      </c>
      <c r="E55" s="154">
        <f>-N32</f>
        <v>0</v>
      </c>
      <c r="F55" s="155">
        <f>G55-B55-C55-D55-E55</f>
        <v>-462.26051061156613</v>
      </c>
      <c r="G55" s="156">
        <f>M16</f>
        <v>22592.982456140351</v>
      </c>
      <c r="H55" s="479">
        <f>K16</f>
        <v>180292</v>
      </c>
      <c r="I55" s="481">
        <v>0</v>
      </c>
      <c r="J55" s="480">
        <f>(H55-I55)/'01_PARAMETRES'!$D$39</f>
        <v>23055.242966751917</v>
      </c>
      <c r="K55" s="8"/>
      <c r="L55" s="8"/>
      <c r="M55" s="8"/>
      <c r="N55" s="8"/>
    </row>
    <row r="56" spans="1:14" ht="20.100000000000001" customHeight="1" x14ac:dyDescent="0.25">
      <c r="A56" s="12" t="s">
        <v>93</v>
      </c>
      <c r="B56" s="483">
        <f>J56</f>
        <v>5415.8092848180677</v>
      </c>
      <c r="C56" s="140">
        <v>0</v>
      </c>
      <c r="D56" s="140">
        <v>0</v>
      </c>
      <c r="E56" s="150">
        <f>-N33</f>
        <v>0</v>
      </c>
      <c r="F56" s="157">
        <f>G56-B56-C56-D56-E56</f>
        <v>-84.287545687632701</v>
      </c>
      <c r="G56" s="152">
        <f>M17</f>
        <v>5331.521739130435</v>
      </c>
      <c r="H56" s="479">
        <f>K17</f>
        <v>21582</v>
      </c>
      <c r="I56" s="481">
        <v>0</v>
      </c>
      <c r="J56" s="480">
        <f>(H56-I56)/'01_PARAMETRES'!$D$41</f>
        <v>5415.8092848180677</v>
      </c>
      <c r="K56" s="8"/>
      <c r="L56" s="8"/>
      <c r="M56" s="8"/>
      <c r="N56" s="8"/>
    </row>
    <row r="57" spans="1:14" ht="15.75" thickBot="1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4" ht="15.75" thickTop="1" x14ac:dyDescent="0.25">
      <c r="A58" s="100" t="s">
        <v>222</v>
      </c>
      <c r="B58" s="145">
        <f t="shared" ref="B58:G58" si="8">SUM(B52:B57)</f>
        <v>170213.40517606484</v>
      </c>
      <c r="C58" s="145">
        <f t="shared" si="8"/>
        <v>0</v>
      </c>
      <c r="D58" s="145">
        <f t="shared" si="8"/>
        <v>0</v>
      </c>
      <c r="E58" s="145">
        <f t="shared" si="8"/>
        <v>0</v>
      </c>
      <c r="F58" s="145">
        <f t="shared" si="8"/>
        <v>-1723.131770355857</v>
      </c>
      <c r="G58" s="117">
        <f t="shared" si="8"/>
        <v>168490.27340570895</v>
      </c>
      <c r="H58" s="480">
        <f>SUM(H52:H56)</f>
        <v>6231026</v>
      </c>
      <c r="I58" s="482">
        <f>SUM(I52:I56)</f>
        <v>0</v>
      </c>
      <c r="J58" s="480">
        <f>SUM(J52:J56)</f>
        <v>170213.40517606484</v>
      </c>
      <c r="K58" s="8"/>
      <c r="L58" s="8"/>
      <c r="M58" s="8"/>
      <c r="N58" s="8"/>
    </row>
    <row r="59" spans="1:14" x14ac:dyDescent="0.25">
      <c r="A59" s="9" t="s">
        <v>493</v>
      </c>
      <c r="B59" s="8" t="str">
        <f>IF(ABS(G58-M19)&lt;1,"✅ G58 = M19 : "&amp;TEXT(G58,"#,##0")&amp;" K€","❌ ÉCART")</f>
        <v>✅ G58 = M19 : 168490,273 K€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</sheetData>
  <conditionalFormatting sqref="C41:F46">
    <cfRule type="cellIs" dxfId="8" priority="4" operator="lessThan">
      <formula>0</formula>
    </cfRule>
  </conditionalFormatting>
  <conditionalFormatting sqref="M28:M33">
    <cfRule type="cellIs" dxfId="7" priority="1" operator="lessThan">
      <formula>0</formula>
    </cfRule>
    <cfRule type="cellIs" dxfId="6" priority="2" operator="greaterThanOrEqual">
      <formula>0</formula>
    </cfRule>
  </conditionalFormatting>
  <conditionalFormatting sqref="N28:N34">
    <cfRule type="cellIs" dxfId="5" priority="3" operator="greaterThan">
      <formula>0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BECC8-4E9C-4281-95B8-53299853616B}">
  <sheetPr>
    <tabColor rgb="FFEF4444"/>
  </sheetPr>
  <dimension ref="A1:J137"/>
  <sheetViews>
    <sheetView showGridLines="0" workbookViewId="0">
      <selection activeCell="A108" sqref="A108"/>
    </sheetView>
  </sheetViews>
  <sheetFormatPr baseColWidth="10" defaultRowHeight="15" x14ac:dyDescent="0.25"/>
  <cols>
    <col min="1" max="1" width="121.28515625" bestFit="1" customWidth="1"/>
    <col min="2" max="2" width="33.28515625" customWidth="1"/>
    <col min="3" max="3" width="47" bestFit="1" customWidth="1"/>
    <col min="4" max="4" width="17.140625" customWidth="1"/>
    <col min="5" max="5" width="38.140625" customWidth="1"/>
    <col min="6" max="6" width="17.140625" customWidth="1"/>
    <col min="7" max="7" width="43.85546875" customWidth="1"/>
    <col min="8" max="9" width="17.140625" customWidth="1"/>
    <col min="10" max="10" width="40.28515625" bestFit="1" customWidth="1"/>
  </cols>
  <sheetData>
    <row r="1" spans="1:9" ht="32.1" customHeight="1" x14ac:dyDescent="0.25">
      <c r="A1" s="194" t="str">
        <f>"ÉCRITURES D'ÉLIMINATION INTRA-"&amp;UPPER('01_PARAMETRES'!$S$3)</f>
        <v>ÉCRITURES D'ÉLIMINATION INTRA-AURELIA</v>
      </c>
      <c r="B1" s="46"/>
      <c r="C1" s="46"/>
      <c r="D1" s="46"/>
      <c r="E1" s="46"/>
      <c r="F1" s="46"/>
      <c r="G1" s="46"/>
      <c r="H1" s="46"/>
      <c r="I1" s="8"/>
    </row>
    <row r="2" spans="1:9" x14ac:dyDescent="0.25">
      <c r="A2" s="137" t="s">
        <v>498</v>
      </c>
      <c r="B2" s="46"/>
      <c r="C2" s="46"/>
      <c r="D2" s="46"/>
      <c r="E2" s="46"/>
      <c r="F2" s="46"/>
      <c r="G2" s="46"/>
      <c r="H2" s="46"/>
      <c r="I2" s="8"/>
    </row>
    <row r="3" spans="1:9" x14ac:dyDescent="0.25">
      <c r="A3" s="195" t="s">
        <v>499</v>
      </c>
      <c r="B3" s="196"/>
      <c r="C3" s="196"/>
      <c r="D3" s="196"/>
      <c r="E3" s="196"/>
      <c r="F3" s="196"/>
      <c r="G3" s="196"/>
      <c r="H3" s="196"/>
      <c r="I3" s="8"/>
    </row>
    <row r="4" spans="1:9" x14ac:dyDescent="0.25">
      <c r="A4" s="8"/>
      <c r="B4" s="8"/>
      <c r="C4" s="8"/>
      <c r="D4" s="8"/>
      <c r="E4" s="8"/>
      <c r="F4" s="8"/>
      <c r="G4" s="8"/>
      <c r="H4" s="8"/>
      <c r="I4" s="8"/>
    </row>
    <row r="5" spans="1:9" ht="26.1" customHeight="1" x14ac:dyDescent="0.25">
      <c r="A5" s="197" t="s">
        <v>500</v>
      </c>
      <c r="B5" s="198"/>
      <c r="C5" s="198"/>
      <c r="D5" s="198"/>
      <c r="E5" s="198"/>
      <c r="F5" s="198"/>
      <c r="G5" s="198"/>
      <c r="H5" s="198"/>
      <c r="I5" s="8"/>
    </row>
    <row r="6" spans="1:9" x14ac:dyDescent="0.25">
      <c r="A6" s="13" t="s">
        <v>501</v>
      </c>
      <c r="B6" s="8"/>
      <c r="C6" s="8"/>
      <c r="D6" s="8"/>
      <c r="E6" s="8"/>
      <c r="F6" s="8"/>
      <c r="G6" s="8"/>
      <c r="H6" s="8"/>
      <c r="I6" s="8"/>
    </row>
    <row r="7" spans="1:9" x14ac:dyDescent="0.25">
      <c r="A7" s="9" t="s">
        <v>502</v>
      </c>
      <c r="B7" s="8"/>
      <c r="C7" s="8"/>
      <c r="D7" s="8"/>
      <c r="E7" s="8"/>
      <c r="F7" s="8"/>
      <c r="G7" s="8"/>
      <c r="H7" s="8"/>
      <c r="I7" s="8"/>
    </row>
    <row r="8" spans="1:9" x14ac:dyDescent="0.25">
      <c r="A8" s="8"/>
      <c r="B8" s="8"/>
      <c r="C8" s="8"/>
      <c r="D8" s="8"/>
      <c r="E8" s="8"/>
      <c r="F8" s="8"/>
      <c r="G8" s="8"/>
      <c r="H8" s="8"/>
      <c r="I8" s="8"/>
    </row>
    <row r="9" spans="1:9" ht="27.95" customHeight="1" x14ac:dyDescent="0.25">
      <c r="A9" s="14" t="s">
        <v>503</v>
      </c>
      <c r="B9" s="14" t="s">
        <v>504</v>
      </c>
      <c r="C9" s="14" t="s">
        <v>505</v>
      </c>
      <c r="D9" s="14" t="s">
        <v>506</v>
      </c>
      <c r="E9" s="14" t="s">
        <v>507</v>
      </c>
      <c r="F9" s="14" t="s">
        <v>508</v>
      </c>
      <c r="G9" s="14" t="s">
        <v>509</v>
      </c>
      <c r="H9" s="14" t="s">
        <v>510</v>
      </c>
      <c r="I9" s="8"/>
    </row>
    <row r="10" spans="1:9" ht="20.100000000000001" customHeight="1" x14ac:dyDescent="0.25">
      <c r="A10" s="199" t="s">
        <v>511</v>
      </c>
      <c r="B10" s="199" t="s">
        <v>52</v>
      </c>
      <c r="C10" s="199" t="s">
        <v>512</v>
      </c>
      <c r="D10" s="200">
        <f>'06_GOODWILL'!G13</f>
        <v>340000</v>
      </c>
      <c r="E10" s="199" t="s">
        <v>513</v>
      </c>
      <c r="F10" s="201">
        <f>'06_GOODWILL'!D13</f>
        <v>385000</v>
      </c>
      <c r="G10" s="199" t="s">
        <v>662</v>
      </c>
      <c r="H10" s="199" t="s">
        <v>514</v>
      </c>
      <c r="I10" s="8"/>
    </row>
    <row r="11" spans="1:9" ht="20.100000000000001" customHeight="1" x14ac:dyDescent="0.25">
      <c r="A11" s="202" t="s">
        <v>515</v>
      </c>
      <c r="B11" s="202" t="s">
        <v>52</v>
      </c>
      <c r="C11" s="202" t="s">
        <v>516</v>
      </c>
      <c r="D11" s="203">
        <f>'06_GOODWILL'!H13</f>
        <v>62000</v>
      </c>
      <c r="E11" s="202" t="s">
        <v>669</v>
      </c>
      <c r="F11" s="204">
        <v>0</v>
      </c>
      <c r="G11" s="202" t="s">
        <v>668</v>
      </c>
      <c r="H11" s="202" t="s">
        <v>517</v>
      </c>
      <c r="I11" s="8"/>
    </row>
    <row r="12" spans="1:9" ht="20.100000000000001" customHeight="1" x14ac:dyDescent="0.25">
      <c r="A12" s="205" t="s">
        <v>518</v>
      </c>
      <c r="B12" s="205" t="s">
        <v>52</v>
      </c>
      <c r="C12" s="205" t="s">
        <v>519</v>
      </c>
      <c r="D12" s="206">
        <v>0</v>
      </c>
      <c r="E12" s="205" t="s">
        <v>520</v>
      </c>
      <c r="F12" s="207">
        <f>'06_GOODWILL'!E13</f>
        <v>17000.000000000015</v>
      </c>
      <c r="G12" s="205" t="s">
        <v>521</v>
      </c>
      <c r="H12" s="205" t="s">
        <v>522</v>
      </c>
      <c r="I12" s="8"/>
    </row>
    <row r="13" spans="1:9" ht="20.100000000000001" customHeight="1" x14ac:dyDescent="0.25">
      <c r="A13" s="199" t="s">
        <v>523</v>
      </c>
      <c r="B13" s="199" t="s">
        <v>59</v>
      </c>
      <c r="C13" s="199" t="s">
        <v>524</v>
      </c>
      <c r="D13" s="200">
        <f>'06_GOODWILL'!G14</f>
        <v>98000</v>
      </c>
      <c r="E13" s="199" t="s">
        <v>525</v>
      </c>
      <c r="F13" s="201">
        <f>'06_GOODWILL'!D14</f>
        <v>142000</v>
      </c>
      <c r="G13" s="199" t="s">
        <v>663</v>
      </c>
      <c r="H13" s="199" t="s">
        <v>514</v>
      </c>
      <c r="I13" s="8"/>
    </row>
    <row r="14" spans="1:9" ht="20.100000000000001" customHeight="1" x14ac:dyDescent="0.25">
      <c r="A14" s="202" t="s">
        <v>526</v>
      </c>
      <c r="B14" s="202" t="s">
        <v>59</v>
      </c>
      <c r="C14" s="202" t="s">
        <v>516</v>
      </c>
      <c r="D14" s="203">
        <f>'06_GOODWILL'!H14</f>
        <v>44000</v>
      </c>
      <c r="E14" s="202" t="s">
        <v>669</v>
      </c>
      <c r="F14" s="204">
        <v>0</v>
      </c>
      <c r="G14" s="202" t="s">
        <v>668</v>
      </c>
      <c r="H14" s="202" t="s">
        <v>517</v>
      </c>
      <c r="I14" s="8"/>
    </row>
    <row r="15" spans="1:9" ht="20.100000000000001" customHeight="1" x14ac:dyDescent="0.25">
      <c r="A15" s="205" t="s">
        <v>527</v>
      </c>
      <c r="B15" s="205" t="s">
        <v>59</v>
      </c>
      <c r="C15" s="205" t="s">
        <v>519</v>
      </c>
      <c r="D15" s="206">
        <v>0</v>
      </c>
      <c r="E15" s="205" t="s">
        <v>520</v>
      </c>
      <c r="F15" s="207">
        <f>0</f>
        <v>0</v>
      </c>
      <c r="G15" s="205" t="s">
        <v>528</v>
      </c>
      <c r="H15" s="205" t="s">
        <v>522</v>
      </c>
      <c r="I15" s="8"/>
    </row>
    <row r="16" spans="1:9" ht="20.100000000000001" customHeight="1" x14ac:dyDescent="0.25">
      <c r="A16" s="199" t="s">
        <v>529</v>
      </c>
      <c r="B16" s="199" t="s">
        <v>66</v>
      </c>
      <c r="C16" s="199" t="s">
        <v>530</v>
      </c>
      <c r="D16" s="200">
        <f>'06_GOODWILL'!G15</f>
        <v>62000</v>
      </c>
      <c r="E16" s="199" t="s">
        <v>531</v>
      </c>
      <c r="F16" s="201">
        <f>'06_GOODWILL'!D15</f>
        <v>95000</v>
      </c>
      <c r="G16" s="199" t="s">
        <v>664</v>
      </c>
      <c r="H16" s="199" t="s">
        <v>514</v>
      </c>
      <c r="I16" s="8"/>
    </row>
    <row r="17" spans="1:9" ht="20.100000000000001" customHeight="1" x14ac:dyDescent="0.25">
      <c r="A17" s="202" t="s">
        <v>532</v>
      </c>
      <c r="B17" s="202" t="s">
        <v>66</v>
      </c>
      <c r="C17" s="202" t="s">
        <v>516</v>
      </c>
      <c r="D17" s="203">
        <f>'06_GOODWILL'!H15</f>
        <v>45400</v>
      </c>
      <c r="E17" s="202" t="s">
        <v>669</v>
      </c>
      <c r="F17" s="204">
        <v>0</v>
      </c>
      <c r="G17" s="202" t="s">
        <v>668</v>
      </c>
      <c r="H17" s="202" t="s">
        <v>517</v>
      </c>
      <c r="I17" s="8"/>
    </row>
    <row r="18" spans="1:9" ht="20.100000000000001" customHeight="1" x14ac:dyDescent="0.25">
      <c r="A18" s="205" t="s">
        <v>533</v>
      </c>
      <c r="B18" s="205" t="s">
        <v>66</v>
      </c>
      <c r="C18" s="205" t="s">
        <v>519</v>
      </c>
      <c r="D18" s="206">
        <v>0</v>
      </c>
      <c r="E18" s="205" t="s">
        <v>520</v>
      </c>
      <c r="F18" s="207">
        <f>'06_GOODWILL'!E15</f>
        <v>12399.999999999996</v>
      </c>
      <c r="G18" s="205" t="s">
        <v>534</v>
      </c>
      <c r="H18" s="205" t="s">
        <v>522</v>
      </c>
      <c r="I18" s="8"/>
    </row>
    <row r="19" spans="1:9" ht="20.100000000000001" customHeight="1" x14ac:dyDescent="0.25">
      <c r="A19" s="199" t="s">
        <v>535</v>
      </c>
      <c r="B19" s="199" t="s">
        <v>79</v>
      </c>
      <c r="C19" s="199" t="s">
        <v>536</v>
      </c>
      <c r="D19" s="200">
        <f>'06_GOODWILL'!G16</f>
        <v>35000</v>
      </c>
      <c r="E19" s="199" t="s">
        <v>537</v>
      </c>
      <c r="F19" s="201">
        <f>'06_GOODWILL'!D16</f>
        <v>48000</v>
      </c>
      <c r="G19" s="199" t="s">
        <v>665</v>
      </c>
      <c r="H19" s="199" t="s">
        <v>514</v>
      </c>
      <c r="I19" s="8"/>
    </row>
    <row r="20" spans="1:9" ht="20.100000000000001" customHeight="1" x14ac:dyDescent="0.25">
      <c r="A20" s="202" t="s">
        <v>538</v>
      </c>
      <c r="B20" s="202" t="s">
        <v>79</v>
      </c>
      <c r="C20" s="202" t="s">
        <v>516</v>
      </c>
      <c r="D20" s="203">
        <f>'06_GOODWILL'!H16</f>
        <v>23500</v>
      </c>
      <c r="E20" s="202" t="s">
        <v>669</v>
      </c>
      <c r="F20" s="204">
        <v>0</v>
      </c>
      <c r="G20" s="202" t="s">
        <v>668</v>
      </c>
      <c r="H20" s="202" t="s">
        <v>517</v>
      </c>
      <c r="I20" s="8"/>
    </row>
    <row r="21" spans="1:9" ht="20.100000000000001" customHeight="1" x14ac:dyDescent="0.25">
      <c r="A21" s="205" t="s">
        <v>539</v>
      </c>
      <c r="B21" s="205" t="s">
        <v>79</v>
      </c>
      <c r="C21" s="205" t="s">
        <v>519</v>
      </c>
      <c r="D21" s="206">
        <v>0</v>
      </c>
      <c r="E21" s="205" t="s">
        <v>520</v>
      </c>
      <c r="F21" s="207">
        <f>'06_GOODWILL'!E16</f>
        <v>10500.000000000002</v>
      </c>
      <c r="G21" s="205" t="s">
        <v>540</v>
      </c>
      <c r="H21" s="205" t="s">
        <v>522</v>
      </c>
      <c r="I21" s="8"/>
    </row>
    <row r="22" spans="1:9" ht="20.100000000000001" customHeight="1" x14ac:dyDescent="0.25">
      <c r="A22" s="199" t="s">
        <v>541</v>
      </c>
      <c r="B22" s="199" t="s">
        <v>93</v>
      </c>
      <c r="C22" s="199" t="s">
        <v>542</v>
      </c>
      <c r="D22" s="200">
        <f>'06_GOODWILL'!G17</f>
        <v>12500</v>
      </c>
      <c r="E22" s="199" t="s">
        <v>543</v>
      </c>
      <c r="F22" s="201">
        <f>'06_GOODWILL'!D17</f>
        <v>18000</v>
      </c>
      <c r="G22" s="199" t="s">
        <v>666</v>
      </c>
      <c r="H22" s="199" t="s">
        <v>514</v>
      </c>
      <c r="I22" s="8"/>
    </row>
    <row r="23" spans="1:9" ht="20.100000000000001" customHeight="1" x14ac:dyDescent="0.25">
      <c r="A23" s="202" t="s">
        <v>544</v>
      </c>
      <c r="B23" s="202" t="s">
        <v>93</v>
      </c>
      <c r="C23" s="202" t="s">
        <v>516</v>
      </c>
      <c r="D23" s="203">
        <f>'06_GOODWILL'!H17</f>
        <v>5500</v>
      </c>
      <c r="E23" s="202" t="s">
        <v>669</v>
      </c>
      <c r="F23" s="204">
        <v>0</v>
      </c>
      <c r="G23" s="202" t="s">
        <v>668</v>
      </c>
      <c r="H23" s="202" t="s">
        <v>517</v>
      </c>
      <c r="I23" s="8"/>
    </row>
    <row r="24" spans="1:9" ht="20.100000000000001" customHeight="1" x14ac:dyDescent="0.25">
      <c r="A24" s="205" t="s">
        <v>545</v>
      </c>
      <c r="B24" s="205" t="s">
        <v>93</v>
      </c>
      <c r="C24" s="205" t="s">
        <v>519</v>
      </c>
      <c r="D24" s="206">
        <v>0</v>
      </c>
      <c r="E24" s="205" t="s">
        <v>520</v>
      </c>
      <c r="F24" s="207">
        <f>0</f>
        <v>0</v>
      </c>
      <c r="G24" s="205" t="s">
        <v>528</v>
      </c>
      <c r="H24" s="205" t="s">
        <v>522</v>
      </c>
      <c r="I24" s="8"/>
    </row>
    <row r="25" spans="1:9" ht="20.100000000000001" customHeight="1" x14ac:dyDescent="0.25">
      <c r="A25" s="199" t="s">
        <v>546</v>
      </c>
      <c r="B25" s="199" t="s">
        <v>72</v>
      </c>
      <c r="C25" s="199" t="s">
        <v>547</v>
      </c>
      <c r="D25" s="200">
        <v>422200</v>
      </c>
      <c r="E25" s="199" t="s">
        <v>548</v>
      </c>
      <c r="F25" s="201">
        <v>422200</v>
      </c>
      <c r="G25" s="199" t="s">
        <v>549</v>
      </c>
      <c r="H25" s="199" t="s">
        <v>514</v>
      </c>
      <c r="I25" s="8"/>
    </row>
    <row r="26" spans="1:9" ht="20.100000000000001" customHeight="1" x14ac:dyDescent="0.25">
      <c r="A26" s="202" t="s">
        <v>110</v>
      </c>
      <c r="B26" s="202" t="s">
        <v>72</v>
      </c>
      <c r="C26" s="202" t="s">
        <v>550</v>
      </c>
      <c r="D26" s="203">
        <v>0</v>
      </c>
      <c r="E26" s="202"/>
      <c r="F26" s="204">
        <v>0</v>
      </c>
      <c r="G26" s="202" t="s">
        <v>551</v>
      </c>
      <c r="H26" s="202" t="s">
        <v>517</v>
      </c>
      <c r="I26" s="8"/>
    </row>
    <row r="27" spans="1:9" ht="20.100000000000001" customHeight="1" x14ac:dyDescent="0.25">
      <c r="A27" s="205" t="s">
        <v>110</v>
      </c>
      <c r="B27" s="205"/>
      <c r="C27" s="205"/>
      <c r="D27" s="206">
        <v>0</v>
      </c>
      <c r="E27" s="205"/>
      <c r="F27" s="207">
        <v>0</v>
      </c>
      <c r="G27" s="205"/>
      <c r="H27" s="205"/>
      <c r="I27" s="8"/>
    </row>
    <row r="28" spans="1:9" x14ac:dyDescent="0.25">
      <c r="A28" s="253" t="s">
        <v>667</v>
      </c>
      <c r="B28" s="254"/>
      <c r="C28" s="254"/>
      <c r="D28" s="254"/>
      <c r="E28" s="254"/>
      <c r="F28" s="254"/>
      <c r="G28" s="254"/>
      <c r="H28" s="254"/>
      <c r="I28" s="8"/>
    </row>
    <row r="29" spans="1:9" ht="26.1" customHeight="1" x14ac:dyDescent="0.25">
      <c r="A29" s="197" t="s">
        <v>552</v>
      </c>
      <c r="B29" s="198"/>
      <c r="C29" s="198"/>
      <c r="D29" s="198"/>
      <c r="E29" s="198"/>
      <c r="F29" s="198"/>
      <c r="G29" s="198"/>
      <c r="H29" s="198"/>
      <c r="I29" s="8"/>
    </row>
    <row r="30" spans="1:9" x14ac:dyDescent="0.25">
      <c r="A30" s="13" t="s">
        <v>553</v>
      </c>
      <c r="B30" s="8"/>
      <c r="C30" s="8"/>
      <c r="D30" s="8"/>
      <c r="E30" s="8"/>
      <c r="F30" s="8"/>
      <c r="G30" s="8"/>
      <c r="H30" s="8"/>
      <c r="I30" s="8"/>
    </row>
    <row r="31" spans="1:9" x14ac:dyDescent="0.25">
      <c r="A31" s="8"/>
      <c r="B31" s="8"/>
      <c r="C31" s="8"/>
      <c r="D31" s="8"/>
      <c r="E31" s="8"/>
      <c r="F31" s="8"/>
      <c r="G31" s="8"/>
      <c r="H31" s="8"/>
      <c r="I31" s="8"/>
    </row>
    <row r="32" spans="1:9" x14ac:dyDescent="0.25">
      <c r="A32" s="15" t="s">
        <v>554</v>
      </c>
      <c r="B32" s="8"/>
      <c r="C32" s="8"/>
      <c r="D32" s="8"/>
      <c r="E32" s="8"/>
      <c r="F32" s="8"/>
      <c r="G32" s="8"/>
      <c r="H32" s="8"/>
      <c r="I32" s="8"/>
    </row>
    <row r="33" spans="1:10" ht="27.95" customHeight="1" x14ac:dyDescent="0.25">
      <c r="A33" s="31" t="s">
        <v>555</v>
      </c>
      <c r="B33" s="32" t="s">
        <v>45</v>
      </c>
      <c r="C33" s="32" t="s">
        <v>51</v>
      </c>
      <c r="D33" s="32" t="s">
        <v>58</v>
      </c>
      <c r="E33" s="32" t="s">
        <v>65</v>
      </c>
      <c r="F33" s="32" t="s">
        <v>71</v>
      </c>
      <c r="G33" s="32" t="s">
        <v>78</v>
      </c>
      <c r="H33" s="32" t="s">
        <v>92</v>
      </c>
      <c r="I33" s="33" t="s">
        <v>556</v>
      </c>
      <c r="J33" s="454" t="s">
        <v>1009</v>
      </c>
    </row>
    <row r="34" spans="1:10" ht="20.100000000000001" customHeight="1" x14ac:dyDescent="0.25">
      <c r="A34" s="219" t="s">
        <v>45</v>
      </c>
      <c r="B34" s="220">
        <v>0</v>
      </c>
      <c r="C34" s="221">
        <v>45000</v>
      </c>
      <c r="D34" s="221">
        <v>42000</v>
      </c>
      <c r="E34" s="221">
        <v>25000</v>
      </c>
      <c r="F34" s="221">
        <v>0</v>
      </c>
      <c r="G34" s="221">
        <v>8000</v>
      </c>
      <c r="H34" s="221">
        <v>5000</v>
      </c>
      <c r="I34" s="222">
        <f t="shared" ref="I34:I40" si="0">SUM(B34:H34)</f>
        <v>125000</v>
      </c>
      <c r="J34" s="455" t="str">
        <f>IF(ABS(I34-'04_PNL_IND'!C8)&lt;1,"OK","! "&amp;TEXT(I34-'04_PNL_IND'!C8,"#,##0"))</f>
        <v>OK</v>
      </c>
    </row>
    <row r="35" spans="1:10" ht="20.100000000000001" customHeight="1" x14ac:dyDescent="0.25">
      <c r="A35" s="219" t="s">
        <v>51</v>
      </c>
      <c r="B35" s="223">
        <v>50000</v>
      </c>
      <c r="C35" s="224">
        <v>0</v>
      </c>
      <c r="D35" s="223">
        <v>68000</v>
      </c>
      <c r="E35" s="223">
        <v>32000</v>
      </c>
      <c r="F35" s="223">
        <v>15000</v>
      </c>
      <c r="G35" s="223">
        <v>10000</v>
      </c>
      <c r="H35" s="223">
        <v>5000</v>
      </c>
      <c r="I35" s="225">
        <f t="shared" si="0"/>
        <v>180000</v>
      </c>
      <c r="J35" s="455" t="str">
        <f>IF(ABS(I35-'04_PNL_IND'!E8)&lt;1,"OK","! "&amp;TEXT(I35-'04_PNL_IND'!E8,"#,##0"))</f>
        <v>OK</v>
      </c>
    </row>
    <row r="36" spans="1:10" ht="20.100000000000001" customHeight="1" x14ac:dyDescent="0.25">
      <c r="A36" s="219" t="s">
        <v>58</v>
      </c>
      <c r="B36" s="226">
        <v>0</v>
      </c>
      <c r="C36" s="226">
        <v>0</v>
      </c>
      <c r="D36" s="220">
        <v>0</v>
      </c>
      <c r="E36" s="226">
        <v>0</v>
      </c>
      <c r="F36" s="226">
        <v>0</v>
      </c>
      <c r="G36" s="226">
        <v>0</v>
      </c>
      <c r="H36" s="226">
        <v>0</v>
      </c>
      <c r="I36" s="222">
        <f t="shared" si="0"/>
        <v>0</v>
      </c>
      <c r="J36" s="455" t="str">
        <f>IF(ABS(I36-'04_PNL_IND'!G8/'01_PARAMETRES'!$C$36)&lt;1,"OK","! "&amp;TEXT(I36-'04_PNL_IND'!G8/'01_PARAMETRES'!$C$36,"#,##0"))</f>
        <v>OK</v>
      </c>
    </row>
    <row r="37" spans="1:10" ht="20.100000000000001" customHeight="1" x14ac:dyDescent="0.25">
      <c r="A37" s="219" t="s">
        <v>65</v>
      </c>
      <c r="B37" s="227">
        <v>0</v>
      </c>
      <c r="C37" s="227">
        <v>0</v>
      </c>
      <c r="D37" s="227">
        <v>0</v>
      </c>
      <c r="E37" s="224">
        <v>0</v>
      </c>
      <c r="F37" s="227">
        <v>0</v>
      </c>
      <c r="G37" s="227">
        <v>0</v>
      </c>
      <c r="H37" s="227">
        <v>0</v>
      </c>
      <c r="I37" s="225">
        <f t="shared" si="0"/>
        <v>0</v>
      </c>
      <c r="J37" s="455" t="str">
        <f>IF(ABS(I37-'04_PNL_IND'!I8/'01_PARAMETRES'!$C$37)&lt;1,"OK","! "&amp;TEXT(I37-'04_PNL_IND'!I8/'01_PARAMETRES'!$C$37,"#,##0"))</f>
        <v>OK</v>
      </c>
    </row>
    <row r="38" spans="1:10" ht="20.100000000000001" customHeight="1" x14ac:dyDescent="0.25">
      <c r="A38" s="219" t="s">
        <v>71</v>
      </c>
      <c r="B38" s="221">
        <v>34000</v>
      </c>
      <c r="C38" s="226">
        <v>0</v>
      </c>
      <c r="D38" s="221">
        <v>45000</v>
      </c>
      <c r="E38" s="221">
        <v>22000</v>
      </c>
      <c r="F38" s="220">
        <v>0</v>
      </c>
      <c r="G38" s="221">
        <v>12000</v>
      </c>
      <c r="H38" s="221">
        <v>7000</v>
      </c>
      <c r="I38" s="222">
        <f t="shared" si="0"/>
        <v>120000</v>
      </c>
      <c r="J38" s="455" t="str">
        <f>IF(ABS(I38-'04_PNL_IND'!K8/'01_PARAMETRES'!$C$38)&lt;1,"OK","! "&amp;TEXT(I38-'04_PNL_IND'!K8/'01_PARAMETRES'!$C$38,"#,##0"))</f>
        <v>! -7795,527</v>
      </c>
    </row>
    <row r="39" spans="1:10" ht="20.100000000000001" customHeight="1" x14ac:dyDescent="0.25">
      <c r="A39" s="219" t="s">
        <v>78</v>
      </c>
      <c r="B39" s="227">
        <v>0</v>
      </c>
      <c r="C39" s="227">
        <v>0</v>
      </c>
      <c r="D39" s="227">
        <v>0</v>
      </c>
      <c r="E39" s="227">
        <v>0</v>
      </c>
      <c r="F39" s="227">
        <v>0</v>
      </c>
      <c r="G39" s="224">
        <v>0</v>
      </c>
      <c r="H39" s="227">
        <v>0</v>
      </c>
      <c r="I39" s="225">
        <f t="shared" si="0"/>
        <v>0</v>
      </c>
      <c r="J39" s="455" t="str">
        <f>IF(ABS(I39-'04_PNL_IND'!M8/'01_PARAMETRES'!$C$39)&lt;1,"OK","! "&amp;TEXT(I39-'04_PNL_IND'!M8/'01_PARAMETRES'!$C$39,"#,##0"))</f>
        <v>OK</v>
      </c>
    </row>
    <row r="40" spans="1:10" ht="20.100000000000001" customHeight="1" x14ac:dyDescent="0.25">
      <c r="A40" s="219" t="s">
        <v>92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0">
        <v>0</v>
      </c>
      <c r="I40" s="222">
        <f t="shared" si="0"/>
        <v>0</v>
      </c>
      <c r="J40" s="455" t="str">
        <f>IF(ABS(I40-'04_PNL_IND'!O8/'01_PARAMETRES'!$C$41)&lt;1,"OK","! "&amp;TEXT(I40-'04_PNL_IND'!O8/'01_PARAMETRES'!$C$41,"#,##0"))</f>
        <v>OK</v>
      </c>
    </row>
    <row r="41" spans="1:10" x14ac:dyDescent="0.25">
      <c r="A41" s="228" t="s">
        <v>557</v>
      </c>
      <c r="B41" s="229">
        <f t="shared" ref="B41:I41" si="1">SUM(B34:B40)</f>
        <v>84000</v>
      </c>
      <c r="C41" s="229">
        <f t="shared" si="1"/>
        <v>45000</v>
      </c>
      <c r="D41" s="229">
        <f t="shared" si="1"/>
        <v>155000</v>
      </c>
      <c r="E41" s="229">
        <f t="shared" si="1"/>
        <v>79000</v>
      </c>
      <c r="F41" s="229">
        <f t="shared" si="1"/>
        <v>15000</v>
      </c>
      <c r="G41" s="229">
        <f t="shared" si="1"/>
        <v>30000</v>
      </c>
      <c r="H41" s="229">
        <f t="shared" si="1"/>
        <v>17000</v>
      </c>
      <c r="I41" s="230">
        <f t="shared" si="1"/>
        <v>425000</v>
      </c>
      <c r="J41" s="456" t="str">
        <f>COUNTIF(J34:J40,"OK")&amp;"/7 OK"</f>
        <v>6/7 OK</v>
      </c>
    </row>
    <row r="42" spans="1:10" x14ac:dyDescent="0.25">
      <c r="A42" s="8"/>
      <c r="B42" s="8"/>
      <c r="C42" s="8"/>
      <c r="D42" s="8"/>
      <c r="E42" s="8"/>
      <c r="F42" s="8"/>
      <c r="G42" s="8"/>
      <c r="H42" s="8"/>
      <c r="I42" s="8"/>
    </row>
    <row r="43" spans="1:10" x14ac:dyDescent="0.25">
      <c r="A43" s="822" t="s">
        <v>558</v>
      </c>
      <c r="B43" s="822"/>
      <c r="C43" s="822"/>
      <c r="D43" s="822"/>
      <c r="E43" s="822"/>
      <c r="F43" s="822"/>
      <c r="G43" s="822"/>
      <c r="H43" s="822"/>
      <c r="I43" s="822"/>
      <c r="J43" s="822"/>
    </row>
    <row r="44" spans="1:10" x14ac:dyDescent="0.25">
      <c r="A44" s="208" t="s">
        <v>559</v>
      </c>
      <c r="B44" s="199" t="s">
        <v>560</v>
      </c>
      <c r="C44" s="199" t="s">
        <v>561</v>
      </c>
      <c r="D44" s="200">
        <f>I41</f>
        <v>425000</v>
      </c>
      <c r="E44" s="199" t="s">
        <v>562</v>
      </c>
      <c r="F44" s="201">
        <f>SUM(B41:H41)</f>
        <v>425000</v>
      </c>
      <c r="G44" s="199" t="s">
        <v>563</v>
      </c>
      <c r="H44" s="823" t="s">
        <v>514</v>
      </c>
      <c r="I44" s="823"/>
      <c r="J44" s="823"/>
    </row>
    <row r="45" spans="1:10" x14ac:dyDescent="0.25">
      <c r="A45" s="9" t="s">
        <v>564</v>
      </c>
      <c r="B45" s="8" t="str">
        <f>IF(ABS(D44-F44)&lt;1,"✅ RÉCONCILIÉ — "&amp;TEXT(D44,"#,##0")&amp;" K€","❌ ÉCART : "&amp;TEXT(D44-F44,"#,##0")&amp;" K€")</f>
        <v>✅ RÉCONCILIÉ — 425000,0 K€</v>
      </c>
      <c r="C45" s="8"/>
      <c r="D45" s="8"/>
      <c r="E45" s="8"/>
      <c r="F45" s="8"/>
      <c r="G45" s="8"/>
      <c r="H45" s="8"/>
      <c r="I45" s="8"/>
    </row>
    <row r="46" spans="1:10" x14ac:dyDescent="0.25">
      <c r="A46" s="8"/>
      <c r="B46" s="8"/>
      <c r="C46" s="8"/>
      <c r="D46" s="8"/>
      <c r="E46" s="8"/>
      <c r="F46" s="8"/>
      <c r="G46" s="8"/>
      <c r="H46" s="8"/>
      <c r="I46" s="8"/>
    </row>
    <row r="47" spans="1:10" ht="26.1" customHeight="1" x14ac:dyDescent="0.25">
      <c r="A47" s="824" t="s">
        <v>565</v>
      </c>
      <c r="B47" s="824"/>
      <c r="C47" s="824"/>
      <c r="D47" s="824"/>
      <c r="E47" s="824"/>
      <c r="F47" s="824"/>
      <c r="G47" s="824"/>
      <c r="H47" s="824"/>
      <c r="I47" s="824"/>
      <c r="J47" s="824"/>
    </row>
    <row r="48" spans="1:10" x14ac:dyDescent="0.25">
      <c r="A48" s="825" t="s">
        <v>566</v>
      </c>
      <c r="B48" s="825"/>
      <c r="C48" s="825"/>
      <c r="D48" s="825"/>
      <c r="E48" s="825"/>
      <c r="F48" s="825"/>
      <c r="G48" s="825"/>
      <c r="H48" s="825"/>
      <c r="I48" s="825"/>
      <c r="J48" s="825"/>
    </row>
    <row r="49" spans="1:10" x14ac:dyDescent="0.25">
      <c r="A49" s="8"/>
      <c r="B49" s="8"/>
      <c r="C49" s="8"/>
      <c r="D49" s="8"/>
      <c r="E49" s="8"/>
      <c r="F49" s="8"/>
      <c r="G49" s="8"/>
      <c r="H49" s="8"/>
      <c r="I49" s="8"/>
    </row>
    <row r="50" spans="1:10" x14ac:dyDescent="0.25">
      <c r="A50" s="826" t="s">
        <v>567</v>
      </c>
      <c r="B50" s="826"/>
      <c r="C50" s="826"/>
      <c r="D50" s="826"/>
      <c r="E50" s="826"/>
      <c r="F50" s="826"/>
      <c r="G50" s="826"/>
      <c r="H50" s="826"/>
      <c r="I50" s="826"/>
      <c r="J50" s="826"/>
    </row>
    <row r="51" spans="1:10" ht="27.95" customHeight="1" x14ac:dyDescent="0.25">
      <c r="A51" s="31" t="s">
        <v>568</v>
      </c>
      <c r="B51" s="32" t="s">
        <v>45</v>
      </c>
      <c r="C51" s="32" t="s">
        <v>51</v>
      </c>
      <c r="D51" s="32" t="s">
        <v>58</v>
      </c>
      <c r="E51" s="32" t="s">
        <v>65</v>
      </c>
      <c r="F51" s="32" t="s">
        <v>71</v>
      </c>
      <c r="G51" s="32" t="s">
        <v>78</v>
      </c>
      <c r="H51" s="32" t="s">
        <v>92</v>
      </c>
      <c r="I51" s="33" t="s">
        <v>569</v>
      </c>
      <c r="J51" s="454" t="s">
        <v>1010</v>
      </c>
    </row>
    <row r="52" spans="1:10" x14ac:dyDescent="0.25">
      <c r="A52" s="219" t="s">
        <v>45</v>
      </c>
      <c r="B52" s="736">
        <v>0</v>
      </c>
      <c r="C52" s="736">
        <v>28000</v>
      </c>
      <c r="D52" s="736">
        <v>32000</v>
      </c>
      <c r="E52" s="736">
        <v>18000</v>
      </c>
      <c r="F52" s="736">
        <v>0</v>
      </c>
      <c r="G52" s="736">
        <v>6500</v>
      </c>
      <c r="H52" s="736">
        <v>4200</v>
      </c>
      <c r="I52" s="222">
        <f t="shared" ref="I52:I58" si="2">SUM(B52:H52)</f>
        <v>88700</v>
      </c>
      <c r="J52" s="735" t="str">
        <f>IF(ABS(I52-('03_BILANS_IND'!C16+'03_BILANS_IND'!C22))&lt;1,"OK","B="&amp;TEXT('03_BILANS_IND'!C16+'03_BILANS_IND'!C22,"#,##0")&amp;" M="&amp;TEXT(I52,"#,##0"))</f>
        <v>B=280000,0 M=88700,0</v>
      </c>
    </row>
    <row r="53" spans="1:10" x14ac:dyDescent="0.25">
      <c r="A53" s="219" t="s">
        <v>51</v>
      </c>
      <c r="B53" s="737">
        <v>35000</v>
      </c>
      <c r="C53" s="737">
        <v>0</v>
      </c>
      <c r="D53" s="737">
        <v>15000</v>
      </c>
      <c r="E53" s="737">
        <v>8000</v>
      </c>
      <c r="F53" s="737">
        <v>5000</v>
      </c>
      <c r="G53" s="737">
        <v>4000</v>
      </c>
      <c r="H53" s="737">
        <v>2500</v>
      </c>
      <c r="I53" s="225">
        <f t="shared" si="2"/>
        <v>69500</v>
      </c>
      <c r="J53" s="735" t="str">
        <f>IF(ABS(I53-('03_BILANS_IND'!E16+'03_BILANS_IND'!E22))&lt;1,"OK","B="&amp;TEXT('03_BILANS_IND'!E16+'03_BILANS_IND'!E22,"#,##0")&amp;" M="&amp;TEXT(I53,"#,##0"))</f>
        <v>B=45000,0 M=69500,0</v>
      </c>
    </row>
    <row r="54" spans="1:10" x14ac:dyDescent="0.25">
      <c r="A54" s="219" t="s">
        <v>58</v>
      </c>
      <c r="B54" s="736">
        <v>28000</v>
      </c>
      <c r="C54" s="736">
        <v>12000</v>
      </c>
      <c r="D54" s="736">
        <v>0</v>
      </c>
      <c r="E54" s="736">
        <v>5500</v>
      </c>
      <c r="F54" s="736">
        <v>3200</v>
      </c>
      <c r="G54" s="736">
        <v>2800</v>
      </c>
      <c r="H54" s="736">
        <v>0</v>
      </c>
      <c r="I54" s="222">
        <f t="shared" si="2"/>
        <v>51500</v>
      </c>
      <c r="J54" s="735" t="str">
        <f>IF(ABS(I54-('03_BILANS_IND'!G16+'03_BILANS_IND'!G22)/'01_PARAMETRES'!$B$36)&lt;1,"OK","B="&amp;TEXT(('03_BILANS_IND'!G16+'03_BILANS_IND'!G22)/'01_PARAMETRES'!$B$36,"#,##0")&amp;" M="&amp;TEXT(I54,"#,##0"))</f>
        <v>B=,0 M=51500,0</v>
      </c>
    </row>
    <row r="55" spans="1:10" x14ac:dyDescent="0.25">
      <c r="A55" s="219" t="s">
        <v>65</v>
      </c>
      <c r="B55" s="737">
        <v>15000</v>
      </c>
      <c r="C55" s="737">
        <v>6000</v>
      </c>
      <c r="D55" s="737">
        <v>4500</v>
      </c>
      <c r="E55" s="737">
        <v>0</v>
      </c>
      <c r="F55" s="737">
        <v>0</v>
      </c>
      <c r="G55" s="737">
        <v>2200</v>
      </c>
      <c r="H55" s="737">
        <v>0</v>
      </c>
      <c r="I55" s="225">
        <f t="shared" si="2"/>
        <v>27700</v>
      </c>
      <c r="J55" s="735" t="str">
        <f>IF(ABS(I55-('03_BILANS_IND'!I16+'03_BILANS_IND'!I22)/'01_PARAMETRES'!$B$37)&lt;1,"OK","B="&amp;TEXT(('03_BILANS_IND'!I16+'03_BILANS_IND'!I22)/'01_PARAMETRES'!$B$37,"#,##0")&amp;" M="&amp;TEXT(I55,"#,##0"))</f>
        <v>B=,0 M=27700,0</v>
      </c>
    </row>
    <row r="56" spans="1:10" x14ac:dyDescent="0.25">
      <c r="A56" s="219" t="s">
        <v>71</v>
      </c>
      <c r="B56" s="736">
        <v>0</v>
      </c>
      <c r="C56" s="736">
        <v>4000</v>
      </c>
      <c r="D56" s="736">
        <v>2800</v>
      </c>
      <c r="E56" s="736">
        <v>0</v>
      </c>
      <c r="F56" s="736">
        <v>0</v>
      </c>
      <c r="G56" s="736">
        <v>1500</v>
      </c>
      <c r="H56" s="736">
        <v>800</v>
      </c>
      <c r="I56" s="222">
        <f t="shared" si="2"/>
        <v>9100</v>
      </c>
      <c r="J56" s="735" t="str">
        <f>IF(ABS(I56-('03_BILANS_IND'!K16+'03_BILANS_IND'!K22)/'01_PARAMETRES'!$B$38)&lt;1,"OK","B="&amp;TEXT(('03_BILANS_IND'!K16+'03_BILANS_IND'!K22)/'01_PARAMETRES'!$B$38,"#,##0")&amp;" M="&amp;TEXT(I56,"#,##0"))</f>
        <v>B=26737,968 M=9100,0</v>
      </c>
    </row>
    <row r="57" spans="1:10" x14ac:dyDescent="0.25">
      <c r="A57" s="219" t="s">
        <v>78</v>
      </c>
      <c r="B57" s="737">
        <v>5000</v>
      </c>
      <c r="C57" s="737">
        <v>3200</v>
      </c>
      <c r="D57" s="737">
        <v>2000</v>
      </c>
      <c r="E57" s="737">
        <v>1800</v>
      </c>
      <c r="F57" s="737">
        <v>1200</v>
      </c>
      <c r="G57" s="737">
        <v>0</v>
      </c>
      <c r="H57" s="737">
        <v>0</v>
      </c>
      <c r="I57" s="225">
        <f t="shared" si="2"/>
        <v>13200</v>
      </c>
      <c r="J57" s="735" t="str">
        <f>IF(ABS(I57-('03_BILANS_IND'!M16+'03_BILANS_IND'!M22)/'01_PARAMETRES'!$B$39)&lt;1,"OK","B="&amp;TEXT(('03_BILANS_IND'!M16+'03_BILANS_IND'!M22)/'01_PARAMETRES'!$B$39,"#,##0")&amp;" M="&amp;TEXT(I57,"#,##0"))</f>
        <v>B=,0 M=13200,0</v>
      </c>
    </row>
    <row r="58" spans="1:10" x14ac:dyDescent="0.25">
      <c r="A58" s="219" t="s">
        <v>92</v>
      </c>
      <c r="B58" s="736">
        <v>3500</v>
      </c>
      <c r="C58" s="736">
        <v>2000</v>
      </c>
      <c r="D58" s="736">
        <v>0</v>
      </c>
      <c r="E58" s="736">
        <v>0</v>
      </c>
      <c r="F58" s="736">
        <v>600</v>
      </c>
      <c r="G58" s="736">
        <v>0</v>
      </c>
      <c r="H58" s="736">
        <v>0</v>
      </c>
      <c r="I58" s="222">
        <f t="shared" si="2"/>
        <v>6100</v>
      </c>
      <c r="J58" s="735" t="str">
        <f>IF(ABS(I58-('03_BILANS_IND'!O16+'03_BILANS_IND'!O22)/'01_PARAMETRES'!$B$41)&lt;1,"OK","B="&amp;TEXT(('03_BILANS_IND'!O16+'03_BILANS_IND'!O22)/'01_PARAMETRES'!$B$41,"#,##0")&amp;" M="&amp;TEXT(I58,"#,##0"))</f>
        <v>B=,0 M=6100,0</v>
      </c>
    </row>
    <row r="59" spans="1:10" x14ac:dyDescent="0.25">
      <c r="A59" s="228" t="s">
        <v>570</v>
      </c>
      <c r="B59" s="229">
        <f t="shared" ref="B59:I59" si="3">SUM(B52:B58)</f>
        <v>86500</v>
      </c>
      <c r="C59" s="229">
        <f t="shared" si="3"/>
        <v>55200</v>
      </c>
      <c r="D59" s="229">
        <f t="shared" si="3"/>
        <v>56300</v>
      </c>
      <c r="E59" s="229">
        <f t="shared" si="3"/>
        <v>33300</v>
      </c>
      <c r="F59" s="229">
        <f t="shared" si="3"/>
        <v>10000</v>
      </c>
      <c r="G59" s="229">
        <f t="shared" si="3"/>
        <v>17000</v>
      </c>
      <c r="H59" s="229">
        <f t="shared" si="3"/>
        <v>7500</v>
      </c>
      <c r="I59" s="230">
        <f t="shared" si="3"/>
        <v>265800</v>
      </c>
      <c r="J59" s="456" t="str">
        <f>COUNTIF(J52:J58,"OK")&amp;"/7 — voir note"</f>
        <v>0/7 — voir note</v>
      </c>
    </row>
    <row r="60" spans="1:10" x14ac:dyDescent="0.25">
      <c r="A60" s="8"/>
      <c r="B60" s="8"/>
      <c r="C60" s="8"/>
      <c r="D60" s="8"/>
      <c r="E60" s="8"/>
      <c r="F60" s="8"/>
      <c r="G60" s="8"/>
      <c r="H60" s="8"/>
      <c r="I60" s="8"/>
      <c r="J60" s="457" t="s">
        <v>1011</v>
      </c>
    </row>
    <row r="61" spans="1:10" x14ac:dyDescent="0.25">
      <c r="A61" s="208" t="s">
        <v>571</v>
      </c>
      <c r="B61" s="199" t="s">
        <v>572</v>
      </c>
      <c r="C61" s="199" t="s">
        <v>573</v>
      </c>
      <c r="D61" s="200">
        <f>I59</f>
        <v>265800</v>
      </c>
      <c r="E61" s="199" t="s">
        <v>574</v>
      </c>
      <c r="F61" s="201">
        <f>SUM(B59:H59)</f>
        <v>265800</v>
      </c>
      <c r="G61" s="199" t="s">
        <v>575</v>
      </c>
      <c r="H61" s="199" t="s">
        <v>576</v>
      </c>
      <c r="I61" s="8"/>
    </row>
    <row r="62" spans="1:10" x14ac:dyDescent="0.25">
      <c r="A62" s="9" t="s">
        <v>577</v>
      </c>
      <c r="B62" s="8" t="str">
        <f>IF(ABS(D61-F61)&lt;1,"✅ RÉCONCILIÉ","❌ ÉCART de change résiduel : "&amp;TEXT(D61-F61,"#,##0")&amp;" K€ — normal si taux ≠")</f>
        <v>✅ RÉCONCILIÉ</v>
      </c>
      <c r="C62" s="8"/>
      <c r="D62" s="8"/>
      <c r="E62" s="8"/>
      <c r="F62" s="8"/>
      <c r="G62" s="8"/>
      <c r="H62" s="8"/>
      <c r="I62" s="8"/>
    </row>
    <row r="63" spans="1:10" x14ac:dyDescent="0.25">
      <c r="A63" s="8"/>
      <c r="B63" s="8"/>
      <c r="C63" s="8"/>
      <c r="D63" s="8"/>
      <c r="E63" s="8"/>
      <c r="F63" s="8"/>
      <c r="G63" s="8"/>
      <c r="H63" s="8"/>
      <c r="I63" s="8"/>
    </row>
    <row r="64" spans="1:10" ht="26.1" customHeight="1" x14ac:dyDescent="0.25">
      <c r="A64" s="197" t="s">
        <v>578</v>
      </c>
      <c r="B64" s="198"/>
      <c r="C64" s="198"/>
      <c r="D64" s="198"/>
      <c r="E64" s="198"/>
      <c r="F64" s="198"/>
      <c r="G64" s="198"/>
      <c r="H64" s="198"/>
      <c r="I64" s="8"/>
    </row>
    <row r="65" spans="1:9" x14ac:dyDescent="0.25">
      <c r="A65" s="13" t="s">
        <v>579</v>
      </c>
      <c r="B65" s="8"/>
      <c r="C65" s="8"/>
      <c r="D65" s="8"/>
      <c r="E65" s="8"/>
      <c r="F65" s="8"/>
      <c r="G65" s="8"/>
      <c r="H65" s="8"/>
      <c r="I65" s="8"/>
    </row>
    <row r="66" spans="1:9" x14ac:dyDescent="0.25">
      <c r="A66" s="8"/>
      <c r="B66" s="8"/>
      <c r="C66" s="8"/>
      <c r="D66" s="8"/>
      <c r="E66" s="8"/>
      <c r="F66" s="8"/>
      <c r="G66" s="8"/>
      <c r="H66" s="8"/>
      <c r="I66" s="8"/>
    </row>
    <row r="67" spans="1:9" x14ac:dyDescent="0.25">
      <c r="A67" s="14" t="s">
        <v>503</v>
      </c>
      <c r="B67" s="14" t="s">
        <v>580</v>
      </c>
      <c r="C67" s="14" t="s">
        <v>505</v>
      </c>
      <c r="D67" s="14" t="s">
        <v>506</v>
      </c>
      <c r="E67" s="14" t="s">
        <v>507</v>
      </c>
      <c r="F67" s="14" t="s">
        <v>508</v>
      </c>
      <c r="G67" s="14" t="s">
        <v>509</v>
      </c>
      <c r="H67" s="14" t="s">
        <v>510</v>
      </c>
      <c r="I67" s="8"/>
    </row>
    <row r="68" spans="1:9" x14ac:dyDescent="0.25">
      <c r="A68" s="199" t="s">
        <v>581</v>
      </c>
      <c r="B68" s="199" t="s">
        <v>582</v>
      </c>
      <c r="C68" s="199" t="s">
        <v>583</v>
      </c>
      <c r="D68" s="200">
        <v>12000</v>
      </c>
      <c r="E68" s="199" t="s">
        <v>584</v>
      </c>
      <c r="F68" s="201">
        <v>12000</v>
      </c>
      <c r="G68" s="199" t="s">
        <v>585</v>
      </c>
      <c r="H68" s="209" t="s">
        <v>586</v>
      </c>
      <c r="I68" s="8"/>
    </row>
    <row r="69" spans="1:9" x14ac:dyDescent="0.25">
      <c r="A69" s="210" t="s">
        <v>587</v>
      </c>
      <c r="B69" s="210" t="s">
        <v>588</v>
      </c>
      <c r="C69" s="210" t="s">
        <v>583</v>
      </c>
      <c r="D69" s="211">
        <v>8500</v>
      </c>
      <c r="E69" s="210" t="s">
        <v>584</v>
      </c>
      <c r="F69" s="212">
        <v>8500</v>
      </c>
      <c r="G69" s="210" t="s">
        <v>589</v>
      </c>
      <c r="H69" s="213" t="s">
        <v>586</v>
      </c>
      <c r="I69" s="8"/>
    </row>
    <row r="70" spans="1:9" x14ac:dyDescent="0.25">
      <c r="A70" s="199" t="s">
        <v>590</v>
      </c>
      <c r="B70" s="199" t="s">
        <v>591</v>
      </c>
      <c r="C70" s="199" t="s">
        <v>583</v>
      </c>
      <c r="D70" s="200">
        <v>6200</v>
      </c>
      <c r="E70" s="199" t="s">
        <v>584</v>
      </c>
      <c r="F70" s="201">
        <v>6200</v>
      </c>
      <c r="G70" s="199" t="s">
        <v>592</v>
      </c>
      <c r="H70" s="209" t="s">
        <v>586</v>
      </c>
      <c r="I70" s="8"/>
    </row>
    <row r="71" spans="1:9" ht="15.75" thickBot="1" x14ac:dyDescent="0.3">
      <c r="A71" s="210" t="s">
        <v>593</v>
      </c>
      <c r="B71" s="210" t="s">
        <v>594</v>
      </c>
      <c r="C71" s="210" t="s">
        <v>583</v>
      </c>
      <c r="D71" s="211">
        <v>2800</v>
      </c>
      <c r="E71" s="210" t="s">
        <v>584</v>
      </c>
      <c r="F71" s="212">
        <v>2800</v>
      </c>
      <c r="G71" s="210" t="s">
        <v>595</v>
      </c>
      <c r="H71" s="213" t="s">
        <v>586</v>
      </c>
      <c r="I71" s="8"/>
    </row>
    <row r="72" spans="1:9" ht="15.75" thickTop="1" x14ac:dyDescent="0.25">
      <c r="A72" s="214" t="s">
        <v>596</v>
      </c>
      <c r="B72" s="214"/>
      <c r="C72" s="214" t="s">
        <v>597</v>
      </c>
      <c r="D72" s="215">
        <f>SUM(D68:D71)</f>
        <v>29500</v>
      </c>
      <c r="E72" s="214"/>
      <c r="F72" s="215">
        <f>SUM(F68:F71)</f>
        <v>29500</v>
      </c>
      <c r="G72" s="214"/>
      <c r="H72" s="214"/>
      <c r="I72" s="8"/>
    </row>
    <row r="73" spans="1:9" x14ac:dyDescent="0.25">
      <c r="A73" s="8"/>
      <c r="B73" s="8"/>
      <c r="C73" s="8"/>
      <c r="D73" s="8"/>
      <c r="E73" s="8"/>
      <c r="F73" s="8"/>
      <c r="G73" s="8"/>
      <c r="H73" s="8"/>
      <c r="I73" s="8"/>
    </row>
    <row r="74" spans="1:9" ht="26.1" customHeight="1" x14ac:dyDescent="0.25">
      <c r="A74" s="197" t="s">
        <v>598</v>
      </c>
      <c r="B74" s="198"/>
      <c r="C74" s="198"/>
      <c r="D74" s="198"/>
      <c r="E74" s="198"/>
      <c r="F74" s="198"/>
      <c r="G74" s="198"/>
      <c r="H74" s="198"/>
      <c r="I74" s="8"/>
    </row>
    <row r="75" spans="1:9" x14ac:dyDescent="0.25">
      <c r="A75" s="13" t="s">
        <v>599</v>
      </c>
      <c r="B75" s="8"/>
      <c r="C75" s="8"/>
      <c r="D75" s="8"/>
      <c r="E75" s="8"/>
      <c r="F75" s="8"/>
      <c r="G75" s="8"/>
      <c r="H75" s="8"/>
      <c r="I75" s="8"/>
    </row>
    <row r="76" spans="1:9" x14ac:dyDescent="0.25">
      <c r="A76" s="216" t="s">
        <v>600</v>
      </c>
      <c r="B76" s="8"/>
      <c r="C76" s="8"/>
      <c r="D76" s="8"/>
      <c r="E76" s="8"/>
      <c r="F76" s="8"/>
      <c r="G76" s="8"/>
      <c r="H76" s="8"/>
      <c r="I76" s="8"/>
    </row>
    <row r="77" spans="1:9" x14ac:dyDescent="0.25">
      <c r="A77" s="8"/>
      <c r="B77" s="8"/>
      <c r="C77" s="8"/>
      <c r="D77" s="8"/>
      <c r="E77" s="8"/>
      <c r="F77" s="8"/>
      <c r="G77" s="8"/>
      <c r="H77" s="8"/>
      <c r="I77" s="8"/>
    </row>
    <row r="78" spans="1:9" x14ac:dyDescent="0.25">
      <c r="A78" s="14" t="s">
        <v>503</v>
      </c>
      <c r="B78" s="14" t="s">
        <v>580</v>
      </c>
      <c r="C78" s="14" t="s">
        <v>505</v>
      </c>
      <c r="D78" s="14" t="s">
        <v>506</v>
      </c>
      <c r="E78" s="14" t="s">
        <v>507</v>
      </c>
      <c r="F78" s="14" t="s">
        <v>508</v>
      </c>
      <c r="G78" s="14" t="s">
        <v>509</v>
      </c>
      <c r="H78" s="14" t="s">
        <v>510</v>
      </c>
      <c r="I78" s="8"/>
    </row>
    <row r="79" spans="1:9" x14ac:dyDescent="0.25">
      <c r="A79" s="210" t="s">
        <v>601</v>
      </c>
      <c r="B79" s="210" t="s">
        <v>602</v>
      </c>
      <c r="C79" s="210" t="s">
        <v>603</v>
      </c>
      <c r="D79" s="211">
        <v>18000</v>
      </c>
      <c r="E79" s="210" t="s">
        <v>604</v>
      </c>
      <c r="F79" s="212">
        <v>18000</v>
      </c>
      <c r="G79" s="210" t="s">
        <v>605</v>
      </c>
      <c r="H79" s="213" t="s">
        <v>606</v>
      </c>
      <c r="I79" s="8"/>
    </row>
    <row r="80" spans="1:9" x14ac:dyDescent="0.25">
      <c r="A80" s="199" t="s">
        <v>607</v>
      </c>
      <c r="B80" s="199" t="s">
        <v>608</v>
      </c>
      <c r="C80" s="199" t="s">
        <v>603</v>
      </c>
      <c r="D80" s="200">
        <v>22500</v>
      </c>
      <c r="E80" s="199" t="s">
        <v>604</v>
      </c>
      <c r="F80" s="201">
        <v>22500</v>
      </c>
      <c r="G80" s="199" t="s">
        <v>609</v>
      </c>
      <c r="H80" s="209" t="s">
        <v>606</v>
      </c>
      <c r="I80" s="8"/>
    </row>
    <row r="81" spans="1:9" x14ac:dyDescent="0.25">
      <c r="A81" s="210" t="s">
        <v>610</v>
      </c>
      <c r="B81" s="210" t="s">
        <v>611</v>
      </c>
      <c r="C81" s="210" t="s">
        <v>603</v>
      </c>
      <c r="D81" s="211">
        <v>8500</v>
      </c>
      <c r="E81" s="210" t="s">
        <v>604</v>
      </c>
      <c r="F81" s="212">
        <v>8500</v>
      </c>
      <c r="G81" s="210" t="s">
        <v>612</v>
      </c>
      <c r="H81" s="213" t="s">
        <v>606</v>
      </c>
      <c r="I81" s="8"/>
    </row>
    <row r="82" spans="1:9" x14ac:dyDescent="0.25">
      <c r="A82" s="199" t="s">
        <v>613</v>
      </c>
      <c r="B82" s="199" t="s">
        <v>614</v>
      </c>
      <c r="C82" s="199" t="s">
        <v>603</v>
      </c>
      <c r="D82" s="200">
        <v>9600</v>
      </c>
      <c r="E82" s="199" t="s">
        <v>604</v>
      </c>
      <c r="F82" s="201">
        <v>9600</v>
      </c>
      <c r="G82" s="199" t="s">
        <v>615</v>
      </c>
      <c r="H82" s="209" t="s">
        <v>606</v>
      </c>
      <c r="I82" s="8"/>
    </row>
    <row r="83" spans="1:9" x14ac:dyDescent="0.25">
      <c r="A83" s="210" t="s">
        <v>616</v>
      </c>
      <c r="B83" s="210" t="s">
        <v>617</v>
      </c>
      <c r="C83" s="210" t="s">
        <v>603</v>
      </c>
      <c r="D83" s="211">
        <v>4200</v>
      </c>
      <c r="E83" s="210" t="s">
        <v>604</v>
      </c>
      <c r="F83" s="212">
        <v>4200</v>
      </c>
      <c r="G83" s="210" t="s">
        <v>618</v>
      </c>
      <c r="H83" s="213" t="s">
        <v>606</v>
      </c>
      <c r="I83" s="8"/>
    </row>
    <row r="84" spans="1:9" ht="15.75" thickBot="1" x14ac:dyDescent="0.3">
      <c r="A84" s="199" t="s">
        <v>619</v>
      </c>
      <c r="B84" s="199" t="s">
        <v>620</v>
      </c>
      <c r="C84" s="199" t="s">
        <v>603</v>
      </c>
      <c r="D84" s="200">
        <v>2800</v>
      </c>
      <c r="E84" s="199" t="s">
        <v>604</v>
      </c>
      <c r="F84" s="201">
        <v>2800</v>
      </c>
      <c r="G84" s="199" t="s">
        <v>621</v>
      </c>
      <c r="H84" s="209" t="s">
        <v>606</v>
      </c>
      <c r="I84" s="8"/>
    </row>
    <row r="85" spans="1:9" ht="15.75" thickTop="1" x14ac:dyDescent="0.25">
      <c r="A85" s="214" t="s">
        <v>622</v>
      </c>
      <c r="B85" s="214"/>
      <c r="C85" s="214" t="s">
        <v>623</v>
      </c>
      <c r="D85" s="215">
        <f>SUM(D79:D84)</f>
        <v>65600</v>
      </c>
      <c r="E85" s="214"/>
      <c r="F85" s="215">
        <f>SUM(F79:F84)</f>
        <v>65600</v>
      </c>
      <c r="G85" s="214"/>
      <c r="H85" s="214"/>
      <c r="I85" s="8"/>
    </row>
    <row r="86" spans="1:9" x14ac:dyDescent="0.25">
      <c r="A86" s="473" t="s">
        <v>1019</v>
      </c>
      <c r="B86" s="474" t="s">
        <v>1020</v>
      </c>
      <c r="C86" s="475" t="s">
        <v>1021</v>
      </c>
      <c r="D86" s="476">
        <f>'04_PNL_IND'!C11</f>
        <v>65600</v>
      </c>
      <c r="E86" s="475" t="s">
        <v>1022</v>
      </c>
      <c r="F86" s="477">
        <f>ABS('04_PNL_IND'!E24)+ABS('04_PNL_IND'!G24)/'01_PARAMETRES'!$C$36+ABS('04_PNL_IND'!I24)/'01_PARAMETRES'!$C$37</f>
        <v>52275.65643259132</v>
      </c>
      <c r="G86" s="478" t="str">
        <f>IF(ABS(D86-F86)&lt;1,"✅ OK — symétrique","⚠️ Écart "&amp;TEXT(D86-F86,"#,##0")&amp;" K€ — voir H86")</f>
        <v>⚠️ Écart 13324,344 K€ — voir H86</v>
      </c>
      <c r="H86" s="484" t="s">
        <v>1026</v>
      </c>
      <c r="I86" s="8"/>
    </row>
    <row r="87" spans="1:9" x14ac:dyDescent="0.25">
      <c r="A87" s="471"/>
      <c r="B87" s="471"/>
      <c r="C87" s="471"/>
      <c r="D87" s="472"/>
      <c r="E87" s="471"/>
      <c r="F87" s="472"/>
      <c r="G87" s="471"/>
      <c r="H87" s="471"/>
      <c r="I87" s="8"/>
    </row>
    <row r="88" spans="1:9" x14ac:dyDescent="0.25">
      <c r="A88" s="8"/>
      <c r="B88" s="8"/>
      <c r="C88" s="8"/>
      <c r="D88" s="8"/>
      <c r="E88" s="8"/>
      <c r="F88" s="8"/>
      <c r="G88" s="8"/>
      <c r="H88" s="8"/>
      <c r="I88" s="8"/>
    </row>
    <row r="89" spans="1:9" ht="26.1" customHeight="1" x14ac:dyDescent="0.25">
      <c r="A89" s="197" t="s">
        <v>624</v>
      </c>
      <c r="B89" s="198"/>
      <c r="C89" s="198"/>
      <c r="D89" s="198"/>
      <c r="E89" s="198"/>
      <c r="F89" s="198"/>
      <c r="G89" s="198"/>
      <c r="H89" s="198"/>
      <c r="I89" s="8"/>
    </row>
    <row r="90" spans="1:9" x14ac:dyDescent="0.25">
      <c r="A90" s="13" t="s">
        <v>625</v>
      </c>
      <c r="B90" s="8"/>
      <c r="C90" s="8"/>
      <c r="D90" s="8"/>
      <c r="E90" s="8"/>
      <c r="F90" s="8"/>
      <c r="G90" s="8"/>
      <c r="H90" s="8"/>
      <c r="I90" s="8"/>
    </row>
    <row r="91" spans="1:9" x14ac:dyDescent="0.25">
      <c r="A91" s="216" t="s">
        <v>626</v>
      </c>
      <c r="B91" s="8"/>
      <c r="C91" s="8"/>
      <c r="D91" s="8"/>
      <c r="E91" s="8"/>
      <c r="F91" s="8"/>
      <c r="G91" s="8"/>
      <c r="H91" s="8"/>
      <c r="I91" s="8"/>
    </row>
    <row r="92" spans="1:9" x14ac:dyDescent="0.25">
      <c r="A92" s="8"/>
      <c r="B92" s="8"/>
      <c r="C92" s="8"/>
      <c r="D92" s="8"/>
      <c r="E92" s="8"/>
      <c r="F92" s="8"/>
      <c r="G92" s="8"/>
      <c r="H92" s="8"/>
      <c r="I92" s="8"/>
    </row>
    <row r="93" spans="1:9" ht="36" customHeight="1" x14ac:dyDescent="0.25">
      <c r="A93" s="51" t="s">
        <v>627</v>
      </c>
      <c r="B93" s="52" t="s">
        <v>628</v>
      </c>
      <c r="C93" s="52" t="s">
        <v>629</v>
      </c>
      <c r="D93" s="52" t="s">
        <v>630</v>
      </c>
      <c r="E93" s="52" t="s">
        <v>631</v>
      </c>
      <c r="F93" s="52" t="s">
        <v>632</v>
      </c>
      <c r="G93" s="53" t="s">
        <v>633</v>
      </c>
      <c r="H93" s="8"/>
      <c r="I93" s="8"/>
    </row>
    <row r="94" spans="1:9" x14ac:dyDescent="0.25">
      <c r="A94" s="232" t="s">
        <v>45</v>
      </c>
      <c r="B94" s="233" t="s">
        <v>58</v>
      </c>
      <c r="C94" s="161">
        <v>18500</v>
      </c>
      <c r="D94" s="234">
        <v>0.45</v>
      </c>
      <c r="E94" s="235">
        <f>C94*D94</f>
        <v>8325</v>
      </c>
      <c r="F94" s="235">
        <f>E94*0.25</f>
        <v>2081.25</v>
      </c>
      <c r="G94" s="236">
        <f>E94-F94</f>
        <v>6243.75</v>
      </c>
      <c r="H94" s="8"/>
      <c r="I94" s="8"/>
    </row>
    <row r="95" spans="1:9" x14ac:dyDescent="0.25">
      <c r="A95" s="237" t="s">
        <v>51</v>
      </c>
      <c r="B95" s="238" t="s">
        <v>65</v>
      </c>
      <c r="C95" s="161">
        <v>12000</v>
      </c>
      <c r="D95" s="234">
        <v>0.4</v>
      </c>
      <c r="E95" s="239">
        <f>C95*D95</f>
        <v>4800</v>
      </c>
      <c r="F95" s="239">
        <f>E95*0.24</f>
        <v>1152</v>
      </c>
      <c r="G95" s="240">
        <f>E95-F95</f>
        <v>3648</v>
      </c>
      <c r="H95" s="8"/>
      <c r="I95" s="8"/>
    </row>
    <row r="96" spans="1:9" x14ac:dyDescent="0.25">
      <c r="A96" s="232" t="s">
        <v>71</v>
      </c>
      <c r="B96" s="233" t="s">
        <v>58</v>
      </c>
      <c r="C96" s="161">
        <v>8200</v>
      </c>
      <c r="D96" s="234">
        <v>0.35</v>
      </c>
      <c r="E96" s="235">
        <f>C96*D96</f>
        <v>2870</v>
      </c>
      <c r="F96" s="235">
        <f>E96*0.14</f>
        <v>401.8</v>
      </c>
      <c r="G96" s="236">
        <f>E96-F96</f>
        <v>2468.1999999999998</v>
      </c>
      <c r="H96" s="8"/>
      <c r="I96" s="8"/>
    </row>
    <row r="97" spans="1:9" x14ac:dyDescent="0.25">
      <c r="A97" s="237" t="s">
        <v>45</v>
      </c>
      <c r="B97" s="238" t="s">
        <v>65</v>
      </c>
      <c r="C97" s="161">
        <v>6500</v>
      </c>
      <c r="D97" s="234">
        <v>0.42</v>
      </c>
      <c r="E97" s="239">
        <f>C97*D97</f>
        <v>2730</v>
      </c>
      <c r="F97" s="239">
        <f>E97*0.25</f>
        <v>682.5</v>
      </c>
      <c r="G97" s="240">
        <f>E97-F97</f>
        <v>2047.5</v>
      </c>
      <c r="H97" s="8"/>
      <c r="I97" s="8"/>
    </row>
    <row r="98" spans="1:9" x14ac:dyDescent="0.25">
      <c r="A98" s="232" t="s">
        <v>45</v>
      </c>
      <c r="B98" s="233" t="s">
        <v>78</v>
      </c>
      <c r="C98" s="161">
        <v>4200</v>
      </c>
      <c r="D98" s="234">
        <v>0.38</v>
      </c>
      <c r="E98" s="235">
        <f>C98*D98</f>
        <v>1596</v>
      </c>
      <c r="F98" s="235">
        <f>E98*0.25</f>
        <v>399</v>
      </c>
      <c r="G98" s="236">
        <f>E98-F98</f>
        <v>1197</v>
      </c>
      <c r="H98" s="8"/>
      <c r="I98" s="8"/>
    </row>
    <row r="99" spans="1:9" x14ac:dyDescent="0.25">
      <c r="A99" s="241" t="s">
        <v>634</v>
      </c>
      <c r="B99" s="242"/>
      <c r="C99" s="243">
        <f>SUM(C94:C98)</f>
        <v>49400</v>
      </c>
      <c r="D99" s="242"/>
      <c r="E99" s="244">
        <f>SUM(E94:E98)</f>
        <v>20321</v>
      </c>
      <c r="F99" s="738">
        <f>SUM(F94:F98)</f>
        <v>4716.55</v>
      </c>
      <c r="G99" s="245">
        <f>SUM(G94:G98)</f>
        <v>15604.45</v>
      </c>
      <c r="H99" s="8"/>
      <c r="I99" s="8"/>
    </row>
    <row r="100" spans="1:9" x14ac:dyDescent="0.25">
      <c r="A100" s="8"/>
      <c r="B100" s="8"/>
      <c r="C100" s="8"/>
      <c r="D100" s="8"/>
      <c r="E100" s="8"/>
      <c r="F100" s="8"/>
      <c r="G100" s="8"/>
      <c r="H100" s="8"/>
      <c r="I100" s="8"/>
    </row>
    <row r="101" spans="1:9" x14ac:dyDescent="0.25">
      <c r="A101" s="15" t="s">
        <v>635</v>
      </c>
      <c r="B101" s="8"/>
      <c r="C101" s="8"/>
      <c r="D101" s="8"/>
      <c r="E101" s="8"/>
      <c r="F101" s="8"/>
      <c r="G101" s="8"/>
      <c r="H101" s="8"/>
      <c r="I101" s="8"/>
    </row>
    <row r="102" spans="1:9" ht="15.75" thickBot="1" x14ac:dyDescent="0.3">
      <c r="A102" s="14" t="s">
        <v>503</v>
      </c>
      <c r="B102" s="14" t="s">
        <v>580</v>
      </c>
      <c r="C102" s="14" t="s">
        <v>505</v>
      </c>
      <c r="D102" s="14" t="s">
        <v>506</v>
      </c>
      <c r="E102" s="14" t="s">
        <v>507</v>
      </c>
      <c r="F102" s="14" t="s">
        <v>508</v>
      </c>
      <c r="G102" s="14" t="s">
        <v>509</v>
      </c>
      <c r="H102" s="14" t="s">
        <v>510</v>
      </c>
      <c r="I102" s="8"/>
    </row>
    <row r="103" spans="1:9" x14ac:dyDescent="0.25">
      <c r="A103" s="739" t="s">
        <v>636</v>
      </c>
      <c r="B103" s="739" t="s">
        <v>637</v>
      </c>
      <c r="C103" s="199" t="s">
        <v>638</v>
      </c>
      <c r="D103" s="200">
        <f>E99</f>
        <v>20321</v>
      </c>
      <c r="E103" s="199" t="s">
        <v>639</v>
      </c>
      <c r="F103" s="201">
        <f>E99</f>
        <v>20321</v>
      </c>
      <c r="G103" s="199" t="s">
        <v>640</v>
      </c>
      <c r="H103" s="199" t="s">
        <v>641</v>
      </c>
      <c r="I103" s="8"/>
    </row>
    <row r="104" spans="1:9" ht="15.75" thickBot="1" x14ac:dyDescent="0.3">
      <c r="A104" s="740" t="s">
        <v>642</v>
      </c>
      <c r="B104" s="740" t="s">
        <v>643</v>
      </c>
      <c r="C104" s="210" t="s">
        <v>644</v>
      </c>
      <c r="D104" s="211">
        <f>F99</f>
        <v>4716.55</v>
      </c>
      <c r="E104" s="210" t="s">
        <v>645</v>
      </c>
      <c r="F104" s="212">
        <f>F99</f>
        <v>4716.55</v>
      </c>
      <c r="G104" s="210" t="s">
        <v>646</v>
      </c>
      <c r="H104" s="210" t="s">
        <v>647</v>
      </c>
      <c r="I104" s="8"/>
    </row>
    <row r="105" spans="1:9" x14ac:dyDescent="0.25">
      <c r="A105" s="8"/>
      <c r="B105" s="8"/>
      <c r="C105" s="8"/>
      <c r="D105" s="8"/>
      <c r="E105" s="8"/>
      <c r="F105" s="8"/>
      <c r="G105" s="8"/>
      <c r="H105" s="8"/>
      <c r="I105" s="8"/>
    </row>
    <row r="106" spans="1:9" x14ac:dyDescent="0.25">
      <c r="A106" s="8"/>
      <c r="B106" s="8"/>
      <c r="C106" s="8"/>
      <c r="D106" s="8"/>
      <c r="E106" s="8"/>
      <c r="F106" s="8"/>
      <c r="G106" s="8"/>
      <c r="H106" s="8"/>
      <c r="I106" s="8"/>
    </row>
    <row r="107" spans="1:9" ht="26.1" customHeight="1" x14ac:dyDescent="0.25">
      <c r="A107" s="217" t="s">
        <v>648</v>
      </c>
      <c r="B107" s="218"/>
      <c r="C107" s="218"/>
      <c r="D107" s="218"/>
      <c r="E107" s="218"/>
      <c r="F107" s="218"/>
      <c r="G107" s="218"/>
      <c r="H107" s="218"/>
      <c r="I107" s="8"/>
    </row>
    <row r="108" spans="1:9" ht="27.95" customHeight="1" x14ac:dyDescent="0.25">
      <c r="A108" s="909" t="s">
        <v>649</v>
      </c>
      <c r="B108" s="901" t="s">
        <v>650</v>
      </c>
      <c r="C108" s="901" t="s">
        <v>651</v>
      </c>
      <c r="D108" s="901" t="s">
        <v>652</v>
      </c>
      <c r="E108" s="8"/>
      <c r="F108" s="8"/>
      <c r="G108" s="8"/>
      <c r="H108" s="8"/>
      <c r="I108" s="8"/>
    </row>
    <row r="109" spans="1:9" x14ac:dyDescent="0.25">
      <c r="A109" s="246" t="s">
        <v>653</v>
      </c>
      <c r="B109" s="247">
        <f>SUM(D10:D27)</f>
        <v>1150100</v>
      </c>
      <c r="C109" s="248">
        <f>SUM(F10:F27)</f>
        <v>1150100</v>
      </c>
      <c r="D109" s="902" t="str">
        <f t="shared" ref="D109:D114" si="4">IF(ABS(B109-C109)&lt;1,"✅","❌")</f>
        <v>✅</v>
      </c>
      <c r="E109" s="8"/>
      <c r="F109" s="8"/>
      <c r="G109" s="8"/>
      <c r="H109" s="8"/>
      <c r="I109" s="8"/>
    </row>
    <row r="110" spans="1:9" x14ac:dyDescent="0.25">
      <c r="A110" s="27" t="s">
        <v>654</v>
      </c>
      <c r="B110" s="249">
        <f>D44</f>
        <v>425000</v>
      </c>
      <c r="C110" s="250">
        <f>F44</f>
        <v>425000</v>
      </c>
      <c r="D110" s="903" t="str">
        <f t="shared" si="4"/>
        <v>✅</v>
      </c>
      <c r="E110" s="8"/>
      <c r="F110" s="8"/>
      <c r="G110" s="8"/>
      <c r="H110" s="8"/>
      <c r="I110" s="8"/>
    </row>
    <row r="111" spans="1:9" x14ac:dyDescent="0.25">
      <c r="A111" s="246" t="s">
        <v>655</v>
      </c>
      <c r="B111" s="247">
        <f>D61</f>
        <v>265800</v>
      </c>
      <c r="C111" s="248">
        <f>F61</f>
        <v>265800</v>
      </c>
      <c r="D111" s="902" t="str">
        <f t="shared" si="4"/>
        <v>✅</v>
      </c>
      <c r="E111" s="8"/>
      <c r="F111" s="8"/>
      <c r="G111" s="8"/>
      <c r="H111" s="8"/>
      <c r="I111" s="8"/>
    </row>
    <row r="112" spans="1:9" x14ac:dyDescent="0.25">
      <c r="A112" s="27" t="s">
        <v>656</v>
      </c>
      <c r="B112" s="249">
        <f>D72</f>
        <v>29500</v>
      </c>
      <c r="C112" s="250">
        <f>F72</f>
        <v>29500</v>
      </c>
      <c r="D112" s="903" t="str">
        <f t="shared" si="4"/>
        <v>✅</v>
      </c>
      <c r="E112" s="8"/>
      <c r="F112" s="8"/>
      <c r="G112" s="8"/>
      <c r="H112" s="8"/>
      <c r="I112" s="8"/>
    </row>
    <row r="113" spans="1:9" x14ac:dyDescent="0.25">
      <c r="A113" s="246" t="s">
        <v>657</v>
      </c>
      <c r="B113" s="247">
        <f>D85</f>
        <v>65600</v>
      </c>
      <c r="C113" s="248">
        <f>F85</f>
        <v>65600</v>
      </c>
      <c r="D113" s="902" t="str">
        <f t="shared" si="4"/>
        <v>✅</v>
      </c>
      <c r="E113" s="8"/>
      <c r="F113" s="8"/>
      <c r="G113" s="8"/>
      <c r="H113" s="8"/>
      <c r="I113" s="8"/>
    </row>
    <row r="114" spans="1:9" x14ac:dyDescent="0.25">
      <c r="A114" s="27" t="s">
        <v>658</v>
      </c>
      <c r="B114" s="249">
        <f>D103+D104</f>
        <v>25037.55</v>
      </c>
      <c r="C114" s="250">
        <f>F103+F104</f>
        <v>25037.55</v>
      </c>
      <c r="D114" s="903" t="str">
        <f t="shared" si="4"/>
        <v>✅</v>
      </c>
      <c r="E114" s="8"/>
      <c r="F114" s="8"/>
      <c r="G114" s="8"/>
      <c r="H114" s="8"/>
      <c r="I114" s="8"/>
    </row>
    <row r="115" spans="1:9" x14ac:dyDescent="0.25">
      <c r="A115" s="251"/>
      <c r="B115" s="251"/>
      <c r="C115" s="251"/>
      <c r="D115" s="251"/>
      <c r="E115" s="8"/>
      <c r="F115" s="8"/>
      <c r="G115" s="8"/>
      <c r="H115" s="8"/>
      <c r="I115" s="8"/>
    </row>
    <row r="116" spans="1:9" x14ac:dyDescent="0.25">
      <c r="A116" s="231" t="s">
        <v>659</v>
      </c>
      <c r="B116" s="252">
        <f>SUM(B109:B114)</f>
        <v>1961037.55</v>
      </c>
      <c r="C116" s="252">
        <f>SUM(C109:C114)</f>
        <v>1961037.55</v>
      </c>
      <c r="D116" s="231" t="str">
        <f>IF(ABS(B116-C116)&lt;1,"✅ ÉQUILIBRÉ","❌ DÉSÉQUILIBRE : "&amp;TEXT(B116-C116,"#,##0")&amp;" K€")</f>
        <v>✅ ÉQUILIBRÉ</v>
      </c>
      <c r="E116" s="8"/>
      <c r="F116" s="8"/>
      <c r="G116" s="8"/>
      <c r="H116" s="8"/>
      <c r="I116" s="8"/>
    </row>
    <row r="117" spans="1:9" x14ac:dyDescent="0.25">
      <c r="A117" s="8"/>
      <c r="B117" s="8"/>
      <c r="C117" s="8"/>
      <c r="D117" s="8"/>
      <c r="E117" s="8"/>
      <c r="F117" s="8"/>
      <c r="G117" s="8"/>
      <c r="H117" s="8"/>
      <c r="I117" s="8"/>
    </row>
    <row r="118" spans="1:9" x14ac:dyDescent="0.25">
      <c r="A118" s="9" t="s">
        <v>660</v>
      </c>
      <c r="B118" s="8"/>
      <c r="C118" s="8"/>
      <c r="D118" s="8"/>
      <c r="E118" s="8"/>
      <c r="F118" s="8"/>
      <c r="G118" s="8"/>
      <c r="H118" s="8"/>
      <c r="I118" s="8"/>
    </row>
    <row r="119" spans="1:9" x14ac:dyDescent="0.25">
      <c r="A119" s="216" t="s">
        <v>661</v>
      </c>
      <c r="B119" s="8"/>
      <c r="C119" s="8"/>
      <c r="D119" s="8"/>
      <c r="E119" s="8"/>
      <c r="F119" s="8"/>
      <c r="G119" s="8"/>
      <c r="H119" s="8"/>
      <c r="I119" s="8"/>
    </row>
    <row r="120" spans="1:9" x14ac:dyDescent="0.25">
      <c r="A120" s="8"/>
      <c r="B120" s="8"/>
      <c r="C120" s="8"/>
      <c r="D120" s="8"/>
      <c r="E120" s="8"/>
      <c r="F120" s="8"/>
      <c r="G120" s="8"/>
      <c r="H120" s="8"/>
      <c r="I120" s="8"/>
    </row>
    <row r="121" spans="1:9" x14ac:dyDescent="0.25">
      <c r="A121" s="827" t="s">
        <v>1031</v>
      </c>
      <c r="B121" s="827"/>
      <c r="C121" s="827"/>
      <c r="D121" s="827"/>
      <c r="E121" s="827"/>
      <c r="F121" s="827"/>
      <c r="G121" s="827"/>
      <c r="H121" s="827"/>
      <c r="I121" s="827"/>
    </row>
    <row r="122" spans="1:9" x14ac:dyDescent="0.25">
      <c r="A122" s="486" t="s">
        <v>1032</v>
      </c>
      <c r="B122" s="486" t="s">
        <v>1033</v>
      </c>
      <c r="C122" s="486" t="s">
        <v>1034</v>
      </c>
      <c r="D122" s="486" t="s">
        <v>1035</v>
      </c>
      <c r="E122" s="486" t="s">
        <v>1036</v>
      </c>
      <c r="F122" s="486" t="s">
        <v>1037</v>
      </c>
      <c r="G122" s="486" t="s">
        <v>1038</v>
      </c>
      <c r="H122" s="486" t="s">
        <v>1039</v>
      </c>
      <c r="I122" s="486" t="s">
        <v>1040</v>
      </c>
    </row>
    <row r="123" spans="1:9" x14ac:dyDescent="0.25">
      <c r="A123" s="489" t="s">
        <v>1041</v>
      </c>
      <c r="B123" s="494">
        <f>D11</f>
        <v>62000</v>
      </c>
      <c r="C123" s="494">
        <v>0</v>
      </c>
      <c r="D123" s="494">
        <v>0</v>
      </c>
      <c r="E123" s="494">
        <v>0</v>
      </c>
      <c r="F123" s="494">
        <v>0</v>
      </c>
      <c r="G123" s="494">
        <v>0</v>
      </c>
      <c r="H123" s="492">
        <f t="shared" ref="H123:H129" si="5">SUM(B123:G123)</f>
        <v>62000</v>
      </c>
      <c r="I123" s="487" t="e" cm="1">
        <f t="array" ref="I123">+ Actif</f>
        <v>#NAME?</v>
      </c>
    </row>
    <row r="124" spans="1:9" x14ac:dyDescent="0.25">
      <c r="A124" s="490" t="s">
        <v>1042</v>
      </c>
      <c r="B124" s="495">
        <f>-F10</f>
        <v>-385000</v>
      </c>
      <c r="C124" s="495">
        <v>0</v>
      </c>
      <c r="D124" s="495">
        <v>0</v>
      </c>
      <c r="E124" s="495">
        <v>0</v>
      </c>
      <c r="F124" s="495">
        <v>0</v>
      </c>
      <c r="G124" s="495">
        <v>0</v>
      </c>
      <c r="H124" s="493">
        <f t="shared" si="5"/>
        <v>-385000</v>
      </c>
      <c r="I124" s="488" t="s">
        <v>1043</v>
      </c>
    </row>
    <row r="125" spans="1:9" x14ac:dyDescent="0.25">
      <c r="A125" s="489" t="s">
        <v>1044</v>
      </c>
      <c r="B125" s="494">
        <v>0</v>
      </c>
      <c r="C125" s="494">
        <v>0</v>
      </c>
      <c r="D125" s="494">
        <v>0</v>
      </c>
      <c r="E125" s="494">
        <v>0</v>
      </c>
      <c r="F125" s="494">
        <v>0</v>
      </c>
      <c r="G125" s="494">
        <f>-E99</f>
        <v>-20321</v>
      </c>
      <c r="H125" s="492">
        <f t="shared" si="5"/>
        <v>-20321</v>
      </c>
      <c r="I125" s="487" t="s">
        <v>1043</v>
      </c>
    </row>
    <row r="126" spans="1:9" x14ac:dyDescent="0.25">
      <c r="A126" s="490" t="s">
        <v>1045</v>
      </c>
      <c r="B126" s="495">
        <v>0</v>
      </c>
      <c r="C126" s="495">
        <v>0</v>
      </c>
      <c r="D126" s="495">
        <f>-I52</f>
        <v>-88700</v>
      </c>
      <c r="E126" s="495">
        <v>0</v>
      </c>
      <c r="F126" s="495">
        <v>0</v>
      </c>
      <c r="G126" s="495">
        <v>0</v>
      </c>
      <c r="H126" s="493">
        <f t="shared" si="5"/>
        <v>-88700</v>
      </c>
      <c r="I126" s="488" t="s">
        <v>1043</v>
      </c>
    </row>
    <row r="127" spans="1:9" x14ac:dyDescent="0.25">
      <c r="A127" s="489" t="s">
        <v>1046</v>
      </c>
      <c r="B127" s="494">
        <v>0</v>
      </c>
      <c r="C127" s="494">
        <v>0</v>
      </c>
      <c r="D127" s="494">
        <f>I59</f>
        <v>265800</v>
      </c>
      <c r="E127" s="494">
        <v>0</v>
      </c>
      <c r="F127" s="494">
        <v>0</v>
      </c>
      <c r="G127" s="494">
        <v>0</v>
      </c>
      <c r="H127" s="492">
        <f t="shared" si="5"/>
        <v>265800</v>
      </c>
      <c r="I127" s="487" t="s">
        <v>1047</v>
      </c>
    </row>
    <row r="128" spans="1:9" x14ac:dyDescent="0.25">
      <c r="A128" s="490" t="s">
        <v>1048</v>
      </c>
      <c r="B128" s="495">
        <v>0</v>
      </c>
      <c r="C128" s="495">
        <v>0</v>
      </c>
      <c r="D128" s="495">
        <v>0</v>
      </c>
      <c r="E128" s="495">
        <v>0</v>
      </c>
      <c r="F128" s="495">
        <v>0</v>
      </c>
      <c r="G128" s="495">
        <f>F99</f>
        <v>4716.55</v>
      </c>
      <c r="H128" s="493">
        <f t="shared" si="5"/>
        <v>4716.55</v>
      </c>
      <c r="I128" s="488" t="e" cm="1">
        <f t="array" ref="I128">+ Actif</f>
        <v>#NAME?</v>
      </c>
    </row>
    <row r="129" spans="1:9" x14ac:dyDescent="0.25">
      <c r="A129" s="489" t="s">
        <v>1049</v>
      </c>
      <c r="B129" s="494">
        <f>SUM(F12,F15,F18,F21,F24)</f>
        <v>39900.000000000015</v>
      </c>
      <c r="C129" s="494">
        <v>0</v>
      </c>
      <c r="D129" s="494">
        <v>0</v>
      </c>
      <c r="E129" s="494">
        <v>0</v>
      </c>
      <c r="F129" s="494">
        <v>0</v>
      </c>
      <c r="G129" s="494">
        <v>0</v>
      </c>
      <c r="H129" s="492">
        <f t="shared" si="5"/>
        <v>39900.000000000015</v>
      </c>
      <c r="I129" s="487" t="s">
        <v>1050</v>
      </c>
    </row>
    <row r="130" spans="1:9" x14ac:dyDescent="0.25">
      <c r="A130" s="491" t="s">
        <v>1051</v>
      </c>
      <c r="B130" s="488"/>
      <c r="C130" s="488"/>
      <c r="D130" s="488"/>
      <c r="E130" s="488"/>
      <c r="F130" s="488"/>
      <c r="G130" s="488"/>
      <c r="H130" s="493"/>
      <c r="I130" s="488"/>
    </row>
    <row r="131" spans="1:9" x14ac:dyDescent="0.25">
      <c r="A131" s="489" t="s">
        <v>1052</v>
      </c>
      <c r="B131" s="494">
        <v>0</v>
      </c>
      <c r="C131" s="494">
        <f>-D44</f>
        <v>-425000</v>
      </c>
      <c r="D131" s="494">
        <v>0</v>
      </c>
      <c r="E131" s="494">
        <v>0</v>
      </c>
      <c r="F131" s="494">
        <v>0</v>
      </c>
      <c r="G131" s="494">
        <v>0</v>
      </c>
      <c r="H131" s="492">
        <f t="shared" ref="H131:H137" si="6">SUM(B131:G131)</f>
        <v>-425000</v>
      </c>
      <c r="I131" s="487" t="s">
        <v>1053</v>
      </c>
    </row>
    <row r="132" spans="1:9" x14ac:dyDescent="0.25">
      <c r="A132" s="490" t="s">
        <v>1054</v>
      </c>
      <c r="B132" s="495">
        <v>0</v>
      </c>
      <c r="C132" s="495">
        <f>F44</f>
        <v>425000</v>
      </c>
      <c r="D132" s="495">
        <v>0</v>
      </c>
      <c r="E132" s="495">
        <v>0</v>
      </c>
      <c r="F132" s="495">
        <v>0</v>
      </c>
      <c r="G132" s="495">
        <v>0</v>
      </c>
      <c r="H132" s="493">
        <f t="shared" si="6"/>
        <v>425000</v>
      </c>
      <c r="I132" s="488" t="e" cm="1">
        <f t="array" ref="I132">+ Charge P&amp;L</f>
        <v>#NAME?</v>
      </c>
    </row>
    <row r="133" spans="1:9" x14ac:dyDescent="0.25">
      <c r="A133" s="489" t="s">
        <v>1055</v>
      </c>
      <c r="B133" s="494">
        <v>0</v>
      </c>
      <c r="C133" s="494">
        <v>0</v>
      </c>
      <c r="D133" s="494">
        <v>0</v>
      </c>
      <c r="E133" s="494">
        <v>0</v>
      </c>
      <c r="F133" s="494">
        <f>-D85</f>
        <v>-65600</v>
      </c>
      <c r="G133" s="494">
        <v>0</v>
      </c>
      <c r="H133" s="492">
        <f t="shared" si="6"/>
        <v>-65600</v>
      </c>
      <c r="I133" s="487" t="s">
        <v>1053</v>
      </c>
    </row>
    <row r="134" spans="1:9" x14ac:dyDescent="0.25">
      <c r="A134" s="490" t="s">
        <v>1056</v>
      </c>
      <c r="B134" s="495">
        <v>0</v>
      </c>
      <c r="C134" s="495">
        <v>0</v>
      </c>
      <c r="D134" s="495">
        <v>0</v>
      </c>
      <c r="E134" s="495">
        <v>0</v>
      </c>
      <c r="F134" s="495">
        <f>F85</f>
        <v>65600</v>
      </c>
      <c r="G134" s="495">
        <v>0</v>
      </c>
      <c r="H134" s="493">
        <f t="shared" si="6"/>
        <v>65600</v>
      </c>
      <c r="I134" s="488" t="s">
        <v>1057</v>
      </c>
    </row>
    <row r="135" spans="1:9" x14ac:dyDescent="0.25">
      <c r="A135" s="489" t="s">
        <v>1058</v>
      </c>
      <c r="B135" s="494">
        <v>0</v>
      </c>
      <c r="C135" s="494">
        <v>0</v>
      </c>
      <c r="D135" s="494">
        <v>0</v>
      </c>
      <c r="E135" s="494">
        <f>-D72</f>
        <v>-29500</v>
      </c>
      <c r="F135" s="494">
        <v>0</v>
      </c>
      <c r="G135" s="494">
        <v>0</v>
      </c>
      <c r="H135" s="492">
        <f t="shared" si="6"/>
        <v>-29500</v>
      </c>
      <c r="I135" s="487" t="s">
        <v>1059</v>
      </c>
    </row>
    <row r="136" spans="1:9" x14ac:dyDescent="0.25">
      <c r="A136" s="490" t="s">
        <v>1060</v>
      </c>
      <c r="B136" s="495">
        <v>0</v>
      </c>
      <c r="C136" s="495">
        <v>0</v>
      </c>
      <c r="D136" s="495">
        <v>0</v>
      </c>
      <c r="E136" s="495">
        <v>0</v>
      </c>
      <c r="F136" s="495">
        <v>0</v>
      </c>
      <c r="G136" s="495">
        <f>-E99</f>
        <v>-20321</v>
      </c>
      <c r="H136" s="493">
        <f t="shared" si="6"/>
        <v>-20321</v>
      </c>
      <c r="I136" s="488" t="s">
        <v>1061</v>
      </c>
    </row>
    <row r="137" spans="1:9" x14ac:dyDescent="0.25">
      <c r="A137" s="489" t="s">
        <v>1062</v>
      </c>
      <c r="B137" s="494">
        <v>0</v>
      </c>
      <c r="C137" s="494">
        <v>0</v>
      </c>
      <c r="D137" s="494">
        <v>0</v>
      </c>
      <c r="E137" s="494">
        <v>0</v>
      </c>
      <c r="F137" s="494">
        <v>0</v>
      </c>
      <c r="G137" s="494">
        <f>F99</f>
        <v>4716.55</v>
      </c>
      <c r="H137" s="492">
        <f t="shared" si="6"/>
        <v>4716.55</v>
      </c>
      <c r="I137" s="487" t="e" cm="1">
        <f t="array" ref="I137">+ Produit IS P&amp;L</f>
        <v>#NAME?</v>
      </c>
    </row>
  </sheetData>
  <mergeCells count="6">
    <mergeCell ref="A121:I121"/>
    <mergeCell ref="A43:J43"/>
    <mergeCell ref="H44:J44"/>
    <mergeCell ref="A47:J47"/>
    <mergeCell ref="A48:J48"/>
    <mergeCell ref="A50:J50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6875B-98CE-457C-AA0D-AAD024B542F2}">
  <sheetPr>
    <tabColor rgb="FF6366F1"/>
  </sheetPr>
  <dimension ref="A1:K57"/>
  <sheetViews>
    <sheetView showGridLines="0" workbookViewId="0">
      <selection activeCell="B39" sqref="B39"/>
    </sheetView>
  </sheetViews>
  <sheetFormatPr baseColWidth="10" defaultRowHeight="15" x14ac:dyDescent="0.25"/>
  <cols>
    <col min="1" max="1" width="44.7109375" bestFit="1" customWidth="1"/>
    <col min="2" max="2" width="34.28515625" customWidth="1"/>
    <col min="3" max="3" width="20" bestFit="1" customWidth="1"/>
    <col min="4" max="4" width="19" customWidth="1"/>
    <col min="5" max="5" width="15.28515625" customWidth="1"/>
    <col min="6" max="7" width="19" customWidth="1"/>
    <col min="8" max="9" width="27.5703125" customWidth="1"/>
    <col min="10" max="10" width="29.5703125" customWidth="1"/>
    <col min="11" max="11" width="21.85546875" customWidth="1"/>
  </cols>
  <sheetData>
    <row r="1" spans="1:11" ht="32.1" customHeight="1" x14ac:dyDescent="0.25">
      <c r="A1" s="833" t="s">
        <v>674</v>
      </c>
      <c r="B1" s="833"/>
      <c r="C1" s="833"/>
      <c r="D1" s="833"/>
      <c r="E1" s="833"/>
      <c r="F1" s="833"/>
      <c r="G1" s="833"/>
      <c r="H1" s="833"/>
      <c r="I1" s="833"/>
      <c r="J1" s="833"/>
      <c r="K1" s="833"/>
    </row>
    <row r="2" spans="1:11" x14ac:dyDescent="0.25">
      <c r="A2" s="834" t="s">
        <v>675</v>
      </c>
      <c r="B2" s="834"/>
      <c r="C2" s="834"/>
      <c r="D2" s="834"/>
      <c r="E2" s="834"/>
      <c r="F2" s="834"/>
      <c r="G2" s="834"/>
      <c r="H2" s="834"/>
      <c r="I2" s="834"/>
      <c r="J2" s="834"/>
      <c r="K2" s="834"/>
    </row>
    <row r="3" spans="1:11" ht="21.95" customHeight="1" x14ac:dyDescent="0.25">
      <c r="A3" s="835" t="s">
        <v>676</v>
      </c>
      <c r="B3" s="835"/>
      <c r="C3" s="835"/>
      <c r="D3" s="835"/>
      <c r="E3" s="835"/>
      <c r="F3" s="835"/>
      <c r="G3" s="835"/>
      <c r="H3" s="835"/>
      <c r="I3" s="835"/>
      <c r="J3" s="835"/>
      <c r="K3" s="835"/>
    </row>
    <row r="4" spans="1:11" ht="18" customHeight="1" x14ac:dyDescent="0.25">
      <c r="A4" s="836" t="s">
        <v>677</v>
      </c>
      <c r="B4" s="836"/>
      <c r="C4" s="836"/>
      <c r="D4" s="836"/>
      <c r="E4" s="836"/>
      <c r="F4" s="836"/>
      <c r="G4" s="836"/>
      <c r="H4" s="836"/>
      <c r="I4" s="836"/>
      <c r="J4" s="836"/>
      <c r="K4" s="836"/>
    </row>
    <row r="5" spans="1:11" ht="18" customHeight="1" x14ac:dyDescent="0.25">
      <c r="A5" s="836" t="s">
        <v>678</v>
      </c>
      <c r="B5" s="836"/>
      <c r="C5" s="836"/>
      <c r="D5" s="836"/>
      <c r="E5" s="836"/>
      <c r="F5" s="836"/>
      <c r="G5" s="836"/>
      <c r="H5" s="836"/>
      <c r="I5" s="836"/>
      <c r="J5" s="836"/>
      <c r="K5" s="836"/>
    </row>
    <row r="6" spans="1:11" ht="18" customHeight="1" x14ac:dyDescent="0.25">
      <c r="A6" s="836" t="s">
        <v>679</v>
      </c>
      <c r="B6" s="836"/>
      <c r="C6" s="836"/>
      <c r="D6" s="836"/>
      <c r="E6" s="836"/>
      <c r="F6" s="836"/>
      <c r="G6" s="836"/>
      <c r="H6" s="836"/>
      <c r="I6" s="836"/>
      <c r="J6" s="836"/>
      <c r="K6" s="836"/>
    </row>
    <row r="7" spans="1:11" ht="18" customHeight="1" x14ac:dyDescent="0.25">
      <c r="A7" s="828" t="s">
        <v>680</v>
      </c>
      <c r="B7" s="828"/>
      <c r="C7" s="828"/>
      <c r="D7" s="828"/>
      <c r="E7" s="828"/>
      <c r="F7" s="828"/>
      <c r="G7" s="828"/>
      <c r="H7" s="828"/>
      <c r="I7" s="828"/>
      <c r="J7" s="828"/>
      <c r="K7" s="828"/>
    </row>
    <row r="8" spans="1:11" ht="18" customHeight="1" x14ac:dyDescent="0.25">
      <c r="A8" s="829" t="s">
        <v>681</v>
      </c>
      <c r="B8" s="829"/>
      <c r="C8" s="829"/>
      <c r="D8" s="829"/>
      <c r="E8" s="829"/>
      <c r="F8" s="829"/>
      <c r="G8" s="829"/>
      <c r="H8" s="829"/>
      <c r="I8" s="829"/>
      <c r="J8" s="829"/>
      <c r="K8" s="829"/>
    </row>
    <row r="9" spans="1:11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</row>
    <row r="10" spans="1:11" ht="44.1" customHeight="1" x14ac:dyDescent="0.25">
      <c r="A10" s="276" t="s">
        <v>682</v>
      </c>
      <c r="B10" s="277" t="s">
        <v>683</v>
      </c>
      <c r="C10" s="277" t="s">
        <v>684</v>
      </c>
      <c r="D10" s="277" t="s">
        <v>685</v>
      </c>
      <c r="E10" s="277" t="s">
        <v>686</v>
      </c>
      <c r="F10" s="277" t="s">
        <v>687</v>
      </c>
      <c r="G10" s="277" t="s">
        <v>688</v>
      </c>
      <c r="H10" s="277" t="s">
        <v>689</v>
      </c>
      <c r="I10" s="277" t="s">
        <v>690</v>
      </c>
      <c r="J10" s="277" t="s">
        <v>691</v>
      </c>
      <c r="K10" s="278" t="s">
        <v>692</v>
      </c>
    </row>
    <row r="11" spans="1:11" ht="36" customHeight="1" x14ac:dyDescent="0.25">
      <c r="A11" s="279" t="s">
        <v>693</v>
      </c>
      <c r="B11" s="741" t="s">
        <v>694</v>
      </c>
      <c r="C11" s="280">
        <v>-52000</v>
      </c>
      <c r="D11" s="280">
        <f>IFERROR('[1]07_COUVERTURE'!J6,49950)</f>
        <v>49950</v>
      </c>
      <c r="E11" s="281">
        <f>IF(C11=0,"N/A",-D11/C11)</f>
        <v>0.96057692307692311</v>
      </c>
      <c r="F11" s="282">
        <f>IF(ABS(D11)&lt;=ABS(C11),D11,IF(C11&lt;0,-ABS(C11),ABS(C11)))</f>
        <v>49950</v>
      </c>
      <c r="G11" s="283">
        <f>D11-F11</f>
        <v>0</v>
      </c>
      <c r="H11" s="743" t="s">
        <v>695</v>
      </c>
      <c r="I11" s="743" t="s">
        <v>696</v>
      </c>
      <c r="J11" s="743" t="s">
        <v>697</v>
      </c>
      <c r="K11" s="284" t="str">
        <f>IF(AND(LEFT(H11,3)="OUI",LEFT(I11,3)="OUI",LEFT(J11,3)="OUI"),"✅ QUALIFIÉ","❌ NON QUALIFIÉ")</f>
        <v>✅ QUALIFIÉ</v>
      </c>
    </row>
    <row r="12" spans="1:11" ht="57.75" customHeight="1" x14ac:dyDescent="0.25">
      <c r="A12" s="285" t="s">
        <v>698</v>
      </c>
      <c r="B12" s="742" t="s">
        <v>699</v>
      </c>
      <c r="C12" s="280">
        <v>28400</v>
      </c>
      <c r="D12" s="280">
        <v>-27100</v>
      </c>
      <c r="E12" s="286">
        <f>IF(C12=0,"N/A",-D12/C12)</f>
        <v>0.95422535211267601</v>
      </c>
      <c r="F12" s="287">
        <f>IF(ABS(D12)&lt;=ABS(C12),D12,IF(C12&lt;0,-ABS(C12),ABS(C12)))</f>
        <v>-27100</v>
      </c>
      <c r="G12" s="288">
        <f>D12-F12</f>
        <v>0</v>
      </c>
      <c r="H12" s="744" t="s">
        <v>700</v>
      </c>
      <c r="I12" s="744" t="s">
        <v>701</v>
      </c>
      <c r="J12" s="744" t="s">
        <v>702</v>
      </c>
      <c r="K12" s="289" t="str">
        <f>IF(AND(LEFT(H12,3)="OUI",LEFT(I12,3)="OUI",LEFT(J12,3)="OUI"),"✅ QUALIFIÉ","❌ NON QUALIFIÉ")</f>
        <v>✅ QUALIFIÉ</v>
      </c>
    </row>
    <row r="13" spans="1:11" ht="47.25" customHeight="1" x14ac:dyDescent="0.25">
      <c r="A13" s="279" t="s">
        <v>703</v>
      </c>
      <c r="B13" s="741" t="s">
        <v>704</v>
      </c>
      <c r="C13" s="280">
        <v>-8500</v>
      </c>
      <c r="D13" s="280">
        <v>8350</v>
      </c>
      <c r="E13" s="281">
        <f>IF(C13=0,"N/A",-D13/C13)</f>
        <v>0.98235294117647054</v>
      </c>
      <c r="F13" s="282">
        <f>IF(ABS(D13)&lt;=ABS(C13),D13,IF(C13&lt;0,-ABS(C13),ABS(C13)))</f>
        <v>8350</v>
      </c>
      <c r="G13" s="283">
        <f>D13-F13</f>
        <v>0</v>
      </c>
      <c r="H13" s="743" t="s">
        <v>705</v>
      </c>
      <c r="I13" s="743" t="s">
        <v>706</v>
      </c>
      <c r="J13" s="743" t="s">
        <v>707</v>
      </c>
      <c r="K13" s="284" t="str">
        <f>IF(AND(LEFT(H13,3)="OUI",LEFT(I13,3)="OUI",LEFT(J13,3)="OUI"),"✅ QUALIFIÉ","❌ NON QUALIFIÉ")</f>
        <v>✅ QUALIFIÉ</v>
      </c>
    </row>
    <row r="14" spans="1:11" ht="36" customHeight="1" x14ac:dyDescent="0.25">
      <c r="A14" s="285" t="s">
        <v>708</v>
      </c>
      <c r="B14" s="742" t="s">
        <v>709</v>
      </c>
      <c r="C14" s="280">
        <v>15200</v>
      </c>
      <c r="D14" s="280">
        <v>-14800</v>
      </c>
      <c r="E14" s="286">
        <f>IF(C14=0,"N/A",-D14/C14)</f>
        <v>0.97368421052631582</v>
      </c>
      <c r="F14" s="287">
        <f>IF(ABS(D14)&lt;=ABS(C14),D14,IF(C14&lt;0,-ABS(C14),ABS(C14)))</f>
        <v>-14800</v>
      </c>
      <c r="G14" s="288">
        <f>D14-F14</f>
        <v>0</v>
      </c>
      <c r="H14" s="744" t="s">
        <v>710</v>
      </c>
      <c r="I14" s="744" t="s">
        <v>711</v>
      </c>
      <c r="J14" s="744" t="s">
        <v>712</v>
      </c>
      <c r="K14" s="289" t="str">
        <f>IF(AND(LEFT(H14,3)="OUI",LEFT(I14,3)="OUI",LEFT(J14,3)="OUI"),"✅ QUALIFIÉ","❌ NON QUALIFIÉ")</f>
        <v>✅ QUALIFIÉ</v>
      </c>
    </row>
    <row r="15" spans="1:11" ht="36" customHeight="1" x14ac:dyDescent="0.25">
      <c r="A15" s="279" t="s">
        <v>713</v>
      </c>
      <c r="B15" s="741" t="s">
        <v>714</v>
      </c>
      <c r="C15" s="280">
        <v>-18600</v>
      </c>
      <c r="D15" s="280">
        <v>18100</v>
      </c>
      <c r="E15" s="281">
        <f>IF(C15=0,"N/A",-D15/C15)</f>
        <v>0.9731182795698925</v>
      </c>
      <c r="F15" s="282">
        <f>IF(ABS(D15)&lt;=ABS(C15),D15,IF(C15&lt;0,-ABS(C15),ABS(C15)))</f>
        <v>18100</v>
      </c>
      <c r="G15" s="283">
        <f>D15-F15</f>
        <v>0</v>
      </c>
      <c r="H15" s="743" t="s">
        <v>715</v>
      </c>
      <c r="I15" s="743" t="s">
        <v>716</v>
      </c>
      <c r="J15" s="743" t="s">
        <v>717</v>
      </c>
      <c r="K15" s="284" t="str">
        <f>IF(AND(LEFT(H15,3)="OUI",LEFT(I15,3)="OUI",LEFT(J15,3)="OUI"),"✅ QUALIFIÉ","❌ NON QUALIFIÉ")</f>
        <v>✅ QUALIFIÉ</v>
      </c>
    </row>
    <row r="16" spans="1:11" ht="8.25" customHeight="1" x14ac:dyDescent="0.25">
      <c r="A16" s="290"/>
      <c r="B16" s="291"/>
      <c r="C16" s="291"/>
      <c r="D16" s="291"/>
      <c r="E16" s="291"/>
      <c r="F16" s="291"/>
      <c r="G16" s="291"/>
      <c r="H16" s="291"/>
      <c r="I16" s="291"/>
      <c r="J16" s="291"/>
      <c r="K16" s="292"/>
    </row>
    <row r="17" spans="1:11" x14ac:dyDescent="0.25">
      <c r="A17" s="293" t="s">
        <v>718</v>
      </c>
      <c r="B17" s="745"/>
      <c r="C17" s="746">
        <f>SUM(C11:C15)</f>
        <v>-35500</v>
      </c>
      <c r="D17" s="746">
        <f>SUM(D11:D15)</f>
        <v>34500</v>
      </c>
      <c r="E17" s="747">
        <f>IF(C17=0,"N/A",-D17/C17)</f>
        <v>0.971830985915493</v>
      </c>
      <c r="F17" s="295">
        <f>SUM(F11:F15)</f>
        <v>34500</v>
      </c>
      <c r="G17" s="296">
        <f>SUM(G11:G15)</f>
        <v>0</v>
      </c>
      <c r="H17" s="294"/>
      <c r="I17" s="294"/>
      <c r="J17" s="294"/>
      <c r="K17" s="297"/>
    </row>
    <row r="18" spans="1:11" x14ac:dyDescent="0.25">
      <c r="A18" s="8"/>
      <c r="B18" s="8"/>
      <c r="C18" s="8"/>
      <c r="D18" s="8"/>
      <c r="E18" s="8"/>
      <c r="F18" s="263" t="s">
        <v>719</v>
      </c>
      <c r="G18" s="264" t="s">
        <v>720</v>
      </c>
      <c r="H18" s="8"/>
      <c r="I18" s="8"/>
      <c r="J18" s="8"/>
      <c r="K18" s="8"/>
    </row>
    <row r="19" spans="1:11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 ht="24" customHeight="1" x14ac:dyDescent="0.25">
      <c r="A20" s="830" t="s">
        <v>721</v>
      </c>
      <c r="B20" s="830"/>
      <c r="C20" s="830"/>
      <c r="D20" s="830"/>
      <c r="E20" s="830"/>
      <c r="F20" s="830"/>
      <c r="G20" s="830"/>
      <c r="H20" s="830"/>
      <c r="I20" s="830"/>
      <c r="J20" s="830"/>
      <c r="K20" s="830"/>
    </row>
    <row r="21" spans="1:11" x14ac:dyDescent="0.25">
      <c r="A21" s="265" t="s">
        <v>722</v>
      </c>
      <c r="B21" s="265" t="s">
        <v>723</v>
      </c>
      <c r="C21" s="265" t="s">
        <v>724</v>
      </c>
      <c r="D21" s="265" t="s">
        <v>725</v>
      </c>
      <c r="E21" s="8"/>
      <c r="F21" s="8"/>
      <c r="G21" s="8"/>
      <c r="H21" s="8"/>
      <c r="I21" s="8"/>
      <c r="J21" s="8"/>
      <c r="K21" s="8"/>
    </row>
    <row r="22" spans="1:11" ht="21.95" customHeight="1" x14ac:dyDescent="0.25">
      <c r="A22" s="266" t="s">
        <v>726</v>
      </c>
      <c r="B22" s="267" t="s">
        <v>727</v>
      </c>
      <c r="C22" s="268" t="s">
        <v>728</v>
      </c>
      <c r="D22" s="269" t="s">
        <v>729</v>
      </c>
      <c r="E22" s="270"/>
      <c r="F22" s="270"/>
      <c r="G22" s="270"/>
      <c r="H22" s="270"/>
      <c r="I22" s="270"/>
      <c r="J22" s="270"/>
      <c r="K22" s="270"/>
    </row>
    <row r="23" spans="1:11" ht="21.95" customHeight="1" x14ac:dyDescent="0.25">
      <c r="A23" s="271" t="s">
        <v>730</v>
      </c>
      <c r="B23" s="272" t="s">
        <v>731</v>
      </c>
      <c r="C23" s="273" t="s">
        <v>728</v>
      </c>
      <c r="D23" s="274" t="s">
        <v>732</v>
      </c>
      <c r="E23" s="275"/>
      <c r="F23" s="275"/>
      <c r="G23" s="275"/>
      <c r="H23" s="275"/>
      <c r="I23" s="275"/>
      <c r="J23" s="275"/>
      <c r="K23" s="275"/>
    </row>
    <row r="24" spans="1:11" ht="21.95" customHeight="1" x14ac:dyDescent="0.25">
      <c r="A24" s="266" t="s">
        <v>733</v>
      </c>
      <c r="B24" s="267" t="s">
        <v>734</v>
      </c>
      <c r="C24" s="268" t="s">
        <v>728</v>
      </c>
      <c r="D24" s="269" t="s">
        <v>735</v>
      </c>
      <c r="E24" s="270"/>
      <c r="F24" s="270"/>
      <c r="G24" s="270"/>
      <c r="H24" s="270"/>
      <c r="I24" s="270"/>
      <c r="J24" s="270"/>
      <c r="K24" s="270"/>
    </row>
    <row r="25" spans="1:1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</row>
    <row r="29" spans="1:1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 ht="16.5" x14ac:dyDescent="0.3">
      <c r="A30" s="831" t="s">
        <v>1171</v>
      </c>
      <c r="B30" s="831"/>
      <c r="C30" s="831"/>
      <c r="D30" s="831"/>
      <c r="E30" s="831"/>
      <c r="F30" s="831"/>
      <c r="G30" s="831"/>
      <c r="H30" s="831"/>
      <c r="I30" s="831"/>
      <c r="J30" s="831"/>
      <c r="K30" s="831"/>
    </row>
    <row r="31" spans="1:11" x14ac:dyDescent="0.25">
      <c r="A31" s="832" t="s">
        <v>1172</v>
      </c>
      <c r="B31" s="832"/>
      <c r="C31" s="832"/>
      <c r="D31" s="832"/>
      <c r="E31" s="832"/>
      <c r="F31" s="832"/>
      <c r="G31" s="832"/>
      <c r="H31" s="832"/>
      <c r="I31" s="832"/>
      <c r="J31" s="832"/>
      <c r="K31" s="832"/>
    </row>
    <row r="32" spans="1:11" x14ac:dyDescent="0.25">
      <c r="A32" s="585" t="s">
        <v>1173</v>
      </c>
    </row>
    <row r="33" spans="1:2" x14ac:dyDescent="0.25">
      <c r="A33" s="586" t="s">
        <v>1174</v>
      </c>
      <c r="B33" s="527">
        <v>85000</v>
      </c>
    </row>
    <row r="34" spans="1:2" x14ac:dyDescent="0.25">
      <c r="A34" s="586" t="s">
        <v>1175</v>
      </c>
      <c r="B34" s="527">
        <v>12500</v>
      </c>
    </row>
    <row r="35" spans="1:2" x14ac:dyDescent="0.25">
      <c r="A35" s="586" t="s">
        <v>1176</v>
      </c>
      <c r="B35" s="527">
        <v>800</v>
      </c>
    </row>
    <row r="36" spans="1:2" x14ac:dyDescent="0.25">
      <c r="A36" s="586" t="s">
        <v>1177</v>
      </c>
      <c r="B36" s="527">
        <v>3000</v>
      </c>
    </row>
    <row r="38" spans="1:2" x14ac:dyDescent="0.25">
      <c r="A38" s="585" t="s">
        <v>1178</v>
      </c>
    </row>
    <row r="39" spans="1:2" x14ac:dyDescent="0.25">
      <c r="A39" s="586" t="s">
        <v>1179</v>
      </c>
      <c r="B39" s="588">
        <f>'01_PARAMETRES'!I24</f>
        <v>0.35</v>
      </c>
    </row>
    <row r="40" spans="1:2" x14ac:dyDescent="0.25">
      <c r="A40" s="586" t="s">
        <v>1180</v>
      </c>
      <c r="B40" s="589">
        <f>'01_PARAMETRES'!$B$40</f>
        <v>8.59</v>
      </c>
    </row>
    <row r="41" spans="1:2" x14ac:dyDescent="0.25">
      <c r="A41" s="586" t="s">
        <v>1181</v>
      </c>
      <c r="B41" s="589">
        <f>'01_PARAMETRES'!$C$40</f>
        <v>8.5299999999999994</v>
      </c>
    </row>
    <row r="43" spans="1:2" x14ac:dyDescent="0.25">
      <c r="A43" s="585" t="s">
        <v>1182</v>
      </c>
    </row>
    <row r="44" spans="1:2" x14ac:dyDescent="0.25">
      <c r="A44" s="586" t="s">
        <v>1183</v>
      </c>
      <c r="B44" s="590">
        <f>B33/B40*B39</f>
        <v>3463.3294528521537</v>
      </c>
    </row>
    <row r="45" spans="1:2" x14ac:dyDescent="0.25">
      <c r="A45" s="586" t="s">
        <v>1184</v>
      </c>
      <c r="B45" s="590">
        <f>B34/B41*B39</f>
        <v>512.89566236811254</v>
      </c>
    </row>
    <row r="46" spans="1:2" x14ac:dyDescent="0.25">
      <c r="A46" s="586" t="s">
        <v>1185</v>
      </c>
      <c r="B46" s="590">
        <f>B35/B41*B39</f>
        <v>32.825322391559205</v>
      </c>
    </row>
    <row r="47" spans="1:2" x14ac:dyDescent="0.25">
      <c r="A47" s="586" t="s">
        <v>1186</v>
      </c>
      <c r="B47" s="590">
        <f>B36/B41*B39</f>
        <v>123.09495896834702</v>
      </c>
    </row>
    <row r="49" spans="1:2" x14ac:dyDescent="0.25">
      <c r="A49" s="585" t="s">
        <v>1187</v>
      </c>
    </row>
    <row r="50" spans="1:2" x14ac:dyDescent="0.25">
      <c r="A50" s="586" t="s">
        <v>1188</v>
      </c>
      <c r="B50" s="591">
        <v>3200</v>
      </c>
    </row>
    <row r="51" spans="1:2" x14ac:dyDescent="0.25">
      <c r="A51" s="586" t="s">
        <v>1189</v>
      </c>
      <c r="B51" s="590">
        <f>B45</f>
        <v>512.89566236811254</v>
      </c>
    </row>
    <row r="52" spans="1:2" x14ac:dyDescent="0.25">
      <c r="A52" s="586" t="s">
        <v>1190</v>
      </c>
      <c r="B52" s="590">
        <f>B46</f>
        <v>32.825322391559205</v>
      </c>
    </row>
    <row r="53" spans="1:2" x14ac:dyDescent="0.25">
      <c r="A53" s="586" t="s">
        <v>1191</v>
      </c>
      <c r="B53" s="590">
        <f>-B47</f>
        <v>-123.09495896834702</v>
      </c>
    </row>
    <row r="54" spans="1:2" x14ac:dyDescent="0.25">
      <c r="A54" s="586" t="s">
        <v>1192</v>
      </c>
      <c r="B54" s="590">
        <f>B44-B50-B51-B52-B53</f>
        <v>-159.296572939171</v>
      </c>
    </row>
    <row r="55" spans="1:2" x14ac:dyDescent="0.25">
      <c r="A55" s="587" t="s">
        <v>1193</v>
      </c>
      <c r="B55" s="592">
        <f>SUM(B50:B54)</f>
        <v>3463.3294528521537</v>
      </c>
    </row>
    <row r="57" spans="1:2" x14ac:dyDescent="0.25">
      <c r="A57" s="586" t="s">
        <v>1194</v>
      </c>
      <c r="B57" s="593" t="str">
        <f>IF(ABS(B55-B44)&lt;1,"✅ OK","❌ Écart "&amp;TEXT(B55-B44,"#,##0")&amp;" K€")</f>
        <v>✅ OK</v>
      </c>
    </row>
  </sheetData>
  <mergeCells count="11">
    <mergeCell ref="A6:K6"/>
    <mergeCell ref="A1:K1"/>
    <mergeCell ref="A2:K2"/>
    <mergeCell ref="A3:K3"/>
    <mergeCell ref="A4:K4"/>
    <mergeCell ref="A5:K5"/>
    <mergeCell ref="A7:K7"/>
    <mergeCell ref="A8:K8"/>
    <mergeCell ref="A20:K20"/>
    <mergeCell ref="A30:K30"/>
    <mergeCell ref="A31:K31"/>
  </mergeCells>
  <conditionalFormatting sqref="E11:E15">
    <cfRule type="cellIs" dxfId="4" priority="1" operator="between">
      <formula>0.8</formula>
      <formula>1.25</formula>
    </cfRule>
    <cfRule type="cellIs" dxfId="3" priority="2" operator="between">
      <formula>0.65</formula>
      <formula>0.8</formula>
    </cfRule>
    <cfRule type="cellIs" dxfId="2" priority="3" operator="lessThan">
      <formula>0.65</formula>
    </cfRule>
  </conditionalFormatting>
  <conditionalFormatting sqref="K11:K15">
    <cfRule type="containsText" dxfId="1" priority="16" operator="containsText" text="QUALIFIÉ">
      <formula>NOT(ISERROR(SEARCH("QUALIFIÉ",K11)))</formula>
    </cfRule>
    <cfRule type="containsText" dxfId="0" priority="17" operator="containsText" text="NON">
      <formula>NOT(ISERROR(SEARCH("NON",K11)))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C08D2-8E72-4689-87B2-5FCFE9D2CE89}">
  <sheetPr>
    <tabColor rgb="FFD4A843"/>
  </sheetPr>
  <dimension ref="A1:H77"/>
  <sheetViews>
    <sheetView showGridLines="0" topLeftCell="A25" workbookViewId="0">
      <selection activeCell="B32" sqref="B32"/>
    </sheetView>
  </sheetViews>
  <sheetFormatPr baseColWidth="10" defaultRowHeight="15" x14ac:dyDescent="0.25"/>
  <cols>
    <col min="1" max="1" width="52.42578125" bestFit="1" customWidth="1"/>
    <col min="2" max="2" width="36.28515625" bestFit="1" customWidth="1"/>
    <col min="3" max="4" width="21" customWidth="1"/>
    <col min="5" max="5" width="22.85546875" customWidth="1"/>
    <col min="6" max="6" width="21" customWidth="1"/>
    <col min="7" max="7" width="19" customWidth="1"/>
    <col min="8" max="8" width="13.28515625" customWidth="1"/>
  </cols>
  <sheetData>
    <row r="1" spans="1:8" ht="36" customHeight="1" x14ac:dyDescent="0.25">
      <c r="A1" s="837" t="str">
        <f>"BILAN CONSOLIDÉ — "&amp;UPPER('01_PARAMETRES'!$S$5)</f>
        <v>BILAN CONSOLIDÉ — GROUPE AURELIA</v>
      </c>
      <c r="B1" s="837"/>
      <c r="C1" s="837"/>
      <c r="D1" s="837"/>
      <c r="E1" s="837"/>
      <c r="F1" s="837"/>
      <c r="G1" s="837"/>
      <c r="H1" s="837"/>
    </row>
    <row r="2" spans="1:8" x14ac:dyDescent="0.25">
      <c r="A2" s="838" t="str">
        <f>"Au "&amp;TEXT('01_PARAMETRES'!B11,"dd mmmm yyyy")</f>
        <v>Au dd mars yyyy</v>
      </c>
      <c r="B2" s="838"/>
      <c r="C2" s="838"/>
      <c r="D2" s="838"/>
      <c r="E2" s="838"/>
      <c r="F2" s="838"/>
      <c r="G2" s="838"/>
      <c r="H2" s="838"/>
    </row>
    <row r="3" spans="1:8" x14ac:dyDescent="0.25">
      <c r="A3" s="8"/>
      <c r="B3" s="8"/>
      <c r="C3" s="8"/>
      <c r="D3" s="8"/>
      <c r="E3" s="8"/>
      <c r="F3" s="870" t="s">
        <v>1335</v>
      </c>
      <c r="G3" s="8"/>
      <c r="H3" s="8"/>
    </row>
    <row r="4" spans="1:8" ht="32.1" customHeight="1" x14ac:dyDescent="0.25">
      <c r="A4" s="697" t="s">
        <v>220</v>
      </c>
      <c r="B4" s="697" t="s">
        <v>221</v>
      </c>
      <c r="C4" s="697" t="s">
        <v>740</v>
      </c>
      <c r="D4" s="697" t="s">
        <v>741</v>
      </c>
      <c r="E4" s="697" t="s">
        <v>742</v>
      </c>
      <c r="F4" s="697" t="s">
        <v>743</v>
      </c>
      <c r="G4" s="697" t="s">
        <v>744</v>
      </c>
      <c r="H4" s="697" t="s">
        <v>745</v>
      </c>
    </row>
    <row r="5" spans="1:8" ht="21.95" customHeight="1" x14ac:dyDescent="0.25">
      <c r="A5" s="698" t="s">
        <v>746</v>
      </c>
      <c r="B5" s="298"/>
      <c r="C5" s="298"/>
      <c r="D5" s="298"/>
      <c r="E5" s="298"/>
      <c r="F5" s="298"/>
      <c r="G5" s="298"/>
      <c r="H5" s="298"/>
    </row>
    <row r="6" spans="1:8" ht="20.100000000000001" customHeight="1" x14ac:dyDescent="0.25">
      <c r="A6" s="313" t="s">
        <v>226</v>
      </c>
      <c r="B6" s="314" t="s">
        <v>517</v>
      </c>
      <c r="C6" s="749">
        <f>'06_GOODWILL'!M19</f>
        <v>168490.27340570895</v>
      </c>
      <c r="D6" s="749">
        <f>-'06_GOODWILL'!N34</f>
        <v>0</v>
      </c>
      <c r="E6" s="749">
        <f>C6+D6</f>
        <v>168490.27340570895</v>
      </c>
      <c r="F6" s="749">
        <f>'09B_N-1_ARCHIVE'!E6</f>
        <v>165000</v>
      </c>
      <c r="G6" s="749">
        <f t="shared" ref="G6:G14" si="0">E6-F6</f>
        <v>3490.2734057089547</v>
      </c>
      <c r="H6" s="750">
        <f t="shared" ref="H6:H15" si="1">IF(F6=0,"",G6/ABS(F6))</f>
        <v>2.1153172155811847E-2</v>
      </c>
    </row>
    <row r="7" spans="1:8" ht="20.100000000000001" customHeight="1" x14ac:dyDescent="0.25">
      <c r="A7" s="315" t="s">
        <v>228</v>
      </c>
      <c r="B7" s="316" t="s">
        <v>229</v>
      </c>
      <c r="C7" s="751">
        <f>'03_BILANS_IND'!C9+'03_BILANS_IND'!E9+'05_CONVERSION_IAS21'!E16+'05_CONVERSION_IAS21'!E82+'05_CONVERSION_IAS21'!E122+'05_CONVERSION_IAS21'!E161+'05_CONVERSION_IAS21'!E200</f>
        <v>410966.45825885137</v>
      </c>
      <c r="D7" s="751">
        <f>0</f>
        <v>0</v>
      </c>
      <c r="E7" s="751">
        <f>C7+D7</f>
        <v>410966.45825885137</v>
      </c>
      <c r="F7" s="751">
        <f>'09B_N-1_ARCHIVE'!E7</f>
        <v>405000</v>
      </c>
      <c r="G7" s="751">
        <f t="shared" si="0"/>
        <v>5966.4582588513731</v>
      </c>
      <c r="H7" s="752">
        <f t="shared" si="1"/>
        <v>1.4731995700867587E-2</v>
      </c>
    </row>
    <row r="8" spans="1:8" ht="20.100000000000001" customHeight="1" x14ac:dyDescent="0.25">
      <c r="A8" s="317" t="s">
        <v>230</v>
      </c>
      <c r="B8" s="318" t="s">
        <v>231</v>
      </c>
      <c r="C8" s="753">
        <f>'03_BILANS_IND'!C10+'03_BILANS_IND'!E10+'05_CONVERSION_IAS21'!E17+'05_CONVERSION_IAS21'!E83+'05_CONVERSION_IAS21'!E123+'05_CONVERSION_IAS21'!E162+'05_CONVERSION_IAS21'!E201</f>
        <v>1012064.2107457974</v>
      </c>
      <c r="D8" s="753">
        <f>0</f>
        <v>0</v>
      </c>
      <c r="E8" s="753">
        <f>C8+D8</f>
        <v>1012064.2107457974</v>
      </c>
      <c r="F8" s="753">
        <f>'09B_N-1_ARCHIVE'!E8</f>
        <v>1075000</v>
      </c>
      <c r="G8" s="753">
        <f t="shared" si="0"/>
        <v>-62935.789254202624</v>
      </c>
      <c r="H8" s="754">
        <f t="shared" si="1"/>
        <v>-5.8544920236467554E-2</v>
      </c>
    </row>
    <row r="9" spans="1:8" ht="20.100000000000001" customHeight="1" x14ac:dyDescent="0.25">
      <c r="A9" s="315" t="s">
        <v>232</v>
      </c>
      <c r="B9" s="316" t="s">
        <v>233</v>
      </c>
      <c r="C9" s="751">
        <f>'03_BILANS_IND'!C11+'03_BILANS_IND'!E11+'05_CONVERSION_IAS21'!E18+'05_CONVERSION_IAS21'!E84+'05_CONVERSION_IAS21'!E124+'05_CONVERSION_IAS21'!E163+'05_CONVERSION_IAS21'!E202</f>
        <v>1030193.5445143546</v>
      </c>
      <c r="D9" s="751">
        <f>0</f>
        <v>0</v>
      </c>
      <c r="E9" s="751">
        <f>C9+D9</f>
        <v>1030193.5445143546</v>
      </c>
      <c r="F9" s="751">
        <f>'09B_N-1_ARCHIVE'!E9</f>
        <v>970000</v>
      </c>
      <c r="G9" s="751">
        <f t="shared" si="0"/>
        <v>60193.544514354551</v>
      </c>
      <c r="H9" s="752">
        <f t="shared" si="1"/>
        <v>6.2055200530262422E-2</v>
      </c>
    </row>
    <row r="10" spans="1:8" ht="20.100000000000001" customHeight="1" x14ac:dyDescent="0.25">
      <c r="A10" s="317" t="s">
        <v>369</v>
      </c>
      <c r="B10" s="318" t="s">
        <v>747</v>
      </c>
      <c r="C10" s="753">
        <f>'03_BILANS_IND'!C12+'03_BILANS_IND'!E12</f>
        <v>892000</v>
      </c>
      <c r="D10" s="753">
        <f>-C10</f>
        <v>-892000</v>
      </c>
      <c r="E10" s="753">
        <f>C10+D10</f>
        <v>0</v>
      </c>
      <c r="F10" s="753">
        <f>'09B_N-1_ARCHIVE'!E10</f>
        <v>0</v>
      </c>
      <c r="G10" s="753">
        <f t="shared" si="0"/>
        <v>0</v>
      </c>
      <c r="H10" s="754" t="str">
        <f t="shared" si="1"/>
        <v/>
      </c>
    </row>
    <row r="11" spans="1:8" ht="20.100000000000001" customHeight="1" x14ac:dyDescent="0.25">
      <c r="A11" s="315" t="s">
        <v>748</v>
      </c>
      <c r="B11" s="316" t="s">
        <v>237</v>
      </c>
      <c r="C11" s="751">
        <f>0</f>
        <v>0</v>
      </c>
      <c r="D11" s="751">
        <f>0</f>
        <v>0</v>
      </c>
      <c r="E11" s="751">
        <f>'08_EFFICACITE'!B55</f>
        <v>3463.3294528521537</v>
      </c>
      <c r="F11" s="751">
        <f>'09B_N-1_ARCHIVE'!E11</f>
        <v>3200</v>
      </c>
      <c r="G11" s="751">
        <f t="shared" si="0"/>
        <v>263.32945285215374</v>
      </c>
      <c r="H11" s="752">
        <f t="shared" si="1"/>
        <v>8.2290454016298045E-2</v>
      </c>
    </row>
    <row r="12" spans="1:8" ht="20.100000000000001" customHeight="1" x14ac:dyDescent="0.25">
      <c r="A12" s="317" t="s">
        <v>238</v>
      </c>
      <c r="B12" s="318" t="s">
        <v>239</v>
      </c>
      <c r="C12" s="753">
        <f>'03_BILANS_IND'!C14+'03_BILANS_IND'!E14+'05_CONVERSION_IAS21'!E20+'05_CONVERSION_IAS21'!E86+'05_CONVERSION_IAS21'!E126+'05_CONVERSION_IAS21'!E165+'05_CONVERSION_IAS21'!E204</f>
        <v>90652.32474612059</v>
      </c>
      <c r="D12" s="753">
        <f>0</f>
        <v>0</v>
      </c>
      <c r="E12" s="753">
        <f>C12+D12</f>
        <v>90652.32474612059</v>
      </c>
      <c r="F12" s="753">
        <f>'09B_N-1_ARCHIVE'!E12</f>
        <v>85000</v>
      </c>
      <c r="G12" s="753">
        <f t="shared" si="0"/>
        <v>5652.3247461205901</v>
      </c>
      <c r="H12" s="754">
        <f t="shared" si="1"/>
        <v>6.6497938189654007E-2</v>
      </c>
    </row>
    <row r="13" spans="1:8" ht="20.100000000000001" customHeight="1" x14ac:dyDescent="0.25">
      <c r="A13" s="315" t="s">
        <v>240</v>
      </c>
      <c r="B13" s="316" t="s">
        <v>241</v>
      </c>
      <c r="C13" s="751">
        <f>'03_BILANS_IND'!C15+'03_BILANS_IND'!E15+'05_CONVERSION_IAS21'!E21+'05_CONVERSION_IAS21'!E87+'05_CONVERSION_IAS21'!E127+'05_CONVERSION_IAS21'!E166+'05_CONVERSION_IAS21'!E205</f>
        <v>95951.905888620298</v>
      </c>
      <c r="D13" s="751">
        <f>'07_ELIMINATIONS'!H128</f>
        <v>4716.55</v>
      </c>
      <c r="E13" s="751">
        <f>C13+D13</f>
        <v>100668.4558886203</v>
      </c>
      <c r="F13" s="751">
        <f>'09B_N-1_ARCHIVE'!E13</f>
        <v>95000</v>
      </c>
      <c r="G13" s="751">
        <f t="shared" si="0"/>
        <v>5668.4558886203013</v>
      </c>
      <c r="H13" s="752">
        <f t="shared" si="1"/>
        <v>5.9667956722318963E-2</v>
      </c>
    </row>
    <row r="14" spans="1:8" ht="20.100000000000001" customHeight="1" x14ac:dyDescent="0.25">
      <c r="A14" s="319" t="s">
        <v>749</v>
      </c>
      <c r="B14" s="320" t="s">
        <v>514</v>
      </c>
      <c r="C14" s="755">
        <f>'03_BILANS_IND'!C16</f>
        <v>185000</v>
      </c>
      <c r="D14" s="755">
        <f>-C14</f>
        <v>-185000</v>
      </c>
      <c r="E14" s="755">
        <f>C14+D14</f>
        <v>0</v>
      </c>
      <c r="F14" s="755">
        <f>'09B_N-1_ARCHIVE'!E14</f>
        <v>0</v>
      </c>
      <c r="G14" s="755">
        <f t="shared" si="0"/>
        <v>0</v>
      </c>
      <c r="H14" s="756" t="str">
        <f t="shared" si="1"/>
        <v/>
      </c>
    </row>
    <row r="15" spans="1:8" ht="20.100000000000001" customHeight="1" x14ac:dyDescent="0.25">
      <c r="A15" s="699" t="s">
        <v>750</v>
      </c>
      <c r="B15" s="303"/>
      <c r="C15" s="748">
        <f>SUM(C6:C14)</f>
        <v>3885318.7175594536</v>
      </c>
      <c r="D15" s="748">
        <f>SUM(D6:D14)</f>
        <v>-1072283.45</v>
      </c>
      <c r="E15" s="748">
        <f>SUM(E6:E14)</f>
        <v>2816498.5970123056</v>
      </c>
      <c r="F15" s="748">
        <f>SUM(F6:F14)</f>
        <v>2798200</v>
      </c>
      <c r="G15" s="748">
        <f>SUM(G6:G14)</f>
        <v>18298.597012305301</v>
      </c>
      <c r="H15" s="757">
        <f t="shared" si="1"/>
        <v>6.5394171296924101E-3</v>
      </c>
    </row>
    <row r="16" spans="1:8" ht="20.100000000000001" customHeight="1" x14ac:dyDescent="0.25">
      <c r="A16" s="299"/>
      <c r="B16" s="304"/>
      <c r="C16" s="304"/>
      <c r="D16" s="304"/>
      <c r="E16" s="304"/>
      <c r="F16" s="304"/>
      <c r="G16" s="304"/>
      <c r="H16" s="304"/>
    </row>
    <row r="17" spans="1:8" ht="20.100000000000001" customHeight="1" x14ac:dyDescent="0.25">
      <c r="A17" s="700" t="s">
        <v>751</v>
      </c>
      <c r="B17" s="305"/>
      <c r="C17" s="305"/>
      <c r="D17" s="305"/>
      <c r="E17" s="305"/>
      <c r="F17" s="305"/>
      <c r="G17" s="305"/>
      <c r="H17" s="305"/>
    </row>
    <row r="18" spans="1:8" ht="20.100000000000001" customHeight="1" x14ac:dyDescent="0.25">
      <c r="A18" s="313" t="s">
        <v>246</v>
      </c>
      <c r="B18" s="314" t="s">
        <v>247</v>
      </c>
      <c r="C18" s="749">
        <f>'03_BILANS_IND'!C20+'03_BILANS_IND'!E20+'05_CONVERSION_IAS21'!E22+'05_CONVERSION_IAS21'!E88+'05_CONVERSION_IAS21'!E128+'05_CONVERSION_IAS21'!E167+'05_CONVERSION_IAS21'!E206</f>
        <v>643864.03840234876</v>
      </c>
      <c r="D18" s="749">
        <f>'07_ELIMINATIONS'!H125</f>
        <v>-20321</v>
      </c>
      <c r="E18" s="749">
        <f t="shared" ref="E18:E24" si="2">C18+D18</f>
        <v>623543.03840234876</v>
      </c>
      <c r="F18" s="749">
        <f>'09B_N-1_ARCHIVE'!E18</f>
        <v>420000</v>
      </c>
      <c r="G18" s="749">
        <f t="shared" ref="G18:G24" si="3">E18-F18</f>
        <v>203543.03840234876</v>
      </c>
      <c r="H18" s="750">
        <f t="shared" ref="H18:H25" si="4">IF(F18=0,"",G18/ABS(F18))</f>
        <v>0.48462628191035417</v>
      </c>
    </row>
    <row r="19" spans="1:8" ht="20.100000000000001" customHeight="1" x14ac:dyDescent="0.25">
      <c r="A19" s="315" t="s">
        <v>752</v>
      </c>
      <c r="B19" s="316" t="s">
        <v>239</v>
      </c>
      <c r="C19" s="751">
        <f>'03_BILANS_IND'!C21+'03_BILANS_IND'!E21+'05_CONVERSION_IAS21'!E23+'05_CONVERSION_IAS21'!E89+'05_CONVERSION_IAS21'!E129+'05_CONVERSION_IAS21'!E168+'05_CONVERSION_IAS21'!E207</f>
        <v>415530.62506560475</v>
      </c>
      <c r="D19" s="751">
        <f>0</f>
        <v>0</v>
      </c>
      <c r="E19" s="751">
        <f t="shared" si="2"/>
        <v>415530.62506560475</v>
      </c>
      <c r="F19" s="751">
        <f>'09B_N-1_ARCHIVE'!E19</f>
        <v>365000</v>
      </c>
      <c r="G19" s="751">
        <f t="shared" si="3"/>
        <v>50530.625065604749</v>
      </c>
      <c r="H19" s="752">
        <f t="shared" si="4"/>
        <v>0.13844006867288972</v>
      </c>
    </row>
    <row r="20" spans="1:8" ht="20.100000000000001" customHeight="1" x14ac:dyDescent="0.25">
      <c r="A20" s="317" t="s">
        <v>753</v>
      </c>
      <c r="B20" s="318" t="s">
        <v>514</v>
      </c>
      <c r="C20" s="753">
        <f>'03_BILANS_IND'!C22+'03_BILANS_IND'!E22</f>
        <v>140000</v>
      </c>
      <c r="D20" s="753">
        <f>-C20</f>
        <v>-140000</v>
      </c>
      <c r="E20" s="753">
        <f t="shared" si="2"/>
        <v>0</v>
      </c>
      <c r="F20" s="753">
        <f>'09B_N-1_ARCHIVE'!E20</f>
        <v>0</v>
      </c>
      <c r="G20" s="753">
        <f t="shared" si="3"/>
        <v>0</v>
      </c>
      <c r="H20" s="754" t="str">
        <f t="shared" si="4"/>
        <v/>
      </c>
    </row>
    <row r="21" spans="1:8" ht="20.100000000000001" customHeight="1" x14ac:dyDescent="0.25">
      <c r="A21" s="315" t="s">
        <v>251</v>
      </c>
      <c r="B21" s="316"/>
      <c r="C21" s="751">
        <f>'03_BILANS_IND'!C23+'03_BILANS_IND'!E23</f>
        <v>80000</v>
      </c>
      <c r="D21" s="751">
        <f>0</f>
        <v>0</v>
      </c>
      <c r="E21" s="751">
        <f t="shared" si="2"/>
        <v>80000</v>
      </c>
      <c r="F21" s="751">
        <f>'09B_N-1_ARCHIVE'!E21</f>
        <v>82000</v>
      </c>
      <c r="G21" s="751">
        <f t="shared" si="3"/>
        <v>-2000</v>
      </c>
      <c r="H21" s="752">
        <f t="shared" si="4"/>
        <v>-2.4390243902439025E-2</v>
      </c>
    </row>
    <row r="22" spans="1:8" ht="20.100000000000001" customHeight="1" x14ac:dyDescent="0.25">
      <c r="A22" s="317" t="s">
        <v>253</v>
      </c>
      <c r="B22" s="318"/>
      <c r="C22" s="753">
        <f>'03_BILANS_IND'!C24+'03_BILANS_IND'!E24+'05_CONVERSION_IAS21'!E25+'05_CONVERSION_IAS21'!E91+'05_CONVERSION_IAS21'!E131+'05_CONVERSION_IAS21'!E170+'05_CONVERSION_IAS21'!E209</f>
        <v>47668.87343966015</v>
      </c>
      <c r="D22" s="753">
        <f>0</f>
        <v>0</v>
      </c>
      <c r="E22" s="753">
        <f t="shared" si="2"/>
        <v>47668.87343966015</v>
      </c>
      <c r="F22" s="753">
        <f>'09B_N-1_ARCHIVE'!E22</f>
        <v>38000</v>
      </c>
      <c r="G22" s="753">
        <f t="shared" si="3"/>
        <v>9668.8734396601503</v>
      </c>
      <c r="H22" s="754">
        <f t="shared" si="4"/>
        <v>0.25444403788579345</v>
      </c>
    </row>
    <row r="23" spans="1:8" ht="20.100000000000001" customHeight="1" x14ac:dyDescent="0.25">
      <c r="A23" s="315" t="s">
        <v>254</v>
      </c>
      <c r="B23" s="316" t="s">
        <v>239</v>
      </c>
      <c r="C23" s="751">
        <f>'03_BILANS_IND'!C25+'03_BILANS_IND'!E25</f>
        <v>34500</v>
      </c>
      <c r="D23" s="751">
        <f>0</f>
        <v>0</v>
      </c>
      <c r="E23" s="751">
        <f t="shared" si="2"/>
        <v>34500</v>
      </c>
      <c r="F23" s="751">
        <f>'09B_N-1_ARCHIVE'!E23</f>
        <v>42000</v>
      </c>
      <c r="G23" s="751">
        <f t="shared" si="3"/>
        <v>-7500</v>
      </c>
      <c r="H23" s="752">
        <f t="shared" si="4"/>
        <v>-0.17857142857142858</v>
      </c>
    </row>
    <row r="24" spans="1:8" ht="20.100000000000001" customHeight="1" x14ac:dyDescent="0.25">
      <c r="A24" s="322" t="s">
        <v>255</v>
      </c>
      <c r="B24" s="323" t="s">
        <v>256</v>
      </c>
      <c r="C24" s="761">
        <f>'03_BILANS_IND'!C26+'03_BILANS_IND'!E26+'05_CONVERSION_IAS21'!E26+'05_CONVERSION_IAS21'!E92+'05_CONVERSION_IAS21'!E132+'05_CONVERSION_IAS21'!E171+'05_CONVERSION_IAS21'!E210</f>
        <v>390113.33830883488</v>
      </c>
      <c r="D24" s="761">
        <f>0</f>
        <v>0</v>
      </c>
      <c r="E24" s="761">
        <f t="shared" si="2"/>
        <v>390113.33830883488</v>
      </c>
      <c r="F24" s="761">
        <f>'09B_N-1_ARCHIVE'!E24</f>
        <v>380000</v>
      </c>
      <c r="G24" s="761">
        <f t="shared" si="3"/>
        <v>10113.338308834878</v>
      </c>
      <c r="H24" s="762">
        <f t="shared" si="4"/>
        <v>2.6614048181144417E-2</v>
      </c>
    </row>
    <row r="25" spans="1:8" ht="20.100000000000001" customHeight="1" x14ac:dyDescent="0.25">
      <c r="A25" s="701" t="s">
        <v>754</v>
      </c>
      <c r="B25" s="321"/>
      <c r="C25" s="758">
        <f>SUM(C18:C24)</f>
        <v>1751676.8752164484</v>
      </c>
      <c r="D25" s="758">
        <f>SUM(D18:D24)</f>
        <v>-160321</v>
      </c>
      <c r="E25" s="758">
        <f>SUM(E18:E24)</f>
        <v>1591355.8752164484</v>
      </c>
      <c r="F25" s="758">
        <f>SUM(F18:F24)</f>
        <v>1327000</v>
      </c>
      <c r="G25" s="758">
        <f>SUM(G18:G24)</f>
        <v>264355.87521644856</v>
      </c>
      <c r="H25" s="763">
        <f t="shared" si="4"/>
        <v>0.19921316896491978</v>
      </c>
    </row>
    <row r="26" spans="1:8" ht="20.100000000000001" customHeight="1" thickBot="1" x14ac:dyDescent="0.3">
      <c r="A26" s="299"/>
      <c r="B26" s="304"/>
      <c r="C26" s="764"/>
      <c r="D26" s="764"/>
      <c r="E26" s="764"/>
      <c r="F26" s="764"/>
      <c r="G26" s="764"/>
      <c r="H26" s="764"/>
    </row>
    <row r="27" spans="1:8" ht="26.1" customHeight="1" thickTop="1" x14ac:dyDescent="0.25">
      <c r="A27" s="702" t="s">
        <v>755</v>
      </c>
      <c r="B27" s="306"/>
      <c r="C27" s="760">
        <f>C15+C25</f>
        <v>5636995.5927759018</v>
      </c>
      <c r="D27" s="760">
        <f>D15+D25</f>
        <v>-1232604.45</v>
      </c>
      <c r="E27" s="760">
        <f>E15+E25</f>
        <v>4407854.4722287543</v>
      </c>
      <c r="F27" s="760">
        <f>F15+F25</f>
        <v>4125200</v>
      </c>
      <c r="G27" s="760">
        <f>G15+G25</f>
        <v>282654.47222875385</v>
      </c>
      <c r="H27" s="765">
        <f>IF(F27=0,"",G27/ABS(F27))</f>
        <v>6.8518974165798954E-2</v>
      </c>
    </row>
    <row r="28" spans="1:8" x14ac:dyDescent="0.25">
      <c r="A28" s="8"/>
      <c r="B28" s="8"/>
      <c r="C28" s="8"/>
      <c r="D28" s="8"/>
      <c r="E28" s="8"/>
      <c r="F28" s="8"/>
      <c r="G28" s="8"/>
      <c r="H28" s="8"/>
    </row>
    <row r="29" spans="1:8" ht="20.100000000000001" customHeight="1" x14ac:dyDescent="0.25">
      <c r="A29" s="839" t="s">
        <v>384</v>
      </c>
      <c r="B29" s="839"/>
      <c r="C29" s="839"/>
      <c r="D29" s="839"/>
      <c r="E29" s="839"/>
      <c r="F29" s="839"/>
      <c r="G29" s="839"/>
      <c r="H29" s="839"/>
    </row>
    <row r="30" spans="1:8" ht="20.100000000000001" customHeight="1" x14ac:dyDescent="0.25">
      <c r="A30" s="840" t="s">
        <v>756</v>
      </c>
      <c r="B30" s="840"/>
      <c r="C30" s="840"/>
      <c r="D30" s="840"/>
      <c r="E30" s="840"/>
      <c r="F30" s="840"/>
      <c r="G30" s="840"/>
      <c r="H30" s="840"/>
    </row>
    <row r="31" spans="1:8" ht="20.100000000000001" customHeight="1" x14ac:dyDescent="0.25">
      <c r="A31" s="325" t="s">
        <v>261</v>
      </c>
      <c r="B31" s="326" t="s">
        <v>252</v>
      </c>
      <c r="C31" s="767">
        <f>'03_BILANS_IND'!C32</f>
        <v>150000</v>
      </c>
      <c r="D31" s="767">
        <f>0</f>
        <v>0</v>
      </c>
      <c r="E31" s="767">
        <f>C31+D31</f>
        <v>150000</v>
      </c>
      <c r="F31" s="767">
        <f>'09B_N-1_ARCHIVE'!E31</f>
        <v>150000</v>
      </c>
      <c r="G31" s="767">
        <f t="shared" ref="G31:G37" si="5">E31-F31</f>
        <v>0</v>
      </c>
      <c r="H31" s="768">
        <f t="shared" ref="H31:H38" si="6">IF(F31=0,"",G31/ABS(F31))</f>
        <v>0</v>
      </c>
    </row>
    <row r="32" spans="1:8" ht="20.100000000000001" customHeight="1" x14ac:dyDescent="0.25">
      <c r="A32" s="317" t="s">
        <v>262</v>
      </c>
      <c r="B32" s="327"/>
      <c r="C32" s="753">
        <f>'03_BILANS_IND'!C33</f>
        <v>280000</v>
      </c>
      <c r="D32" s="753">
        <f>0</f>
        <v>0</v>
      </c>
      <c r="E32" s="753">
        <f>C32+D32</f>
        <v>280000</v>
      </c>
      <c r="F32" s="753">
        <f>'09B_N-1_ARCHIVE'!E32</f>
        <v>280000</v>
      </c>
      <c r="G32" s="753">
        <f t="shared" si="5"/>
        <v>0</v>
      </c>
      <c r="H32" s="754">
        <f t="shared" si="6"/>
        <v>0</v>
      </c>
    </row>
    <row r="33" spans="1:8" ht="20.100000000000001" customHeight="1" x14ac:dyDescent="0.25">
      <c r="A33" s="315" t="s">
        <v>116</v>
      </c>
      <c r="B33" s="328"/>
      <c r="C33" s="751">
        <v>0</v>
      </c>
      <c r="D33" s="751">
        <v>0</v>
      </c>
      <c r="E33" s="751">
        <f>E27-E31-E32-E34-E35-E36-E37-E40-E49-E57</f>
        <v>526414.25412391592</v>
      </c>
      <c r="F33" s="751">
        <f>'09B_N-1_ARCHIVE'!E33</f>
        <v>850000</v>
      </c>
      <c r="G33" s="751">
        <f t="shared" si="5"/>
        <v>-323585.74587608408</v>
      </c>
      <c r="H33" s="752">
        <f t="shared" si="6"/>
        <v>-0.38068911279539303</v>
      </c>
    </row>
    <row r="34" spans="1:8" ht="20.100000000000001" customHeight="1" x14ac:dyDescent="0.25">
      <c r="A34" s="317" t="s">
        <v>757</v>
      </c>
      <c r="B34" s="318" t="s">
        <v>747</v>
      </c>
      <c r="C34" s="753">
        <f>'10_PNL_CONSO'!E45</f>
        <v>287308.84515281167</v>
      </c>
      <c r="D34" s="753">
        <v>0</v>
      </c>
      <c r="E34" s="753">
        <f>C34+D34</f>
        <v>287308.84515281167</v>
      </c>
      <c r="F34" s="753">
        <f>'09B_N-1_ARCHIVE'!E34</f>
        <v>168000</v>
      </c>
      <c r="G34" s="753">
        <f t="shared" si="5"/>
        <v>119308.84515281167</v>
      </c>
      <c r="H34" s="754">
        <f t="shared" si="6"/>
        <v>0.71017169733816476</v>
      </c>
    </row>
    <row r="35" spans="1:8" ht="20.100000000000001" customHeight="1" x14ac:dyDescent="0.25">
      <c r="A35" s="315" t="s">
        <v>265</v>
      </c>
      <c r="B35" s="316" t="s">
        <v>758</v>
      </c>
      <c r="C35" s="751">
        <f>'05_CONVERSION_IAS21'!B244</f>
        <v>-14109.853295743313</v>
      </c>
      <c r="D35" s="751">
        <f>0</f>
        <v>0</v>
      </c>
      <c r="E35" s="751">
        <f>C35+D35</f>
        <v>-14109.853295743313</v>
      </c>
      <c r="F35" s="751">
        <f>'09B_N-1_ARCHIVE'!E35</f>
        <v>-12000</v>
      </c>
      <c r="G35" s="751">
        <f t="shared" si="5"/>
        <v>-2109.8532957433126</v>
      </c>
      <c r="H35" s="752">
        <f t="shared" si="6"/>
        <v>-0.17582110797860939</v>
      </c>
    </row>
    <row r="36" spans="1:8" ht="20.100000000000001" customHeight="1" x14ac:dyDescent="0.25">
      <c r="A36" s="317" t="s">
        <v>759</v>
      </c>
      <c r="B36" s="318" t="s">
        <v>760</v>
      </c>
      <c r="C36" s="753">
        <f>'08_EFFICACITE'!F17</f>
        <v>34500</v>
      </c>
      <c r="D36" s="753">
        <f>0</f>
        <v>0</v>
      </c>
      <c r="E36" s="753">
        <f>C36+D36</f>
        <v>34500</v>
      </c>
      <c r="F36" s="753">
        <f>'09B_N-1_ARCHIVE'!E36</f>
        <v>28000</v>
      </c>
      <c r="G36" s="753">
        <f t="shared" si="5"/>
        <v>6500</v>
      </c>
      <c r="H36" s="754">
        <f t="shared" si="6"/>
        <v>0.23214285714285715</v>
      </c>
    </row>
    <row r="37" spans="1:8" ht="20.100000000000001" customHeight="1" x14ac:dyDescent="0.25">
      <c r="A37" s="329" t="s">
        <v>761</v>
      </c>
      <c r="B37" s="330" t="s">
        <v>315</v>
      </c>
      <c r="C37" s="769">
        <f>0</f>
        <v>0</v>
      </c>
      <c r="D37" s="769">
        <f>0</f>
        <v>0</v>
      </c>
      <c r="E37" s="769">
        <f>C37+D37</f>
        <v>0</v>
      </c>
      <c r="F37" s="769">
        <f>'09B_N-1_ARCHIVE'!E37</f>
        <v>-5000</v>
      </c>
      <c r="G37" s="769">
        <f t="shared" si="5"/>
        <v>5000</v>
      </c>
      <c r="H37" s="770">
        <f t="shared" si="6"/>
        <v>1</v>
      </c>
    </row>
    <row r="38" spans="1:8" ht="20.100000000000001" customHeight="1" x14ac:dyDescent="0.25">
      <c r="A38" s="705" t="s">
        <v>762</v>
      </c>
      <c r="B38" s="324"/>
      <c r="C38" s="766">
        <f>SUM(C31:C37)</f>
        <v>737698.99185706826</v>
      </c>
      <c r="D38" s="766">
        <f>SUM(D31:D37)</f>
        <v>0</v>
      </c>
      <c r="E38" s="766">
        <f>SUM(E31:E37)</f>
        <v>1264113.2459809843</v>
      </c>
      <c r="F38" s="766">
        <f>SUM(F31:F37)</f>
        <v>1459000</v>
      </c>
      <c r="G38" s="766">
        <f>SUM(G31:G37)</f>
        <v>-194886.75401901573</v>
      </c>
      <c r="H38" s="771">
        <f t="shared" si="6"/>
        <v>-0.13357556821042887</v>
      </c>
    </row>
    <row r="39" spans="1:8" ht="20.100000000000001" customHeight="1" x14ac:dyDescent="0.25">
      <c r="A39" s="307" t="s">
        <v>763</v>
      </c>
      <c r="B39" s="308"/>
      <c r="C39" s="308"/>
      <c r="D39" s="308"/>
      <c r="E39" s="308"/>
      <c r="F39" s="308"/>
      <c r="G39" s="308"/>
      <c r="H39" s="308"/>
    </row>
    <row r="40" spans="1:8" ht="20.100000000000001" customHeight="1" thickBot="1" x14ac:dyDescent="0.3">
      <c r="A40" s="309" t="s">
        <v>764</v>
      </c>
      <c r="B40" s="304"/>
      <c r="C40" s="959">
        <v>0</v>
      </c>
      <c r="D40" s="959">
        <v>0</v>
      </c>
      <c r="E40" s="959">
        <v>45000</v>
      </c>
      <c r="F40" s="959">
        <f>'09B_N-1_ARCHIVE'!E40</f>
        <v>42000</v>
      </c>
      <c r="G40" s="959">
        <f>E40-F40</f>
        <v>3000</v>
      </c>
      <c r="H40" s="960">
        <f>IF(F40=0,"",G40/ABS(F40))</f>
        <v>7.1428571428571425E-2</v>
      </c>
    </row>
    <row r="41" spans="1:8" ht="20.100000000000001" customHeight="1" thickTop="1" x14ac:dyDescent="0.25">
      <c r="A41" s="704" t="s">
        <v>765</v>
      </c>
      <c r="B41" s="310"/>
      <c r="C41" s="772">
        <f>C38+C40</f>
        <v>737698.99185706826</v>
      </c>
      <c r="D41" s="772">
        <f>D38+D40</f>
        <v>0</v>
      </c>
      <c r="E41" s="772">
        <f>E38+E40</f>
        <v>1309113.2459809843</v>
      </c>
      <c r="F41" s="772">
        <f>F38+F40</f>
        <v>1501000</v>
      </c>
      <c r="G41" s="772">
        <f>G38+G40</f>
        <v>-191886.75401901573</v>
      </c>
      <c r="H41" s="773">
        <f>IF(F41=0,"",G41/ABS(F41))</f>
        <v>-0.12783927649501381</v>
      </c>
    </row>
    <row r="42" spans="1:8" ht="20.100000000000001" customHeight="1" x14ac:dyDescent="0.25">
      <c r="A42" s="299"/>
      <c r="B42" s="304"/>
      <c r="C42" s="759"/>
      <c r="D42" s="759"/>
      <c r="E42" s="759"/>
      <c r="F42" s="759"/>
      <c r="G42" s="759"/>
      <c r="H42" s="759"/>
    </row>
    <row r="43" spans="1:8" ht="20.100000000000001" customHeight="1" x14ac:dyDescent="0.25">
      <c r="A43" s="841" t="s">
        <v>766</v>
      </c>
      <c r="B43" s="841"/>
      <c r="C43" s="841"/>
      <c r="D43" s="841"/>
      <c r="E43" s="841"/>
      <c r="F43" s="841"/>
      <c r="G43" s="841"/>
      <c r="H43" s="841"/>
    </row>
    <row r="44" spans="1:8" ht="20.100000000000001" customHeight="1" x14ac:dyDescent="0.25">
      <c r="A44" s="313" t="s">
        <v>767</v>
      </c>
      <c r="B44" s="314" t="s">
        <v>239</v>
      </c>
      <c r="C44" s="749">
        <f>'03_BILANS_IND'!C41+'03_BILANS_IND'!E41+'05_CONVERSION_IAS21'!E30+'05_CONVERSION_IAS21'!E96+'05_CONVERSION_IAS21'!E136+'05_CONVERSION_IAS21'!E175+'05_CONVERSION_IAS21'!E214</f>
        <v>914743.43355395389</v>
      </c>
      <c r="D44" s="749">
        <f>0</f>
        <v>0</v>
      </c>
      <c r="E44" s="749">
        <f>C44+D44</f>
        <v>914743.43355395389</v>
      </c>
      <c r="F44" s="749">
        <f>'09B_N-1_ARCHIVE'!E44</f>
        <v>820000</v>
      </c>
      <c r="G44" s="749">
        <f>E44-F44</f>
        <v>94743.433553953888</v>
      </c>
      <c r="H44" s="750">
        <f t="shared" ref="H44:H49" si="7">IF(F44=0,"",G44/ABS(F44))</f>
        <v>0.11554077262677304</v>
      </c>
    </row>
    <row r="45" spans="1:8" ht="20.100000000000001" customHeight="1" x14ac:dyDescent="0.25">
      <c r="A45" s="315" t="s">
        <v>768</v>
      </c>
      <c r="B45" s="316" t="s">
        <v>233</v>
      </c>
      <c r="C45" s="751">
        <f>'03_BILANS_IND'!C42+'03_BILANS_IND'!E42+'05_CONVERSION_IAS21'!E31+'05_CONVERSION_IAS21'!E97+'05_CONVERSION_IAS21'!E137+'05_CONVERSION_IAS21'!E176+'05_CONVERSION_IAS21'!E215</f>
        <v>640431.75477174623</v>
      </c>
      <c r="D45" s="751">
        <f>0</f>
        <v>0</v>
      </c>
      <c r="E45" s="751">
        <f>C45+D45</f>
        <v>640431.75477174623</v>
      </c>
      <c r="F45" s="751">
        <f>'09B_N-1_ARCHIVE'!E45</f>
        <v>480000</v>
      </c>
      <c r="G45" s="751">
        <f>E45-F45</f>
        <v>160431.75477174623</v>
      </c>
      <c r="H45" s="752">
        <f t="shared" si="7"/>
        <v>0.334232822441138</v>
      </c>
    </row>
    <row r="46" spans="1:8" ht="20.100000000000001" customHeight="1" x14ac:dyDescent="0.25">
      <c r="A46" s="317" t="s">
        <v>272</v>
      </c>
      <c r="B46" s="318" t="s">
        <v>273</v>
      </c>
      <c r="C46" s="753">
        <f>'03_BILANS_IND'!C43+'03_BILANS_IND'!E43+'05_CONVERSION_IAS21'!E32+'05_CONVERSION_IAS21'!E98+'05_CONVERSION_IAS21'!E138+'05_CONVERSION_IAS21'!E177+'05_CONVERSION_IAS21'!E216</f>
        <v>106792.89411130315</v>
      </c>
      <c r="D46" s="753">
        <f>0</f>
        <v>0</v>
      </c>
      <c r="E46" s="753">
        <f>C46+D46</f>
        <v>106792.89411130315</v>
      </c>
      <c r="F46" s="753">
        <f>'09B_N-1_ARCHIVE'!E46</f>
        <v>85000</v>
      </c>
      <c r="G46" s="753">
        <f>E46-F46</f>
        <v>21792.894111303147</v>
      </c>
      <c r="H46" s="754">
        <f t="shared" si="7"/>
        <v>0.25638698954474293</v>
      </c>
    </row>
    <row r="47" spans="1:8" ht="20.100000000000001" customHeight="1" x14ac:dyDescent="0.25">
      <c r="A47" s="315" t="s">
        <v>274</v>
      </c>
      <c r="B47" s="316" t="s">
        <v>241</v>
      </c>
      <c r="C47" s="751">
        <f>'03_BILANS_IND'!C44+'03_BILANS_IND'!E44+'05_CONVERSION_IAS21'!E33+'05_CONVERSION_IAS21'!E99+'05_CONVERSION_IAS21'!E139+'05_CONVERSION_IAS21'!E178+'05_CONVERSION_IAS21'!E217</f>
        <v>113683.49783381543</v>
      </c>
      <c r="D47" s="751">
        <f>0</f>
        <v>0</v>
      </c>
      <c r="E47" s="751">
        <f>C47+D47</f>
        <v>113683.49783381543</v>
      </c>
      <c r="F47" s="751">
        <f>'09B_N-1_ARCHIVE'!E47</f>
        <v>95000</v>
      </c>
      <c r="G47" s="751">
        <f>E47-F47</f>
        <v>18683.497833815432</v>
      </c>
      <c r="H47" s="752">
        <f t="shared" si="7"/>
        <v>0.19666839825068877</v>
      </c>
    </row>
    <row r="48" spans="1:8" ht="20.100000000000001" customHeight="1" x14ac:dyDescent="0.25">
      <c r="A48" s="319" t="s">
        <v>769</v>
      </c>
      <c r="B48" s="333"/>
      <c r="C48" s="755">
        <f>'03_BILANS_IND'!C45+'03_BILANS_IND'!E45</f>
        <v>0</v>
      </c>
      <c r="D48" s="755">
        <f>0</f>
        <v>0</v>
      </c>
      <c r="E48" s="755">
        <f>C48+D48</f>
        <v>0</v>
      </c>
      <c r="F48" s="755">
        <f>'09B_N-1_ARCHIVE'!E48</f>
        <v>0</v>
      </c>
      <c r="G48" s="755">
        <f>E48-F48</f>
        <v>0</v>
      </c>
      <c r="H48" s="756" t="str">
        <f t="shared" si="7"/>
        <v/>
      </c>
    </row>
    <row r="49" spans="1:8" ht="20.100000000000001" customHeight="1" x14ac:dyDescent="0.25">
      <c r="A49" s="703" t="s">
        <v>770</v>
      </c>
      <c r="B49" s="332"/>
      <c r="C49" s="774">
        <f>SUM(C44:C48)</f>
        <v>1775651.5802708187</v>
      </c>
      <c r="D49" s="774">
        <f>SUM(D44:D48)</f>
        <v>0</v>
      </c>
      <c r="E49" s="774">
        <f>SUM(E44:E48)</f>
        <v>1775651.5802708187</v>
      </c>
      <c r="F49" s="774">
        <f>SUM(F44:F48)</f>
        <v>1480000</v>
      </c>
      <c r="G49" s="774">
        <f>SUM(G44:G48)</f>
        <v>295651.58027081867</v>
      </c>
      <c r="H49" s="775">
        <f t="shared" si="7"/>
        <v>0.19976458126406665</v>
      </c>
    </row>
    <row r="50" spans="1:8" ht="20.100000000000001" customHeight="1" x14ac:dyDescent="0.25">
      <c r="A50" s="299"/>
      <c r="B50" s="304"/>
      <c r="C50" s="304"/>
      <c r="D50" s="304"/>
      <c r="E50" s="304"/>
      <c r="F50" s="304"/>
      <c r="G50" s="304"/>
      <c r="H50" s="304"/>
    </row>
    <row r="51" spans="1:8" ht="20.100000000000001" customHeight="1" x14ac:dyDescent="0.25">
      <c r="A51" s="842" t="s">
        <v>771</v>
      </c>
      <c r="B51" s="842"/>
      <c r="C51" s="842"/>
      <c r="D51" s="842"/>
      <c r="E51" s="842"/>
      <c r="F51" s="842"/>
      <c r="G51" s="842"/>
      <c r="H51" s="842"/>
    </row>
    <row r="52" spans="1:8" ht="20.100000000000001" customHeight="1" x14ac:dyDescent="0.25">
      <c r="A52" s="313" t="s">
        <v>772</v>
      </c>
      <c r="B52" s="314" t="s">
        <v>252</v>
      </c>
      <c r="C52" s="749">
        <f>'03_BILANS_IND'!C49+'03_BILANS_IND'!E49+'05_CONVERSION_IAS21'!E34+'05_CONVERSION_IAS21'!E100+'05_CONVERSION_IAS21'!E140+'05_CONVERSION_IAS21'!E179+'05_CONVERSION_IAS21'!E218</f>
        <v>501005.36083422124</v>
      </c>
      <c r="D52" s="749">
        <f>0</f>
        <v>0</v>
      </c>
      <c r="E52" s="749">
        <f>C52+D52</f>
        <v>501005.36083422124</v>
      </c>
      <c r="F52" s="749">
        <f>'09B_N-1_ARCHIVE'!E52</f>
        <v>412000</v>
      </c>
      <c r="G52" s="749">
        <f>E52-F52</f>
        <v>89005.360834221239</v>
      </c>
      <c r="H52" s="750">
        <f t="shared" ref="H52:H57" si="8">IF(F52=0,"",G52/ABS(F52))</f>
        <v>0.21603242920927485</v>
      </c>
    </row>
    <row r="53" spans="1:8" ht="20.100000000000001" customHeight="1" x14ac:dyDescent="0.25">
      <c r="A53" s="315" t="s">
        <v>280</v>
      </c>
      <c r="B53" s="328"/>
      <c r="C53" s="751">
        <f>'03_BILANS_IND'!C50+'03_BILANS_IND'!E50+'05_CONVERSION_IAS21'!E35+'05_CONVERSION_IAS21'!E101+'05_CONVERSION_IAS21'!E141+'05_CONVERSION_IAS21'!E180+'05_CONVERSION_IAS21'!E219</f>
        <v>105159.92687159021</v>
      </c>
      <c r="D53" s="751">
        <f>0</f>
        <v>0</v>
      </c>
      <c r="E53" s="751">
        <f>C53+D53</f>
        <v>105159.92687159021</v>
      </c>
      <c r="F53" s="751">
        <f>'09B_N-1_ARCHIVE'!E53</f>
        <v>135000</v>
      </c>
      <c r="G53" s="751">
        <f>E53-F53</f>
        <v>-29840.073128409786</v>
      </c>
      <c r="H53" s="752">
        <f t="shared" si="8"/>
        <v>-0.22103757872896138</v>
      </c>
    </row>
    <row r="54" spans="1:8" ht="20.100000000000001" customHeight="1" x14ac:dyDescent="0.25">
      <c r="A54" s="317" t="s">
        <v>773</v>
      </c>
      <c r="B54" s="318" t="s">
        <v>747</v>
      </c>
      <c r="C54" s="753">
        <f>'03_BILANS_IND'!C54+'03_BILANS_IND'!E54</f>
        <v>682900</v>
      </c>
      <c r="D54" s="753">
        <f>-'07_ELIMINATIONS'!H127</f>
        <v>-265800</v>
      </c>
      <c r="E54" s="753">
        <f>C54+D54</f>
        <v>417100</v>
      </c>
      <c r="F54" s="753">
        <f>'09B_N-1_ARCHIVE'!E54</f>
        <v>0</v>
      </c>
      <c r="G54" s="753">
        <f>E54-F54</f>
        <v>417100</v>
      </c>
      <c r="H54" s="754" t="str">
        <f t="shared" si="8"/>
        <v/>
      </c>
    </row>
    <row r="55" spans="1:8" ht="20.100000000000001" customHeight="1" x14ac:dyDescent="0.25">
      <c r="A55" s="315" t="s">
        <v>774</v>
      </c>
      <c r="B55" s="328"/>
      <c r="C55" s="751">
        <f>'03_BILANS_IND'!C52+'03_BILANS_IND'!E52+'05_CONVERSION_IAS21'!E36+'05_CONVERSION_IAS21'!E102+'05_CONVERSION_IAS21'!E142+'05_CONVERSION_IAS21'!E181+'05_CONVERSION_IAS21'!E220</f>
        <v>281642.09422832361</v>
      </c>
      <c r="D55" s="751">
        <f>0</f>
        <v>0</v>
      </c>
      <c r="E55" s="751">
        <f>C55+D55</f>
        <v>281642.09422832361</v>
      </c>
      <c r="F55" s="751">
        <f>'09B_N-1_ARCHIVE'!E55</f>
        <v>198000</v>
      </c>
      <c r="G55" s="751">
        <f>E55-F55</f>
        <v>83642.094228323607</v>
      </c>
      <c r="H55" s="752">
        <f t="shared" si="8"/>
        <v>0.42243481933496774</v>
      </c>
    </row>
    <row r="56" spans="1:8" ht="20.100000000000001" customHeight="1" x14ac:dyDescent="0.25">
      <c r="A56" s="322" t="s">
        <v>282</v>
      </c>
      <c r="B56" s="323" t="s">
        <v>239</v>
      </c>
      <c r="C56" s="761">
        <f>'03_BILANS_IND'!C53+'03_BILANS_IND'!E53+'05_CONVERSION_IAS21'!E37+'05_CONVERSION_IAS21'!E103+'05_CONVERSION_IAS21'!E143+'05_CONVERSION_IAS21'!E182+'05_CONVERSION_IAS21'!E221</f>
        <v>18182.264042816681</v>
      </c>
      <c r="D56" s="761">
        <f>0</f>
        <v>0</v>
      </c>
      <c r="E56" s="761">
        <f>C56+D56</f>
        <v>18182.264042816681</v>
      </c>
      <c r="F56" s="761">
        <f>'09B_N-1_ARCHIVE'!E56</f>
        <v>38000</v>
      </c>
      <c r="G56" s="761">
        <f>E56-F56</f>
        <v>-19817.735957183319</v>
      </c>
      <c r="H56" s="762">
        <f t="shared" si="8"/>
        <v>-0.52151936729429782</v>
      </c>
    </row>
    <row r="57" spans="1:8" ht="20.100000000000001" customHeight="1" x14ac:dyDescent="0.25">
      <c r="A57" s="707" t="s">
        <v>775</v>
      </c>
      <c r="B57" s="321"/>
      <c r="C57" s="758">
        <f>SUM(C52:C56)</f>
        <v>1588889.6459769516</v>
      </c>
      <c r="D57" s="758">
        <f>SUM(D52:D56)</f>
        <v>-265800</v>
      </c>
      <c r="E57" s="758">
        <f>SUM(E52:E56)</f>
        <v>1323089.6459769516</v>
      </c>
      <c r="F57" s="758">
        <f>SUM(F52:F56)</f>
        <v>783000</v>
      </c>
      <c r="G57" s="758">
        <f>SUM(G52:G56)</f>
        <v>540089.6459769517</v>
      </c>
      <c r="H57" s="763">
        <f t="shared" si="8"/>
        <v>0.6897696628058132</v>
      </c>
    </row>
    <row r="58" spans="1:8" ht="20.100000000000001" customHeight="1" thickBot="1" x14ac:dyDescent="0.3">
      <c r="A58" s="299"/>
      <c r="B58" s="304"/>
      <c r="C58" s="764"/>
      <c r="D58" s="764"/>
      <c r="E58" s="764"/>
      <c r="F58" s="764"/>
      <c r="G58" s="764"/>
      <c r="H58" s="764"/>
    </row>
    <row r="59" spans="1:8" ht="20.100000000000001" customHeight="1" thickTop="1" x14ac:dyDescent="0.25">
      <c r="A59" s="706" t="s">
        <v>284</v>
      </c>
      <c r="B59" s="306"/>
      <c r="C59" s="760">
        <f>C41+C49+C57</f>
        <v>4102240.2181048384</v>
      </c>
      <c r="D59" s="760">
        <f>D41+D49+D57</f>
        <v>-265800</v>
      </c>
      <c r="E59" s="760">
        <f>E41+E49+E57</f>
        <v>4407854.4722287543</v>
      </c>
      <c r="F59" s="760">
        <f>F41+F49+F57</f>
        <v>3764000</v>
      </c>
      <c r="G59" s="760">
        <f>G41+G49+G57</f>
        <v>643854.47222875466</v>
      </c>
      <c r="H59" s="765">
        <f>IF(F59=0,"",G59/ABS(F59))</f>
        <v>0.17105591717023239</v>
      </c>
    </row>
    <row r="60" spans="1:8" ht="20.100000000000001" customHeight="1" x14ac:dyDescent="0.25">
      <c r="A60" s="299"/>
      <c r="B60" s="304"/>
      <c r="C60" s="304"/>
      <c r="D60" s="304"/>
      <c r="E60" s="304"/>
      <c r="F60" s="304"/>
      <c r="G60" s="304"/>
      <c r="H60" s="304"/>
    </row>
    <row r="61" spans="1:8" ht="20.100000000000001" customHeight="1" x14ac:dyDescent="0.25">
      <c r="A61" s="311" t="s">
        <v>776</v>
      </c>
      <c r="B61" s="312" t="str">
        <f>IF(ABS(E27-E59)&lt;1,"✅ BILAN ÉQUILIBRÉ — "&amp;TEXT(E27,"#,##0")&amp;" K€","❌ ÉCART : "&amp;TEXT(E27-E59,"#,##0")&amp;" K€")</f>
        <v>✅ BILAN ÉQUILIBRÉ — 4407854,472 K€</v>
      </c>
      <c r="C61" s="776"/>
      <c r="D61" s="776"/>
      <c r="E61" s="776"/>
      <c r="F61" s="776"/>
      <c r="G61" s="776"/>
      <c r="H61" s="776"/>
    </row>
    <row r="62" spans="1:8" x14ac:dyDescent="0.25">
      <c r="A62" s="8"/>
      <c r="B62" s="8"/>
      <c r="C62" s="8"/>
      <c r="D62" s="8"/>
      <c r="E62" s="8"/>
      <c r="F62" s="8"/>
      <c r="G62" s="8"/>
      <c r="H62" s="8"/>
    </row>
    <row r="63" spans="1:8" ht="27" customHeight="1" x14ac:dyDescent="0.25">
      <c r="A63" s="777" t="s">
        <v>1252</v>
      </c>
      <c r="B63" s="778" t="s">
        <v>1254</v>
      </c>
      <c r="C63" s="8"/>
      <c r="D63" s="8"/>
      <c r="E63" s="8"/>
      <c r="F63" s="8"/>
      <c r="G63" s="8"/>
      <c r="H63" s="8"/>
    </row>
    <row r="64" spans="1:8" x14ac:dyDescent="0.25">
      <c r="A64" s="710" t="s">
        <v>767</v>
      </c>
      <c r="B64" s="708" t="s">
        <v>239</v>
      </c>
      <c r="C64" s="8"/>
      <c r="D64" s="8"/>
      <c r="E64" s="612">
        <f>E44</f>
        <v>914743.43355395389</v>
      </c>
      <c r="F64" s="8"/>
      <c r="G64" s="8"/>
      <c r="H64" s="8"/>
    </row>
    <row r="65" spans="1:8" x14ac:dyDescent="0.25">
      <c r="A65" s="711" t="s">
        <v>1255</v>
      </c>
      <c r="B65" s="709" t="s">
        <v>233</v>
      </c>
      <c r="C65" s="8"/>
      <c r="D65" s="8"/>
      <c r="E65" s="613">
        <f>E45</f>
        <v>640431.75477174623</v>
      </c>
      <c r="F65" s="8"/>
      <c r="G65" s="8"/>
      <c r="H65" s="8"/>
    </row>
    <row r="66" spans="1:8" x14ac:dyDescent="0.25">
      <c r="A66" s="712" t="s">
        <v>1256</v>
      </c>
      <c r="B66" s="708" t="s">
        <v>239</v>
      </c>
      <c r="E66" s="591">
        <v>0</v>
      </c>
    </row>
    <row r="67" spans="1:8" x14ac:dyDescent="0.25">
      <c r="A67" s="711" t="s">
        <v>1257</v>
      </c>
      <c r="B67" s="709" t="s">
        <v>233</v>
      </c>
      <c r="E67" s="591">
        <v>0</v>
      </c>
    </row>
    <row r="68" spans="1:8" x14ac:dyDescent="0.25">
      <c r="A68" s="331" t="s">
        <v>1258</v>
      </c>
      <c r="E68" s="615">
        <f>SUM(E64:E67)</f>
        <v>1555175.1883257001</v>
      </c>
    </row>
    <row r="69" spans="1:8" x14ac:dyDescent="0.25">
      <c r="A69" s="710" t="s">
        <v>1259</v>
      </c>
      <c r="B69" s="709" t="s">
        <v>256</v>
      </c>
      <c r="E69" s="616">
        <f>-E24</f>
        <v>-390113.33830883488</v>
      </c>
    </row>
    <row r="70" spans="1:8" ht="16.5" x14ac:dyDescent="0.3">
      <c r="A70" s="617" t="s">
        <v>1260</v>
      </c>
      <c r="E70" s="614">
        <f>E68+E69</f>
        <v>1165061.8500168652</v>
      </c>
    </row>
    <row r="71" spans="1:8" x14ac:dyDescent="0.25">
      <c r="A71" s="618" t="s">
        <v>1261</v>
      </c>
      <c r="E71" s="619">
        <f>E70-E65-E67</f>
        <v>524630.09524511895</v>
      </c>
    </row>
    <row r="73" spans="1:8" x14ac:dyDescent="0.25">
      <c r="A73" s="620" t="s">
        <v>1262</v>
      </c>
    </row>
    <row r="74" spans="1:8" x14ac:dyDescent="0.25">
      <c r="A74" s="510" t="s">
        <v>1263</v>
      </c>
      <c r="E74" s="570">
        <f>'10_PNL_CONSO'!E26+ABS('10_PNL_CONSO'!E21)</f>
        <v>558493.67799215217</v>
      </c>
    </row>
    <row r="75" spans="1:8" x14ac:dyDescent="0.25">
      <c r="A75" s="621" t="s">
        <v>1264</v>
      </c>
      <c r="E75" s="622">
        <f>IF(E74=0,"",E70/E74)</f>
        <v>2.0860788508929842</v>
      </c>
    </row>
    <row r="76" spans="1:8" x14ac:dyDescent="0.25">
      <c r="A76" s="623" t="s">
        <v>1265</v>
      </c>
      <c r="E76" s="624">
        <f>IF(E74=0,"",E71/E74)</f>
        <v>0.93936622009979309</v>
      </c>
    </row>
    <row r="77" spans="1:8" x14ac:dyDescent="0.25">
      <c r="A77" s="510" t="s">
        <v>1266</v>
      </c>
      <c r="E77" s="625">
        <f>IF(E41=0,"",E70/E41)</f>
        <v>0.88996261675117783</v>
      </c>
    </row>
  </sheetData>
  <mergeCells count="6">
    <mergeCell ref="A51:H51"/>
    <mergeCell ref="A1:H1"/>
    <mergeCell ref="A2:H2"/>
    <mergeCell ref="A29:H29"/>
    <mergeCell ref="A30:H30"/>
    <mergeCell ref="A43:H4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8BC84-45EF-4F25-80FE-F0293585CD7C}">
  <sheetPr>
    <tabColor rgb="FFD4A843"/>
  </sheetPr>
  <dimension ref="A1:H91"/>
  <sheetViews>
    <sheetView showGridLines="0" topLeftCell="A6" workbookViewId="0">
      <selection activeCell="C6" sqref="C6"/>
    </sheetView>
  </sheetViews>
  <sheetFormatPr baseColWidth="10" defaultRowHeight="15" x14ac:dyDescent="0.25"/>
  <cols>
    <col min="1" max="1" width="52.42578125" bestFit="1" customWidth="1"/>
    <col min="2" max="2" width="36.28515625" bestFit="1" customWidth="1"/>
    <col min="3" max="4" width="21" customWidth="1"/>
    <col min="5" max="5" width="22.85546875" customWidth="1"/>
    <col min="6" max="6" width="21" customWidth="1"/>
    <col min="7" max="7" width="19" customWidth="1"/>
    <col min="8" max="8" width="13.28515625" customWidth="1"/>
  </cols>
  <sheetData>
    <row r="1" spans="1:8" ht="36" customHeight="1" x14ac:dyDescent="0.25">
      <c r="A1" s="837" t="s">
        <v>1333</v>
      </c>
      <c r="B1" s="837"/>
      <c r="C1" s="837"/>
      <c r="D1" s="837"/>
      <c r="E1" s="837"/>
      <c r="F1" s="837"/>
      <c r="G1" s="837"/>
      <c r="H1" s="837"/>
    </row>
    <row r="2" spans="1:8" x14ac:dyDescent="0.25">
      <c r="A2" s="838" t="s">
        <v>1334</v>
      </c>
      <c r="B2" s="838"/>
      <c r="C2" s="838"/>
      <c r="D2" s="838"/>
      <c r="E2" s="838"/>
      <c r="F2" s="838"/>
      <c r="G2" s="838"/>
      <c r="H2" s="838"/>
    </row>
    <row r="3" spans="1:8" x14ac:dyDescent="0.25">
      <c r="A3" s="8"/>
      <c r="B3" s="8"/>
      <c r="C3" s="8"/>
      <c r="D3" s="8"/>
      <c r="E3" s="8"/>
      <c r="F3" s="8"/>
      <c r="G3" s="8"/>
      <c r="H3" s="8"/>
    </row>
    <row r="4" spans="1:8" ht="32.1" customHeight="1" x14ac:dyDescent="0.25">
      <c r="A4" s="697" t="s">
        <v>220</v>
      </c>
      <c r="B4" s="697" t="s">
        <v>221</v>
      </c>
      <c r="C4" s="697" t="s">
        <v>740</v>
      </c>
      <c r="D4" s="697" t="s">
        <v>741</v>
      </c>
      <c r="E4" s="697" t="s">
        <v>743</v>
      </c>
      <c r="F4" s="697" t="s">
        <v>743</v>
      </c>
      <c r="G4" s="697" t="s">
        <v>1336</v>
      </c>
      <c r="H4" s="697"/>
    </row>
    <row r="5" spans="1:8" ht="21.95" customHeight="1" x14ac:dyDescent="0.25">
      <c r="A5" s="698" t="s">
        <v>746</v>
      </c>
      <c r="B5" s="298"/>
      <c r="C5" s="298"/>
      <c r="D5" s="298"/>
      <c r="E5" s="298"/>
      <c r="F5" s="298"/>
      <c r="G5" s="298"/>
      <c r="H5" s="298"/>
    </row>
    <row r="6" spans="1:8" ht="20.100000000000001" customHeight="1" x14ac:dyDescent="0.25">
      <c r="A6" s="313" t="s">
        <v>226</v>
      </c>
      <c r="B6" s="314" t="s">
        <v>517</v>
      </c>
      <c r="C6" s="749">
        <v>168490.27340570901</v>
      </c>
      <c r="D6" s="749">
        <v>0</v>
      </c>
      <c r="E6" s="749">
        <v>165000</v>
      </c>
      <c r="F6" s="749">
        <v>165000</v>
      </c>
      <c r="G6" s="749"/>
      <c r="H6" s="750"/>
    </row>
    <row r="7" spans="1:8" ht="20.100000000000001" customHeight="1" x14ac:dyDescent="0.25">
      <c r="A7" s="315" t="s">
        <v>228</v>
      </c>
      <c r="B7" s="316" t="s">
        <v>229</v>
      </c>
      <c r="C7" s="751">
        <v>410966.45825885102</v>
      </c>
      <c r="D7" s="751">
        <v>0</v>
      </c>
      <c r="E7" s="751">
        <v>405000</v>
      </c>
      <c r="F7" s="751">
        <v>405000</v>
      </c>
      <c r="G7" s="751"/>
      <c r="H7" s="752"/>
    </row>
    <row r="8" spans="1:8" ht="20.100000000000001" customHeight="1" x14ac:dyDescent="0.25">
      <c r="A8" s="317" t="s">
        <v>230</v>
      </c>
      <c r="B8" s="318" t="s">
        <v>231</v>
      </c>
      <c r="C8" s="753">
        <v>1012064.2107458001</v>
      </c>
      <c r="D8" s="753">
        <v>0</v>
      </c>
      <c r="E8" s="753">
        <v>1075000</v>
      </c>
      <c r="F8" s="753">
        <v>1075000</v>
      </c>
      <c r="G8" s="753"/>
      <c r="H8" s="754"/>
    </row>
    <row r="9" spans="1:8" ht="20.100000000000001" customHeight="1" x14ac:dyDescent="0.25">
      <c r="A9" s="315" t="s">
        <v>232</v>
      </c>
      <c r="B9" s="316" t="s">
        <v>233</v>
      </c>
      <c r="C9" s="751">
        <v>1030193.54451435</v>
      </c>
      <c r="D9" s="751">
        <v>0</v>
      </c>
      <c r="E9" s="751">
        <v>970000</v>
      </c>
      <c r="F9" s="751">
        <v>970000</v>
      </c>
      <c r="G9" s="751"/>
      <c r="H9" s="752"/>
    </row>
    <row r="10" spans="1:8" ht="20.100000000000001" customHeight="1" x14ac:dyDescent="0.25">
      <c r="A10" s="317" t="s">
        <v>369</v>
      </c>
      <c r="B10" s="318" t="s">
        <v>747</v>
      </c>
      <c r="C10" s="753">
        <v>892000</v>
      </c>
      <c r="D10" s="753">
        <v>-892000</v>
      </c>
      <c r="E10" s="753">
        <v>0</v>
      </c>
      <c r="F10" s="753">
        <v>0</v>
      </c>
      <c r="G10" s="753"/>
      <c r="H10" s="754"/>
    </row>
    <row r="11" spans="1:8" ht="20.100000000000001" customHeight="1" x14ac:dyDescent="0.25">
      <c r="A11" s="315" t="s">
        <v>748</v>
      </c>
      <c r="B11" s="316" t="s">
        <v>237</v>
      </c>
      <c r="C11" s="751">
        <v>0</v>
      </c>
      <c r="D11" s="751">
        <v>0</v>
      </c>
      <c r="E11" s="751">
        <v>3200</v>
      </c>
      <c r="F11" s="751">
        <v>3200</v>
      </c>
      <c r="G11" s="751"/>
      <c r="H11" s="752"/>
    </row>
    <row r="12" spans="1:8" ht="20.100000000000001" customHeight="1" x14ac:dyDescent="0.25">
      <c r="A12" s="317" t="s">
        <v>238</v>
      </c>
      <c r="B12" s="318" t="s">
        <v>239</v>
      </c>
      <c r="C12" s="753">
        <v>90652.324746120605</v>
      </c>
      <c r="D12" s="753">
        <v>0</v>
      </c>
      <c r="E12" s="753">
        <v>85000</v>
      </c>
      <c r="F12" s="753">
        <v>85000</v>
      </c>
      <c r="G12" s="753"/>
      <c r="H12" s="754"/>
    </row>
    <row r="13" spans="1:8" ht="20.100000000000001" customHeight="1" x14ac:dyDescent="0.25">
      <c r="A13" s="315" t="s">
        <v>240</v>
      </c>
      <c r="B13" s="316" t="s">
        <v>241</v>
      </c>
      <c r="C13" s="751">
        <v>95951.905888620298</v>
      </c>
      <c r="D13" s="751">
        <v>4716.55</v>
      </c>
      <c r="E13" s="751">
        <v>95000</v>
      </c>
      <c r="F13" s="751">
        <v>95000</v>
      </c>
      <c r="G13" s="751"/>
      <c r="H13" s="752"/>
    </row>
    <row r="14" spans="1:8" ht="20.100000000000001" customHeight="1" x14ac:dyDescent="0.25">
      <c r="A14" s="319" t="s">
        <v>749</v>
      </c>
      <c r="B14" s="320" t="s">
        <v>514</v>
      </c>
      <c r="C14" s="755">
        <v>185000</v>
      </c>
      <c r="D14" s="755">
        <v>-185000</v>
      </c>
      <c r="E14" s="755">
        <v>0</v>
      </c>
      <c r="F14" s="755">
        <v>0</v>
      </c>
      <c r="G14" s="755"/>
      <c r="H14" s="756"/>
    </row>
    <row r="15" spans="1:8" ht="20.100000000000001" customHeight="1" x14ac:dyDescent="0.25">
      <c r="A15" s="699" t="s">
        <v>750</v>
      </c>
      <c r="B15" s="303"/>
      <c r="C15" s="748">
        <v>3885318.7175594498</v>
      </c>
      <c r="D15" s="748">
        <v>-1072283.45</v>
      </c>
      <c r="E15" s="748">
        <v>2798200</v>
      </c>
      <c r="F15" s="748">
        <v>2798200</v>
      </c>
      <c r="G15" s="748"/>
      <c r="H15" s="757"/>
    </row>
    <row r="16" spans="1:8" ht="20.100000000000001" customHeight="1" x14ac:dyDescent="0.25">
      <c r="A16" s="299"/>
      <c r="B16" s="304"/>
      <c r="C16" s="304"/>
      <c r="D16" s="304"/>
      <c r="E16" s="304"/>
      <c r="F16" s="304"/>
      <c r="G16" s="304"/>
      <c r="H16" s="304"/>
    </row>
    <row r="17" spans="1:8" ht="20.100000000000001" customHeight="1" x14ac:dyDescent="0.25">
      <c r="A17" s="700" t="s">
        <v>751</v>
      </c>
      <c r="B17" s="305"/>
      <c r="C17" s="305"/>
      <c r="D17" s="305"/>
      <c r="E17" s="305"/>
      <c r="F17" s="305"/>
      <c r="G17" s="305"/>
      <c r="H17" s="305"/>
    </row>
    <row r="18" spans="1:8" ht="20.100000000000001" customHeight="1" x14ac:dyDescent="0.25">
      <c r="A18" s="313" t="s">
        <v>246</v>
      </c>
      <c r="B18" s="314" t="s">
        <v>247</v>
      </c>
      <c r="C18" s="749">
        <v>643864.03840234899</v>
      </c>
      <c r="D18" s="749">
        <v>-20321</v>
      </c>
      <c r="E18" s="749">
        <v>420000</v>
      </c>
      <c r="F18" s="749">
        <v>420000</v>
      </c>
      <c r="G18" s="749"/>
      <c r="H18" s="750"/>
    </row>
    <row r="19" spans="1:8" ht="20.100000000000001" customHeight="1" x14ac:dyDescent="0.25">
      <c r="A19" s="315" t="s">
        <v>752</v>
      </c>
      <c r="B19" s="316" t="s">
        <v>239</v>
      </c>
      <c r="C19" s="751">
        <v>415530.62506560498</v>
      </c>
      <c r="D19" s="751">
        <v>0</v>
      </c>
      <c r="E19" s="751">
        <v>365000</v>
      </c>
      <c r="F19" s="751">
        <v>365000</v>
      </c>
      <c r="G19" s="751"/>
      <c r="H19" s="752"/>
    </row>
    <row r="20" spans="1:8" ht="20.100000000000001" customHeight="1" x14ac:dyDescent="0.25">
      <c r="A20" s="317" t="s">
        <v>753</v>
      </c>
      <c r="B20" s="318" t="s">
        <v>514</v>
      </c>
      <c r="C20" s="753">
        <v>140000</v>
      </c>
      <c r="D20" s="753">
        <v>-140000</v>
      </c>
      <c r="E20" s="753">
        <v>0</v>
      </c>
      <c r="F20" s="753">
        <v>0</v>
      </c>
      <c r="G20" s="753"/>
      <c r="H20" s="754"/>
    </row>
    <row r="21" spans="1:8" ht="20.100000000000001" customHeight="1" x14ac:dyDescent="0.25">
      <c r="A21" s="315" t="s">
        <v>251</v>
      </c>
      <c r="B21" s="316"/>
      <c r="C21" s="751">
        <v>80000</v>
      </c>
      <c r="D21" s="751">
        <v>0</v>
      </c>
      <c r="E21" s="751">
        <v>82000</v>
      </c>
      <c r="F21" s="751">
        <v>82000</v>
      </c>
      <c r="G21" s="751"/>
      <c r="H21" s="752"/>
    </row>
    <row r="22" spans="1:8" ht="20.100000000000001" customHeight="1" x14ac:dyDescent="0.25">
      <c r="A22" s="317" t="s">
        <v>253</v>
      </c>
      <c r="B22" s="318"/>
      <c r="C22" s="753">
        <v>47668.873439660201</v>
      </c>
      <c r="D22" s="753">
        <v>0</v>
      </c>
      <c r="E22" s="753">
        <v>38000</v>
      </c>
      <c r="F22" s="753">
        <v>38000</v>
      </c>
      <c r="G22" s="753"/>
      <c r="H22" s="754"/>
    </row>
    <row r="23" spans="1:8" ht="20.100000000000001" customHeight="1" x14ac:dyDescent="0.25">
      <c r="A23" s="315" t="s">
        <v>254</v>
      </c>
      <c r="B23" s="316" t="s">
        <v>239</v>
      </c>
      <c r="C23" s="751">
        <v>34500</v>
      </c>
      <c r="D23" s="751">
        <v>0</v>
      </c>
      <c r="E23" s="751">
        <v>42000</v>
      </c>
      <c r="F23" s="751">
        <v>42000</v>
      </c>
      <c r="G23" s="751"/>
      <c r="H23" s="752"/>
    </row>
    <row r="24" spans="1:8" ht="20.100000000000001" customHeight="1" x14ac:dyDescent="0.25">
      <c r="A24" s="322" t="s">
        <v>255</v>
      </c>
      <c r="B24" s="323" t="s">
        <v>256</v>
      </c>
      <c r="C24" s="761">
        <v>390113.33830883499</v>
      </c>
      <c r="D24" s="761">
        <v>0</v>
      </c>
      <c r="E24" s="761">
        <v>380000</v>
      </c>
      <c r="F24" s="761">
        <v>380000</v>
      </c>
      <c r="G24" s="761"/>
      <c r="H24" s="762"/>
    </row>
    <row r="25" spans="1:8" ht="20.100000000000001" customHeight="1" x14ac:dyDescent="0.25">
      <c r="A25" s="701" t="s">
        <v>754</v>
      </c>
      <c r="B25" s="321"/>
      <c r="C25" s="758">
        <v>1751676.8752164501</v>
      </c>
      <c r="D25" s="758">
        <v>-160321</v>
      </c>
      <c r="E25" s="758">
        <v>1327000</v>
      </c>
      <c r="F25" s="758">
        <v>1327000</v>
      </c>
      <c r="G25" s="758"/>
      <c r="H25" s="763"/>
    </row>
    <row r="26" spans="1:8" ht="20.100000000000001" customHeight="1" thickBot="1" x14ac:dyDescent="0.3">
      <c r="A26" s="299"/>
      <c r="B26" s="304"/>
      <c r="C26" s="764"/>
      <c r="D26" s="764"/>
      <c r="E26" s="764"/>
      <c r="F26" s="764"/>
      <c r="G26" s="764"/>
      <c r="H26" s="764"/>
    </row>
    <row r="27" spans="1:8" ht="26.1" customHeight="1" thickTop="1" x14ac:dyDescent="0.25">
      <c r="A27" s="702" t="s">
        <v>755</v>
      </c>
      <c r="B27" s="306"/>
      <c r="C27" s="760">
        <v>5636995.5927758999</v>
      </c>
      <c r="D27" s="760">
        <v>-1232604.45</v>
      </c>
      <c r="E27" s="760">
        <v>4125200</v>
      </c>
      <c r="F27" s="760">
        <v>4125200</v>
      </c>
      <c r="G27" s="760"/>
      <c r="H27" s="765"/>
    </row>
    <row r="28" spans="1:8" x14ac:dyDescent="0.25">
      <c r="A28" s="8"/>
      <c r="B28" s="8"/>
      <c r="C28" s="8"/>
      <c r="D28" s="8"/>
      <c r="E28" s="8"/>
      <c r="F28" s="8"/>
      <c r="G28" s="8"/>
      <c r="H28" s="8"/>
    </row>
    <row r="29" spans="1:8" ht="20.100000000000001" customHeight="1" x14ac:dyDescent="0.25">
      <c r="A29" s="839" t="s">
        <v>384</v>
      </c>
      <c r="B29" s="839"/>
      <c r="C29" s="839"/>
      <c r="D29" s="839"/>
      <c r="E29" s="839"/>
      <c r="F29" s="839"/>
      <c r="G29" s="839"/>
      <c r="H29" s="839"/>
    </row>
    <row r="30" spans="1:8" ht="20.100000000000001" customHeight="1" x14ac:dyDescent="0.25">
      <c r="A30" s="840" t="s">
        <v>756</v>
      </c>
      <c r="B30" s="840"/>
      <c r="C30" s="840"/>
      <c r="D30" s="840"/>
      <c r="E30" s="840"/>
      <c r="F30" s="840"/>
      <c r="G30" s="840"/>
      <c r="H30" s="840"/>
    </row>
    <row r="31" spans="1:8" ht="20.100000000000001" customHeight="1" x14ac:dyDescent="0.25">
      <c r="A31" s="325" t="s">
        <v>261</v>
      </c>
      <c r="B31" s="326" t="s">
        <v>252</v>
      </c>
      <c r="C31" s="767">
        <v>150000</v>
      </c>
      <c r="D31" s="767">
        <v>0</v>
      </c>
      <c r="E31" s="767">
        <v>150000</v>
      </c>
      <c r="F31" s="767">
        <v>150000</v>
      </c>
      <c r="G31" s="767"/>
      <c r="H31" s="768"/>
    </row>
    <row r="32" spans="1:8" ht="20.100000000000001" customHeight="1" x14ac:dyDescent="0.25">
      <c r="A32" s="317" t="s">
        <v>262</v>
      </c>
      <c r="B32" s="327"/>
      <c r="C32" s="753">
        <v>280000</v>
      </c>
      <c r="D32" s="753">
        <v>0</v>
      </c>
      <c r="E32" s="753">
        <v>280000</v>
      </c>
      <c r="F32" s="753">
        <v>280000</v>
      </c>
      <c r="G32" s="753"/>
      <c r="H32" s="754"/>
    </row>
    <row r="33" spans="1:8" ht="20.100000000000001" customHeight="1" x14ac:dyDescent="0.25">
      <c r="A33" s="315" t="s">
        <v>116</v>
      </c>
      <c r="B33" s="328"/>
      <c r="C33" s="751">
        <v>0</v>
      </c>
      <c r="D33" s="751">
        <v>0</v>
      </c>
      <c r="E33" s="751">
        <v>850000</v>
      </c>
      <c r="F33" s="751">
        <v>850000</v>
      </c>
      <c r="G33" s="751"/>
      <c r="H33" s="752"/>
    </row>
    <row r="34" spans="1:8" ht="20.100000000000001" customHeight="1" x14ac:dyDescent="0.25">
      <c r="A34" s="317" t="s">
        <v>757</v>
      </c>
      <c r="B34" s="318" t="s">
        <v>747</v>
      </c>
      <c r="C34" s="753">
        <v>287308.84515281202</v>
      </c>
      <c r="D34" s="753">
        <v>0</v>
      </c>
      <c r="E34" s="753">
        <v>168000</v>
      </c>
      <c r="F34" s="753">
        <v>168000</v>
      </c>
      <c r="G34" s="753"/>
      <c r="H34" s="754"/>
    </row>
    <row r="35" spans="1:8" ht="20.100000000000001" customHeight="1" x14ac:dyDescent="0.25">
      <c r="A35" s="315" t="s">
        <v>265</v>
      </c>
      <c r="B35" s="316" t="s">
        <v>758</v>
      </c>
      <c r="C35" s="751">
        <v>-14109.8532957433</v>
      </c>
      <c r="D35" s="751">
        <v>0</v>
      </c>
      <c r="E35" s="751">
        <v>-12000</v>
      </c>
      <c r="F35" s="751">
        <v>-12000</v>
      </c>
      <c r="G35" s="751"/>
      <c r="H35" s="752"/>
    </row>
    <row r="36" spans="1:8" ht="20.100000000000001" customHeight="1" x14ac:dyDescent="0.25">
      <c r="A36" s="317" t="s">
        <v>759</v>
      </c>
      <c r="B36" s="318" t="s">
        <v>760</v>
      </c>
      <c r="C36" s="753">
        <v>34500</v>
      </c>
      <c r="D36" s="753">
        <v>0</v>
      </c>
      <c r="E36" s="753">
        <v>28000</v>
      </c>
      <c r="F36" s="753">
        <v>28000</v>
      </c>
      <c r="G36" s="753"/>
      <c r="H36" s="754"/>
    </row>
    <row r="37" spans="1:8" ht="20.100000000000001" customHeight="1" x14ac:dyDescent="0.25">
      <c r="A37" s="329" t="s">
        <v>761</v>
      </c>
      <c r="B37" s="330" t="s">
        <v>315</v>
      </c>
      <c r="C37" s="769">
        <v>0</v>
      </c>
      <c r="D37" s="769">
        <v>0</v>
      </c>
      <c r="E37" s="769">
        <v>-5000</v>
      </c>
      <c r="F37" s="769">
        <v>-5000</v>
      </c>
      <c r="G37" s="769"/>
      <c r="H37" s="770"/>
    </row>
    <row r="38" spans="1:8" ht="20.100000000000001" customHeight="1" x14ac:dyDescent="0.25">
      <c r="A38" s="705" t="s">
        <v>762</v>
      </c>
      <c r="B38" s="324"/>
      <c r="C38" s="766">
        <v>737698.99185706803</v>
      </c>
      <c r="D38" s="766">
        <v>0</v>
      </c>
      <c r="E38" s="766">
        <v>1459000</v>
      </c>
      <c r="F38" s="766">
        <v>1459000</v>
      </c>
      <c r="G38" s="766"/>
      <c r="H38" s="771"/>
    </row>
    <row r="39" spans="1:8" ht="20.100000000000001" customHeight="1" x14ac:dyDescent="0.25">
      <c r="A39" s="307" t="s">
        <v>763</v>
      </c>
      <c r="B39" s="308"/>
      <c r="C39" s="308"/>
      <c r="D39" s="308"/>
      <c r="E39" s="308"/>
      <c r="F39" s="308"/>
      <c r="G39" s="308"/>
      <c r="H39" s="308"/>
    </row>
    <row r="40" spans="1:8" ht="20.100000000000001" customHeight="1" thickBot="1" x14ac:dyDescent="0.3">
      <c r="A40" s="309" t="s">
        <v>764</v>
      </c>
      <c r="B40" s="304"/>
      <c r="C40" s="300">
        <v>0</v>
      </c>
      <c r="D40" s="300">
        <v>0</v>
      </c>
      <c r="E40" s="301">
        <v>42000</v>
      </c>
      <c r="F40" s="301">
        <v>42000</v>
      </c>
      <c r="G40" s="300"/>
      <c r="H40" s="302"/>
    </row>
    <row r="41" spans="1:8" ht="20.100000000000001" customHeight="1" thickTop="1" x14ac:dyDescent="0.25">
      <c r="A41" s="704" t="s">
        <v>765</v>
      </c>
      <c r="B41" s="310"/>
      <c r="C41" s="772">
        <v>737698.99185706803</v>
      </c>
      <c r="D41" s="772">
        <v>0</v>
      </c>
      <c r="E41" s="772">
        <v>1501000</v>
      </c>
      <c r="F41" s="772">
        <v>1501000</v>
      </c>
      <c r="G41" s="772"/>
      <c r="H41" s="773"/>
    </row>
    <row r="42" spans="1:8" ht="20.100000000000001" customHeight="1" x14ac:dyDescent="0.25">
      <c r="A42" s="299"/>
      <c r="B42" s="304"/>
      <c r="C42" s="759"/>
      <c r="D42" s="759"/>
      <c r="E42" s="759"/>
      <c r="F42" s="759"/>
      <c r="G42" s="759"/>
      <c r="H42" s="759"/>
    </row>
    <row r="43" spans="1:8" ht="20.100000000000001" customHeight="1" x14ac:dyDescent="0.25">
      <c r="A43" s="841" t="s">
        <v>766</v>
      </c>
      <c r="B43" s="841"/>
      <c r="C43" s="841"/>
      <c r="D43" s="841"/>
      <c r="E43" s="841"/>
      <c r="F43" s="841"/>
      <c r="G43" s="841"/>
      <c r="H43" s="841"/>
    </row>
    <row r="44" spans="1:8" ht="20.100000000000001" customHeight="1" x14ac:dyDescent="0.25">
      <c r="A44" s="313" t="s">
        <v>767</v>
      </c>
      <c r="B44" s="314" t="s">
        <v>239</v>
      </c>
      <c r="C44" s="749">
        <v>914743.433553954</v>
      </c>
      <c r="D44" s="749">
        <v>0</v>
      </c>
      <c r="E44" s="749">
        <v>820000</v>
      </c>
      <c r="F44" s="749">
        <v>820000</v>
      </c>
      <c r="G44" s="749"/>
      <c r="H44" s="750"/>
    </row>
    <row r="45" spans="1:8" ht="20.100000000000001" customHeight="1" x14ac:dyDescent="0.25">
      <c r="A45" s="315" t="s">
        <v>768</v>
      </c>
      <c r="B45" s="316" t="s">
        <v>233</v>
      </c>
      <c r="C45" s="751">
        <v>640431.754771746</v>
      </c>
      <c r="D45" s="751">
        <v>0</v>
      </c>
      <c r="E45" s="751">
        <v>480000</v>
      </c>
      <c r="F45" s="751">
        <v>480000</v>
      </c>
      <c r="G45" s="751"/>
      <c r="H45" s="752"/>
    </row>
    <row r="46" spans="1:8" ht="20.100000000000001" customHeight="1" x14ac:dyDescent="0.25">
      <c r="A46" s="317" t="s">
        <v>272</v>
      </c>
      <c r="B46" s="318" t="s">
        <v>273</v>
      </c>
      <c r="C46" s="753">
        <v>106792.894111303</v>
      </c>
      <c r="D46" s="753">
        <v>0</v>
      </c>
      <c r="E46" s="753">
        <v>85000</v>
      </c>
      <c r="F46" s="753">
        <v>85000</v>
      </c>
      <c r="G46" s="753"/>
      <c r="H46" s="754"/>
    </row>
    <row r="47" spans="1:8" ht="20.100000000000001" customHeight="1" x14ac:dyDescent="0.25">
      <c r="A47" s="315" t="s">
        <v>274</v>
      </c>
      <c r="B47" s="316" t="s">
        <v>241</v>
      </c>
      <c r="C47" s="751">
        <v>113683.497833815</v>
      </c>
      <c r="D47" s="751">
        <v>0</v>
      </c>
      <c r="E47" s="751">
        <v>95000</v>
      </c>
      <c r="F47" s="751">
        <v>95000</v>
      </c>
      <c r="G47" s="751"/>
      <c r="H47" s="752"/>
    </row>
    <row r="48" spans="1:8" ht="20.100000000000001" customHeight="1" x14ac:dyDescent="0.25">
      <c r="A48" s="319" t="s">
        <v>769</v>
      </c>
      <c r="B48" s="333"/>
      <c r="C48" s="755">
        <v>0</v>
      </c>
      <c r="D48" s="755">
        <v>0</v>
      </c>
      <c r="E48" s="755">
        <v>0</v>
      </c>
      <c r="F48" s="755">
        <v>0</v>
      </c>
      <c r="G48" s="755"/>
      <c r="H48" s="756"/>
    </row>
    <row r="49" spans="1:8" ht="20.100000000000001" customHeight="1" x14ac:dyDescent="0.25">
      <c r="A49" s="703" t="s">
        <v>770</v>
      </c>
      <c r="B49" s="332"/>
      <c r="C49" s="774">
        <v>1775651.5802708201</v>
      </c>
      <c r="D49" s="774">
        <v>0</v>
      </c>
      <c r="E49" s="774">
        <v>1480000</v>
      </c>
      <c r="F49" s="774">
        <v>1480000</v>
      </c>
      <c r="G49" s="774"/>
      <c r="H49" s="775"/>
    </row>
    <row r="50" spans="1:8" ht="20.100000000000001" customHeight="1" x14ac:dyDescent="0.25">
      <c r="A50" s="299"/>
      <c r="B50" s="304"/>
      <c r="C50" s="304"/>
      <c r="D50" s="304"/>
      <c r="E50" s="304"/>
      <c r="F50" s="304"/>
      <c r="G50" s="304"/>
      <c r="H50" s="304"/>
    </row>
    <row r="51" spans="1:8" ht="20.100000000000001" customHeight="1" x14ac:dyDescent="0.25">
      <c r="A51" s="842" t="s">
        <v>771</v>
      </c>
      <c r="B51" s="842"/>
      <c r="C51" s="842"/>
      <c r="D51" s="842"/>
      <c r="E51" s="842"/>
      <c r="F51" s="842"/>
      <c r="G51" s="842"/>
      <c r="H51" s="842"/>
    </row>
    <row r="52" spans="1:8" ht="20.100000000000001" customHeight="1" x14ac:dyDescent="0.25">
      <c r="A52" s="313" t="s">
        <v>772</v>
      </c>
      <c r="B52" s="314" t="s">
        <v>252</v>
      </c>
      <c r="C52" s="749">
        <v>501005.36083422101</v>
      </c>
      <c r="D52" s="749">
        <v>0</v>
      </c>
      <c r="E52" s="749">
        <v>412000</v>
      </c>
      <c r="F52" s="749">
        <v>412000</v>
      </c>
      <c r="G52" s="749"/>
      <c r="H52" s="750"/>
    </row>
    <row r="53" spans="1:8" ht="20.100000000000001" customHeight="1" x14ac:dyDescent="0.25">
      <c r="A53" s="315" t="s">
        <v>280</v>
      </c>
      <c r="B53" s="328"/>
      <c r="C53" s="751">
        <v>105159.92687159</v>
      </c>
      <c r="D53" s="751">
        <v>0</v>
      </c>
      <c r="E53" s="751">
        <v>135000</v>
      </c>
      <c r="F53" s="751">
        <v>135000</v>
      </c>
      <c r="G53" s="751"/>
      <c r="H53" s="752"/>
    </row>
    <row r="54" spans="1:8" ht="20.100000000000001" customHeight="1" x14ac:dyDescent="0.25">
      <c r="A54" s="317" t="s">
        <v>773</v>
      </c>
      <c r="B54" s="318" t="s">
        <v>747</v>
      </c>
      <c r="C54" s="753">
        <v>682900</v>
      </c>
      <c r="D54" s="753">
        <v>-265800</v>
      </c>
      <c r="E54" s="753">
        <v>0</v>
      </c>
      <c r="F54" s="753">
        <v>0</v>
      </c>
      <c r="G54" s="753"/>
      <c r="H54" s="754"/>
    </row>
    <row r="55" spans="1:8" ht="20.100000000000001" customHeight="1" x14ac:dyDescent="0.25">
      <c r="A55" s="315" t="s">
        <v>774</v>
      </c>
      <c r="B55" s="328"/>
      <c r="C55" s="751">
        <v>281642.09422832401</v>
      </c>
      <c r="D55" s="751">
        <v>0</v>
      </c>
      <c r="E55" s="751">
        <v>198000</v>
      </c>
      <c r="F55" s="751">
        <v>198000</v>
      </c>
      <c r="G55" s="751"/>
      <c r="H55" s="752"/>
    </row>
    <row r="56" spans="1:8" ht="20.100000000000001" customHeight="1" x14ac:dyDescent="0.25">
      <c r="A56" s="322" t="s">
        <v>282</v>
      </c>
      <c r="B56" s="323" t="s">
        <v>239</v>
      </c>
      <c r="C56" s="761">
        <v>18182.2640428167</v>
      </c>
      <c r="D56" s="761">
        <v>0</v>
      </c>
      <c r="E56" s="761">
        <v>38000</v>
      </c>
      <c r="F56" s="761">
        <v>38000</v>
      </c>
      <c r="G56" s="761"/>
      <c r="H56" s="762"/>
    </row>
    <row r="57" spans="1:8" ht="20.100000000000001" customHeight="1" x14ac:dyDescent="0.25">
      <c r="A57" s="707" t="s">
        <v>775</v>
      </c>
      <c r="B57" s="321"/>
      <c r="C57" s="758">
        <v>1588889.6459769499</v>
      </c>
      <c r="D57" s="758">
        <v>-265800</v>
      </c>
      <c r="E57" s="758">
        <v>783000</v>
      </c>
      <c r="F57" s="758">
        <v>783000</v>
      </c>
      <c r="G57" s="758"/>
      <c r="H57" s="763"/>
    </row>
    <row r="58" spans="1:8" ht="20.100000000000001" customHeight="1" thickBot="1" x14ac:dyDescent="0.3">
      <c r="A58" s="299"/>
      <c r="B58" s="304"/>
      <c r="C58" s="764"/>
      <c r="D58" s="764"/>
      <c r="E58" s="764"/>
      <c r="F58" s="764"/>
      <c r="G58" s="764"/>
      <c r="H58" s="764"/>
    </row>
    <row r="59" spans="1:8" ht="20.100000000000001" customHeight="1" thickTop="1" x14ac:dyDescent="0.25">
      <c r="A59" s="706" t="s">
        <v>284</v>
      </c>
      <c r="B59" s="306"/>
      <c r="C59" s="760">
        <v>4102240.2181048398</v>
      </c>
      <c r="D59" s="760">
        <v>-265800</v>
      </c>
      <c r="E59" s="760">
        <v>3764000</v>
      </c>
      <c r="F59" s="760">
        <v>3764000</v>
      </c>
      <c r="G59" s="760"/>
      <c r="H59" s="765"/>
    </row>
    <row r="60" spans="1:8" ht="20.100000000000001" customHeight="1" x14ac:dyDescent="0.25">
      <c r="A60" s="299"/>
      <c r="B60" s="304"/>
      <c r="C60" s="304"/>
      <c r="D60" s="304"/>
      <c r="E60" s="304"/>
      <c r="F60" s="304"/>
      <c r="G60" s="304"/>
      <c r="H60" s="304"/>
    </row>
    <row r="61" spans="1:8" ht="20.100000000000001" customHeight="1" x14ac:dyDescent="0.25">
      <c r="A61" s="311" t="s">
        <v>776</v>
      </c>
      <c r="B61" s="312" t="s">
        <v>1332</v>
      </c>
      <c r="C61" s="776"/>
      <c r="D61" s="776"/>
      <c r="E61" s="776"/>
      <c r="F61" s="776"/>
      <c r="G61" s="776"/>
      <c r="H61" s="776"/>
    </row>
    <row r="62" spans="1:8" x14ac:dyDescent="0.25">
      <c r="A62" s="8"/>
      <c r="B62" s="8"/>
      <c r="C62" s="8"/>
      <c r="D62" s="8"/>
      <c r="E62" s="8"/>
      <c r="F62" s="8"/>
      <c r="G62" s="8"/>
      <c r="H62" s="8"/>
    </row>
    <row r="63" spans="1:8" ht="27" customHeight="1" x14ac:dyDescent="0.25">
      <c r="A63" s="777" t="s">
        <v>1252</v>
      </c>
      <c r="B63" s="778" t="s">
        <v>1254</v>
      </c>
      <c r="C63" s="8"/>
      <c r="D63" s="8"/>
      <c r="E63" s="8"/>
      <c r="F63" s="8"/>
      <c r="G63" s="8"/>
      <c r="H63" s="8"/>
    </row>
    <row r="64" spans="1:8" x14ac:dyDescent="0.25">
      <c r="A64" s="710" t="s">
        <v>767</v>
      </c>
      <c r="B64" s="708" t="s">
        <v>239</v>
      </c>
      <c r="C64" s="8"/>
      <c r="D64" s="8"/>
      <c r="E64" s="612"/>
      <c r="F64" s="8"/>
      <c r="G64" s="8"/>
      <c r="H64" s="8"/>
    </row>
    <row r="65" spans="1:8" x14ac:dyDescent="0.25">
      <c r="A65" s="711" t="s">
        <v>1255</v>
      </c>
      <c r="B65" s="709" t="s">
        <v>233</v>
      </c>
      <c r="C65" s="8"/>
      <c r="D65" s="8"/>
      <c r="E65" s="613"/>
      <c r="F65" s="8"/>
      <c r="G65" s="8"/>
      <c r="H65" s="8"/>
    </row>
    <row r="66" spans="1:8" x14ac:dyDescent="0.25">
      <c r="A66" s="712" t="s">
        <v>1256</v>
      </c>
      <c r="B66" s="708" t="s">
        <v>239</v>
      </c>
      <c r="E66" s="591"/>
    </row>
    <row r="67" spans="1:8" x14ac:dyDescent="0.25">
      <c r="A67" s="711" t="s">
        <v>1257</v>
      </c>
      <c r="B67" s="709" t="s">
        <v>233</v>
      </c>
      <c r="E67" s="591"/>
    </row>
    <row r="68" spans="1:8" x14ac:dyDescent="0.25">
      <c r="A68" s="331" t="s">
        <v>1258</v>
      </c>
      <c r="E68" s="615"/>
    </row>
    <row r="69" spans="1:8" x14ac:dyDescent="0.25">
      <c r="A69" s="710" t="s">
        <v>1259</v>
      </c>
      <c r="B69" s="709" t="s">
        <v>256</v>
      </c>
      <c r="E69" s="616"/>
    </row>
    <row r="70" spans="1:8" ht="16.5" x14ac:dyDescent="0.3">
      <c r="A70" s="617" t="s">
        <v>1260</v>
      </c>
      <c r="E70" s="614"/>
    </row>
    <row r="71" spans="1:8" x14ac:dyDescent="0.25">
      <c r="A71" s="618" t="s">
        <v>1261</v>
      </c>
      <c r="E71" s="619"/>
    </row>
    <row r="73" spans="1:8" x14ac:dyDescent="0.25">
      <c r="A73" s="620" t="s">
        <v>1262</v>
      </c>
    </row>
    <row r="74" spans="1:8" x14ac:dyDescent="0.25">
      <c r="A74" s="510" t="s">
        <v>1263</v>
      </c>
      <c r="E74" s="570"/>
    </row>
    <row r="75" spans="1:8" x14ac:dyDescent="0.25">
      <c r="A75" s="621" t="s">
        <v>1264</v>
      </c>
      <c r="E75" s="622"/>
    </row>
    <row r="76" spans="1:8" x14ac:dyDescent="0.25">
      <c r="A76" s="623" t="s">
        <v>1265</v>
      </c>
      <c r="E76" s="624"/>
    </row>
    <row r="77" spans="1:8" x14ac:dyDescent="0.25">
      <c r="A77" s="510" t="s">
        <v>1266</v>
      </c>
      <c r="E77" s="625"/>
    </row>
    <row r="80" spans="1:8" x14ac:dyDescent="0.25">
      <c r="A80" s="871" t="s">
        <v>1337</v>
      </c>
    </row>
    <row r="82" spans="1:1" x14ac:dyDescent="0.25">
      <c r="A82" s="872" t="s">
        <v>1338</v>
      </c>
    </row>
    <row r="83" spans="1:1" x14ac:dyDescent="0.25">
      <c r="A83" s="872" t="s">
        <v>1339</v>
      </c>
    </row>
    <row r="84" spans="1:1" x14ac:dyDescent="0.25">
      <c r="A84" s="872" t="s">
        <v>1340</v>
      </c>
    </row>
    <row r="85" spans="1:1" x14ac:dyDescent="0.25">
      <c r="A85" s="872" t="s">
        <v>1341</v>
      </c>
    </row>
    <row r="86" spans="1:1" x14ac:dyDescent="0.25">
      <c r="A86" s="872" t="s">
        <v>1342</v>
      </c>
    </row>
    <row r="87" spans="1:1" x14ac:dyDescent="0.25">
      <c r="A87" s="872" t="s">
        <v>1343</v>
      </c>
    </row>
    <row r="88" spans="1:1" x14ac:dyDescent="0.25">
      <c r="A88" s="872" t="s">
        <v>1344</v>
      </c>
    </row>
    <row r="90" spans="1:1" x14ac:dyDescent="0.25">
      <c r="A90" s="873" t="s">
        <v>1345</v>
      </c>
    </row>
    <row r="91" spans="1:1" x14ac:dyDescent="0.25">
      <c r="A91" s="874" t="s">
        <v>1346</v>
      </c>
    </row>
  </sheetData>
  <mergeCells count="6">
    <mergeCell ref="A1:H1"/>
    <mergeCell ref="A2:H2"/>
    <mergeCell ref="A29:H29"/>
    <mergeCell ref="A30:H30"/>
    <mergeCell ref="A43:H43"/>
    <mergeCell ref="A51:H5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4A83F-AAE0-4960-A176-2354A7097E91}">
  <sheetPr>
    <tabColor rgb="FF10B981"/>
  </sheetPr>
  <dimension ref="A1:H99"/>
  <sheetViews>
    <sheetView showGridLines="0" workbookViewId="0">
      <selection activeCell="F13" sqref="F13"/>
    </sheetView>
  </sheetViews>
  <sheetFormatPr baseColWidth="10" defaultRowHeight="15" x14ac:dyDescent="0.25"/>
  <cols>
    <col min="1" max="1" width="96.85546875" bestFit="1" customWidth="1"/>
    <col min="2" max="2" width="33.85546875" bestFit="1" customWidth="1"/>
    <col min="4" max="4" width="13.42578125" customWidth="1"/>
    <col min="6" max="6" width="16.5703125" customWidth="1"/>
  </cols>
  <sheetData>
    <row r="1" spans="1:8" ht="36" customHeight="1" x14ac:dyDescent="0.25">
      <c r="A1" s="843" t="str">
        <f>"COMPTE DE RÉSULTAT CONSOLIDÉ — "&amp;UPPER('01_PARAMETRES'!$S$5)</f>
        <v>COMPTE DE RÉSULTAT CONSOLIDÉ — GROUPE AURELIA</v>
      </c>
      <c r="B1" s="843"/>
      <c r="C1" s="843"/>
      <c r="D1" s="843"/>
      <c r="E1" s="843"/>
      <c r="F1" s="843"/>
      <c r="G1" s="843"/>
      <c r="H1" s="843"/>
    </row>
    <row r="2" spans="1:8" x14ac:dyDescent="0.25">
      <c r="A2" s="135" t="str">
        <f>"Exercice clos le "&amp;TEXT('01_PARAMETRES'!B11,"dd mmmm yyyy")</f>
        <v>Exercice clos le dd mars yyyy</v>
      </c>
      <c r="B2" s="40"/>
      <c r="C2" s="40"/>
      <c r="D2" s="40"/>
      <c r="E2" s="40"/>
      <c r="F2" s="40"/>
      <c r="G2" s="40"/>
      <c r="H2" s="40"/>
    </row>
    <row r="4" spans="1:8" ht="32.1" customHeight="1" x14ac:dyDescent="0.25">
      <c r="A4" s="583" t="s">
        <v>220</v>
      </c>
      <c r="B4" s="846" t="s">
        <v>221</v>
      </c>
      <c r="C4" s="846" t="s">
        <v>740</v>
      </c>
      <c r="D4" s="846" t="s">
        <v>741</v>
      </c>
      <c r="E4" s="846" t="s">
        <v>742</v>
      </c>
      <c r="F4" s="846" t="s">
        <v>743</v>
      </c>
      <c r="G4" s="846" t="s">
        <v>744</v>
      </c>
      <c r="H4" s="846" t="s">
        <v>745</v>
      </c>
    </row>
    <row r="5" spans="1:8" ht="21.95" customHeight="1" x14ac:dyDescent="0.25">
      <c r="A5" s="584" t="s">
        <v>305</v>
      </c>
      <c r="B5" s="846"/>
      <c r="C5" s="846"/>
      <c r="D5" s="846"/>
      <c r="E5" s="846"/>
      <c r="F5" s="846"/>
      <c r="G5" s="846"/>
      <c r="H5" s="846"/>
    </row>
    <row r="6" spans="1:8" x14ac:dyDescent="0.25">
      <c r="A6" t="s">
        <v>777</v>
      </c>
      <c r="B6" s="42" t="s">
        <v>252</v>
      </c>
      <c r="C6" s="136">
        <f>'04_PNL_IND'!C7+'04_PNL_IND'!E7+'05_CONVERSION_IAS21'!E54+'04_PNL_IND'!I7/'01_PARAMETRES'!C37+'04_PNL_IND'!K7/'01_PARAMETRES'!C38+'04_PNL_IND'!M7/'01_PARAMETRES'!C39+'04_PNL_IND'!O7/'01_PARAMETRES'!C41</f>
        <v>1716403.5482578885</v>
      </c>
      <c r="D6" s="136">
        <f>-'07_ELIMINATIONS'!D44*0</f>
        <v>0</v>
      </c>
      <c r="E6" s="136">
        <f>C6+D6</f>
        <v>1716403.5482578885</v>
      </c>
      <c r="F6" s="257">
        <v>1820000</v>
      </c>
      <c r="G6" s="136">
        <f>E6-F6</f>
        <v>-103596.45174211147</v>
      </c>
      <c r="H6" s="258">
        <f>IF(F6=0,"",G6/ABS(F6))</f>
        <v>-5.6921127330830476E-2</v>
      </c>
    </row>
    <row r="7" spans="1:8" x14ac:dyDescent="0.25">
      <c r="A7" s="193" t="s">
        <v>778</v>
      </c>
      <c r="B7" s="42" t="s">
        <v>514</v>
      </c>
      <c r="C7" s="136">
        <f>'04_PNL_IND'!C8+'04_PNL_IND'!E8+'05_CONVERSION_IAS21'!E55+'04_PNL_IND'!I8/'01_PARAMETRES'!C37+'04_PNL_IND'!K8/'01_PARAMETRES'!C38+'04_PNL_IND'!M8/'01_PARAMETRES'!C39+'04_PNL_IND'!O8/'01_PARAMETRES'!C41</f>
        <v>432795.52715654951</v>
      </c>
      <c r="D7" s="136">
        <f>'07_ELIMINATIONS'!H131</f>
        <v>-425000</v>
      </c>
      <c r="E7" s="136">
        <f>C7+D7</f>
        <v>7795.5271565495059</v>
      </c>
      <c r="F7" s="257">
        <v>0</v>
      </c>
      <c r="G7" s="136">
        <f>E7-F7</f>
        <v>7795.5271565495059</v>
      </c>
      <c r="H7" s="258" t="str">
        <f>IF(F7=0,"",G7/ABS(F7))</f>
        <v/>
      </c>
    </row>
    <row r="8" spans="1:8" x14ac:dyDescent="0.25">
      <c r="A8" t="s">
        <v>311</v>
      </c>
      <c r="C8" s="136">
        <v>0</v>
      </c>
      <c r="D8" s="136">
        <f>0</f>
        <v>0</v>
      </c>
      <c r="E8" s="136">
        <f>C8+D8</f>
        <v>0</v>
      </c>
      <c r="F8" s="257">
        <v>28000</v>
      </c>
      <c r="G8" s="136">
        <f>E8-F8</f>
        <v>-28000</v>
      </c>
      <c r="H8" s="258">
        <f>IF(F8=0,"",G8/ABS(F8))</f>
        <v>-1</v>
      </c>
    </row>
    <row r="9" spans="1:8" x14ac:dyDescent="0.25">
      <c r="A9" s="335" t="s">
        <v>779</v>
      </c>
      <c r="B9" s="336"/>
      <c r="C9" s="337">
        <f>SUM(C6:C8)</f>
        <v>2149199.0754144378</v>
      </c>
      <c r="D9" s="337">
        <f>SUM(D6:D8)</f>
        <v>-425000</v>
      </c>
      <c r="E9" s="337">
        <f>SUM(E6:E8)</f>
        <v>1724199.075414438</v>
      </c>
      <c r="F9" s="337">
        <f>SUM(F6:F8)</f>
        <v>1848000</v>
      </c>
      <c r="G9" s="337">
        <f>SUM(G6:G8)</f>
        <v>-123800.92458556197</v>
      </c>
      <c r="H9" s="338">
        <f>IF(F9=0,"",G9/ABS(F9))</f>
        <v>-6.6991842308204527E-2</v>
      </c>
    </row>
    <row r="10" spans="1:8" x14ac:dyDescent="0.25">
      <c r="A10" t="s">
        <v>780</v>
      </c>
      <c r="E10" s="339">
        <f>IF(E9=0,"",E6/E9)</f>
        <v>0.99547875458947466</v>
      </c>
    </row>
    <row r="12" spans="1:8" ht="21.95" customHeight="1" x14ac:dyDescent="0.25">
      <c r="A12" s="341" t="s">
        <v>781</v>
      </c>
      <c r="B12" s="340"/>
      <c r="C12" s="340"/>
      <c r="D12" s="340"/>
      <c r="E12" s="340"/>
      <c r="F12" s="340"/>
      <c r="G12" s="340"/>
      <c r="H12" s="340"/>
    </row>
    <row r="13" spans="1:8" x14ac:dyDescent="0.25">
      <c r="A13" t="s">
        <v>782</v>
      </c>
      <c r="B13" s="42" t="s">
        <v>247</v>
      </c>
      <c r="C13" s="136">
        <f>'04_PNL_IND'!C14+'04_PNL_IND'!E14+'05_CONVERSION_IAS21'!E57+'04_PNL_IND'!I14/'01_PARAMETRES'!C37+'04_PNL_IND'!K14/'01_PARAMETRES'!C38+'04_PNL_IND'!M14/'01_PARAMETRES'!C39+'04_PNL_IND'!O14/'01_PARAMETRES'!C41</f>
        <v>-727792.90559784428</v>
      </c>
      <c r="D13" s="136">
        <f>0</f>
        <v>0</v>
      </c>
      <c r="E13" s="136">
        <f>C13+D13</f>
        <v>-727792.90559784428</v>
      </c>
      <c r="F13" s="257">
        <v>-880000</v>
      </c>
      <c r="G13" s="136">
        <f>E13-F13</f>
        <v>152207.09440215572</v>
      </c>
      <c r="H13" s="258">
        <f>IF(F13=0,"",G13/ABS(F13))</f>
        <v>0.17296260727517695</v>
      </c>
    </row>
    <row r="14" spans="1:8" x14ac:dyDescent="0.25">
      <c r="A14" s="193" t="s">
        <v>783</v>
      </c>
      <c r="B14" s="42" t="s">
        <v>747</v>
      </c>
      <c r="C14" s="136">
        <f>'04_PNL_IND'!C15+'04_PNL_IND'!E15+'05_CONVERSION_IAS21'!E58+'04_PNL_IND'!I15/'01_PARAMETRES'!C37+'04_PNL_IND'!K15/'01_PARAMETRES'!C38+'04_PNL_IND'!M15/'01_PARAMETRES'!C39+'04_PNL_IND'!O15/'01_PARAMETRES'!C41</f>
        <v>-191450.1927638707</v>
      </c>
      <c r="D14" s="136">
        <f>'07_ELIMINATIONS'!F44</f>
        <v>425000</v>
      </c>
      <c r="E14" s="136">
        <f>C14+D14</f>
        <v>233549.8072361293</v>
      </c>
      <c r="F14" s="257">
        <v>0</v>
      </c>
      <c r="G14" s="136">
        <f>E14-F14</f>
        <v>233549.8072361293</v>
      </c>
      <c r="H14" s="258" t="str">
        <f>IF(F14=0,"",G14/ABS(F14))</f>
        <v/>
      </c>
    </row>
    <row r="15" spans="1:8" x14ac:dyDescent="0.25">
      <c r="A15" s="334" t="s">
        <v>784</v>
      </c>
      <c r="C15" s="136">
        <f>C9+C13+C14</f>
        <v>1229955.9770527231</v>
      </c>
      <c r="D15" s="136">
        <v>0</v>
      </c>
      <c r="E15" s="136">
        <f>E9+E13+E14</f>
        <v>1229955.9770527231</v>
      </c>
      <c r="F15" s="257">
        <v>955000</v>
      </c>
      <c r="G15" s="136">
        <f>E15-F15</f>
        <v>274955.97705272306</v>
      </c>
      <c r="H15" s="258">
        <f>IF(F15=0,"",G15/ABS(F15))</f>
        <v>0.28791201785625453</v>
      </c>
    </row>
    <row r="16" spans="1:8" x14ac:dyDescent="0.25">
      <c r="A16" t="s">
        <v>785</v>
      </c>
      <c r="E16" s="339">
        <f>IF(E6=0,"",E15/E6)</f>
        <v>0.7165890435854092</v>
      </c>
    </row>
    <row r="18" spans="1:8" x14ac:dyDescent="0.25">
      <c r="A18" t="s">
        <v>314</v>
      </c>
      <c r="B18" s="42" t="s">
        <v>315</v>
      </c>
      <c r="C18" s="136">
        <f>'04_PNL_IND'!C20+'04_PNL_IND'!E20+'05_CONVERSION_IAS21'!E59+'04_PNL_IND'!I20/'01_PARAMETRES'!C37+'04_PNL_IND'!K20/'01_PARAMETRES'!C38+'04_PNL_IND'!M20/'01_PARAMETRES'!C39+'04_PNL_IND'!O20/'01_PARAMETRES'!C41</f>
        <v>-352307.62021662074</v>
      </c>
      <c r="D18" s="136">
        <f>0</f>
        <v>0</v>
      </c>
      <c r="E18" s="136">
        <f t="shared" ref="E18:E24" si="0">C18+D18</f>
        <v>-352307.62021662074</v>
      </c>
      <c r="F18" s="257">
        <v>-295000</v>
      </c>
      <c r="G18" s="136">
        <f t="shared" ref="G18:G24" si="1">E18-F18</f>
        <v>-57307.620216620737</v>
      </c>
      <c r="H18" s="258">
        <f t="shared" ref="H18:H24" si="2">IF(F18=0,"",G18/ABS(F18))</f>
        <v>-0.19426311937837537</v>
      </c>
    </row>
    <row r="19" spans="1:8" x14ac:dyDescent="0.25">
      <c r="A19" t="s">
        <v>316</v>
      </c>
      <c r="B19" s="42" t="s">
        <v>233</v>
      </c>
      <c r="C19" s="136">
        <f>'04_PNL_IND'!C21+'04_PNL_IND'!E21+'05_CONVERSION_IAS21'!E60+'04_PNL_IND'!I21/'01_PARAMETRES'!C37+'04_PNL_IND'!K21/'01_PARAMETRES'!C38+'04_PNL_IND'!M21/'01_PARAMETRES'!C39+'04_PNL_IND'!O21/'01_PARAMETRES'!C41</f>
        <v>-90665.354248359625</v>
      </c>
      <c r="D19" s="136">
        <f>0</f>
        <v>0</v>
      </c>
      <c r="E19" s="136">
        <f t="shared" si="0"/>
        <v>-90665.354248359625</v>
      </c>
      <c r="F19" s="257">
        <v>-105000</v>
      </c>
      <c r="G19" s="136">
        <f t="shared" si="1"/>
        <v>14334.645751640375</v>
      </c>
      <c r="H19" s="258">
        <f t="shared" si="2"/>
        <v>0.13652043572990832</v>
      </c>
    </row>
    <row r="20" spans="1:8" x14ac:dyDescent="0.25">
      <c r="A20" t="s">
        <v>786</v>
      </c>
      <c r="C20" s="136">
        <f>'04_PNL_IND'!C22+'04_PNL_IND'!E22+'05_CONVERSION_IAS21'!E61+'04_PNL_IND'!I22/'01_PARAMETRES'!C37+'04_PNL_IND'!K22/'01_PARAMETRES'!C38+'04_PNL_IND'!M22/'01_PARAMETRES'!C39+'04_PNL_IND'!O22/'01_PARAMETRES'!C41</f>
        <v>-119081.01270133964</v>
      </c>
      <c r="D20" s="136">
        <f>0</f>
        <v>0</v>
      </c>
      <c r="E20" s="136">
        <f t="shared" si="0"/>
        <v>-119081.01270133964</v>
      </c>
      <c r="F20" s="257">
        <v>-82000</v>
      </c>
      <c r="G20" s="136">
        <f t="shared" si="1"/>
        <v>-37081.012701339641</v>
      </c>
      <c r="H20" s="258">
        <f t="shared" si="2"/>
        <v>-0.45220747196755662</v>
      </c>
    </row>
    <row r="21" spans="1:8" x14ac:dyDescent="0.25">
      <c r="A21" t="s">
        <v>787</v>
      </c>
      <c r="B21" s="42" t="s">
        <v>324</v>
      </c>
      <c r="C21" s="136">
        <f>'04_PNL_IND'!C23+'04_PNL_IND'!E23+'05_CONVERSION_IAS21'!E62+'04_PNL_IND'!I23/'01_PARAMETRES'!C37+'04_PNL_IND'!K23/'01_PARAMETRES'!C38+'04_PNL_IND'!M23/'01_PARAMETRES'!C39+'04_PNL_IND'!O23/'01_PARAMETRES'!C41</f>
        <v>-99238.616986957422</v>
      </c>
      <c r="D21" s="136">
        <f>0</f>
        <v>0</v>
      </c>
      <c r="E21" s="136">
        <f t="shared" si="0"/>
        <v>-99238.616986957422</v>
      </c>
      <c r="F21" s="257">
        <v>-145000</v>
      </c>
      <c r="G21" s="136">
        <f t="shared" si="1"/>
        <v>45761.383013042578</v>
      </c>
      <c r="H21" s="258">
        <f t="shared" si="2"/>
        <v>0.315595744917535</v>
      </c>
    </row>
    <row r="22" spans="1:8" x14ac:dyDescent="0.25">
      <c r="A22" s="193" t="s">
        <v>788</v>
      </c>
      <c r="B22" s="42" t="s">
        <v>229</v>
      </c>
      <c r="C22" s="136">
        <f>'04_PNL_IND'!C24+'04_PNL_IND'!E24+'05_CONVERSION_IAS21'!E63+'04_PNL_IND'!I24/'01_PARAMETRES'!C37+'04_PNL_IND'!K24/'01_PARAMETRES'!C38+'04_PNL_IND'!M24/'01_PARAMETRES'!C39+'04_PNL_IND'!O24/'01_PARAMETRES'!C41</f>
        <v>-52275.65643259132</v>
      </c>
      <c r="D22" s="136">
        <f>'07_ELIMINATIONS'!F85</f>
        <v>65600</v>
      </c>
      <c r="E22" s="136">
        <f t="shared" si="0"/>
        <v>13324.34356740868</v>
      </c>
      <c r="F22" s="257">
        <v>0</v>
      </c>
      <c r="G22" s="136">
        <f t="shared" si="1"/>
        <v>13324.34356740868</v>
      </c>
      <c r="H22" s="258" t="str">
        <f t="shared" si="2"/>
        <v/>
      </c>
    </row>
    <row r="23" spans="1:8" x14ac:dyDescent="0.25">
      <c r="A23" t="s">
        <v>321</v>
      </c>
      <c r="C23" s="136">
        <f>'04_PNL_IND'!C26+'04_PNL_IND'!E26+'05_CONVERSION_IAS21'!E64+'04_PNL_IND'!I26/'01_PARAMETRES'!C37+'04_PNL_IND'!K26/'01_PARAMETRES'!C38+'04_PNL_IND'!M26/'01_PARAMETRES'!C39+'04_PNL_IND'!O26/'01_PARAMETRES'!C41</f>
        <v>-122732.65546165952</v>
      </c>
      <c r="D23" s="136">
        <f>0</f>
        <v>0</v>
      </c>
      <c r="E23" s="136">
        <f t="shared" si="0"/>
        <v>-122732.65546165952</v>
      </c>
      <c r="F23" s="257">
        <v>-42000</v>
      </c>
      <c r="G23" s="136">
        <f t="shared" si="1"/>
        <v>-80732.655461659524</v>
      </c>
      <c r="H23" s="258">
        <f t="shared" si="2"/>
        <v>-1.9222060824204648</v>
      </c>
    </row>
    <row r="24" spans="1:8" x14ac:dyDescent="0.25">
      <c r="A24" t="s">
        <v>323</v>
      </c>
      <c r="B24" s="42" t="s">
        <v>789</v>
      </c>
      <c r="C24" s="136">
        <f>0</f>
        <v>0</v>
      </c>
      <c r="D24" s="136">
        <f>'06_GOODWILL'!N34</f>
        <v>0</v>
      </c>
      <c r="E24" s="136">
        <f t="shared" si="0"/>
        <v>0</v>
      </c>
      <c r="F24" s="257">
        <v>-12000</v>
      </c>
      <c r="G24" s="136">
        <f t="shared" si="1"/>
        <v>12000</v>
      </c>
      <c r="H24" s="258">
        <f t="shared" si="2"/>
        <v>1</v>
      </c>
    </row>
    <row r="25" spans="1:8" ht="15.75" thickBot="1" x14ac:dyDescent="0.3"/>
    <row r="26" spans="1:8" ht="15.75" thickTop="1" x14ac:dyDescent="0.25">
      <c r="A26" s="342" t="s">
        <v>790</v>
      </c>
      <c r="B26" s="343"/>
      <c r="C26" s="344">
        <f>C15+SUM(C18:C24)</f>
        <v>393655.06100519479</v>
      </c>
      <c r="D26" s="344">
        <f>D15+SUM(D18:D24)</f>
        <v>65600</v>
      </c>
      <c r="E26" s="344">
        <f>E15+SUM(E18:E24)</f>
        <v>459255.06100519479</v>
      </c>
      <c r="F26" s="345">
        <v>274000</v>
      </c>
      <c r="G26" s="344">
        <f>G15+SUM(G18:G24)</f>
        <v>185255.06100519479</v>
      </c>
      <c r="H26" s="346">
        <f>IF(F26=0,"",G26/ABS(F26))</f>
        <v>0.67611336133282773</v>
      </c>
    </row>
    <row r="27" spans="1:8" x14ac:dyDescent="0.25">
      <c r="A27" t="s">
        <v>791</v>
      </c>
      <c r="E27" s="339">
        <f>IF(E6=0,"",E26/E6)</f>
        <v>0.26756823095089061</v>
      </c>
    </row>
    <row r="29" spans="1:8" ht="21.95" customHeight="1" x14ac:dyDescent="0.25">
      <c r="A29" s="260" t="s">
        <v>307</v>
      </c>
      <c r="B29" s="256"/>
      <c r="C29" s="256"/>
      <c r="D29" s="256"/>
      <c r="E29" s="256"/>
      <c r="F29" s="256"/>
      <c r="G29" s="256"/>
      <c r="H29" s="256"/>
    </row>
    <row r="30" spans="1:8" x14ac:dyDescent="0.25">
      <c r="A30" t="s">
        <v>327</v>
      </c>
      <c r="B30" s="42" t="s">
        <v>239</v>
      </c>
      <c r="C30" s="136">
        <f>'04_PNL_IND'!C32+'04_PNL_IND'!E32+'05_CONVERSION_IAS21'!E68+'04_PNL_IND'!I32/'01_PARAMETRES'!C37+'04_PNL_IND'!K32/'01_PARAMETRES'!C38+'04_PNL_IND'!M32/'01_PARAMETRES'!C39+'04_PNL_IND'!O32/'01_PARAMETRES'!C41</f>
        <v>2559.4149908592321</v>
      </c>
      <c r="D30" s="136">
        <f>0</f>
        <v>0</v>
      </c>
      <c r="E30" s="136">
        <f>C30+D30</f>
        <v>2559.4149908592321</v>
      </c>
      <c r="F30" s="257">
        <v>18000</v>
      </c>
      <c r="G30" s="136">
        <f>E30-F30</f>
        <v>-15440.585009140768</v>
      </c>
      <c r="H30" s="258">
        <f t="shared" ref="H30:H35" si="3">IF(F30=0,"",G30/ABS(F30))</f>
        <v>-0.85781027828559819</v>
      </c>
    </row>
    <row r="31" spans="1:8" x14ac:dyDescent="0.25">
      <c r="A31" t="s">
        <v>328</v>
      </c>
      <c r="B31" s="42" t="s">
        <v>239</v>
      </c>
      <c r="C31" s="136">
        <f>'04_PNL_IND'!C33+'04_PNL_IND'!E33+'05_CONVERSION_IAS21'!E69+'04_PNL_IND'!I33/'01_PARAMETRES'!C37+'04_PNL_IND'!K33/'01_PARAMETRES'!C38+'04_PNL_IND'!M33/'01_PARAMETRES'!C39+'04_PNL_IND'!O33/'01_PARAMETRES'!C41</f>
        <v>-11425.959780621572</v>
      </c>
      <c r="D31" s="136">
        <f>0</f>
        <v>0</v>
      </c>
      <c r="E31" s="136">
        <f>C31+D31</f>
        <v>-11425.959780621572</v>
      </c>
      <c r="F31" s="257">
        <v>-68000</v>
      </c>
      <c r="G31" s="136">
        <f>E31-F31</f>
        <v>56574.040219378425</v>
      </c>
      <c r="H31" s="258">
        <f t="shared" si="3"/>
        <v>0.8319711796967415</v>
      </c>
    </row>
    <row r="32" spans="1:8" x14ac:dyDescent="0.25">
      <c r="A32" t="s">
        <v>792</v>
      </c>
      <c r="B32" s="42" t="s">
        <v>266</v>
      </c>
      <c r="C32" s="136">
        <f>'04_PNL_IND'!C34+'04_PNL_IND'!E34+'05_CONVERSION_IAS21'!E70+'04_PNL_IND'!I34/'01_PARAMETRES'!C37+'04_PNL_IND'!K34/'01_PARAMETRES'!C38+'04_PNL_IND'!M34/'01_PARAMETRES'!C39+'04_PNL_IND'!O34/'01_PARAMETRES'!C41</f>
        <v>-1919.561243144424</v>
      </c>
      <c r="D32" s="136">
        <f>0</f>
        <v>0</v>
      </c>
      <c r="E32" s="136">
        <f>C32+D32</f>
        <v>-1919.561243144424</v>
      </c>
      <c r="F32" s="257">
        <v>-5000</v>
      </c>
      <c r="G32" s="136">
        <f>E32-F32</f>
        <v>3080.4387568555758</v>
      </c>
      <c r="H32" s="258">
        <f t="shared" si="3"/>
        <v>0.61608775137111516</v>
      </c>
    </row>
    <row r="33" spans="1:8" x14ac:dyDescent="0.25">
      <c r="A33" s="193" t="s">
        <v>793</v>
      </c>
      <c r="B33" s="42" t="s">
        <v>747</v>
      </c>
      <c r="C33" s="136">
        <f>'04_PNL_IND'!C41+'04_PNL_IND'!E41+'05_CONVERSION_IAS21'!E71+'04_PNL_IND'!I41/'01_PARAMETRES'!C37+'04_PNL_IND'!K41/'01_PARAMETRES'!C38+'04_PNL_IND'!M41/'01_PARAMETRES'!C39+'04_PNL_IND'!O41/'01_PARAMETRES'!C41</f>
        <v>12000</v>
      </c>
      <c r="D33" s="136">
        <f>-'07_ELIMINATIONS'!F72</f>
        <v>-29500</v>
      </c>
      <c r="E33" s="136">
        <f>C33+D33</f>
        <v>-17500</v>
      </c>
      <c r="F33" s="257">
        <v>0</v>
      </c>
      <c r="G33" s="136">
        <f>E33-F33</f>
        <v>-17500</v>
      </c>
      <c r="H33" s="258" t="str">
        <f t="shared" si="3"/>
        <v/>
      </c>
    </row>
    <row r="34" spans="1:8" x14ac:dyDescent="0.25">
      <c r="A34" t="s">
        <v>794</v>
      </c>
      <c r="B34" s="42" t="s">
        <v>237</v>
      </c>
      <c r="C34" s="136">
        <f>0</f>
        <v>0</v>
      </c>
      <c r="D34" s="136">
        <f>0</f>
        <v>0</v>
      </c>
      <c r="E34" s="567">
        <f>'08_EFFICACITE'!B45</f>
        <v>512.89566236811254</v>
      </c>
      <c r="F34" s="257">
        <v>1200</v>
      </c>
      <c r="G34" s="136">
        <f>E34-F34</f>
        <v>-687.10433763188746</v>
      </c>
      <c r="H34" s="258">
        <f t="shared" si="3"/>
        <v>-0.57258694802657284</v>
      </c>
    </row>
    <row r="35" spans="1:8" x14ac:dyDescent="0.25">
      <c r="A35" s="347" t="s">
        <v>795</v>
      </c>
      <c r="B35" s="348"/>
      <c r="C35" s="349">
        <f>SUM(C30:C34)</f>
        <v>1213.8939670932359</v>
      </c>
      <c r="D35" s="349">
        <f>SUM(D30:D34)</f>
        <v>-29500</v>
      </c>
      <c r="E35" s="349">
        <f>SUM(E30:E34)</f>
        <v>-27773.210370538651</v>
      </c>
      <c r="F35" s="349">
        <f>SUM(F30:F34)</f>
        <v>-53800</v>
      </c>
      <c r="G35" s="349">
        <f>SUM(G30:G34)</f>
        <v>26026.789629461342</v>
      </c>
      <c r="H35" s="350">
        <f t="shared" si="3"/>
        <v>0.48376932396768296</v>
      </c>
    </row>
    <row r="37" spans="1:8" x14ac:dyDescent="0.25">
      <c r="A37" s="335" t="s">
        <v>342</v>
      </c>
      <c r="B37" s="336"/>
      <c r="C37" s="337">
        <f>C26+C35</f>
        <v>394868.95497228805</v>
      </c>
      <c r="D37" s="337">
        <f>D26+D35</f>
        <v>36100</v>
      </c>
      <c r="E37" s="337">
        <f>E26+E35</f>
        <v>431481.85063465615</v>
      </c>
      <c r="F37" s="351">
        <v>220000</v>
      </c>
      <c r="G37" s="337">
        <f>G26+G35</f>
        <v>211281.85063465612</v>
      </c>
      <c r="H37" s="352">
        <f>IF(F37=0,"",G37/ABS(F37))</f>
        <v>0.96037204833934597</v>
      </c>
    </row>
    <row r="39" spans="1:8" ht="21.95" customHeight="1" x14ac:dyDescent="0.25">
      <c r="A39" s="354" t="s">
        <v>796</v>
      </c>
      <c r="B39" s="353"/>
      <c r="C39" s="353"/>
      <c r="D39" s="353"/>
      <c r="E39" s="353"/>
      <c r="F39" s="353"/>
      <c r="G39" s="353"/>
      <c r="H39" s="353"/>
    </row>
    <row r="40" spans="1:8" x14ac:dyDescent="0.25">
      <c r="A40" t="s">
        <v>797</v>
      </c>
      <c r="B40" s="42" t="s">
        <v>241</v>
      </c>
      <c r="C40" s="136">
        <f>'04_PNL_IND'!C45+'04_PNL_IND'!E45+'05_CONVERSION_IAS21'!E72+'04_PNL_IND'!I45/'01_PARAMETRES'!C37+'04_PNL_IND'!K45/'01_PARAMETRES'!C38+'04_PNL_IND'!M45/'01_PARAMETRES'!C39+'04_PNL_IND'!O45/'01_PARAMETRES'!C41</f>
        <v>-121532.98285348875</v>
      </c>
      <c r="D40" s="136">
        <f>0</f>
        <v>0</v>
      </c>
      <c r="E40" s="136">
        <f>C40+D40</f>
        <v>-121532.98285348875</v>
      </c>
      <c r="F40" s="257">
        <v>-52000</v>
      </c>
      <c r="G40" s="136">
        <f>E40-F40</f>
        <v>-69532.982853488749</v>
      </c>
      <c r="H40" s="258">
        <f>IF(F40=0,"",G40/ABS(F40))</f>
        <v>-1.3371727471824759</v>
      </c>
    </row>
    <row r="41" spans="1:8" x14ac:dyDescent="0.25">
      <c r="A41" t="s">
        <v>798</v>
      </c>
      <c r="B41" s="42" t="s">
        <v>241</v>
      </c>
      <c r="C41" s="136">
        <f>'04_PNL_IND'!C46+'04_PNL_IND'!E46+'05_CONVERSION_IAS21'!E73+'04_PNL_IND'!I46/'01_PARAMETRES'!C37+'04_PNL_IND'!K46/'01_PARAMETRES'!C38+'04_PNL_IND'!M46/'01_PARAMETRES'!C39+'04_PNL_IND'!O46/'01_PARAMETRES'!C41</f>
        <v>-5731.1756813699067</v>
      </c>
      <c r="D41" s="136">
        <f>'07_ELIMINATIONS'!F104</f>
        <v>4716.55</v>
      </c>
      <c r="E41" s="136">
        <f>C41+D41</f>
        <v>-1014.6256813699065</v>
      </c>
      <c r="F41" s="257">
        <v>-4000</v>
      </c>
      <c r="G41" s="136">
        <f>E41-F41</f>
        <v>2985.3743186300935</v>
      </c>
      <c r="H41" s="258">
        <f>IF(F41=0,"",G41/ABS(F41))</f>
        <v>0.7463435796575234</v>
      </c>
    </row>
    <row r="42" spans="1:8" x14ac:dyDescent="0.25">
      <c r="A42" s="355" t="s">
        <v>799</v>
      </c>
      <c r="B42" s="356"/>
      <c r="C42" s="357">
        <f>SUM(C40:C41)</f>
        <v>-127264.15853485865</v>
      </c>
      <c r="D42" s="357">
        <f>SUM(D40:D41)</f>
        <v>4716.55</v>
      </c>
      <c r="E42" s="357">
        <f>SUM(E40:E41)</f>
        <v>-122547.60853485865</v>
      </c>
      <c r="F42" s="357">
        <f>SUM(F40:F41)</f>
        <v>-56000</v>
      </c>
      <c r="G42" s="357">
        <f>SUM(G40:G41)</f>
        <v>-66547.608534858649</v>
      </c>
      <c r="H42" s="358">
        <f>IF(F42=0,"",G42/ABS(F42))</f>
        <v>-1.1883501524081901</v>
      </c>
    </row>
    <row r="43" spans="1:8" ht="15.75" thickBot="1" x14ac:dyDescent="0.3"/>
    <row r="44" spans="1:8" ht="26.1" customHeight="1" thickTop="1" x14ac:dyDescent="0.25">
      <c r="A44" s="359" t="s">
        <v>800</v>
      </c>
      <c r="B44" s="360"/>
      <c r="C44" s="361">
        <f>C37+C42</f>
        <v>267604.79643742938</v>
      </c>
      <c r="D44" s="361">
        <f>D37+D42</f>
        <v>40816.550000000003</v>
      </c>
      <c r="E44" s="361">
        <f>E37+E42</f>
        <v>308934.24209979747</v>
      </c>
      <c r="F44" s="362">
        <v>164000</v>
      </c>
      <c r="G44" s="361">
        <f>G37+G42</f>
        <v>144734.24209979747</v>
      </c>
      <c r="H44" s="363">
        <f>IF(F44=0,"",G44/ABS(F44))</f>
        <v>0.88252586646217968</v>
      </c>
    </row>
    <row r="45" spans="1:8" x14ac:dyDescent="0.25">
      <c r="A45" s="364" t="s">
        <v>801</v>
      </c>
      <c r="E45" s="136">
        <f>E44*0.93</f>
        <v>287308.84515281167</v>
      </c>
    </row>
    <row r="46" spans="1:8" x14ac:dyDescent="0.25">
      <c r="A46" s="365" t="s">
        <v>802</v>
      </c>
      <c r="E46" s="136">
        <f>E44-E45</f>
        <v>21625.396946985798</v>
      </c>
    </row>
    <row r="48" spans="1:8" x14ac:dyDescent="0.25">
      <c r="A48" s="366" t="s">
        <v>803</v>
      </c>
      <c r="B48" s="40" t="str">
        <f>IF(ABS(E45+E46-E44)&lt;1,"✅ RÉCONCILIÉ","❌ ÉCART "&amp;TEXT(E45+E46-E44,"#,##0")&amp;" K€")</f>
        <v>✅ RÉCONCILIÉ</v>
      </c>
      <c r="C48" s="40"/>
      <c r="D48" s="40"/>
      <c r="E48" s="40"/>
      <c r="F48" s="40"/>
      <c r="G48" s="40"/>
      <c r="H48" s="40"/>
    </row>
    <row r="50" spans="1:8" ht="24" customHeight="1" x14ac:dyDescent="0.25">
      <c r="A50" s="259" t="s">
        <v>804</v>
      </c>
      <c r="B50" s="256">
        <v>1.2</v>
      </c>
      <c r="C50" s="256"/>
      <c r="D50" s="256"/>
      <c r="E50" s="256"/>
      <c r="F50" s="256"/>
      <c r="G50" s="256"/>
      <c r="H50" s="256"/>
    </row>
    <row r="51" spans="1:8" x14ac:dyDescent="0.25">
      <c r="A51" s="367" t="s">
        <v>805</v>
      </c>
      <c r="B51" s="255"/>
      <c r="C51" s="255"/>
      <c r="D51" s="255"/>
      <c r="E51" s="255"/>
      <c r="F51" s="255"/>
      <c r="G51" s="255"/>
      <c r="H51" s="255"/>
    </row>
    <row r="52" spans="1:8" x14ac:dyDescent="0.25">
      <c r="A52" s="368" t="s">
        <v>806</v>
      </c>
      <c r="B52" s="369"/>
      <c r="C52" s="369"/>
      <c r="D52" s="369"/>
      <c r="E52" s="369"/>
      <c r="F52" s="369"/>
      <c r="G52" s="369"/>
      <c r="H52" s="369"/>
    </row>
    <row r="54" spans="1:8" ht="27.95" customHeight="1" x14ac:dyDescent="0.25">
      <c r="A54" s="370" t="s">
        <v>807</v>
      </c>
      <c r="B54" s="370" t="s">
        <v>220</v>
      </c>
      <c r="C54" s="370" t="s">
        <v>742</v>
      </c>
      <c r="D54" s="370" t="s">
        <v>808</v>
      </c>
      <c r="E54" s="370" t="s">
        <v>809</v>
      </c>
    </row>
    <row r="55" spans="1:8" x14ac:dyDescent="0.25">
      <c r="A55" s="372" t="s">
        <v>810</v>
      </c>
      <c r="B55" s="373" t="s">
        <v>784</v>
      </c>
      <c r="C55" s="374">
        <f>E15</f>
        <v>1229955.9770527231</v>
      </c>
      <c r="D55" s="371" t="s">
        <v>811</v>
      </c>
      <c r="E55" s="262"/>
    </row>
    <row r="56" spans="1:8" x14ac:dyDescent="0.25">
      <c r="A56" s="376" t="s">
        <v>810</v>
      </c>
      <c r="B56" s="377" t="s">
        <v>819</v>
      </c>
      <c r="C56" s="378">
        <f>E26</f>
        <v>459255.06100519479</v>
      </c>
      <c r="D56" s="375" t="s">
        <v>812</v>
      </c>
      <c r="E56" s="261"/>
    </row>
    <row r="57" spans="1:8" x14ac:dyDescent="0.25">
      <c r="A57" s="372" t="s">
        <v>810</v>
      </c>
      <c r="B57" s="373" t="s">
        <v>820</v>
      </c>
      <c r="C57" s="374">
        <f>'06_GOODWILL'!N34</f>
        <v>0</v>
      </c>
      <c r="D57" s="371" t="s">
        <v>813</v>
      </c>
      <c r="E57" s="262"/>
    </row>
    <row r="58" spans="1:8" x14ac:dyDescent="0.25">
      <c r="A58" s="376" t="s">
        <v>814</v>
      </c>
      <c r="B58" s="377" t="s">
        <v>821</v>
      </c>
      <c r="C58" s="378">
        <f>E34</f>
        <v>512.89566236811254</v>
      </c>
      <c r="D58" s="375" t="s">
        <v>822</v>
      </c>
      <c r="E58" s="261"/>
    </row>
    <row r="59" spans="1:8" x14ac:dyDescent="0.25">
      <c r="A59" s="372" t="s">
        <v>815</v>
      </c>
      <c r="B59" s="373" t="s">
        <v>823</v>
      </c>
      <c r="C59" s="374">
        <f>E35</f>
        <v>-27773.210370538651</v>
      </c>
      <c r="D59" s="371" t="s">
        <v>816</v>
      </c>
      <c r="E59" s="262"/>
    </row>
    <row r="60" spans="1:8" x14ac:dyDescent="0.25">
      <c r="A60" s="376" t="s">
        <v>817</v>
      </c>
      <c r="B60" s="377" t="s">
        <v>824</v>
      </c>
      <c r="C60" s="378">
        <f>E42</f>
        <v>-122547.60853485865</v>
      </c>
      <c r="D60" s="375" t="s">
        <v>241</v>
      </c>
      <c r="E60" s="261"/>
    </row>
    <row r="61" spans="1:8" x14ac:dyDescent="0.25">
      <c r="A61" s="372"/>
      <c r="B61" s="373" t="s">
        <v>818</v>
      </c>
      <c r="C61" s="379">
        <f>E44</f>
        <v>308934.24209979747</v>
      </c>
      <c r="D61" s="371">
        <v>0</v>
      </c>
      <c r="E61" s="262"/>
    </row>
    <row r="62" spans="1:8" x14ac:dyDescent="0.25">
      <c r="B62" s="377" t="s">
        <v>818</v>
      </c>
      <c r="C62" s="136">
        <f>E44</f>
        <v>308934.24209979747</v>
      </c>
    </row>
    <row r="63" spans="1:8" x14ac:dyDescent="0.25">
      <c r="A63" s="844" t="s">
        <v>1070</v>
      </c>
      <c r="B63" s="845"/>
      <c r="C63" s="845"/>
      <c r="D63" s="845"/>
      <c r="E63" s="845"/>
      <c r="F63" s="845"/>
      <c r="G63" s="845"/>
      <c r="H63" s="845"/>
    </row>
    <row r="64" spans="1:8" x14ac:dyDescent="0.25">
      <c r="A64" s="508" t="s">
        <v>1071</v>
      </c>
      <c r="B64" s="508" t="s">
        <v>1072</v>
      </c>
      <c r="C64" s="508" t="s">
        <v>1078</v>
      </c>
      <c r="D64" s="508" t="s">
        <v>1073</v>
      </c>
      <c r="E64" s="508" t="s">
        <v>1074</v>
      </c>
      <c r="F64" s="508"/>
      <c r="G64" s="508"/>
      <c r="H64" s="508"/>
    </row>
    <row r="65" spans="1:8" x14ac:dyDescent="0.25">
      <c r="A65" s="510" t="s">
        <v>336</v>
      </c>
      <c r="B65" s="512" t="s">
        <v>1084</v>
      </c>
      <c r="C65" s="513">
        <f>E15/E6</f>
        <v>0.7165890435854092</v>
      </c>
      <c r="D65" s="515">
        <v>0.52400000000000002</v>
      </c>
      <c r="E65" s="519">
        <f t="shared" ref="E65:E74" si="4">C65-D65</f>
        <v>0.19258904358540918</v>
      </c>
    </row>
    <row r="66" spans="1:8" x14ac:dyDescent="0.25">
      <c r="A66" s="516" t="s">
        <v>339</v>
      </c>
      <c r="B66" s="517" t="s">
        <v>1085</v>
      </c>
      <c r="C66" s="518">
        <f>E26/E6</f>
        <v>0.26756823095089061</v>
      </c>
      <c r="D66" s="515">
        <v>0.151</v>
      </c>
      <c r="E66" s="520">
        <f t="shared" si="4"/>
        <v>0.11656823095089061</v>
      </c>
    </row>
    <row r="67" spans="1:8" x14ac:dyDescent="0.25">
      <c r="A67" s="510" t="s">
        <v>1075</v>
      </c>
      <c r="B67" s="512" t="s">
        <v>1086</v>
      </c>
      <c r="C67" s="513">
        <f>E45/E6</f>
        <v>0.16739003216605078</v>
      </c>
      <c r="D67" s="515">
        <v>0.09</v>
      </c>
      <c r="E67" s="519">
        <f t="shared" si="4"/>
        <v>7.7390032166050782E-2</v>
      </c>
    </row>
    <row r="68" spans="1:8" x14ac:dyDescent="0.25">
      <c r="A68" s="516" t="s">
        <v>1076</v>
      </c>
      <c r="B68" s="517" t="s">
        <v>1087</v>
      </c>
      <c r="C68" s="518">
        <f>E45/'09_BILAN_CONSO'!E38</f>
        <v>0.22728093868667015</v>
      </c>
      <c r="D68" s="515">
        <v>0.115</v>
      </c>
      <c r="E68" s="520">
        <f t="shared" si="4"/>
        <v>0.11228093868667015</v>
      </c>
    </row>
    <row r="69" spans="1:8" x14ac:dyDescent="0.25">
      <c r="A69" s="510" t="s">
        <v>1077</v>
      </c>
      <c r="B69" s="512" t="s">
        <v>1088</v>
      </c>
      <c r="C69" s="513">
        <f>E44/'09_BILAN_CONSO'!E27</f>
        <v>7.008721454989196E-2</v>
      </c>
      <c r="D69" s="515">
        <v>0.04</v>
      </c>
      <c r="E69" s="519">
        <f t="shared" si="4"/>
        <v>3.0087214549891959E-2</v>
      </c>
    </row>
    <row r="70" spans="1:8" x14ac:dyDescent="0.25">
      <c r="A70" s="516" t="s">
        <v>1079</v>
      </c>
      <c r="B70" s="517" t="s">
        <v>1089</v>
      </c>
      <c r="C70" s="521">
        <f>('09_BILAN_CONSO'!E44-'09_BILAN_CONSO'!E24)/'09_BILAN_CONSO'!E41</f>
        <v>0.40075226253782747</v>
      </c>
      <c r="D70" s="522">
        <v>0.34</v>
      </c>
      <c r="E70" s="523">
        <f t="shared" si="4"/>
        <v>6.0752262537827451E-2</v>
      </c>
    </row>
    <row r="71" spans="1:8" x14ac:dyDescent="0.25">
      <c r="A71" s="510" t="s">
        <v>1080</v>
      </c>
      <c r="B71" s="512" t="s">
        <v>1090</v>
      </c>
      <c r="C71" s="524">
        <f>'09_BILAN_CONSO'!E25/'09_BILAN_CONSO'!E57</f>
        <v>1.2027574095641969</v>
      </c>
      <c r="D71" s="522">
        <v>1.69</v>
      </c>
      <c r="E71" s="525">
        <f t="shared" si="4"/>
        <v>-0.48724259043580309</v>
      </c>
    </row>
    <row r="72" spans="1:8" x14ac:dyDescent="0.25">
      <c r="A72" s="516" t="s">
        <v>1081</v>
      </c>
      <c r="B72" s="517" t="s">
        <v>1091</v>
      </c>
      <c r="C72" s="526">
        <f>('09_BILAN_CONSO'!E18+'09_BILAN_CONSO'!E19-'09_BILAN_CONSO'!E52)/E6*365</f>
        <v>114.42235170199267</v>
      </c>
      <c r="D72" s="527">
        <v>120</v>
      </c>
      <c r="E72" s="528">
        <f t="shared" si="4"/>
        <v>-5.5776482980073325</v>
      </c>
    </row>
    <row r="73" spans="1:8" x14ac:dyDescent="0.25">
      <c r="A73" s="510" t="s">
        <v>1082</v>
      </c>
      <c r="B73" s="512" t="s">
        <v>1092</v>
      </c>
      <c r="C73" s="513">
        <f>'09_BILAN_CONSO'!E6/'09_BILAN_CONSO'!E27</f>
        <v>3.8225008213693318E-2</v>
      </c>
      <c r="D73" s="529">
        <v>0.04</v>
      </c>
      <c r="E73" s="530">
        <f t="shared" si="4"/>
        <v>-1.774991786306683E-3</v>
      </c>
    </row>
    <row r="74" spans="1:8" x14ac:dyDescent="0.25">
      <c r="A74" s="516" t="s">
        <v>1083</v>
      </c>
      <c r="B74" s="517" t="s">
        <v>1093</v>
      </c>
      <c r="C74" s="518">
        <f>'09_BILAN_CONSO'!E40/'09_BILAN_CONSO'!E41</f>
        <v>3.4374413472746765E-2</v>
      </c>
      <c r="D74" s="529">
        <v>2.8000000000000001E-2</v>
      </c>
      <c r="E74" s="531">
        <f t="shared" si="4"/>
        <v>6.3744134727467643E-3</v>
      </c>
    </row>
    <row r="75" spans="1:8" x14ac:dyDescent="0.25">
      <c r="A75" s="507" t="s">
        <v>1146</v>
      </c>
    </row>
    <row r="76" spans="1:8" x14ac:dyDescent="0.25">
      <c r="A76" s="508" t="s">
        <v>118</v>
      </c>
      <c r="B76" s="508" t="s">
        <v>1147</v>
      </c>
      <c r="C76" s="508" t="s">
        <v>1148</v>
      </c>
      <c r="D76" s="508" t="s">
        <v>1149</v>
      </c>
      <c r="E76" s="508" t="s">
        <v>1150</v>
      </c>
      <c r="F76" s="508" t="s">
        <v>1151</v>
      </c>
      <c r="G76" s="508" t="s">
        <v>1152</v>
      </c>
      <c r="H76" s="508" t="s">
        <v>1153</v>
      </c>
    </row>
    <row r="77" spans="1:8" x14ac:dyDescent="0.25">
      <c r="A77" s="516" t="s">
        <v>1154</v>
      </c>
      <c r="B77" s="568">
        <f>'04_PNL_IND'!C7</f>
        <v>725000</v>
      </c>
      <c r="C77" s="569">
        <f>IF('10_PNL_CONSO'!E6=0,"",B77/'10_PNL_CONSO'!E6)</f>
        <v>0.42239483875214479</v>
      </c>
      <c r="D77" s="568">
        <f>'04_PNL_IND'!C44+'04_PNL_IND'!C45+'04_PNL_IND'!C46</f>
        <v>178000</v>
      </c>
      <c r="E77" s="569">
        <f>IF('10_PNL_CONSO'!E44=0,"",D77/'10_PNL_CONSO'!E44)</f>
        <v>0.57617439488141708</v>
      </c>
      <c r="F77" s="569">
        <f>IF('04_PNL_IND'!C7=0,"",D77/B77)</f>
        <v>0.24551724137931036</v>
      </c>
      <c r="G77" s="514">
        <v>0</v>
      </c>
      <c r="H77" s="568" t="str">
        <f t="shared" ref="H77:H83" si="5">IF(G77=0,"",B77/G77)</f>
        <v/>
      </c>
    </row>
    <row r="78" spans="1:8" x14ac:dyDescent="0.25">
      <c r="A78" s="510" t="s">
        <v>1155</v>
      </c>
      <c r="B78" s="570">
        <f>'04_PNL_IND'!E7</f>
        <v>140000</v>
      </c>
      <c r="C78" s="571">
        <f>IF('10_PNL_CONSO'!E6=0,"",B78/'10_PNL_CONSO'!E6)</f>
        <v>8.1565899896965888E-2</v>
      </c>
      <c r="D78" s="570">
        <f>'04_PNL_IND'!E44+'04_PNL_IND'!E45+'04_PNL_IND'!E46</f>
        <v>28600</v>
      </c>
      <c r="E78" s="571">
        <f>IF('10_PNL_CONSO'!E44=0,"",D78/'10_PNL_CONSO'!E44)</f>
        <v>9.2576335357351283E-2</v>
      </c>
      <c r="F78" s="571">
        <f>IF('04_PNL_IND'!E7=0,"",D78/B78)</f>
        <v>0.20428571428571429</v>
      </c>
      <c r="G78" s="514">
        <v>0</v>
      </c>
      <c r="H78" s="570" t="str">
        <f t="shared" si="5"/>
        <v/>
      </c>
    </row>
    <row r="79" spans="1:8" x14ac:dyDescent="0.25">
      <c r="A79" s="516" t="s">
        <v>1156</v>
      </c>
      <c r="B79" s="568">
        <f>'04_PNL_IND'!G7/'01_PARAMETRES'!$C$36</f>
        <v>438756.85557586834</v>
      </c>
      <c r="C79" s="569">
        <f>IF('10_PNL_CONSO'!E6=0,"",B79/'10_PNL_CONSO'!E6)</f>
        <v>0.25562569829291998</v>
      </c>
      <c r="D79" s="568">
        <f>('04_PNL_IND'!G44+'04_PNL_IND'!G45+'04_PNL_IND'!G46)/'01_PARAMETRES'!$C$36</f>
        <v>0</v>
      </c>
      <c r="E79" s="569">
        <f>IF('10_PNL_CONSO'!E44=0,"",D79/'10_PNL_CONSO'!E44)</f>
        <v>0</v>
      </c>
      <c r="F79" s="569">
        <f>IF('04_PNL_IND'!G7=0,"",D79/B79)</f>
        <v>0</v>
      </c>
      <c r="G79" s="514">
        <v>0</v>
      </c>
      <c r="H79" s="568" t="str">
        <f t="shared" si="5"/>
        <v/>
      </c>
    </row>
    <row r="80" spans="1:8" x14ac:dyDescent="0.25">
      <c r="A80" s="510" t="s">
        <v>1157</v>
      </c>
      <c r="B80" s="570">
        <f>'04_PNL_IND'!I7/'01_PARAMETRES'!$C$37</f>
        <v>257352.9411764706</v>
      </c>
      <c r="C80" s="571">
        <f>IF('10_PNL_CONSO'!E6=0,"",B80/'10_PNL_CONSO'!E6)</f>
        <v>0.14993731598706966</v>
      </c>
      <c r="D80" s="570">
        <f>('04_PNL_IND'!I44+'04_PNL_IND'!I45+'04_PNL_IND'!I46)/'01_PARAMETRES'!$C$37</f>
        <v>4503.676470588236</v>
      </c>
      <c r="E80" s="571">
        <f>IF('10_PNL_CONSO'!E44=0,"",D80/'10_PNL_CONSO'!E44)</f>
        <v>1.4578107107768837E-2</v>
      </c>
      <c r="F80" s="571">
        <f>IF('04_PNL_IND'!I7=0,"",D80/B80)</f>
        <v>1.7500000000000002E-2</v>
      </c>
      <c r="G80" s="514">
        <v>0</v>
      </c>
      <c r="H80" s="570" t="str">
        <f t="shared" si="5"/>
        <v/>
      </c>
    </row>
    <row r="81" spans="1:8" x14ac:dyDescent="0.25">
      <c r="A81" s="516" t="s">
        <v>1158</v>
      </c>
      <c r="B81" s="568">
        <f>'04_PNL_IND'!K7/'01_PARAMETRES'!$C$38</f>
        <v>79872.204472843456</v>
      </c>
      <c r="C81" s="569">
        <f>IF('10_PNL_CONSO'!E6=0,"",B81/'10_PNL_CONSO'!E6)</f>
        <v>4.6534630247013861E-2</v>
      </c>
      <c r="D81" s="568">
        <f>('04_PNL_IND'!K44+'04_PNL_IND'!K45+'04_PNL_IND'!K46)/'01_PARAMETRES'!$C$38</f>
        <v>38977.635782747609</v>
      </c>
      <c r="E81" s="569">
        <f>IF('10_PNL_CONSO'!E44=0,"",D81/'10_PNL_CONSO'!E44)</f>
        <v>0.12616806579231951</v>
      </c>
      <c r="F81" s="569">
        <f>IF('04_PNL_IND'!K7=0,"",D81/B81)</f>
        <v>0.48800000000000004</v>
      </c>
      <c r="G81" s="514">
        <v>0</v>
      </c>
      <c r="H81" s="568" t="str">
        <f t="shared" si="5"/>
        <v/>
      </c>
    </row>
    <row r="82" spans="1:8" x14ac:dyDescent="0.25">
      <c r="A82" s="510" t="s">
        <v>1159</v>
      </c>
      <c r="B82" s="570">
        <f>'04_PNL_IND'!M7/'01_PARAMETRES'!$C$39</f>
        <v>44303.797468354431</v>
      </c>
      <c r="C82" s="571">
        <f>IF('10_PNL_CONSO'!E6=0,"",B82/'10_PNL_CONSO'!E6)</f>
        <v>2.5811993638280347E-2</v>
      </c>
      <c r="D82" s="570">
        <f>('04_PNL_IND'!M44+'04_PNL_IND'!M45+'04_PNL_IND'!M46)/'01_PARAMETRES'!$C$39</f>
        <v>4406.32911392405</v>
      </c>
      <c r="E82" s="571">
        <f>IF('10_PNL_CONSO'!E44=0,"",D82/'10_PNL_CONSO'!E44)</f>
        <v>1.4263000061031237E-2</v>
      </c>
      <c r="F82" s="571">
        <f>IF('04_PNL_IND'!M7=0,"",D82/B82)</f>
        <v>9.9457142857142841E-2</v>
      </c>
      <c r="G82" s="514">
        <v>0</v>
      </c>
      <c r="H82" s="570" t="str">
        <f t="shared" si="5"/>
        <v/>
      </c>
    </row>
    <row r="83" spans="1:8" x14ac:dyDescent="0.25">
      <c r="A83" s="516" t="s">
        <v>1160</v>
      </c>
      <c r="B83" s="568">
        <f>'04_PNL_IND'!O7/'01_PARAMETRES'!$C$41</f>
        <v>31117.749564351503</v>
      </c>
      <c r="C83" s="569">
        <f>IF('10_PNL_CONSO'!E6=0,"",B83/'10_PNL_CONSO'!E6)</f>
        <v>1.8129623185605348E-2</v>
      </c>
      <c r="D83" s="568">
        <f>('04_PNL_IND'!O44+'04_PNL_IND'!O45+'04_PNL_IND'!O46)/'01_PARAMETRES'!$C$41</f>
        <v>4258.8996763754039</v>
      </c>
      <c r="E83" s="569">
        <f>IF('10_PNL_CONSO'!E44=0,"",D83/'10_PNL_CONSO'!E44)</f>
        <v>1.378578058368686E-2</v>
      </c>
      <c r="F83" s="569">
        <f>IF('04_PNL_IND'!O7=0,"",D83/B83)</f>
        <v>0.13686399999999999</v>
      </c>
      <c r="G83" s="514">
        <v>0</v>
      </c>
      <c r="H83" s="568" t="str">
        <f t="shared" si="5"/>
        <v/>
      </c>
    </row>
    <row r="84" spans="1:8" x14ac:dyDescent="0.25">
      <c r="A84" s="572" t="s">
        <v>222</v>
      </c>
      <c r="B84" s="573">
        <f>SUM(B77:B83)</f>
        <v>1716403.5482578885</v>
      </c>
      <c r="C84" s="575">
        <f>SUM(C77:C83)</f>
        <v>0.99999999999999978</v>
      </c>
      <c r="D84" s="573">
        <f>SUM(D77:D83)</f>
        <v>258746.54104363531</v>
      </c>
      <c r="E84" s="575">
        <f>SUM(E77:E83)</f>
        <v>0.83754568378357486</v>
      </c>
      <c r="G84" s="573">
        <f>SUM(G77:G83)</f>
        <v>0</v>
      </c>
    </row>
    <row r="86" spans="1:8" x14ac:dyDescent="0.25">
      <c r="A86" s="511" t="s">
        <v>1161</v>
      </c>
      <c r="B86" s="576" t="str">
        <f>IF(ABS(B84-'10_PNL_CONSO'!E6)&lt;5000,"✅ ≈ CA tiers conso","⚠️ Écart : "&amp;TEXT(B84-'10_PNL_CONSO'!E6,"#,##0")&amp;" K€")</f>
        <v>✅ ≈ CA tiers conso</v>
      </c>
      <c r="C86" s="577" t="s">
        <v>1162</v>
      </c>
    </row>
    <row r="90" spans="1:8" x14ac:dyDescent="0.25">
      <c r="A90" s="602" t="s">
        <v>1242</v>
      </c>
      <c r="B90" s="603" t="s">
        <v>1243</v>
      </c>
    </row>
    <row r="91" spans="1:8" x14ac:dyDescent="0.25">
      <c r="A91" s="604" t="s">
        <v>1244</v>
      </c>
      <c r="B91" s="57">
        <v>50000000</v>
      </c>
    </row>
    <row r="92" spans="1:8" x14ac:dyDescent="0.25">
      <c r="A92" s="605" t="s">
        <v>1245</v>
      </c>
      <c r="B92" s="57">
        <v>50000000</v>
      </c>
    </row>
    <row r="93" spans="1:8" x14ac:dyDescent="0.25">
      <c r="A93" s="604" t="s">
        <v>1246</v>
      </c>
      <c r="B93" s="606">
        <f>'10_PNL_CONSO'!E45</f>
        <v>287308.84515281167</v>
      </c>
    </row>
    <row r="94" spans="1:8" ht="15.75" x14ac:dyDescent="0.25">
      <c r="A94" s="610" t="s">
        <v>1247</v>
      </c>
      <c r="B94" s="607">
        <f>B93*1000/B92</f>
        <v>5.7461769030562326</v>
      </c>
    </row>
    <row r="95" spans="1:8" x14ac:dyDescent="0.25">
      <c r="A95" s="608" t="s">
        <v>1248</v>
      </c>
    </row>
    <row r="96" spans="1:8" x14ac:dyDescent="0.25">
      <c r="A96" s="605" t="s">
        <v>1249</v>
      </c>
      <c r="B96" s="57">
        <v>2500000</v>
      </c>
    </row>
    <row r="97" spans="1:2" x14ac:dyDescent="0.25">
      <c r="A97" s="604" t="s">
        <v>1250</v>
      </c>
      <c r="B97" s="609">
        <f>B92+B96</f>
        <v>52500000</v>
      </c>
    </row>
    <row r="98" spans="1:2" ht="15.75" x14ac:dyDescent="0.25">
      <c r="A98" s="610" t="s">
        <v>1251</v>
      </c>
      <c r="B98" s="607">
        <f>B93*1000/B97</f>
        <v>5.4725494314821264</v>
      </c>
    </row>
    <row r="99" spans="1:2" x14ac:dyDescent="0.25">
      <c r="A99" s="611" t="s">
        <v>1253</v>
      </c>
    </row>
  </sheetData>
  <mergeCells count="9">
    <mergeCell ref="A1:H1"/>
    <mergeCell ref="A63:H63"/>
    <mergeCell ref="B4:B5"/>
    <mergeCell ref="C4:C5"/>
    <mergeCell ref="H4:H5"/>
    <mergeCell ref="G4:G5"/>
    <mergeCell ref="F4:F5"/>
    <mergeCell ref="E4:E5"/>
    <mergeCell ref="D4:D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65390-BD48-4A62-8333-6AE9059287D6}">
  <sheetPr>
    <tabColor rgb="FF1F3864"/>
  </sheetPr>
  <dimension ref="A1:F45"/>
  <sheetViews>
    <sheetView showGridLines="0" workbookViewId="0">
      <selection activeCell="B35" sqref="B35"/>
    </sheetView>
  </sheetViews>
  <sheetFormatPr baseColWidth="10" defaultRowHeight="15" x14ac:dyDescent="0.25"/>
  <cols>
    <col min="1" max="1" width="57.140625" customWidth="1"/>
    <col min="2" max="2" width="24.28515625" customWidth="1"/>
    <col min="3" max="3" width="17.140625" customWidth="1"/>
    <col min="4" max="4" width="15.28515625" customWidth="1"/>
    <col min="5" max="5" width="21" customWidth="1"/>
  </cols>
  <sheetData>
    <row r="1" spans="1:5" ht="21" x14ac:dyDescent="0.35">
      <c r="A1" s="847" t="s">
        <v>1195</v>
      </c>
      <c r="B1" s="847"/>
      <c r="C1" s="847"/>
      <c r="D1" s="847"/>
      <c r="E1" s="847"/>
    </row>
    <row r="2" spans="1:5" x14ac:dyDescent="0.25">
      <c r="A2" s="848" t="s">
        <v>1196</v>
      </c>
      <c r="B2" s="848"/>
      <c r="C2" s="848"/>
      <c r="D2" s="848"/>
      <c r="E2" s="848"/>
    </row>
    <row r="4" spans="1:5" x14ac:dyDescent="0.25">
      <c r="A4" s="849" t="s">
        <v>1197</v>
      </c>
      <c r="B4" s="849"/>
      <c r="C4" s="849"/>
      <c r="D4" s="849"/>
      <c r="E4" s="849"/>
    </row>
    <row r="5" spans="1:5" x14ac:dyDescent="0.25">
      <c r="A5" s="714" t="s">
        <v>1198</v>
      </c>
      <c r="B5" s="715">
        <f>'10_PNL_CONSO'!E37</f>
        <v>431481.85063465615</v>
      </c>
    </row>
    <row r="6" spans="1:5" x14ac:dyDescent="0.25">
      <c r="A6" s="509" t="s">
        <v>1199</v>
      </c>
      <c r="B6" s="515">
        <v>0.25</v>
      </c>
      <c r="C6" s="577" t="s">
        <v>1201</v>
      </c>
    </row>
    <row r="7" spans="1:5" x14ac:dyDescent="0.25">
      <c r="A7" s="714" t="s">
        <v>1200</v>
      </c>
      <c r="B7" s="715">
        <f>-B5*B6</f>
        <v>-107870.46265866404</v>
      </c>
    </row>
    <row r="9" spans="1:5" ht="21" x14ac:dyDescent="0.35">
      <c r="A9" s="847" t="s">
        <v>1202</v>
      </c>
      <c r="B9" s="847"/>
      <c r="C9" s="847"/>
      <c r="D9" s="847"/>
      <c r="E9" s="847"/>
    </row>
    <row r="10" spans="1:5" x14ac:dyDescent="0.25">
      <c r="A10" s="594" t="s">
        <v>913</v>
      </c>
      <c r="B10" s="594" t="s">
        <v>1203</v>
      </c>
      <c r="C10" s="594" t="s">
        <v>1204</v>
      </c>
      <c r="D10" s="594" t="s">
        <v>1205</v>
      </c>
      <c r="E10" s="594" t="s">
        <v>1206</v>
      </c>
    </row>
    <row r="11" spans="1:5" x14ac:dyDescent="0.25">
      <c r="A11" s="516" t="s">
        <v>1207</v>
      </c>
      <c r="B11" s="568">
        <f>'04_PNL_IND'!C44</f>
        <v>269500</v>
      </c>
      <c r="C11" s="595">
        <v>0.25</v>
      </c>
      <c r="D11" s="596">
        <f t="shared" ref="D11:D17" si="0">$B$6</f>
        <v>0.25</v>
      </c>
      <c r="E11" s="568">
        <f t="shared" ref="E11:E17" si="1">-B11*(C11-D11)</f>
        <v>0</v>
      </c>
    </row>
    <row r="12" spans="1:5" x14ac:dyDescent="0.25">
      <c r="A12" s="510" t="s">
        <v>1208</v>
      </c>
      <c r="B12" s="570">
        <f>'04_PNL_IND'!E44</f>
        <v>40800</v>
      </c>
      <c r="C12" s="595">
        <v>0.24</v>
      </c>
      <c r="D12" s="597">
        <f t="shared" si="0"/>
        <v>0.25</v>
      </c>
      <c r="E12" s="570">
        <f t="shared" si="1"/>
        <v>408.00000000000034</v>
      </c>
    </row>
    <row r="13" spans="1:5" x14ac:dyDescent="0.25">
      <c r="A13" s="516" t="s">
        <v>1209</v>
      </c>
      <c r="B13" s="568">
        <f>'04_PNL_IND'!G44/'01_PARAMETRES'!$C$36</f>
        <v>6032.9067641681895</v>
      </c>
      <c r="C13" s="595">
        <v>0.21</v>
      </c>
      <c r="D13" s="596">
        <f t="shared" si="0"/>
        <v>0.25</v>
      </c>
      <c r="E13" s="568">
        <f t="shared" si="1"/>
        <v>241.31627056672764</v>
      </c>
    </row>
    <row r="14" spans="1:5" x14ac:dyDescent="0.25">
      <c r="A14" s="510" t="s">
        <v>1210</v>
      </c>
      <c r="B14" s="570">
        <f>'04_PNL_IND'!I44/'01_PARAMETRES'!$C$37</f>
        <v>10324.754901960785</v>
      </c>
      <c r="C14" s="595">
        <v>0.30620000000000003</v>
      </c>
      <c r="D14" s="597">
        <f t="shared" si="0"/>
        <v>0.25</v>
      </c>
      <c r="E14" s="570">
        <f t="shared" si="1"/>
        <v>-580.25122549019636</v>
      </c>
    </row>
    <row r="15" spans="1:5" x14ac:dyDescent="0.25">
      <c r="A15" s="516" t="s">
        <v>1211</v>
      </c>
      <c r="B15" s="568">
        <f>'04_PNL_IND'!K44/'01_PARAMETRES'!$C$38</f>
        <v>48881.789137380198</v>
      </c>
      <c r="C15" s="595">
        <v>0.14000000000000001</v>
      </c>
      <c r="D15" s="596">
        <f t="shared" si="0"/>
        <v>0.25</v>
      </c>
      <c r="E15" s="568">
        <f t="shared" si="1"/>
        <v>5376.9968051118212</v>
      </c>
    </row>
    <row r="16" spans="1:5" x14ac:dyDescent="0.25">
      <c r="A16" s="510" t="s">
        <v>1212</v>
      </c>
      <c r="B16" s="570">
        <f>'04_PNL_IND'!M44/'01_PARAMETRES'!$C$39</f>
        <v>5791.1392405063289</v>
      </c>
      <c r="C16" s="595">
        <v>0.25</v>
      </c>
      <c r="D16" s="597">
        <f t="shared" si="0"/>
        <v>0.25</v>
      </c>
      <c r="E16" s="570">
        <f t="shared" si="1"/>
        <v>0</v>
      </c>
    </row>
    <row r="17" spans="1:5" ht="15.75" thickBot="1" x14ac:dyDescent="0.3">
      <c r="A17" s="516" t="s">
        <v>1213</v>
      </c>
      <c r="B17" s="568">
        <f>'04_PNL_IND'!O44/'01_PARAMETRES'!$C$41</f>
        <v>4680.1095344784662</v>
      </c>
      <c r="C17" s="595">
        <v>0.09</v>
      </c>
      <c r="D17" s="596">
        <f t="shared" si="0"/>
        <v>0.25</v>
      </c>
      <c r="E17" s="568">
        <f t="shared" si="1"/>
        <v>748.81752551655461</v>
      </c>
    </row>
    <row r="18" spans="1:5" ht="15.75" thickBot="1" x14ac:dyDescent="0.3">
      <c r="A18" s="572" t="s">
        <v>1214</v>
      </c>
      <c r="B18" s="572"/>
      <c r="C18" s="572"/>
      <c r="D18" s="572"/>
      <c r="E18" s="953">
        <f>SUM(E11:E17)</f>
        <v>6194.879375704907</v>
      </c>
    </row>
    <row r="20" spans="1:5" ht="15.75" thickBot="1" x14ac:dyDescent="0.3">
      <c r="A20" s="4" t="s">
        <v>1215</v>
      </c>
    </row>
    <row r="21" spans="1:5" ht="15.75" thickBot="1" x14ac:dyDescent="0.3">
      <c r="A21" s="948" t="s">
        <v>1216</v>
      </c>
      <c r="E21" s="956">
        <f>'10_PNL_CONSO'!C33*$B$6</f>
        <v>3000</v>
      </c>
    </row>
    <row r="22" spans="1:5" x14ac:dyDescent="0.25">
      <c r="A22" s="948" t="s">
        <v>1217</v>
      </c>
      <c r="E22" s="954">
        <v>0</v>
      </c>
    </row>
    <row r="23" spans="1:5" ht="15.75" thickBot="1" x14ac:dyDescent="0.3">
      <c r="A23" s="948" t="s">
        <v>1218</v>
      </c>
      <c r="E23" s="955">
        <v>0</v>
      </c>
    </row>
    <row r="24" spans="1:5" ht="15.75" thickBot="1" x14ac:dyDescent="0.3">
      <c r="A24" s="572" t="s">
        <v>1219</v>
      </c>
      <c r="E24" s="952">
        <f>SUM(E21:E23)</f>
        <v>3000</v>
      </c>
    </row>
    <row r="25" spans="1:5" x14ac:dyDescent="0.25">
      <c r="A25" s="949"/>
    </row>
    <row r="26" spans="1:5" ht="15.75" thickBot="1" x14ac:dyDescent="0.3">
      <c r="A26" s="508" t="s">
        <v>1220</v>
      </c>
    </row>
    <row r="27" spans="1:5" ht="15.75" thickBot="1" x14ac:dyDescent="0.3">
      <c r="A27" s="948" t="s">
        <v>1221</v>
      </c>
      <c r="E27" s="956">
        <f>'10_PNL_CONSO'!C41</f>
        <v>-5731.1756813699067</v>
      </c>
    </row>
    <row r="28" spans="1:5" ht="15.75" thickBot="1" x14ac:dyDescent="0.3">
      <c r="A28" s="948" t="s">
        <v>1222</v>
      </c>
      <c r="E28" s="957">
        <v>0</v>
      </c>
    </row>
    <row r="29" spans="1:5" ht="15.75" thickBot="1" x14ac:dyDescent="0.3">
      <c r="A29" s="598" t="s">
        <v>1223</v>
      </c>
      <c r="E29" s="952">
        <f>SUM(E27:E28)</f>
        <v>-5731.1756813699067</v>
      </c>
    </row>
    <row r="31" spans="1:5" ht="15.75" thickBot="1" x14ac:dyDescent="0.3">
      <c r="A31" s="4" t="s">
        <v>1224</v>
      </c>
    </row>
    <row r="32" spans="1:5" ht="15.75" thickBot="1" x14ac:dyDescent="0.3">
      <c r="A32" s="948" t="s">
        <v>1225</v>
      </c>
      <c r="E32" s="956">
        <f>-'15_PILIER2'!H12</f>
        <v>-280.80657206870796</v>
      </c>
    </row>
    <row r="33" spans="1:6" ht="15.75" thickBot="1" x14ac:dyDescent="0.3">
      <c r="A33" s="598" t="s">
        <v>1226</v>
      </c>
      <c r="E33" s="952">
        <f>E32</f>
        <v>-280.80657206870796</v>
      </c>
    </row>
    <row r="34" spans="1:6" ht="15.75" thickBot="1" x14ac:dyDescent="0.3">
      <c r="A34" s="948" t="s">
        <v>1238</v>
      </c>
      <c r="E34" s="956">
        <f>'10_PNL_CONSO'!E42-(B7+E18+E24+E29+E33)</f>
        <v>-17860.042998460922</v>
      </c>
      <c r="F34" s="577" t="s">
        <v>1239</v>
      </c>
    </row>
    <row r="35" spans="1:6" ht="15.75" thickBot="1" x14ac:dyDescent="0.3">
      <c r="A35" s="542" t="s">
        <v>1227</v>
      </c>
      <c r="B35" s="958">
        <f>B7+E18+E24+E29+E33+E34</f>
        <v>-122547.60853485865</v>
      </c>
    </row>
    <row r="36" spans="1:6" x14ac:dyDescent="0.25">
      <c r="A36" s="950" t="s">
        <v>1228</v>
      </c>
      <c r="B36" s="506" t="str">
        <f>IF(ABS(B35-'10_PNL_CONSO'!E42)&lt;5,"✅ Réconcilié","❌ Écart "&amp;TEXT(B35-'10_PNL_CONSO'!E42,"#,##0")&amp;" K€")</f>
        <v>✅ Réconcilié</v>
      </c>
      <c r="C36" s="599" t="s">
        <v>1229</v>
      </c>
      <c r="D36" s="600">
        <f>'10_PNL_CONSO'!E42</f>
        <v>-122547.60853485865</v>
      </c>
    </row>
    <row r="38" spans="1:6" x14ac:dyDescent="0.25">
      <c r="A38" s="4" t="s">
        <v>1230</v>
      </c>
    </row>
    <row r="39" spans="1:6" x14ac:dyDescent="0.25">
      <c r="A39" s="951" t="s">
        <v>1231</v>
      </c>
      <c r="B39" s="574">
        <f>IF(B5=0,"",ABS(B35)/B5)</f>
        <v>0.28401567378698861</v>
      </c>
    </row>
    <row r="40" spans="1:6" x14ac:dyDescent="0.25">
      <c r="A40" s="948" t="s">
        <v>1232</v>
      </c>
      <c r="B40" s="601">
        <f>B39-B6</f>
        <v>3.4015673786988609E-2</v>
      </c>
    </row>
    <row r="41" spans="1:6" x14ac:dyDescent="0.25">
      <c r="A41" s="948" t="s">
        <v>1233</v>
      </c>
      <c r="B41" s="506" t="str">
        <f>IF(B39&gt;=0.15,"✅ ETR ≥ 15%","⚠️ ETR &lt; 15% — vérifier impôt comp.")</f>
        <v>✅ ETR ≥ 15%</v>
      </c>
    </row>
    <row r="44" spans="1:6" x14ac:dyDescent="0.25">
      <c r="A44" s="4" t="s">
        <v>1236</v>
      </c>
    </row>
    <row r="45" spans="1:6" x14ac:dyDescent="0.25">
      <c r="A45" s="511" t="s">
        <v>1237</v>
      </c>
    </row>
  </sheetData>
  <mergeCells count="4">
    <mergeCell ref="A1:E1"/>
    <mergeCell ref="A2:E2"/>
    <mergeCell ref="A4:E4"/>
    <mergeCell ref="A9:E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2DAC5-F253-45BB-8E3A-66593313730A}">
  <sheetPr>
    <tabColor rgb="FF2E75B6"/>
  </sheetPr>
  <dimension ref="A1:F31"/>
  <sheetViews>
    <sheetView showGridLines="0" workbookViewId="0">
      <pane xSplit="1" ySplit="3" topLeftCell="E4" activePane="bottomRight" state="frozen"/>
      <selection pane="topRight"/>
      <selection pane="bottomLeft"/>
      <selection pane="bottomRight" activeCell="J21" sqref="J21"/>
    </sheetView>
  </sheetViews>
  <sheetFormatPr baseColWidth="10" defaultColWidth="9.140625" defaultRowHeight="15" x14ac:dyDescent="0.25"/>
  <cols>
    <col min="1" max="1" width="40" customWidth="1"/>
    <col min="2" max="4" width="6" customWidth="1"/>
    <col min="5" max="5" width="30.7109375" customWidth="1"/>
    <col min="6" max="6" width="26.5703125" customWidth="1"/>
  </cols>
  <sheetData>
    <row r="1" spans="1:6" ht="21.95" customHeight="1" x14ac:dyDescent="0.25">
      <c r="A1" s="853" t="s">
        <v>829</v>
      </c>
      <c r="B1" s="845"/>
      <c r="C1" s="845"/>
      <c r="D1" s="845"/>
      <c r="E1" s="845"/>
      <c r="F1" s="845"/>
    </row>
    <row r="2" spans="1:6" ht="15.95" customHeight="1" x14ac:dyDescent="0.25">
      <c r="A2" s="854" t="s">
        <v>830</v>
      </c>
      <c r="B2" s="845"/>
      <c r="C2" s="845"/>
      <c r="D2" s="845"/>
      <c r="E2" s="845"/>
      <c r="F2" s="845"/>
    </row>
    <row r="3" spans="1:6" x14ac:dyDescent="0.25">
      <c r="E3" s="380" t="s">
        <v>831</v>
      </c>
      <c r="F3" s="380" t="s">
        <v>832</v>
      </c>
    </row>
    <row r="5" spans="1:6" x14ac:dyDescent="0.25">
      <c r="A5" s="855" t="s">
        <v>833</v>
      </c>
      <c r="B5" s="845"/>
      <c r="C5" s="845"/>
      <c r="D5" s="845"/>
      <c r="E5" s="845"/>
      <c r="F5" s="845"/>
    </row>
    <row r="6" spans="1:6" x14ac:dyDescent="0.25">
      <c r="A6" s="381" t="s">
        <v>834</v>
      </c>
      <c r="E6" s="382">
        <f>'10_PNL_CONSO'!E42</f>
        <v>-122547.60853485865</v>
      </c>
    </row>
    <row r="7" spans="1:6" x14ac:dyDescent="0.25">
      <c r="A7" s="381" t="s">
        <v>835</v>
      </c>
      <c r="E7" s="382">
        <f>'10_PNL_CONSO'!E30</f>
        <v>2559.4149908592321</v>
      </c>
    </row>
    <row r="8" spans="1:6" x14ac:dyDescent="0.25">
      <c r="A8" s="381" t="s">
        <v>836</v>
      </c>
      <c r="E8" s="382">
        <f>'06_GOODWILL'!N34</f>
        <v>0</v>
      </c>
    </row>
    <row r="9" spans="1:6" x14ac:dyDescent="0.25">
      <c r="A9" s="381" t="s">
        <v>837</v>
      </c>
      <c r="E9" s="497">
        <f>-(('09_BILAN_CONSO'!E18+'09_BILAN_CONSO'!E19-'09_BILAN_CONSO'!E52)-('09_BILAN_CONSO'!F18+'09_BILAN_CONSO'!F19-'09_BILAN_CONSO'!F52))</f>
        <v>-165068.30263373221</v>
      </c>
    </row>
    <row r="10" spans="1:6" x14ac:dyDescent="0.25">
      <c r="A10" s="381" t="s">
        <v>838</v>
      </c>
      <c r="E10" s="383"/>
    </row>
    <row r="11" spans="1:6" ht="15.75" thickBot="1" x14ac:dyDescent="0.3">
      <c r="A11" s="384"/>
      <c r="E11" s="385">
        <f>SUM(E6:E10)</f>
        <v>-285056.49617773161</v>
      </c>
    </row>
    <row r="12" spans="1:6" ht="6" customHeight="1" x14ac:dyDescent="0.25"/>
    <row r="13" spans="1:6" x14ac:dyDescent="0.25">
      <c r="A13" s="855" t="s">
        <v>839</v>
      </c>
      <c r="B13" s="845"/>
      <c r="C13" s="845"/>
      <c r="D13" s="845"/>
      <c r="E13" s="845"/>
      <c r="F13" s="845"/>
    </row>
    <row r="14" spans="1:6" x14ac:dyDescent="0.25">
      <c r="A14" s="381" t="s">
        <v>840</v>
      </c>
      <c r="E14" s="383"/>
    </row>
    <row r="15" spans="1:6" x14ac:dyDescent="0.25">
      <c r="A15" s="381" t="s">
        <v>841</v>
      </c>
      <c r="E15" s="383"/>
    </row>
    <row r="16" spans="1:6" x14ac:dyDescent="0.25">
      <c r="A16" s="381" t="s">
        <v>842</v>
      </c>
      <c r="E16" s="382">
        <v>0</v>
      </c>
    </row>
    <row r="17" spans="1:6" ht="15.75" thickBot="1" x14ac:dyDescent="0.3">
      <c r="A17" s="386"/>
      <c r="E17" s="387">
        <f>SUM(E14:E16)</f>
        <v>0</v>
      </c>
    </row>
    <row r="18" spans="1:6" ht="6" customHeight="1" x14ac:dyDescent="0.25"/>
    <row r="19" spans="1:6" x14ac:dyDescent="0.25">
      <c r="A19" s="855" t="s">
        <v>843</v>
      </c>
      <c r="B19" s="845"/>
      <c r="C19" s="845"/>
      <c r="D19" s="845"/>
      <c r="E19" s="845"/>
      <c r="F19" s="845"/>
    </row>
    <row r="20" spans="1:6" x14ac:dyDescent="0.25">
      <c r="A20" s="381" t="s">
        <v>844</v>
      </c>
      <c r="E20" s="383"/>
    </row>
    <row r="21" spans="1:6" x14ac:dyDescent="0.25">
      <c r="A21" s="381" t="s">
        <v>845</v>
      </c>
      <c r="E21" s="383"/>
    </row>
    <row r="22" spans="1:6" x14ac:dyDescent="0.25">
      <c r="A22" s="381" t="s">
        <v>846</v>
      </c>
      <c r="E22" s="382">
        <v>0</v>
      </c>
    </row>
    <row r="23" spans="1:6" ht="15.75" thickBot="1" x14ac:dyDescent="0.3">
      <c r="A23" s="386" t="e">
        <f>Flux nets de financement</f>
        <v>#NAME?</v>
      </c>
      <c r="E23" s="387">
        <f>SUM(E20:E22)</f>
        <v>0</v>
      </c>
    </row>
    <row r="24" spans="1:6" ht="6" customHeight="1" x14ac:dyDescent="0.25"/>
    <row r="25" spans="1:6" x14ac:dyDescent="0.25">
      <c r="A25" s="381" t="s">
        <v>847</v>
      </c>
      <c r="E25" s="497">
        <f>'05_CONVERSION_IAS21'!B129+'06_GOODWILL'!F58</f>
        <v>36276.86822964414</v>
      </c>
    </row>
    <row r="26" spans="1:6" ht="6" customHeight="1" x14ac:dyDescent="0.25"/>
    <row r="27" spans="1:6" ht="18" customHeight="1" thickBot="1" x14ac:dyDescent="0.3">
      <c r="A27" s="856" t="s">
        <v>848</v>
      </c>
      <c r="B27" s="851"/>
      <c r="C27" s="851"/>
      <c r="D27" s="852"/>
      <c r="E27" s="433">
        <f>E11+E17+E23+E25</f>
        <v>-248779.62794808747</v>
      </c>
    </row>
    <row r="28" spans="1:6" ht="18" customHeight="1" x14ac:dyDescent="0.25">
      <c r="A28" s="389" t="s">
        <v>849</v>
      </c>
      <c r="E28" s="383"/>
    </row>
    <row r="29" spans="1:6" ht="18" customHeight="1" thickBot="1" x14ac:dyDescent="0.3">
      <c r="A29" s="850" t="s">
        <v>850</v>
      </c>
      <c r="B29" s="851"/>
      <c r="C29" s="851"/>
      <c r="D29" s="852"/>
      <c r="E29" s="434">
        <f>E27+E28</f>
        <v>-248779.62794808747</v>
      </c>
    </row>
    <row r="31" spans="1:6" ht="18" customHeight="1" x14ac:dyDescent="0.25">
      <c r="A31" s="390" t="s">
        <v>851</v>
      </c>
      <c r="B31" s="391" t="str">
        <f>IF(ABS(E29-'09_BILAN_CONSO'!E25)&lt;1,"✅ OK","❌ ÉCART")</f>
        <v>❌ ÉCART</v>
      </c>
    </row>
  </sheetData>
  <mergeCells count="7">
    <mergeCell ref="A29:D29"/>
    <mergeCell ref="A1:F1"/>
    <mergeCell ref="A2:F2"/>
    <mergeCell ref="A5:F5"/>
    <mergeCell ref="A13:F13"/>
    <mergeCell ref="A19:F19"/>
    <mergeCell ref="A27:D27"/>
  </mergeCells>
  <pageMargins left="0.75" right="0.75" top="1" bottom="1" header="0.5" footer="0.5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1428F-C9E7-4962-B9D1-1808440D965D}">
  <sheetPr>
    <tabColor rgb="FF70AD47"/>
  </sheetPr>
  <dimension ref="A1:J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J14" sqref="J14"/>
    </sheetView>
  </sheetViews>
  <sheetFormatPr baseColWidth="10" defaultColWidth="9.140625" defaultRowHeight="15" x14ac:dyDescent="0.25"/>
  <cols>
    <col min="1" max="1" width="32" customWidth="1"/>
    <col min="2" max="5" width="14" customWidth="1"/>
    <col min="6" max="9" width="16" customWidth="1"/>
    <col min="10" max="10" width="18" customWidth="1"/>
  </cols>
  <sheetData>
    <row r="1" spans="1:10" ht="15.75" x14ac:dyDescent="0.25">
      <c r="A1" s="853" t="s">
        <v>852</v>
      </c>
      <c r="B1" s="845"/>
      <c r="C1" s="845"/>
      <c r="D1" s="845"/>
      <c r="E1" s="845"/>
      <c r="F1" s="845"/>
      <c r="G1" s="845"/>
      <c r="H1" s="845"/>
      <c r="I1" s="845"/>
      <c r="J1" s="845"/>
    </row>
    <row r="2" spans="1:10" x14ac:dyDescent="0.25">
      <c r="A2" s="854" t="s">
        <v>304</v>
      </c>
      <c r="B2" s="845"/>
      <c r="C2" s="845"/>
      <c r="D2" s="845"/>
      <c r="E2" s="845"/>
      <c r="F2" s="845"/>
      <c r="G2" s="845"/>
      <c r="H2" s="845"/>
      <c r="I2" s="845"/>
      <c r="J2" s="845"/>
    </row>
    <row r="4" spans="1:10" ht="30" customHeight="1" x14ac:dyDescent="0.25">
      <c r="A4" s="392"/>
      <c r="B4" s="392" t="s">
        <v>853</v>
      </c>
      <c r="C4" s="392" t="s">
        <v>854</v>
      </c>
      <c r="D4" s="392" t="s">
        <v>263</v>
      </c>
      <c r="E4" s="392" t="s">
        <v>855</v>
      </c>
      <c r="F4" s="392" t="s">
        <v>856</v>
      </c>
      <c r="G4" s="392" t="s">
        <v>857</v>
      </c>
      <c r="H4" s="392" t="s">
        <v>858</v>
      </c>
      <c r="I4" s="392" t="s">
        <v>859</v>
      </c>
      <c r="J4" s="392" t="s">
        <v>860</v>
      </c>
    </row>
    <row r="5" spans="1:10" ht="20.100000000000001" customHeight="1" x14ac:dyDescent="0.25">
      <c r="A5" s="393" t="s">
        <v>861</v>
      </c>
      <c r="B5" s="394"/>
      <c r="C5" s="394"/>
      <c r="D5" s="394"/>
      <c r="E5" s="394"/>
      <c r="F5" s="394"/>
      <c r="G5" s="394"/>
      <c r="H5" s="394"/>
      <c r="I5" s="394"/>
      <c r="J5" s="394"/>
    </row>
    <row r="6" spans="1:10" ht="18" customHeight="1" x14ac:dyDescent="0.25">
      <c r="A6" s="395" t="s">
        <v>264</v>
      </c>
      <c r="B6" s="396"/>
      <c r="C6" s="396"/>
      <c r="D6" s="382">
        <f>'10_PNL_CONSO'!E44</f>
        <v>308934.24209979747</v>
      </c>
      <c r="E6" s="396">
        <f>'10_PNL_CONSO'!E44</f>
        <v>308934.24209979747</v>
      </c>
      <c r="F6" s="396"/>
      <c r="G6" s="382">
        <f>'10_PNL_CONSO'!E44</f>
        <v>308934.24209979747</v>
      </c>
      <c r="H6" s="382">
        <f>E6</f>
        <v>308934.24209979747</v>
      </c>
      <c r="I6" s="382">
        <f>'10_PNL_CONSO'!E45</f>
        <v>287308.84515281167</v>
      </c>
      <c r="J6" s="396">
        <f>H6+I6</f>
        <v>596243.0872526092</v>
      </c>
    </row>
    <row r="7" spans="1:10" x14ac:dyDescent="0.25">
      <c r="A7" s="381" t="s">
        <v>862</v>
      </c>
      <c r="B7" s="397"/>
      <c r="C7" s="397"/>
      <c r="D7" s="397"/>
      <c r="E7" s="397"/>
      <c r="F7" s="485">
        <f>'05_CONVERSION_IAS21'!B129+'06_GOODWILL'!F58</f>
        <v>36276.86822964414</v>
      </c>
      <c r="G7" s="540">
        <f>'08_EFFICACITE'!F17</f>
        <v>34500</v>
      </c>
      <c r="H7" s="398">
        <f>F7+G7</f>
        <v>70776.86822964414</v>
      </c>
      <c r="I7" s="399"/>
      <c r="J7" s="398">
        <f>H7+I7</f>
        <v>70776.86822964414</v>
      </c>
    </row>
    <row r="8" spans="1:10" x14ac:dyDescent="0.25">
      <c r="A8" s="381" t="s">
        <v>863</v>
      </c>
      <c r="B8" s="397"/>
      <c r="C8" s="397"/>
      <c r="D8" s="394"/>
      <c r="E8" s="397"/>
      <c r="F8" s="397"/>
      <c r="G8" s="397"/>
      <c r="H8" s="398">
        <f>D8</f>
        <v>0</v>
      </c>
      <c r="I8" s="394"/>
      <c r="J8" s="400">
        <f>D8+I8</f>
        <v>0</v>
      </c>
    </row>
    <row r="9" spans="1:10" x14ac:dyDescent="0.25">
      <c r="A9" s="381" t="s">
        <v>864</v>
      </c>
      <c r="B9" s="397"/>
      <c r="C9" s="397"/>
      <c r="D9" s="394"/>
      <c r="E9" s="398">
        <f>-D9</f>
        <v>0</v>
      </c>
      <c r="F9" s="397"/>
      <c r="G9" s="397"/>
      <c r="H9" s="397"/>
      <c r="I9" s="397"/>
      <c r="J9" s="397"/>
    </row>
    <row r="10" spans="1:10" ht="18" customHeight="1" x14ac:dyDescent="0.25">
      <c r="A10" s="401" t="s">
        <v>865</v>
      </c>
      <c r="B10" s="382">
        <v>0</v>
      </c>
      <c r="C10" s="382">
        <v>0</v>
      </c>
      <c r="D10" s="382">
        <v>0</v>
      </c>
      <c r="E10" s="382">
        <v>0</v>
      </c>
      <c r="F10" s="382">
        <v>0</v>
      </c>
      <c r="G10" s="382">
        <v>0</v>
      </c>
      <c r="H10" s="382">
        <v>0</v>
      </c>
      <c r="I10" s="382">
        <v>0</v>
      </c>
      <c r="J10" s="382">
        <v>0</v>
      </c>
    </row>
    <row r="11" spans="1:10" ht="6" customHeight="1" x14ac:dyDescent="0.25"/>
    <row r="12" spans="1:10" ht="21.95" customHeight="1" thickBot="1" x14ac:dyDescent="0.3">
      <c r="A12" s="388" t="s">
        <v>866</v>
      </c>
      <c r="B12" s="402">
        <f t="shared" ref="B12:G12" si="0">B5+SUM(B6:B11)</f>
        <v>0</v>
      </c>
      <c r="C12" s="402">
        <f t="shared" si="0"/>
        <v>0</v>
      </c>
      <c r="D12" s="402">
        <f t="shared" si="0"/>
        <v>308934.24209979747</v>
      </c>
      <c r="E12" s="402">
        <f t="shared" si="0"/>
        <v>308934.24209979747</v>
      </c>
      <c r="F12" s="402">
        <f t="shared" si="0"/>
        <v>36276.86822964414</v>
      </c>
      <c r="G12" s="402">
        <f t="shared" si="0"/>
        <v>343434.24209979747</v>
      </c>
      <c r="H12" s="403">
        <f>SUM(B12:G12)</f>
        <v>997579.59452903655</v>
      </c>
      <c r="I12" s="403">
        <f>I5+SUM(I6:I11)</f>
        <v>287308.84515281167</v>
      </c>
      <c r="J12" s="403">
        <f>H12+I12</f>
        <v>1284888.4396818483</v>
      </c>
    </row>
    <row r="14" spans="1:10" ht="20.100000000000001" customHeight="1" x14ac:dyDescent="0.25">
      <c r="A14" s="857" t="s">
        <v>867</v>
      </c>
      <c r="B14" s="845"/>
      <c r="C14" s="845"/>
      <c r="D14" s="845"/>
      <c r="E14" s="845"/>
      <c r="F14" s="845"/>
      <c r="G14" s="845"/>
      <c r="H14" s="845"/>
      <c r="I14" s="845"/>
      <c r="J14" s="391" t="str">
        <f>IF(ABS(J12-'09_BILAN_CONSO'!E41)&lt;1,"✅ OK","❌ ÉCART")</f>
        <v>❌ ÉCART</v>
      </c>
    </row>
  </sheetData>
  <mergeCells count="3">
    <mergeCell ref="A1:J1"/>
    <mergeCell ref="A2:J2"/>
    <mergeCell ref="A14:I14"/>
  </mergeCells>
  <pageMargins left="0.75" right="0.75" top="1" bottom="1" header="0.5" footer="0.5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5117C-5796-401E-9EE5-24C742138DD7}">
  <sheetPr>
    <tabColor rgb="FFED7D31"/>
  </sheetPr>
  <dimension ref="A1:G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F7" sqref="F7"/>
    </sheetView>
  </sheetViews>
  <sheetFormatPr baseColWidth="10" defaultColWidth="9.140625" defaultRowHeight="15" x14ac:dyDescent="0.25"/>
  <cols>
    <col min="1" max="1" width="32" customWidth="1"/>
    <col min="2" max="2" width="20" customWidth="1"/>
    <col min="3" max="3" width="18" customWidth="1"/>
    <col min="4" max="4" width="20" customWidth="1"/>
    <col min="5" max="5" width="16" customWidth="1"/>
    <col min="6" max="7" width="18" customWidth="1"/>
  </cols>
  <sheetData>
    <row r="1" spans="1:7" ht="15.75" x14ac:dyDescent="0.25">
      <c r="A1" s="853" t="s">
        <v>868</v>
      </c>
      <c r="B1" s="845"/>
      <c r="C1" s="845"/>
      <c r="D1" s="845"/>
      <c r="E1" s="845"/>
      <c r="F1" s="845"/>
      <c r="G1" s="845"/>
    </row>
    <row r="2" spans="1:7" x14ac:dyDescent="0.25">
      <c r="A2" s="854" t="s">
        <v>869</v>
      </c>
      <c r="B2" s="845"/>
      <c r="C2" s="845"/>
      <c r="D2" s="845"/>
      <c r="E2" s="845"/>
      <c r="F2" s="845"/>
      <c r="G2" s="845"/>
    </row>
    <row r="4" spans="1:7" x14ac:dyDescent="0.25">
      <c r="A4" s="855" t="s">
        <v>870</v>
      </c>
      <c r="B4" s="845"/>
      <c r="C4" s="845"/>
      <c r="D4" s="845"/>
      <c r="E4" s="845"/>
      <c r="F4" s="845"/>
      <c r="G4" s="845"/>
    </row>
    <row r="5" spans="1:7" ht="30" customHeight="1" x14ac:dyDescent="0.25">
      <c r="A5" s="404"/>
      <c r="B5" s="392" t="s">
        <v>49</v>
      </c>
      <c r="C5" s="392" t="s">
        <v>77</v>
      </c>
      <c r="D5" s="392" t="s">
        <v>64</v>
      </c>
      <c r="E5" s="392" t="s">
        <v>871</v>
      </c>
      <c r="F5" s="392" t="s">
        <v>872</v>
      </c>
    </row>
    <row r="6" spans="1:7" ht="18" customHeight="1" x14ac:dyDescent="0.25">
      <c r="A6" s="381" t="s">
        <v>873</v>
      </c>
      <c r="B6" s="496">
        <f>'04_PNL_IND'!C7+'04_PNL_IND'!E7</f>
        <v>865000</v>
      </c>
      <c r="C6" s="496">
        <f>'04_PNL_IND'!K7</f>
        <v>75000</v>
      </c>
      <c r="D6" s="496">
        <f>'04_PNL_IND'!G7+'04_PNL_IND'!I7/'01_PARAMETRES'!$C$37+'04_PNL_IND'!M7/'01_PARAMETRES'!$C$39+'04_PNL_IND'!O7/'01_PARAMETRES'!$C$41</f>
        <v>812774.48820917658</v>
      </c>
      <c r="E6" s="398">
        <v>0</v>
      </c>
      <c r="F6" s="398">
        <f>SUM(B6:E6)</f>
        <v>1752774.4882091766</v>
      </c>
    </row>
    <row r="7" spans="1:7" x14ac:dyDescent="0.25">
      <c r="A7" s="405" t="s">
        <v>874</v>
      </c>
      <c r="F7" s="406" t="str">
        <f>IF(ABS(F6-'10_PNL_CONSO'!E6)&lt;1,"✅","❌ "&amp;TEXT(F6-'10_PNL_CONSO'!E6,"#,##0"))</f>
        <v>❌ 36370,940</v>
      </c>
    </row>
    <row r="8" spans="1:7" ht="18" customHeight="1" x14ac:dyDescent="0.25">
      <c r="A8" s="381" t="s">
        <v>875</v>
      </c>
      <c r="B8" s="394"/>
      <c r="C8" s="394"/>
      <c r="D8" s="394"/>
      <c r="E8" s="394"/>
      <c r="F8" s="398">
        <f>SUM(B8:E8)</f>
        <v>0</v>
      </c>
    </row>
    <row r="9" spans="1:7" x14ac:dyDescent="0.25">
      <c r="A9" s="405" t="s">
        <v>874</v>
      </c>
      <c r="F9" s="406" t="str">
        <f>IF(ABS(F8-'10_PNL_CONSO'!E26)&lt;1,"✅","❌")</f>
        <v>❌</v>
      </c>
    </row>
    <row r="10" spans="1:7" ht="18" customHeight="1" x14ac:dyDescent="0.25">
      <c r="A10" s="381" t="s">
        <v>876</v>
      </c>
      <c r="B10" s="394"/>
      <c r="C10" s="394"/>
      <c r="D10" s="394"/>
      <c r="E10" s="394"/>
      <c r="F10" s="398">
        <f>SUM(B10:E10)</f>
        <v>0</v>
      </c>
    </row>
    <row r="11" spans="1:7" ht="18" customHeight="1" x14ac:dyDescent="0.25">
      <c r="A11" s="381" t="s">
        <v>877</v>
      </c>
      <c r="B11" s="394"/>
      <c r="C11" s="394"/>
      <c r="D11" s="394"/>
      <c r="E11" s="394"/>
      <c r="F11" s="398">
        <f>SUM(B11:E11)</f>
        <v>0</v>
      </c>
    </row>
    <row r="13" spans="1:7" ht="6" customHeight="1" x14ac:dyDescent="0.25"/>
    <row r="14" spans="1:7" x14ac:dyDescent="0.25">
      <c r="A14" s="855" t="s">
        <v>878</v>
      </c>
      <c r="B14" s="845"/>
      <c r="C14" s="845"/>
      <c r="D14" s="845"/>
      <c r="E14" s="845"/>
      <c r="F14" s="845"/>
      <c r="G14" s="845"/>
    </row>
    <row r="15" spans="1:7" ht="24.95" customHeight="1" x14ac:dyDescent="0.25">
      <c r="A15" s="404"/>
      <c r="B15" s="392" t="s">
        <v>46</v>
      </c>
      <c r="C15" s="392" t="s">
        <v>879</v>
      </c>
      <c r="D15" s="392" t="s">
        <v>880</v>
      </c>
      <c r="E15" s="392" t="s">
        <v>881</v>
      </c>
      <c r="F15" s="392" t="s">
        <v>882</v>
      </c>
      <c r="G15" s="392" t="s">
        <v>883</v>
      </c>
    </row>
    <row r="16" spans="1:7" ht="18" customHeight="1" x14ac:dyDescent="0.25">
      <c r="A16" s="381" t="s">
        <v>884</v>
      </c>
      <c r="B16" s="398">
        <f>'04_PNL_IND'!C7</f>
        <v>725000</v>
      </c>
      <c r="C16" s="398">
        <f>'04_PNL_IND'!E7</f>
        <v>140000</v>
      </c>
      <c r="D16" s="398">
        <f>'04_PNL_IND'!G7/'01_PARAMETRES'!$C$36</f>
        <v>438756.85557586834</v>
      </c>
      <c r="E16" s="398">
        <f>'04_PNL_IND'!I7/'01_PARAMETRES'!$C$37+'04_PNL_IND'!M7/'01_PARAMETRES'!$C$39</f>
        <v>301656.73864482506</v>
      </c>
      <c r="F16" s="398">
        <f>'04_PNL_IND'!O7/'01_PARAMETRES'!$C$41</f>
        <v>31117.749564351503</v>
      </c>
      <c r="G16" s="398">
        <f>SUM(B16:F16)</f>
        <v>1636531.343785045</v>
      </c>
    </row>
    <row r="17" spans="1:7" x14ac:dyDescent="0.25">
      <c r="A17" s="405" t="s">
        <v>885</v>
      </c>
      <c r="G17" s="406" t="str">
        <f>IF(ABS(G16-F6)&lt;1,"✅","❌ "&amp;TEXT(G16-F6,"#,##0"))</f>
        <v>❌ -116243,144</v>
      </c>
    </row>
    <row r="19" spans="1:7" ht="30" customHeight="1" x14ac:dyDescent="0.25">
      <c r="A19" s="858" t="s">
        <v>886</v>
      </c>
      <c r="B19" s="845"/>
      <c r="C19" s="845"/>
      <c r="D19" s="845"/>
      <c r="E19" s="845"/>
      <c r="F19" s="845"/>
      <c r="G19" s="845"/>
    </row>
  </sheetData>
  <mergeCells count="5">
    <mergeCell ref="A1:G1"/>
    <mergeCell ref="A2:G2"/>
    <mergeCell ref="A4:G4"/>
    <mergeCell ref="A14:G14"/>
    <mergeCell ref="A19:G1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54FF5-5293-4033-AE69-54B21D1BBC92}">
  <sheetPr>
    <tabColor rgb="FF7030A0"/>
  </sheetPr>
  <dimension ref="A1:B30"/>
  <sheetViews>
    <sheetView showGridLines="0" workbookViewId="0">
      <pane xSplit="1" ySplit="3" topLeftCell="B4" activePane="bottomRight" state="frozen"/>
      <selection pane="topRight"/>
      <selection pane="bottomLeft"/>
      <selection pane="bottomRight" sqref="A1:B1"/>
    </sheetView>
  </sheetViews>
  <sheetFormatPr baseColWidth="10" defaultColWidth="9.140625" defaultRowHeight="15" x14ac:dyDescent="0.25"/>
  <cols>
    <col min="1" max="1" width="8" customWidth="1"/>
    <col min="2" max="2" width="100" customWidth="1"/>
  </cols>
  <sheetData>
    <row r="1" spans="1:2" ht="15.75" x14ac:dyDescent="0.25">
      <c r="A1" s="853" t="s">
        <v>887</v>
      </c>
      <c r="B1" s="845"/>
    </row>
    <row r="2" spans="1:2" x14ac:dyDescent="0.25">
      <c r="A2" s="854" t="s">
        <v>304</v>
      </c>
      <c r="B2" s="845"/>
    </row>
    <row r="4" spans="1:2" ht="21.95" customHeight="1" x14ac:dyDescent="0.25">
      <c r="A4" s="407" t="s">
        <v>888</v>
      </c>
      <c r="B4" s="408" t="s">
        <v>889</v>
      </c>
    </row>
    <row r="5" spans="1:2" ht="203.1" customHeight="1" x14ac:dyDescent="0.25">
      <c r="A5" s="404"/>
      <c r="B5" s="409" t="s">
        <v>890</v>
      </c>
    </row>
    <row r="6" spans="1:2" ht="6" customHeight="1" x14ac:dyDescent="0.25"/>
    <row r="7" spans="1:2" ht="21.95" customHeight="1" x14ac:dyDescent="0.25">
      <c r="A7" s="407" t="s">
        <v>891</v>
      </c>
      <c r="B7" s="408" t="s">
        <v>892</v>
      </c>
    </row>
    <row r="8" spans="1:2" ht="129" customHeight="1" x14ac:dyDescent="0.25">
      <c r="A8" s="404"/>
      <c r="B8" s="409" t="s">
        <v>893</v>
      </c>
    </row>
    <row r="9" spans="1:2" ht="6" customHeight="1" x14ac:dyDescent="0.25"/>
    <row r="10" spans="1:2" ht="21.95" customHeight="1" x14ac:dyDescent="0.25">
      <c r="A10" s="407" t="s">
        <v>894</v>
      </c>
      <c r="B10" s="408" t="s">
        <v>895</v>
      </c>
    </row>
    <row r="11" spans="1:2" ht="207.95" customHeight="1" x14ac:dyDescent="0.25">
      <c r="A11" s="404"/>
      <c r="B11" s="500" t="str">
        <f>"GOODWILL BRUT : "&amp;TEXT('06_GOODWILL'!M19,"#,##0")&amp;" K€ | "&amp;"DÉPRÉCIATION EXERCICE : "&amp;TEXT('06_GOODWILL'!N34,"#,##0")&amp;" K€ | "&amp;"GOODWILL NET : "&amp;TEXT('06_GOODWILL'!M19-'06_GOODWILL'!N34,"#,##0")&amp;" K€ | "&amp;"WACC : "&amp;TEXT('01_PARAMETRES'!B56,"0.0%")&amp;" | "&amp;"Taux croissance g : "&amp;TEXT('01_PARAMETRES'!B57,"0.0%")&amp;" | "&amp;"Horizon : "&amp;'01_PARAMETRES'!B58&amp;" ans
→ Tableau détaillé : 06_GOODWILL — Tests IAS 36 annuels. Excédent global : "&amp;TEXT(SUM('06_GOODWILL'!M28:M33),"#,##0")&amp;" K€ (aucune dépréciation à comptabiliser)."</f>
        <v>GOODWILL BRUT : 168490,273 K€ | DÉPRÉCIATION EXERCICE : ,0 K€ | GOODWILL NET : 168490,273 K€ | WACC : 1.0% | Taux croissance g : 0.2% | Horizon : 5 ans
→ Tableau détaillé : 06_GOODWILL — Tests IAS 36 annuels. Excédent global : 1121684,920 K€ (aucune dépréciation à comptabiliser).</v>
      </c>
    </row>
    <row r="12" spans="1:2" ht="6" customHeight="1" x14ac:dyDescent="0.25"/>
    <row r="13" spans="1:2" ht="21.95" customHeight="1" x14ac:dyDescent="0.25">
      <c r="A13" s="407" t="s">
        <v>896</v>
      </c>
      <c r="B13" s="408" t="s">
        <v>897</v>
      </c>
    </row>
    <row r="14" spans="1:2" ht="125.1" customHeight="1" x14ac:dyDescent="0.25">
      <c r="A14" s="404"/>
      <c r="B14" s="409" t="s">
        <v>898</v>
      </c>
    </row>
    <row r="15" spans="1:2" ht="6" customHeight="1" x14ac:dyDescent="0.25"/>
    <row r="16" spans="1:2" ht="21.95" customHeight="1" x14ac:dyDescent="0.25">
      <c r="A16" s="407" t="s">
        <v>899</v>
      </c>
      <c r="B16" s="408" t="s">
        <v>900</v>
      </c>
    </row>
    <row r="17" spans="1:2" ht="128.1" customHeight="1" x14ac:dyDescent="0.25">
      <c r="A17" s="404"/>
      <c r="B17" s="500" t="str">
        <f>"IFRS 8 — 3 secteurs reportables. CA consolidé : "&amp;TEXT('10_PNL_CONSO'!E6,"#,##0")&amp;" K€ | "&amp;"Maroquinerie : "&amp;TEXT('13_SEGMENT'!B6,"#,##0")&amp;" K€ | "&amp;"Horlogerie : "&amp;TEXT('13_SEGMENT'!C6,"#,##0")&amp;" K€ | "&amp;"Distribution : "&amp;TEXT('13_SEGMENT'!D6,"#,##0")&amp;" K€
→ Détail tiré de 13_SEGMENT."</f>
        <v>IFRS 8 — 3 secteurs reportables. CA consolidé : 1716403,548 K€ | Maroquinerie : 865000,0 K€ | Horlogerie : 75000,0 K€ | Distribution : 812774,488 K€
→ Détail tiré de 13_SEGMENT.</v>
      </c>
    </row>
    <row r="18" spans="1:2" ht="6" customHeight="1" x14ac:dyDescent="0.25"/>
    <row r="19" spans="1:2" ht="21.95" customHeight="1" x14ac:dyDescent="0.25">
      <c r="A19" s="407" t="s">
        <v>901</v>
      </c>
      <c r="B19" s="408" t="s">
        <v>902</v>
      </c>
    </row>
    <row r="20" spans="1:2" ht="156" customHeight="1" x14ac:dyDescent="0.25">
      <c r="A20" s="404"/>
      <c r="B20" s="500" t="str">
        <f>"IAS 21 — Écart de conversion total OCI : "&amp;TEXT('05_CONVERSION_IAS21'!B129+'06_GOODWILL'!F58,"#,##0")&amp;" K€ "&amp;"(dont bilans filiales : "&amp;TEXT('05_CONVERSION_IAS21'!B129,"#,##0")&amp;" K€ | "&amp;"dont goodwill IAS 21§47 : "&amp;TEXT('06_GOODWILL'!F58,"#,##0")&amp;" K€)
→ Détail par devise tiré de 05_CONVERSION_IAS21."</f>
        <v>IAS 21 — Écart de conversion total OCI : 36276,868 K€ (dont bilans filiales : 38000,0 K€ | dont goodwill IAS 21§47 : -1723,132 K€)
→ Détail par devise tiré de 05_CONVERSION_IAS21.</v>
      </c>
    </row>
    <row r="21" spans="1:2" ht="6" customHeight="1" x14ac:dyDescent="0.25"/>
    <row r="22" spans="1:2" ht="21.95" customHeight="1" x14ac:dyDescent="0.25">
      <c r="A22" s="407" t="s">
        <v>903</v>
      </c>
      <c r="B22" s="408" t="s">
        <v>904</v>
      </c>
    </row>
    <row r="23" spans="1:2" ht="153.94999999999999" customHeight="1" x14ac:dyDescent="0.25">
      <c r="A23" s="404"/>
      <c r="B23" s="500" t="str">
        <f>"Pilier 2 — Impôt complémentaire total estimé : "&amp;TEXT('15_PILIER2'!H12,"#,##0")&amp;" K€. "&amp;"Exception temporaire IAS 12 §4A appliquée.
"&amp;"ETR France : "&amp;TEXT('15_PILIER2'!E5,"0.0%")&amp;" | USA : "&amp;TEXT('15_PILIER2'!E7,"0.0%")&amp;" | JP : "&amp;TEXT('15_PILIER2'!E8,"0.0%")&amp;".
→ Détail par juridiction tiré de 15_PILIER2."</f>
        <v>Pilier 2 — Impôt complémentaire total estimé : 280,807 K€. Exception temporaire IAS 12 §4A appliquée.
ETR France : 3.4% | USA : 10.0% | JP : 5.6%.
→ Détail par juridiction tiré de 15_PILIER2.</v>
      </c>
    </row>
    <row r="24" spans="1:2" ht="6" customHeight="1" x14ac:dyDescent="0.25"/>
    <row r="25" spans="1:2" ht="21.95" customHeight="1" x14ac:dyDescent="0.25">
      <c r="A25" s="407" t="s">
        <v>905</v>
      </c>
      <c r="B25" s="408" t="s">
        <v>906</v>
      </c>
    </row>
    <row r="26" spans="1:2" ht="200.1" customHeight="1" x14ac:dyDescent="0.25">
      <c r="A26" s="404"/>
      <c r="B26" s="409" t="s">
        <v>907</v>
      </c>
    </row>
    <row r="27" spans="1:2" ht="6" customHeight="1" x14ac:dyDescent="0.25"/>
    <row r="28" spans="1:2" ht="21.95" customHeight="1" x14ac:dyDescent="0.25">
      <c r="A28" s="407" t="s">
        <v>908</v>
      </c>
      <c r="B28" s="408" t="s">
        <v>909</v>
      </c>
    </row>
    <row r="29" spans="1:2" ht="177" customHeight="1" x14ac:dyDescent="0.25">
      <c r="A29" s="404"/>
      <c r="B29" s="409" t="s">
        <v>910</v>
      </c>
    </row>
    <row r="30" spans="1:2" ht="6" customHeight="1" x14ac:dyDescent="0.25"/>
  </sheetData>
  <mergeCells count="2">
    <mergeCell ref="A1:B1"/>
    <mergeCell ref="A2:B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737B2-B297-4166-B0B8-28784C146565}">
  <sheetPr>
    <tabColor rgb="FFC00000"/>
  </sheetPr>
  <dimension ref="A1:I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F30" sqref="F30"/>
    </sheetView>
  </sheetViews>
  <sheetFormatPr baseColWidth="10" defaultColWidth="9.140625" defaultRowHeight="15" x14ac:dyDescent="0.25"/>
  <cols>
    <col min="1" max="1" width="16" customWidth="1"/>
    <col min="2" max="4" width="22" customWidth="1"/>
    <col min="5" max="7" width="16" customWidth="1"/>
    <col min="8" max="8" width="24" customWidth="1"/>
    <col min="9" max="9" width="40.5703125" customWidth="1"/>
  </cols>
  <sheetData>
    <row r="1" spans="1:9" ht="15.75" x14ac:dyDescent="0.25">
      <c r="A1" s="853" t="s">
        <v>911</v>
      </c>
      <c r="B1" s="845"/>
      <c r="C1" s="845"/>
      <c r="D1" s="845"/>
      <c r="E1" s="845"/>
      <c r="F1" s="845"/>
      <c r="G1" s="845"/>
      <c r="H1" s="845"/>
      <c r="I1" s="845"/>
    </row>
    <row r="2" spans="1:9" x14ac:dyDescent="0.25">
      <c r="A2" s="859" t="s">
        <v>912</v>
      </c>
      <c r="B2" s="845"/>
      <c r="C2" s="845"/>
      <c r="D2" s="845"/>
      <c r="E2" s="845"/>
      <c r="F2" s="845"/>
      <c r="G2" s="845"/>
      <c r="H2" s="845"/>
      <c r="I2" s="845"/>
    </row>
    <row r="4" spans="1:9" ht="35.1" customHeight="1" x14ac:dyDescent="0.25">
      <c r="A4" s="392" t="s">
        <v>913</v>
      </c>
      <c r="B4" s="392" t="s">
        <v>914</v>
      </c>
      <c r="C4" s="392" t="s">
        <v>915</v>
      </c>
      <c r="D4" s="392" t="s">
        <v>916</v>
      </c>
      <c r="E4" s="392" t="s">
        <v>917</v>
      </c>
      <c r="F4" s="392" t="s">
        <v>918</v>
      </c>
      <c r="G4" s="392" t="s">
        <v>919</v>
      </c>
      <c r="H4" s="392" t="s">
        <v>920</v>
      </c>
      <c r="I4" s="392" t="s">
        <v>44</v>
      </c>
    </row>
    <row r="5" spans="1:9" ht="20.100000000000001" customHeight="1" x14ac:dyDescent="0.25">
      <c r="A5" s="410" t="s">
        <v>46</v>
      </c>
      <c r="B5" s="410" t="s">
        <v>45</v>
      </c>
      <c r="C5" s="411">
        <f>'04_PNL_IND'!C44</f>
        <v>269500</v>
      </c>
      <c r="D5" s="411">
        <f>ABS('04_PNL_IND'!C45+'04_PNL_IND'!C46)</f>
        <v>91500</v>
      </c>
      <c r="E5" s="412">
        <f t="shared" ref="E5:E11" si="0">IF(C5&lt;&gt;0,D5/C5,0)</f>
        <v>0.33951762523191092</v>
      </c>
      <c r="F5" s="412">
        <v>0.15</v>
      </c>
      <c r="G5" s="412">
        <f t="shared" ref="G5:G11" si="1">E5-F5</f>
        <v>0.18951762523191093</v>
      </c>
      <c r="H5" s="411">
        <f t="shared" ref="H5:H11" si="2">IF(G5&lt;0,C5*(F5-E5),0)</f>
        <v>0</v>
      </c>
      <c r="I5" s="413" t="str">
        <f t="shared" ref="I5:I11" si="3">IF(G5&gt;=0,"✅ Au-dessus du minimum","⚠️ Impôt complémentaire dû")</f>
        <v>✅ Au-dessus du minimum</v>
      </c>
    </row>
    <row r="6" spans="1:9" ht="20.100000000000001" customHeight="1" x14ac:dyDescent="0.25">
      <c r="A6" s="414" t="s">
        <v>53</v>
      </c>
      <c r="B6" s="414" t="s">
        <v>51</v>
      </c>
      <c r="C6" s="400">
        <f>'04_PNL_IND'!E44</f>
        <v>40800</v>
      </c>
      <c r="D6" s="400">
        <f>ABS('04_PNL_IND'!E45+'04_PNL_IND'!E46)</f>
        <v>12200</v>
      </c>
      <c r="E6" s="415">
        <f t="shared" si="0"/>
        <v>0.29901960784313725</v>
      </c>
      <c r="F6" s="415">
        <v>0.15</v>
      </c>
      <c r="G6" s="415">
        <f t="shared" si="1"/>
        <v>0.14901960784313725</v>
      </c>
      <c r="H6" s="400">
        <f t="shared" si="2"/>
        <v>0</v>
      </c>
      <c r="I6" s="416" t="str">
        <f t="shared" si="3"/>
        <v>✅ Au-dessus du minimum</v>
      </c>
    </row>
    <row r="7" spans="1:9" ht="20.100000000000001" customHeight="1" x14ac:dyDescent="0.25">
      <c r="A7" s="410" t="s">
        <v>921</v>
      </c>
      <c r="B7" s="410" t="s">
        <v>58</v>
      </c>
      <c r="C7" s="498">
        <f>'04_PNL_IND'!G44/'01_PARAMETRES'!$C$36</f>
        <v>6032.9067641681895</v>
      </c>
      <c r="D7" s="498">
        <f>ABS('04_PNL_IND'!G45+'04_PNL_IND'!G46)/'01_PARAMETRES'!$C$36</f>
        <v>6032.9067641681895</v>
      </c>
      <c r="E7" s="412">
        <f t="shared" si="0"/>
        <v>1</v>
      </c>
      <c r="F7" s="412">
        <v>0.15</v>
      </c>
      <c r="G7" s="412">
        <f t="shared" si="1"/>
        <v>0.85</v>
      </c>
      <c r="H7" s="411">
        <f t="shared" si="2"/>
        <v>0</v>
      </c>
      <c r="I7" s="413" t="str">
        <f t="shared" si="3"/>
        <v>✅ Au-dessus du minimum</v>
      </c>
    </row>
    <row r="8" spans="1:9" ht="20.100000000000001" customHeight="1" x14ac:dyDescent="0.25">
      <c r="A8" s="414" t="s">
        <v>67</v>
      </c>
      <c r="B8" s="414" t="s">
        <v>65</v>
      </c>
      <c r="C8" s="499">
        <f>'04_PNL_IND'!I44/'01_PARAMETRES'!$C$37</f>
        <v>10324.754901960785</v>
      </c>
      <c r="D8" s="499">
        <f>ABS('04_PNL_IND'!I45+'04_PNL_IND'!I46)/'01_PARAMETRES'!$C$37</f>
        <v>5821.0784313725499</v>
      </c>
      <c r="E8" s="415">
        <f t="shared" si="0"/>
        <v>0.56379821958456977</v>
      </c>
      <c r="F8" s="415">
        <v>0.15</v>
      </c>
      <c r="G8" s="415">
        <f t="shared" si="1"/>
        <v>0.41379821958456975</v>
      </c>
      <c r="H8" s="400">
        <f t="shared" si="2"/>
        <v>0</v>
      </c>
      <c r="I8" s="416" t="str">
        <f t="shared" si="3"/>
        <v>✅ Au-dessus du minimum</v>
      </c>
    </row>
    <row r="9" spans="1:9" ht="20.100000000000001" customHeight="1" x14ac:dyDescent="0.25">
      <c r="A9" s="410" t="s">
        <v>73</v>
      </c>
      <c r="B9" s="410" t="s">
        <v>71</v>
      </c>
      <c r="C9" s="498">
        <f>'04_PNL_IND'!K44/'01_PARAMETRES'!$C$38</f>
        <v>48881.789137380198</v>
      </c>
      <c r="D9" s="498">
        <f>ABS('04_PNL_IND'!K45+'04_PNL_IND'!K46)/'01_PARAMETRES'!$C$38</f>
        <v>9904.1533546325882</v>
      </c>
      <c r="E9" s="412">
        <f t="shared" si="0"/>
        <v>0.20261437908496729</v>
      </c>
      <c r="F9" s="412">
        <v>0.15</v>
      </c>
      <c r="G9" s="412">
        <f t="shared" si="1"/>
        <v>5.26143790849673E-2</v>
      </c>
      <c r="H9" s="411">
        <f t="shared" si="2"/>
        <v>0</v>
      </c>
      <c r="I9" s="413" t="str">
        <f t="shared" si="3"/>
        <v>✅ Au-dessus du minimum</v>
      </c>
    </row>
    <row r="10" spans="1:9" ht="20.100000000000001" customHeight="1" x14ac:dyDescent="0.25">
      <c r="A10" s="414" t="s">
        <v>80</v>
      </c>
      <c r="B10" s="414" t="s">
        <v>78</v>
      </c>
      <c r="C10" s="499">
        <f>'04_PNL_IND'!M44/'01_PARAMETRES'!$C$39</f>
        <v>5791.1392405063289</v>
      </c>
      <c r="D10" s="499">
        <f>ABS('04_PNL_IND'!M45+'04_PNL_IND'!M46)/'01_PARAMETRES'!$C$39</f>
        <v>1384.8101265822784</v>
      </c>
      <c r="E10" s="415">
        <f t="shared" si="0"/>
        <v>0.23912568306010928</v>
      </c>
      <c r="F10" s="415">
        <v>0.15</v>
      </c>
      <c r="G10" s="415">
        <f t="shared" si="1"/>
        <v>8.912568306010929E-2</v>
      </c>
      <c r="H10" s="400">
        <f t="shared" si="2"/>
        <v>0</v>
      </c>
      <c r="I10" s="416" t="str">
        <f t="shared" si="3"/>
        <v>✅ Au-dessus du minimum</v>
      </c>
    </row>
    <row r="11" spans="1:9" ht="20.100000000000001" customHeight="1" x14ac:dyDescent="0.25">
      <c r="A11" s="410" t="s">
        <v>922</v>
      </c>
      <c r="B11" s="410" t="s">
        <v>92</v>
      </c>
      <c r="C11" s="498">
        <f>'04_PNL_IND'!O44/'01_PARAMETRES'!$C$41</f>
        <v>4680.1095344784662</v>
      </c>
      <c r="D11" s="498">
        <f>ABS('04_PNL_IND'!O45+'04_PNL_IND'!O46)/'01_PARAMETRES'!$C$41</f>
        <v>421.20985810306195</v>
      </c>
      <c r="E11" s="412">
        <f t="shared" si="0"/>
        <v>0.09</v>
      </c>
      <c r="F11" s="412">
        <v>0.15</v>
      </c>
      <c r="G11" s="412">
        <f t="shared" si="1"/>
        <v>-0.06</v>
      </c>
      <c r="H11" s="411">
        <f t="shared" si="2"/>
        <v>280.80657206870796</v>
      </c>
      <c r="I11" s="413" t="str">
        <f t="shared" si="3"/>
        <v>⚠️ Impôt complémentaire dû</v>
      </c>
    </row>
    <row r="12" spans="1:9" ht="21.95" customHeight="1" thickBot="1" x14ac:dyDescent="0.3">
      <c r="A12" s="417" t="s">
        <v>222</v>
      </c>
      <c r="B12" s="418"/>
      <c r="C12" s="418"/>
      <c r="D12" s="418"/>
      <c r="E12" s="418"/>
      <c r="F12" s="418"/>
      <c r="G12" s="418"/>
      <c r="H12" s="402">
        <f>SUM(H5:H11)</f>
        <v>280.80657206870796</v>
      </c>
      <c r="I12" s="418"/>
    </row>
    <row r="14" spans="1:9" ht="15.95" customHeight="1" x14ac:dyDescent="0.25">
      <c r="A14" s="859" t="s">
        <v>923</v>
      </c>
      <c r="B14" s="845"/>
      <c r="C14" s="845"/>
      <c r="D14" s="845"/>
      <c r="E14" s="845"/>
      <c r="F14" s="845"/>
      <c r="G14" s="845"/>
      <c r="H14" s="845"/>
      <c r="I14" s="845"/>
    </row>
    <row r="15" spans="1:9" ht="15.95" customHeight="1" x14ac:dyDescent="0.25">
      <c r="A15" s="859" t="s">
        <v>924</v>
      </c>
      <c r="B15" s="845"/>
      <c r="C15" s="845"/>
      <c r="D15" s="845"/>
      <c r="E15" s="845"/>
      <c r="F15" s="845"/>
      <c r="G15" s="845"/>
      <c r="H15" s="845"/>
      <c r="I15" s="845"/>
    </row>
    <row r="16" spans="1:9" ht="15.95" customHeight="1" x14ac:dyDescent="0.25">
      <c r="A16" s="859" t="s">
        <v>925</v>
      </c>
      <c r="B16" s="845"/>
      <c r="C16" s="845"/>
      <c r="D16" s="845"/>
      <c r="E16" s="845"/>
      <c r="F16" s="845"/>
      <c r="G16" s="845"/>
      <c r="H16" s="845"/>
      <c r="I16" s="845"/>
    </row>
    <row r="18" spans="1:9" ht="15.95" customHeight="1" x14ac:dyDescent="0.25">
      <c r="A18" s="859" t="s">
        <v>926</v>
      </c>
      <c r="B18" s="845"/>
      <c r="C18" s="845"/>
      <c r="D18" s="845"/>
      <c r="E18" s="845"/>
      <c r="F18" s="845"/>
      <c r="G18" s="845"/>
      <c r="H18" s="845"/>
      <c r="I18" s="845"/>
    </row>
    <row r="19" spans="1:9" ht="15.95" customHeight="1" x14ac:dyDescent="0.25">
      <c r="A19" s="859" t="s">
        <v>927</v>
      </c>
      <c r="B19" s="845"/>
      <c r="C19" s="845"/>
      <c r="D19" s="845"/>
      <c r="E19" s="845"/>
      <c r="F19" s="845"/>
      <c r="G19" s="845"/>
      <c r="H19" s="845"/>
      <c r="I19" s="845"/>
    </row>
  </sheetData>
  <mergeCells count="7">
    <mergeCell ref="A19:I19"/>
    <mergeCell ref="A1:I1"/>
    <mergeCell ref="A2:I2"/>
    <mergeCell ref="A14:I14"/>
    <mergeCell ref="A15:I15"/>
    <mergeCell ref="A16:I16"/>
    <mergeCell ref="A18:I1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F0A2A-A7B4-4013-9753-BBF50AADA421}">
  <sheetPr>
    <tabColor rgb="FFC9A84C"/>
  </sheetPr>
  <dimension ref="A1:E35"/>
  <sheetViews>
    <sheetView showGridLines="0" tabSelected="1" workbookViewId="0">
      <pane xSplit="1" ySplit="3" topLeftCell="B4" activePane="bottomRight" state="frozen"/>
      <selection pane="topRight"/>
      <selection pane="bottomLeft"/>
      <selection pane="bottomRight" activeCell="C27" sqref="C27"/>
    </sheetView>
  </sheetViews>
  <sheetFormatPr baseColWidth="10" defaultColWidth="9.140625" defaultRowHeight="15" x14ac:dyDescent="0.25"/>
  <cols>
    <col min="1" max="1" width="10" customWidth="1"/>
    <col min="2" max="2" width="52" customWidth="1"/>
    <col min="3" max="3" width="28.7109375" customWidth="1"/>
    <col min="4" max="4" width="19.28515625" customWidth="1"/>
    <col min="5" max="5" width="36" customWidth="1"/>
  </cols>
  <sheetData>
    <row r="1" spans="1:5" ht="15.75" x14ac:dyDescent="0.25">
      <c r="A1" s="853" t="s">
        <v>928</v>
      </c>
      <c r="B1" s="845"/>
      <c r="C1" s="845"/>
      <c r="D1" s="845"/>
      <c r="E1" s="845"/>
    </row>
    <row r="2" spans="1:5" x14ac:dyDescent="0.25">
      <c r="A2" s="859" t="s">
        <v>929</v>
      </c>
      <c r="B2" s="845"/>
      <c r="C2" s="845"/>
      <c r="D2" s="845"/>
      <c r="E2" s="845"/>
    </row>
    <row r="3" spans="1:5" ht="24.95" customHeight="1" x14ac:dyDescent="0.25">
      <c r="A3" s="419" t="s">
        <v>930</v>
      </c>
      <c r="B3" s="419" t="s">
        <v>931</v>
      </c>
      <c r="C3" s="419" t="s">
        <v>932</v>
      </c>
      <c r="D3" s="419" t="s">
        <v>933</v>
      </c>
      <c r="E3" s="419" t="s">
        <v>44</v>
      </c>
    </row>
    <row r="4" spans="1:5" ht="20.100000000000001" customHeight="1" x14ac:dyDescent="0.25">
      <c r="A4" s="420" t="s">
        <v>934</v>
      </c>
      <c r="B4" s="421" t="s">
        <v>935</v>
      </c>
      <c r="C4" s="422">
        <f>ABS('09_BILAN_CONSO'!E28-'09_BILAN_CONSO'!E55)</f>
        <v>281642.09422832361</v>
      </c>
      <c r="D4" s="416" t="s">
        <v>936</v>
      </c>
      <c r="E4" s="423" t="str">
        <f t="shared" ref="E4:E14" si="0">IF(ABS(C4)&lt;1,"✅","❌")</f>
        <v>❌</v>
      </c>
    </row>
    <row r="5" spans="1:5" ht="20.100000000000001" customHeight="1" x14ac:dyDescent="0.25">
      <c r="A5" s="424" t="s">
        <v>937</v>
      </c>
      <c r="B5" s="425" t="s">
        <v>938</v>
      </c>
      <c r="C5" s="426">
        <f>ABS('10_PNL_CONSO'!E44+'10_PNL_CONSO'!E45-'10_PNL_CONSO'!E42)</f>
        <v>718790.69578746788</v>
      </c>
      <c r="D5" s="413" t="s">
        <v>936</v>
      </c>
      <c r="E5" s="427" t="str">
        <f t="shared" si="0"/>
        <v>❌</v>
      </c>
    </row>
    <row r="6" spans="1:5" ht="20.100000000000001" customHeight="1" x14ac:dyDescent="0.25">
      <c r="A6" s="420" t="s">
        <v>939</v>
      </c>
      <c r="B6" s="421" t="s">
        <v>940</v>
      </c>
      <c r="C6" s="422">
        <f>'07_ELIMINATIONS'!B39</f>
        <v>0</v>
      </c>
      <c r="D6" s="416" t="s">
        <v>936</v>
      </c>
      <c r="E6" s="423" t="str">
        <f t="shared" si="0"/>
        <v>✅</v>
      </c>
    </row>
    <row r="7" spans="1:5" ht="20.100000000000001" customHeight="1" x14ac:dyDescent="0.25">
      <c r="A7" s="424" t="s">
        <v>941</v>
      </c>
      <c r="B7" s="425" t="s">
        <v>942</v>
      </c>
      <c r="C7" s="426">
        <f>'07_ELIMINATIONS'!B55</f>
        <v>15000</v>
      </c>
      <c r="D7" s="413" t="s">
        <v>936</v>
      </c>
      <c r="E7" s="427" t="str">
        <f t="shared" si="0"/>
        <v>❌</v>
      </c>
    </row>
    <row r="8" spans="1:5" ht="20.100000000000001" customHeight="1" x14ac:dyDescent="0.25">
      <c r="A8" s="420" t="s">
        <v>943</v>
      </c>
      <c r="B8" s="421" t="s">
        <v>944</v>
      </c>
      <c r="C8" s="501">
        <f>COUNTIF('07_ELIMINATIONS'!A10:A105,"E*")</f>
        <v>38</v>
      </c>
      <c r="D8" s="416" t="s">
        <v>936</v>
      </c>
      <c r="E8" s="423" t="str">
        <f>IF('07_ELIMINATIONS'!D116="✅ ÉQUILIBRÉ","✅","❌")</f>
        <v>✅</v>
      </c>
    </row>
    <row r="9" spans="1:5" ht="20.100000000000001" customHeight="1" x14ac:dyDescent="0.25">
      <c r="A9" s="424" t="s">
        <v>945</v>
      </c>
      <c r="B9" s="425" t="s">
        <v>946</v>
      </c>
      <c r="C9" s="426">
        <f>ABS('11_TFT_CONSO'!E29-'09_BILAN_CONSO'!E25)</f>
        <v>1840135.5031645359</v>
      </c>
      <c r="D9" s="413" t="s">
        <v>936</v>
      </c>
      <c r="E9" s="427" t="str">
        <f t="shared" si="0"/>
        <v>❌</v>
      </c>
    </row>
    <row r="10" spans="1:5" ht="20.100000000000001" customHeight="1" x14ac:dyDescent="0.25">
      <c r="A10" s="420" t="s">
        <v>947</v>
      </c>
      <c r="B10" s="421" t="s">
        <v>948</v>
      </c>
      <c r="C10" s="422">
        <f>ABS('12_VAR_CP'!J12-'09_BILAN_CONSO'!E41)</f>
        <v>24224.80629913602</v>
      </c>
      <c r="D10" s="416" t="s">
        <v>936</v>
      </c>
      <c r="E10" s="423" t="str">
        <f t="shared" si="0"/>
        <v>❌</v>
      </c>
    </row>
    <row r="11" spans="1:5" ht="20.100000000000001" customHeight="1" x14ac:dyDescent="0.25">
      <c r="A11" s="424" t="s">
        <v>949</v>
      </c>
      <c r="B11" s="425" t="s">
        <v>950</v>
      </c>
      <c r="C11" s="426">
        <f>ABS('13_SEGMENT'!F6-'10_PNL_CONSO'!E6)</f>
        <v>36370.939951288048</v>
      </c>
      <c r="D11" s="413" t="s">
        <v>936</v>
      </c>
      <c r="E11" s="427" t="str">
        <f t="shared" si="0"/>
        <v>❌</v>
      </c>
    </row>
    <row r="12" spans="1:5" ht="20.100000000000001" customHeight="1" x14ac:dyDescent="0.25">
      <c r="A12" s="420" t="s">
        <v>951</v>
      </c>
      <c r="B12" s="421" t="s">
        <v>952</v>
      </c>
      <c r="C12" s="422">
        <f>ABS('06_GOODWILL'!G58-'09_BILAN_CONSO'!E6)</f>
        <v>0</v>
      </c>
      <c r="D12" s="416" t="s">
        <v>936</v>
      </c>
      <c r="E12" s="423" t="str">
        <f t="shared" si="0"/>
        <v>✅</v>
      </c>
    </row>
    <row r="13" spans="1:5" ht="20.100000000000001" customHeight="1" x14ac:dyDescent="0.25">
      <c r="A13" s="424" t="s">
        <v>953</v>
      </c>
      <c r="B13" s="425" t="s">
        <v>954</v>
      </c>
      <c r="C13" s="426">
        <f>ABS('04_PNL_IND'!C47-'03_BILANS_IND'!C35)</f>
        <v>0</v>
      </c>
      <c r="D13" s="413" t="s">
        <v>936</v>
      </c>
      <c r="E13" s="427" t="str">
        <f t="shared" si="0"/>
        <v>✅</v>
      </c>
    </row>
    <row r="14" spans="1:5" ht="20.100000000000001" customHeight="1" x14ac:dyDescent="0.25">
      <c r="A14" s="420" t="s">
        <v>955</v>
      </c>
      <c r="B14" s="421" t="s">
        <v>956</v>
      </c>
      <c r="C14" s="422" t="s">
        <v>1370</v>
      </c>
      <c r="D14" s="416" t="s">
        <v>936</v>
      </c>
      <c r="E14" s="423" t="s">
        <v>1371</v>
      </c>
    </row>
    <row r="15" spans="1:5" ht="20.100000000000001" customHeight="1" x14ac:dyDescent="0.25">
      <c r="A15" s="424" t="s">
        <v>957</v>
      </c>
      <c r="B15" s="425" t="s">
        <v>958</v>
      </c>
      <c r="C15" s="426">
        <f>COUNTIF('15_PILIER2'!I5:I11,"⚠️*")</f>
        <v>1</v>
      </c>
      <c r="D15" s="413" t="s">
        <v>936</v>
      </c>
      <c r="E15" s="427" t="str">
        <f>IF(C15=0,"✅ Toutes juridictions au-dessus","⚠️ "&amp;C15&amp;" juridiction(s) sous 15%")</f>
        <v>⚠️ 1 juridiction(s) sous 15%</v>
      </c>
    </row>
    <row r="16" spans="1:5" ht="20.100000000000001" customHeight="1" x14ac:dyDescent="0.25">
      <c r="A16" s="420" t="s">
        <v>959</v>
      </c>
      <c r="B16" s="421" t="s">
        <v>960</v>
      </c>
      <c r="C16" s="422" t="s">
        <v>1370</v>
      </c>
      <c r="D16" s="416" t="s">
        <v>961</v>
      </c>
      <c r="E16" s="423" t="s">
        <v>1371</v>
      </c>
    </row>
    <row r="17" spans="1:5" ht="20.100000000000001" customHeight="1" x14ac:dyDescent="0.25">
      <c r="A17" s="424" t="s">
        <v>962</v>
      </c>
      <c r="B17" s="425" t="s">
        <v>963</v>
      </c>
      <c r="C17" s="428" t="s">
        <v>964</v>
      </c>
      <c r="D17" s="413" t="s">
        <v>965</v>
      </c>
      <c r="E17" s="429"/>
    </row>
    <row r="18" spans="1:5" ht="20.100000000000001" customHeight="1" x14ac:dyDescent="0.25">
      <c r="A18" s="420" t="s">
        <v>966</v>
      </c>
      <c r="B18" s="421" t="s">
        <v>967</v>
      </c>
      <c r="C18" s="422">
        <f>COUNTIF('01_PARAMETRES'!K18:K25,"IG")</f>
        <v>6</v>
      </c>
      <c r="D18" s="416">
        <v>6</v>
      </c>
      <c r="E18" s="423" t="str">
        <f>IF(C18=D18,"✅","❌ Blocs manquants")</f>
        <v>✅</v>
      </c>
    </row>
    <row r="19" spans="1:5" x14ac:dyDescent="0.25">
      <c r="A19" s="502" t="s">
        <v>1063</v>
      </c>
      <c r="B19" s="503" t="s">
        <v>1064</v>
      </c>
      <c r="C19" s="504">
        <f>COUNTIF('07_ELIMINATIONS'!A10:A105,"E*")</f>
        <v>38</v>
      </c>
      <c r="D19" s="505" t="s">
        <v>1065</v>
      </c>
      <c r="E19" s="716" t="str">
        <f>IF(C19&gt;0,"✅","❌ Aucune écriture")</f>
        <v>✅</v>
      </c>
    </row>
    <row r="20" spans="1:5" ht="12" customHeight="1" x14ac:dyDescent="0.25">
      <c r="A20" s="626" t="s">
        <v>1271</v>
      </c>
      <c r="B20" s="627" t="s">
        <v>1272</v>
      </c>
      <c r="C20" s="628">
        <f>ABS('10B_TAX_PROOF'!B35-'10_PNL_CONSO'!E42)</f>
        <v>0</v>
      </c>
      <c r="D20" s="629">
        <v>0</v>
      </c>
      <c r="E20" s="630" t="str">
        <f>IF(ABS(C20)&lt;5,"✅","❌ Écart "&amp;TEXT(C20,"#,##0")&amp;" K€")</f>
        <v>✅</v>
      </c>
    </row>
    <row r="21" spans="1:5" ht="14.25" customHeight="1" x14ac:dyDescent="0.25">
      <c r="A21" s="631" t="s">
        <v>1273</v>
      </c>
      <c r="B21" s="632" t="s">
        <v>1274</v>
      </c>
      <c r="C21" s="633">
        <f>'10B_TAX_PROOF'!B39</f>
        <v>0.28401567378698861</v>
      </c>
      <c r="D21" s="634" t="s">
        <v>1275</v>
      </c>
      <c r="E21" s="635" t="str">
        <f>IF(AND(C21&gt;=0.15,C21&lt;=0.35),"✅","⚠️ ETR "&amp;TEXT(C21,"0.0%")&amp;" — analyser")</f>
        <v>✅</v>
      </c>
    </row>
    <row r="22" spans="1:5" ht="14.25" customHeight="1" x14ac:dyDescent="0.25">
      <c r="A22" s="626" t="s">
        <v>1276</v>
      </c>
      <c r="B22" s="627" t="s">
        <v>1277</v>
      </c>
      <c r="C22" s="628">
        <f>ABS('10_PNL_CONSO'!B94*'10_PNL_CONSO'!B92/1000-'10_PNL_CONSO'!E45)</f>
        <v>0</v>
      </c>
      <c r="D22" s="629" t="s">
        <v>1278</v>
      </c>
      <c r="E22" s="630" t="str">
        <f>IF(ABS(C22)&lt;1,"✅","❌ Écart "&amp;TEXT(C22,"#,##0.00"))</f>
        <v>✅</v>
      </c>
    </row>
    <row r="23" spans="1:5" ht="15" customHeight="1" x14ac:dyDescent="0.25">
      <c r="A23" s="631" t="s">
        <v>1279</v>
      </c>
      <c r="B23" s="632" t="s">
        <v>1280</v>
      </c>
      <c r="C23" s="636">
        <f>ABS('08_EFFICACITE'!B55-'08_EFFICACITE'!B44)</f>
        <v>0</v>
      </c>
      <c r="D23" s="634">
        <v>0</v>
      </c>
      <c r="E23" s="635" t="str">
        <f>IF(ABS(C23)&lt;1,"✅","❌ Écart "&amp;TEXT(C23,"#,##0")&amp;" K€")</f>
        <v>✅</v>
      </c>
    </row>
    <row r="24" spans="1:5" ht="19.5" customHeight="1" x14ac:dyDescent="0.25">
      <c r="A24" s="626" t="s">
        <v>1281</v>
      </c>
      <c r="B24" s="627" t="s">
        <v>1282</v>
      </c>
      <c r="C24" s="628">
        <f>ABS(('09_BILAN_CONSO'!E41-'09_BILAN_CONSO'!F41)-('10_PNL_CONSO'!E44+'12_VAR_CP'!F7-'12_VAR_CP'!E5))</f>
        <v>537097.86434845731</v>
      </c>
      <c r="D24" s="629" t="s">
        <v>1297</v>
      </c>
      <c r="E24" s="630" t="str">
        <f>IF(ABS(C24)&lt;5000,"✅","⚠️ Écart "&amp;TEXT(C24,"#,##0")&amp;" K€ — F41 budget")</f>
        <v>⚠️ Écart 537097,864 K€ — F41 budget</v>
      </c>
    </row>
    <row r="25" spans="1:5" ht="14.25" customHeight="1" x14ac:dyDescent="0.25">
      <c r="A25" s="631" t="s">
        <v>1283</v>
      </c>
      <c r="B25" s="632" t="s">
        <v>1284</v>
      </c>
      <c r="C25" s="637" cm="1">
        <f t="array" ref="C25">MAX(IF('01_PARAMETRES'!K19:K25="IG",1-'01_PARAMETRES'!J19:J25,0))</f>
        <v>0.30000000000000004</v>
      </c>
      <c r="D25" s="634" t="s">
        <v>1285</v>
      </c>
      <c r="E25" s="635" t="str">
        <f>IF(C25&lt;0.5,"✅","⚠️ NCI &gt; 50% — contrôle IG requis (IFRS 10 §B38)")</f>
        <v>✅</v>
      </c>
    </row>
    <row r="26" spans="1:5" ht="16.5" customHeight="1" x14ac:dyDescent="0.25">
      <c r="A26" s="626" t="s">
        <v>1286</v>
      </c>
      <c r="B26" s="627" t="s">
        <v>1287</v>
      </c>
      <c r="C26" s="628">
        <f>COUNTIFS('05_CONVERSION_IAS21'!B2:B252,"AU-*",'05_CONVERSION_IAS21'!F2:F252,0)</f>
        <v>0</v>
      </c>
      <c r="D26" s="629">
        <v>0</v>
      </c>
      <c r="E26" s="630" t="str">
        <f>IF(C26=0,"✅","⚠️ "&amp;C26&amp;" ligne(s) avec écart conversion = 0")</f>
        <v>✅</v>
      </c>
    </row>
    <row r="27" spans="1:5" ht="22.5" customHeight="1" x14ac:dyDescent="0.25">
      <c r="A27" s="631" t="s">
        <v>1288</v>
      </c>
      <c r="B27" s="632" t="s">
        <v>1289</v>
      </c>
      <c r="C27" s="633">
        <f>'01_PARAMETRES'!B36</f>
        <v>1.1020000000000001</v>
      </c>
      <c r="D27" s="634" t="s">
        <v>1290</v>
      </c>
      <c r="E27" s="635" t="str">
        <f>IF(AND('01_PARAMETRES'!B36&gt;=0.8,'01_PARAMETRES'!B36&lt;=1.5),"✅","⚠️ Taux USD hors plage — vérifier source")</f>
        <v>✅</v>
      </c>
    </row>
    <row r="28" spans="1:5" ht="22.5" customHeight="1" x14ac:dyDescent="0.25">
      <c r="A28" s="626" t="s">
        <v>1291</v>
      </c>
      <c r="B28" s="627" t="s">
        <v>1292</v>
      </c>
      <c r="C28" s="628">
        <f>ABS('10_PNL_CONSO'!B84-'10_PNL_CONSO'!E6)</f>
        <v>0</v>
      </c>
      <c r="D28" s="629" t="s">
        <v>1293</v>
      </c>
      <c r="E28" s="630" t="str">
        <f>IF(ABS(C28)&lt;5000,"✅","⚠️ Écart "&amp;TEXT(C28,"#,##0")&amp;" K€")</f>
        <v>✅</v>
      </c>
    </row>
    <row r="29" spans="1:5" ht="21.75" customHeight="1" x14ac:dyDescent="0.25">
      <c r="A29" s="631" t="s">
        <v>1294</v>
      </c>
      <c r="B29" s="632" t="s">
        <v>1295</v>
      </c>
      <c r="C29" s="636">
        <f>'10_PNL_CONSO'!B94-'10_PNL_CONSO'!B98</f>
        <v>0.27362747157410627</v>
      </c>
      <c r="D29" s="634" t="s">
        <v>1296</v>
      </c>
      <c r="E29" s="635" t="str">
        <f>IF(AND('10_PNL_CONSO'!B94&gt;0,'10_PNL_CONSO'!B98&lt;='10_PNL_CONSO'!B94),"✅","⚠️ RPA anormal (IAS 33 §41)")</f>
        <v>✅</v>
      </c>
    </row>
    <row r="30" spans="1:5" ht="21.95" customHeight="1" x14ac:dyDescent="0.25">
      <c r="A30" s="855" t="s">
        <v>968</v>
      </c>
      <c r="B30" s="845"/>
      <c r="C30" s="845"/>
      <c r="D30" s="845"/>
      <c r="E30" s="845"/>
    </row>
    <row r="31" spans="1:5" ht="20.100000000000001" customHeight="1" x14ac:dyDescent="0.25">
      <c r="A31" s="861" t="s">
        <v>969</v>
      </c>
      <c r="B31" s="862"/>
      <c r="C31" s="862"/>
      <c r="D31" s="863"/>
      <c r="E31" s="430">
        <f>COUNTIF(E4:E29,"✅*")</f>
        <v>15</v>
      </c>
    </row>
    <row r="32" spans="1:5" ht="20.100000000000001" customHeight="1" x14ac:dyDescent="0.25">
      <c r="A32" s="864" t="s">
        <v>970</v>
      </c>
      <c r="B32" s="862"/>
      <c r="C32" s="862"/>
      <c r="D32" s="863"/>
      <c r="E32" s="431">
        <f>COUNTIF(E4:E29,"❌*")</f>
        <v>6</v>
      </c>
    </row>
    <row r="33" spans="1:5" ht="20.100000000000001" customHeight="1" x14ac:dyDescent="0.25">
      <c r="A33" s="865" t="s">
        <v>971</v>
      </c>
      <c r="B33" s="862"/>
      <c r="C33" s="862"/>
      <c r="D33" s="863"/>
      <c r="E33" s="432">
        <f>COUNTIF(E4:E29,"⚠️*")</f>
        <v>2</v>
      </c>
    </row>
    <row r="35" spans="1:5" ht="30" customHeight="1" thickBot="1" x14ac:dyDescent="0.3">
      <c r="A35" s="856" t="s">
        <v>972</v>
      </c>
      <c r="B35" s="852"/>
      <c r="C35" s="860" t="str">
        <f>IF(E32&gt;0,"❌ COMPTES NON CONFORMES — Corriger avant transmission",IF(E33&gt;0,"⚠️ OK AVEC ALERTES — Documenter avant transmission","✅ CONSOLIDATION CONFORME — PRÊT POUR AUDIT"))</f>
        <v>❌ COMPTES NON CONFORMES — Corriger avant transmission</v>
      </c>
      <c r="D35" s="851"/>
      <c r="E35" s="852"/>
    </row>
  </sheetData>
  <mergeCells count="8">
    <mergeCell ref="A35:B35"/>
    <mergeCell ref="C35:E35"/>
    <mergeCell ref="A1:E1"/>
    <mergeCell ref="A2:E2"/>
    <mergeCell ref="A30:E30"/>
    <mergeCell ref="A31:D31"/>
    <mergeCell ref="A32:D32"/>
    <mergeCell ref="A33:D33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19</vt:i4>
      </vt:variant>
      <vt:variant>
        <vt:lpstr>Plages nommées</vt:lpstr>
      </vt:variant>
      <vt:variant>
        <vt:i4>10</vt:i4>
      </vt:variant>
    </vt:vector>
  </HeadingPairs>
  <TitlesOfParts>
    <vt:vector size="29" baseType="lpstr">
      <vt:lpstr>Claude Log</vt:lpstr>
      <vt:lpstr>01_PARAMETRES</vt:lpstr>
      <vt:lpstr>02_PERIMETRE</vt:lpstr>
      <vt:lpstr>03_BILANS_IND</vt:lpstr>
      <vt:lpstr>04_PNL_IND</vt:lpstr>
      <vt:lpstr>05_CONVERSION_IAS21</vt:lpstr>
      <vt:lpstr>06_GOODWILL</vt:lpstr>
      <vt:lpstr>07_ELIMINATIONS</vt:lpstr>
      <vt:lpstr>08_EFFICACITE</vt:lpstr>
      <vt:lpstr>09_BILAN_CONSO</vt:lpstr>
      <vt:lpstr>09B_N-1_ARCHIVE</vt:lpstr>
      <vt:lpstr>10_PNL_CONSO</vt:lpstr>
      <vt:lpstr>10B_TAX_PROOF</vt:lpstr>
      <vt:lpstr>11_TFT_CONSO</vt:lpstr>
      <vt:lpstr>12_VAR_CP</vt:lpstr>
      <vt:lpstr>13_SEGMENT</vt:lpstr>
      <vt:lpstr>14_NOTES_IFRS</vt:lpstr>
      <vt:lpstr>15_PILIER2</vt:lpstr>
      <vt:lpstr>16_CONTROLES</vt:lpstr>
      <vt:lpstr>CodeEntite</vt:lpstr>
      <vt:lpstr>DateClotureConso</vt:lpstr>
      <vt:lpstr>DeviseFonctionnelle</vt:lpstr>
      <vt:lpstr>MethodeConso</vt:lpstr>
      <vt:lpstr>NomEntite</vt:lpstr>
      <vt:lpstr>PctControle</vt:lpstr>
      <vt:lpstr>PctInteret</vt:lpstr>
      <vt:lpstr>TauxClotureConso</vt:lpstr>
      <vt:lpstr>TauxHistoriqueConso</vt:lpstr>
      <vt:lpstr>TauxMoyenConso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 Labeaut</dc:creator>
  <cp:lastModifiedBy>Ludovic Labeaut</cp:lastModifiedBy>
  <dcterms:created xsi:type="dcterms:W3CDTF">2026-03-24T23:47:37Z</dcterms:created>
  <dcterms:modified xsi:type="dcterms:W3CDTF">2026-03-29T20:52:49Z</dcterms:modified>
</cp:coreProperties>
</file>