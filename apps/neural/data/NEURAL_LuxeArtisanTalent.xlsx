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Ludo\Desktop\IA projet entreprises\"/>
    </mc:Choice>
  </mc:AlternateContent>
  <xr:revisionPtr revIDLastSave="0" documentId="13_ncr:1_{27C4D9C4-8710-4544-9799-7B695BC0DC10}" xr6:coauthVersionLast="47" xr6:coauthVersionMax="47" xr10:uidLastSave="{00000000-0000-0000-0000-000000000000}"/>
  <bookViews>
    <workbookView xWindow="-120" yWindow="-120" windowWidth="29040" windowHeight="15840" tabRatio="500" firstSheet="4" activeTab="7" xr2:uid="{00000000-000D-0000-FFFF-FFFF00000000}"/>
  </bookViews>
  <sheets>
    <sheet name="Claude Log" sheetId="11" r:id="rId1"/>
    <sheet name="01_PARAMETRES" sheetId="1" r:id="rId2"/>
    <sheet name="02_REF_METIERS" sheetId="2" r:id="rId3"/>
    <sheet name="03b_MAPPING" sheetId="13" r:id="rId4"/>
    <sheet name="03_COMPETENCES" sheetId="3" r:id="rId5"/>
    <sheet name="04_SCORING_CANDIDATS" sheetId="4" r:id="rId6"/>
    <sheet name="05_VIVIER_TALENTS" sheetId="5" r:id="rId7"/>
    <sheet name="06_CARTO" sheetId="6" r:id="rId8"/>
    <sheet name="07_GAP_ANALYSIS" sheetId="7" r:id="rId9"/>
    <sheet name="08_SUCCESSION" sheetId="8" r:id="rId10"/>
    <sheet name="09_PLAN_ACTION" sheetId="9" r:id="rId11"/>
    <sheet name="10_DASHBOARD" sheetId="10" r:id="rId12"/>
  </sheets>
  <definedNames>
    <definedName name="_xlnm._FilterDatabase" localSheetId="2" hidden="1">'02_REF_METIERS'!$B$3:$P$33</definedName>
    <definedName name="_xlnm._FilterDatabase" localSheetId="5" hidden="1">'04_SCORING_CANDIDATS'!$B$6:$S$36</definedName>
    <definedName name="_xlnm._FilterDatabase" localSheetId="6" hidden="1">'05_VIVIER_TALENTS'!$B$7:$M$27</definedName>
    <definedName name="_xlnm._FilterDatabase" localSheetId="7" hidden="1">'06_CARTO'!$B$7:$O$37</definedName>
    <definedName name="_xlnm._FilterDatabase" localSheetId="8" hidden="1">'07_GAP_ANALYSIS'!$B$7:$N$21</definedName>
    <definedName name="_xlnm._FilterDatabase" localSheetId="10" hidden="1">'09_PLAN_ACTION'!$B$7:$H$22</definedName>
    <definedName name="LISTE_METIERS">'02_REF_METIERS'!$B$4:$B$100</definedName>
    <definedName name="POIDS_SCORING">'01_PARAMETRES'!$D$17:$D$21</definedName>
    <definedName name="SEUILS_SCORES">'01_PARAMETRES'!$C$26:$C$30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P19" i="8" l="1"/>
  <c r="P18" i="8"/>
  <c r="P17" i="8"/>
  <c r="P16" i="8"/>
  <c r="P15" i="8"/>
  <c r="P14" i="8"/>
  <c r="P13" i="8"/>
  <c r="P12" i="8"/>
  <c r="P11" i="8"/>
  <c r="P10" i="8"/>
  <c r="P9" i="8"/>
  <c r="P8" i="8"/>
  <c r="O19" i="8"/>
  <c r="O18" i="8"/>
  <c r="O17" i="8"/>
  <c r="O16" i="8"/>
  <c r="O15" i="8"/>
  <c r="O14" i="8"/>
  <c r="O13" i="8"/>
  <c r="O12" i="8"/>
  <c r="O11" i="8"/>
  <c r="O10" i="8"/>
  <c r="O9" i="8"/>
  <c r="O8" i="8"/>
  <c r="M21" i="7"/>
  <c r="L21" i="7"/>
  <c r="K21" i="7"/>
  <c r="M20" i="7"/>
  <c r="L20" i="7"/>
  <c r="K20" i="7"/>
  <c r="M19" i="7"/>
  <c r="L19" i="7"/>
  <c r="K19" i="7"/>
  <c r="M18" i="7"/>
  <c r="L18" i="7"/>
  <c r="K18" i="7"/>
  <c r="M17" i="7"/>
  <c r="L17" i="7"/>
  <c r="K17" i="7"/>
  <c r="M16" i="7"/>
  <c r="L16" i="7"/>
  <c r="K16" i="7"/>
  <c r="M15" i="7"/>
  <c r="L15" i="7"/>
  <c r="K15" i="7"/>
  <c r="M14" i="7"/>
  <c r="L14" i="7"/>
  <c r="K14" i="7"/>
  <c r="M13" i="7"/>
  <c r="L13" i="7"/>
  <c r="K13" i="7"/>
  <c r="M12" i="7"/>
  <c r="L12" i="7"/>
  <c r="K12" i="7"/>
  <c r="M11" i="7"/>
  <c r="L11" i="7"/>
  <c r="K11" i="7"/>
  <c r="M10" i="7"/>
  <c r="L10" i="7"/>
  <c r="K10" i="7"/>
  <c r="M9" i="7"/>
  <c r="L9" i="7"/>
  <c r="K9" i="7"/>
  <c r="M8" i="7"/>
  <c r="L8" i="7"/>
  <c r="K8" i="7"/>
  <c r="C47" i="1"/>
  <c r="M27" i="5"/>
  <c r="M26" i="5"/>
  <c r="M25" i="5"/>
  <c r="M24" i="5"/>
  <c r="M23" i="5"/>
  <c r="M22" i="5"/>
  <c r="M21" i="5"/>
  <c r="M20" i="5"/>
  <c r="M19" i="5"/>
  <c r="M18" i="5"/>
  <c r="M17" i="5"/>
  <c r="M16" i="5"/>
  <c r="M15" i="5"/>
  <c r="M14" i="5"/>
  <c r="M13" i="5"/>
  <c r="M12" i="5"/>
  <c r="M11" i="5"/>
  <c r="M10" i="5"/>
  <c r="M9" i="5"/>
  <c r="M8" i="5"/>
  <c r="E27" i="13"/>
  <c r="D27" i="13"/>
  <c r="C27" i="13"/>
  <c r="E26" i="13"/>
  <c r="D26" i="13"/>
  <c r="C26" i="13"/>
  <c r="E25" i="13"/>
  <c r="D25" i="13"/>
  <c r="C25" i="13"/>
  <c r="E24" i="13"/>
  <c r="D24" i="13"/>
  <c r="C24" i="13"/>
  <c r="E23" i="13"/>
  <c r="D23" i="13"/>
  <c r="C23" i="13"/>
  <c r="B5" i="10"/>
  <c r="K22" i="10"/>
  <c r="E22" i="10"/>
  <c r="K21" i="10"/>
  <c r="E21" i="10"/>
  <c r="E20" i="10"/>
  <c r="E19" i="10"/>
  <c r="K18" i="10"/>
  <c r="E18" i="10"/>
  <c r="K12" i="10"/>
  <c r="K5" i="10"/>
  <c r="H5" i="10"/>
  <c r="I2" i="10"/>
  <c r="B1" i="10"/>
  <c r="F23" i="9"/>
  <c r="D3" i="9"/>
  <c r="K19" i="10" s="1"/>
  <c r="B3" i="9"/>
  <c r="J3" i="8"/>
  <c r="H3" i="8"/>
  <c r="F3" i="8"/>
  <c r="D3" i="8"/>
  <c r="B3" i="8"/>
  <c r="G22" i="7"/>
  <c r="E22" i="7"/>
  <c r="F15" i="7"/>
  <c r="J3" i="7"/>
  <c r="C46" i="6"/>
  <c r="C31" i="10" s="1"/>
  <c r="C45" i="6"/>
  <c r="C30" i="10" s="1"/>
  <c r="C44" i="6"/>
  <c r="C29" i="10" s="1"/>
  <c r="C43" i="6"/>
  <c r="C28" i="10" s="1"/>
  <c r="C42" i="6"/>
  <c r="F19" i="7" s="1"/>
  <c r="J37" i="6"/>
  <c r="H37" i="6"/>
  <c r="J36" i="6"/>
  <c r="H36" i="6"/>
  <c r="J35" i="6"/>
  <c r="H35" i="6"/>
  <c r="J34" i="6"/>
  <c r="H34" i="6"/>
  <c r="J33" i="6"/>
  <c r="H33" i="6"/>
  <c r="J32" i="6"/>
  <c r="H32" i="6"/>
  <c r="N32" i="10" s="1"/>
  <c r="J31" i="6"/>
  <c r="H31" i="6"/>
  <c r="N31" i="10" s="1"/>
  <c r="J30" i="6"/>
  <c r="H30" i="6"/>
  <c r="N30" i="10" s="1"/>
  <c r="J29" i="6"/>
  <c r="H29" i="6"/>
  <c r="N29" i="10" s="1"/>
  <c r="J28" i="6"/>
  <c r="H28" i="6"/>
  <c r="N28" i="10" s="1"/>
  <c r="J27" i="6"/>
  <c r="H27" i="6"/>
  <c r="N27" i="10" s="1"/>
  <c r="J26" i="6"/>
  <c r="H26" i="6"/>
  <c r="J25" i="6"/>
  <c r="H25" i="6"/>
  <c r="J24" i="6"/>
  <c r="H24" i="6"/>
  <c r="J23" i="6"/>
  <c r="H23" i="6"/>
  <c r="J22" i="6"/>
  <c r="H22" i="6"/>
  <c r="J21" i="6"/>
  <c r="H21" i="6"/>
  <c r="J20" i="6"/>
  <c r="H20" i="6"/>
  <c r="J19" i="6"/>
  <c r="H19" i="6"/>
  <c r="J18" i="6"/>
  <c r="H18" i="6"/>
  <c r="J17" i="6"/>
  <c r="H17" i="6"/>
  <c r="J16" i="6"/>
  <c r="H16" i="6"/>
  <c r="J15" i="6"/>
  <c r="H15" i="6"/>
  <c r="J14" i="6"/>
  <c r="H14" i="6"/>
  <c r="J13" i="6"/>
  <c r="H13" i="6"/>
  <c r="J12" i="6"/>
  <c r="H12" i="6"/>
  <c r="J11" i="6"/>
  <c r="H11" i="6"/>
  <c r="J10" i="6"/>
  <c r="H10" i="6"/>
  <c r="J9" i="6"/>
  <c r="H9" i="6"/>
  <c r="J8" i="6"/>
  <c r="H8" i="6"/>
  <c r="J32" i="10" s="1"/>
  <c r="J3" i="6"/>
  <c r="H3" i="6"/>
  <c r="D3" i="6"/>
  <c r="B3" i="6"/>
  <c r="F3" i="5"/>
  <c r="D3" i="5"/>
  <c r="B3" i="5"/>
  <c r="S36" i="4"/>
  <c r="L36" i="4"/>
  <c r="K36" i="4"/>
  <c r="J36" i="4"/>
  <c r="S35" i="4"/>
  <c r="L35" i="4"/>
  <c r="K35" i="4"/>
  <c r="J35" i="4"/>
  <c r="S34" i="4"/>
  <c r="L34" i="4"/>
  <c r="K34" i="4"/>
  <c r="J34" i="4"/>
  <c r="S33" i="4"/>
  <c r="L33" i="4"/>
  <c r="K33" i="4"/>
  <c r="J33" i="4"/>
  <c r="E23" i="5" s="1"/>
  <c r="S32" i="4"/>
  <c r="L32" i="4"/>
  <c r="K32" i="4"/>
  <c r="J32" i="4"/>
  <c r="S31" i="4"/>
  <c r="L31" i="4"/>
  <c r="K31" i="4"/>
  <c r="J31" i="4"/>
  <c r="S30" i="4"/>
  <c r="L30" i="4"/>
  <c r="K30" i="4"/>
  <c r="J30" i="4"/>
  <c r="S29" i="4"/>
  <c r="L29" i="4"/>
  <c r="K29" i="4"/>
  <c r="J29" i="4"/>
  <c r="S28" i="4"/>
  <c r="K28" i="4"/>
  <c r="J28" i="4"/>
  <c r="E27" i="5" s="1"/>
  <c r="S27" i="4"/>
  <c r="K27" i="4"/>
  <c r="J27" i="4"/>
  <c r="E26" i="5" s="1"/>
  <c r="S26" i="4"/>
  <c r="K26" i="4"/>
  <c r="J26" i="4"/>
  <c r="E25" i="5" s="1"/>
  <c r="S25" i="4"/>
  <c r="K25" i="4"/>
  <c r="J25" i="4"/>
  <c r="E24" i="5" s="1"/>
  <c r="S24" i="4"/>
  <c r="K24" i="4"/>
  <c r="J24" i="4"/>
  <c r="L24" i="4" s="1"/>
  <c r="S23" i="4"/>
  <c r="K23" i="4"/>
  <c r="J23" i="4"/>
  <c r="L23" i="4" s="1"/>
  <c r="S22" i="4"/>
  <c r="K22" i="4"/>
  <c r="J22" i="4"/>
  <c r="E19" i="5" s="1"/>
  <c r="S21" i="4"/>
  <c r="K21" i="4"/>
  <c r="J21" i="4"/>
  <c r="E22" i="5" s="1"/>
  <c r="S20" i="4"/>
  <c r="K20" i="4"/>
  <c r="J20" i="4"/>
  <c r="E21" i="5" s="1"/>
  <c r="S19" i="4"/>
  <c r="K19" i="4"/>
  <c r="J19" i="4"/>
  <c r="E20" i="5" s="1"/>
  <c r="S18" i="4"/>
  <c r="K18" i="4"/>
  <c r="J18" i="4"/>
  <c r="L18" i="4" s="1"/>
  <c r="S17" i="4"/>
  <c r="K17" i="4"/>
  <c r="J17" i="4"/>
  <c r="E18" i="5" s="1"/>
  <c r="S16" i="4"/>
  <c r="K16" i="4"/>
  <c r="J16" i="4"/>
  <c r="E17" i="5" s="1"/>
  <c r="S15" i="4"/>
  <c r="K15" i="4"/>
  <c r="J15" i="4"/>
  <c r="E16" i="5" s="1"/>
  <c r="S14" i="4"/>
  <c r="K14" i="4"/>
  <c r="J14" i="4"/>
  <c r="E15" i="5" s="1"/>
  <c r="S13" i="4"/>
  <c r="K13" i="4"/>
  <c r="J13" i="4"/>
  <c r="E14" i="5" s="1"/>
  <c r="S12" i="4"/>
  <c r="K12" i="4"/>
  <c r="J12" i="4"/>
  <c r="K14" i="10" s="1"/>
  <c r="S11" i="4"/>
  <c r="K11" i="4"/>
  <c r="J11" i="4"/>
  <c r="E12" i="5" s="1"/>
  <c r="S10" i="4"/>
  <c r="K10" i="4"/>
  <c r="J10" i="4"/>
  <c r="K13" i="10" s="1"/>
  <c r="S9" i="4"/>
  <c r="K9" i="4"/>
  <c r="J9" i="4"/>
  <c r="E10" i="5" s="1"/>
  <c r="S8" i="4"/>
  <c r="K8" i="4"/>
  <c r="J8" i="4"/>
  <c r="K11" i="10" s="1"/>
  <c r="S7" i="4"/>
  <c r="K7" i="4"/>
  <c r="J7" i="4"/>
  <c r="K10" i="10" s="1"/>
  <c r="G3" i="4"/>
  <c r="E3" i="4"/>
  <c r="B2" i="4"/>
  <c r="M22" i="3"/>
  <c r="L22" i="3"/>
  <c r="K22" i="3"/>
  <c r="J22" i="3"/>
  <c r="I22" i="3"/>
  <c r="H22" i="3"/>
  <c r="G22" i="3"/>
  <c r="F22" i="3"/>
  <c r="E22" i="3"/>
  <c r="D22" i="3"/>
  <c r="C22" i="3"/>
  <c r="F44" i="2"/>
  <c r="E44" i="2"/>
  <c r="D44" i="2"/>
  <c r="C44" i="2"/>
  <c r="F43" i="2"/>
  <c r="E43" i="2"/>
  <c r="D43" i="2"/>
  <c r="C43" i="2"/>
  <c r="F42" i="2"/>
  <c r="E42" i="2"/>
  <c r="D42" i="2"/>
  <c r="C42" i="2"/>
  <c r="F41" i="2"/>
  <c r="E41" i="2"/>
  <c r="D41" i="2"/>
  <c r="C41" i="2"/>
  <c r="F40" i="2"/>
  <c r="E40" i="2"/>
  <c r="D40" i="2"/>
  <c r="C40" i="2"/>
  <c r="F39" i="2"/>
  <c r="E39" i="2"/>
  <c r="D39" i="2"/>
  <c r="C39" i="2"/>
  <c r="F38" i="2"/>
  <c r="E38" i="2"/>
  <c r="D38" i="2"/>
  <c r="C38" i="2"/>
  <c r="E34" i="2"/>
  <c r="G33" i="2"/>
  <c r="G32" i="2"/>
  <c r="G31" i="2"/>
  <c r="G30" i="2"/>
  <c r="G29" i="2"/>
  <c r="G28" i="2"/>
  <c r="G27" i="2"/>
  <c r="G26" i="2"/>
  <c r="G25" i="2"/>
  <c r="G24" i="2"/>
  <c r="G23" i="2"/>
  <c r="G22" i="2"/>
  <c r="G21" i="2"/>
  <c r="G20" i="2"/>
  <c r="G19" i="2"/>
  <c r="G18" i="2"/>
  <c r="G17" i="2"/>
  <c r="G16" i="2"/>
  <c r="G15" i="2"/>
  <c r="G14" i="2"/>
  <c r="G13" i="2"/>
  <c r="G12" i="2"/>
  <c r="G11" i="2"/>
  <c r="G10" i="2"/>
  <c r="G9" i="2"/>
  <c r="G8" i="2"/>
  <c r="G7" i="2"/>
  <c r="G6" i="2"/>
  <c r="G5" i="2"/>
  <c r="G4" i="2"/>
  <c r="D22" i="1"/>
  <c r="E22" i="1" s="1"/>
  <c r="C22" i="1"/>
  <c r="C12" i="1"/>
  <c r="B2" i="10" s="1"/>
  <c r="C11" i="1"/>
  <c r="C6" i="1"/>
  <c r="J3" i="5" l="1"/>
  <c r="H19" i="7"/>
  <c r="I19" i="7" s="1"/>
  <c r="L7" i="4"/>
  <c r="L8" i="4"/>
  <c r="L9" i="4"/>
  <c r="L10" i="4"/>
  <c r="L11" i="4"/>
  <c r="L12" i="4"/>
  <c r="L13" i="4"/>
  <c r="L14" i="4"/>
  <c r="L15" i="4"/>
  <c r="L16" i="4"/>
  <c r="L17" i="4"/>
  <c r="L19" i="4"/>
  <c r="L20" i="4"/>
  <c r="L21" i="4"/>
  <c r="L22" i="4"/>
  <c r="L25" i="4"/>
  <c r="L26" i="4"/>
  <c r="L27" i="4"/>
  <c r="L28" i="4"/>
  <c r="E9" i="5"/>
  <c r="E11" i="5"/>
  <c r="E13" i="5"/>
  <c r="F3" i="6"/>
  <c r="D42" i="6"/>
  <c r="D27" i="10" s="1"/>
  <c r="D44" i="6"/>
  <c r="D29" i="10" s="1"/>
  <c r="D46" i="6"/>
  <c r="D31" i="10" s="1"/>
  <c r="F10" i="7"/>
  <c r="F14" i="7"/>
  <c r="H15" i="7"/>
  <c r="I15" i="7" s="1"/>
  <c r="F18" i="7"/>
  <c r="F3" i="9"/>
  <c r="K20" i="10" s="1"/>
  <c r="I27" i="10"/>
  <c r="I28" i="10"/>
  <c r="I29" i="10"/>
  <c r="I30" i="10"/>
  <c r="I31" i="10"/>
  <c r="K32" i="10"/>
  <c r="F9" i="7"/>
  <c r="F13" i="7"/>
  <c r="F17" i="7"/>
  <c r="F21" i="7"/>
  <c r="J27" i="10"/>
  <c r="J28" i="10"/>
  <c r="J29" i="10"/>
  <c r="J30" i="10"/>
  <c r="J31" i="10"/>
  <c r="L32" i="10"/>
  <c r="F11" i="7"/>
  <c r="E8" i="5"/>
  <c r="D43" i="6"/>
  <c r="D28" i="10" s="1"/>
  <c r="D45" i="6"/>
  <c r="D30" i="10" s="1"/>
  <c r="F8" i="7"/>
  <c r="F12" i="7"/>
  <c r="F16" i="7"/>
  <c r="F20" i="7"/>
  <c r="C27" i="10"/>
  <c r="K27" i="10"/>
  <c r="K28" i="10"/>
  <c r="K29" i="10"/>
  <c r="K30" i="10"/>
  <c r="K31" i="10"/>
  <c r="I32" i="10"/>
  <c r="M32" i="10" s="1"/>
  <c r="L27" i="10"/>
  <c r="L28" i="10"/>
  <c r="L29" i="10"/>
  <c r="L30" i="10"/>
  <c r="L31" i="10"/>
  <c r="H16" i="7" l="1"/>
  <c r="M30" i="10"/>
  <c r="H21" i="7"/>
  <c r="I21" i="7" s="1"/>
  <c r="H9" i="7"/>
  <c r="I9" i="7" s="1"/>
  <c r="H18" i="7"/>
  <c r="I18" i="7" s="1"/>
  <c r="F22" i="7"/>
  <c r="H8" i="7"/>
  <c r="H11" i="7"/>
  <c r="H17" i="7"/>
  <c r="M28" i="10"/>
  <c r="H13" i="7"/>
  <c r="I13" i="7" s="1"/>
  <c r="H14" i="7"/>
  <c r="I14" i="7" s="1"/>
  <c r="H12" i="7"/>
  <c r="M29" i="10"/>
  <c r="H10" i="7"/>
  <c r="I10" i="7" s="1"/>
  <c r="H20" i="7"/>
  <c r="I20" i="7" s="1"/>
  <c r="M31" i="10"/>
  <c r="M27" i="10"/>
  <c r="K3" i="4"/>
  <c r="I3" i="4"/>
  <c r="E12" i="10" l="1"/>
  <c r="I12" i="7"/>
  <c r="I11" i="7"/>
  <c r="E11" i="10"/>
  <c r="E13" i="10"/>
  <c r="I16" i="7"/>
  <c r="I17" i="7"/>
  <c r="E14" i="10"/>
  <c r="H22" i="7"/>
  <c r="E10" i="10"/>
  <c r="B3" i="7"/>
  <c r="F3" i="7"/>
  <c r="I8" i="7"/>
  <c r="H3" i="7"/>
  <c r="F10" i="10" l="1"/>
  <c r="E5" i="10"/>
  <c r="D3" i="7"/>
  <c r="J8" i="7"/>
  <c r="I22" i="7"/>
  <c r="J19" i="7"/>
  <c r="J15" i="7"/>
  <c r="J14" i="7"/>
  <c r="J10" i="7"/>
  <c r="J20" i="7"/>
  <c r="F14" i="10"/>
  <c r="J17" i="7"/>
  <c r="J9" i="7"/>
  <c r="J21" i="7"/>
  <c r="F13" i="10"/>
  <c r="J16" i="7"/>
  <c r="J13" i="7"/>
  <c r="J11" i="7"/>
  <c r="F11" i="10"/>
  <c r="J12" i="7"/>
  <c r="F12" i="10"/>
  <c r="J18" i="7"/>
</calcChain>
</file>

<file path=xl/sharedStrings.xml><?xml version="1.0" encoding="utf-8"?>
<sst xmlns="http://schemas.openxmlformats.org/spreadsheetml/2006/main" count="1599" uniqueCount="750">
  <si>
    <t>⚙️  NEURAL — LuxeArtisanTalent · Paramètres Généraux</t>
  </si>
  <si>
    <t>Configuration générale · Identité de la maison · Paramètres de scoring</t>
  </si>
  <si>
    <t>▌ SECTION A — IDENTITÉ MAISON</t>
  </si>
  <si>
    <t>Maison</t>
  </si>
  <si>
    <t>Secteur d'activité</t>
  </si>
  <si>
    <t>Pays siège</t>
  </si>
  <si>
    <t>Nombre de sites prod.</t>
  </si>
  <si>
    <t>Effectif total</t>
  </si>
  <si>
    <t>Dont artisans</t>
  </si>
  <si>
    <t>% artisans / effectif</t>
  </si>
  <si>
    <t>Date d'analyse</t>
  </si>
  <si>
    <t>Analyste NEURAL</t>
  </si>
  <si>
    <t>▌ SECTION B — PARAMÈTRES DE SCORING</t>
  </si>
  <si>
    <t>Dimension</t>
  </si>
  <si>
    <t>Poids %</t>
  </si>
  <si>
    <t>Poids décimal</t>
  </si>
  <si>
    <t>Validation</t>
  </si>
  <si>
    <t>Maîtrise technique</t>
  </si>
  <si>
    <t>35%</t>
  </si>
  <si>
    <t>Années d'expérience</t>
  </si>
  <si>
    <t>20%</t>
  </si>
  <si>
    <t>Rareté du savoir-faire</t>
  </si>
  <si>
    <t>Potentiel transmission</t>
  </si>
  <si>
    <t>15%</t>
  </si>
  <si>
    <t>Adéquation culturelle</t>
  </si>
  <si>
    <t>10%</t>
  </si>
  <si>
    <t>TOTAL</t>
  </si>
  <si>
    <t>▌ SECTION C — SEUILS DE CLASSIFICATION</t>
  </si>
  <si>
    <t>Niveau</t>
  </si>
  <si>
    <t>Seuil (%)</t>
  </si>
  <si>
    <t>Label</t>
  </si>
  <si>
    <t>Couleur référence</t>
  </si>
  <si>
    <t>🟢 Maître d'Art</t>
  </si>
  <si>
    <t>≥ 85%</t>
  </si>
  <si>
    <t>Émeraude</t>
  </si>
  <si>
    <t>🔵 Expert</t>
  </si>
  <si>
    <t>70–84%</t>
  </si>
  <si>
    <t>Bleu Nuit</t>
  </si>
  <si>
    <t>🟡 Confirmé</t>
  </si>
  <si>
    <t>55–69%</t>
  </si>
  <si>
    <t>Ambre</t>
  </si>
  <si>
    <t>🟠 Junior</t>
  </si>
  <si>
    <t>40–54%</t>
  </si>
  <si>
    <t>Orange</t>
  </si>
  <si>
    <t>🔴 Apprenti</t>
  </si>
  <si>
    <t>&lt; 40%</t>
  </si>
  <si>
    <t>Rouge</t>
  </si>
  <si>
    <t>▌ SECTION D — LISTES DE RÉFÉRENCE (Plages nommées)</t>
  </si>
  <si>
    <t>Nom Plage</t>
  </si>
  <si>
    <t>Référence</t>
  </si>
  <si>
    <t>Description</t>
  </si>
  <si>
    <t>LISTE_MAISONS</t>
  </si>
  <si>
    <t>01_PARAMETRES!$C$5</t>
  </si>
  <si>
    <t>Maisons disponibles</t>
  </si>
  <si>
    <t>LISTE_METIERS</t>
  </si>
  <si>
    <t>02_REF_METIERS!$C$3:$C$52</t>
  </si>
  <si>
    <t>Catalogue des métiers</t>
  </si>
  <si>
    <t>LISTE_PAYS</t>
  </si>
  <si>
    <t>01_PARAMETRES!$C$7</t>
  </si>
  <si>
    <t>Pays référencés</t>
  </si>
  <si>
    <t>LISTE_NIVEAUX</t>
  </si>
  <si>
    <t>'01_PARAMETRES'!$B$26:$B$30</t>
  </si>
  <si>
    <t>Niveaux de classification</t>
  </si>
  <si>
    <t>POIDS_SCORING</t>
  </si>
  <si>
    <t>'01_PARAMETRES'!$D$17:$D$21</t>
  </si>
  <si>
    <t>Pondérations (décimales)</t>
  </si>
  <si>
    <t>SEUILS</t>
  </si>
  <si>
    <t>'01_PARAMETRES'!$C$26:$C$30</t>
  </si>
  <si>
    <t>Seuils de scoring</t>
  </si>
  <si>
    <t>NEURAL — Intelligence Augmentée pour l'Entreprise  ·  neural-platform.vercel.app  ·  Données simulées à des fins de démonstration</t>
  </si>
  <si>
    <t>📋  NEURAL — REF_METIERS · Catalogue des Métiers d'Art du Luxe</t>
  </si>
  <si>
    <t>Référentiel exhaustif · ~50 métiers · Classifiés par famille · Filtres actifs</t>
  </si>
  <si>
    <t>ID</t>
  </si>
  <si>
    <t>Famille</t>
  </si>
  <si>
    <t>Métier</t>
  </si>
  <si>
    <t>Rareté
/10</t>
  </si>
  <si>
    <t>Délai
formation</t>
  </si>
  <si>
    <t>Risque
pénurie</t>
  </si>
  <si>
    <t>Écoles / Formations référentes</t>
  </si>
  <si>
    <t>Pays
formation</t>
  </si>
  <si>
    <t>Salaire
médian FR
(€ brut/an)</t>
  </si>
  <si>
    <t>Salaire
médian CH
(CHF/an)</t>
  </si>
  <si>
    <t>Salaire
médian IT
(€ brut/an)</t>
  </si>
  <si>
    <t>Praticiens
France (est.)</t>
  </si>
  <si>
    <t>Tendance
effectifs</t>
  </si>
  <si>
    <t>EPV
éligible</t>
  </si>
  <si>
    <t>MOF
existant</t>
  </si>
  <si>
    <t>M01</t>
  </si>
  <si>
    <t>Maroquinerie</t>
  </si>
  <si>
    <t>Sellier-maroquinier</t>
  </si>
  <si>
    <t>5 ans</t>
  </si>
  <si>
    <t>ENSAAMA / CFPPA Cuir Paris</t>
  </si>
  <si>
    <t>France / Italie</t>
  </si>
  <si>
    <t>↘️</t>
  </si>
  <si>
    <t>✅</t>
  </si>
  <si>
    <t>M02</t>
  </si>
  <si>
    <t>Coupeur cuir</t>
  </si>
  <si>
    <t>3 ans</t>
  </si>
  <si>
    <t>CFPPA Cuir Paris / CFA Mode</t>
  </si>
  <si>
    <t>France</t>
  </si>
  <si>
    <t>—</t>
  </si>
  <si>
    <t>M03</t>
  </si>
  <si>
    <t>Piqueur main</t>
  </si>
  <si>
    <t>4 ans</t>
  </si>
  <si>
    <t>ENSAAMA / Institut Guillet</t>
  </si>
  <si>
    <t>France / Espagne</t>
  </si>
  <si>
    <t>M04</t>
  </si>
  <si>
    <t>Teinturier cuir</t>
  </si>
  <si>
    <t>2 ans</t>
  </si>
  <si>
    <t>CFPPA Cuir / Hermès interne</t>
  </si>
  <si>
    <t>→</t>
  </si>
  <si>
    <t>M05</t>
  </si>
  <si>
    <t>Joaillerie</t>
  </si>
  <si>
    <t>Sertisseur</t>
  </si>
  <si>
    <t>BJO Paris / École Boulle</t>
  </si>
  <si>
    <t>France / Belgique</t>
  </si>
  <si>
    <t>M06</t>
  </si>
  <si>
    <t>Polisseur joaillier</t>
  </si>
  <si>
    <t>BJO Paris / AFPIA</t>
  </si>
  <si>
    <t>M07</t>
  </si>
  <si>
    <t>Lapidaire</t>
  </si>
  <si>
    <t>7 ans</t>
  </si>
  <si>
    <t>GIA / IFG Anvers</t>
  </si>
  <si>
    <t>France / Belgique / Inde</t>
  </si>
  <si>
    <t>M08</t>
  </si>
  <si>
    <t>Orfèvre</t>
  </si>
  <si>
    <t>BJOP / École Boulle</t>
  </si>
  <si>
    <t>M09</t>
  </si>
  <si>
    <t>Guillocheur</t>
  </si>
  <si>
    <t>8 ans</t>
  </si>
  <si>
    <t>Piaget interne / FHH</t>
  </si>
  <si>
    <t>Suisse / France</t>
  </si>
  <si>
    <t>M10</t>
  </si>
  <si>
    <t>Horlogerie</t>
  </si>
  <si>
    <t>Horloger</t>
  </si>
  <si>
    <t>ENSP Cluses / Le Sentier</t>
  </si>
  <si>
    <t>M11</t>
  </si>
  <si>
    <t>Cadranier</t>
  </si>
  <si>
    <t>6 ans</t>
  </si>
  <si>
    <t>ENSP / Rolex interne</t>
  </si>
  <si>
    <t>Suisse</t>
  </si>
  <si>
    <t>N/D</t>
  </si>
  <si>
    <t>M12</t>
  </si>
  <si>
    <t>Émailleur</t>
  </si>
  <si>
    <t>Formation maisons / rare</t>
  </si>
  <si>
    <t>M13</t>
  </si>
  <si>
    <t>Couture</t>
  </si>
  <si>
    <t>Première main couture</t>
  </si>
  <si>
    <t>ESMOD / Studio Berçot</t>
  </si>
  <si>
    <t>M14</t>
  </si>
  <si>
    <t>Plumassier</t>
  </si>
  <si>
    <t>Lemarié interne / ENSAD</t>
  </si>
  <si>
    <t>M15</t>
  </si>
  <si>
    <t>Brodeur haute couture</t>
  </si>
  <si>
    <t>ATELIERS LESAGE / École de la Chambre Syndicale</t>
  </si>
  <si>
    <t>M16</t>
  </si>
  <si>
    <t>Modiste</t>
  </si>
  <si>
    <t>ESMOD / Maisons interne</t>
  </si>
  <si>
    <t>M17</t>
  </si>
  <si>
    <t>Parfumerie</t>
  </si>
  <si>
    <t>Nez (parfumeur)</t>
  </si>
  <si>
    <t>10 ans</t>
  </si>
  <si>
    <t>ISIPCA Versailles / GIVAUDAN</t>
  </si>
  <si>
    <t>France / Suisse</t>
  </si>
  <si>
    <t>M18</t>
  </si>
  <si>
    <t>Cristallerie</t>
  </si>
  <si>
    <t>Souffleur de verre</t>
  </si>
  <si>
    <t>École du Verre / Pôle Verre</t>
  </si>
  <si>
    <t>M19</t>
  </si>
  <si>
    <t>Tailleur de cristal</t>
  </si>
  <si>
    <t>École du Verre Saint-Louis</t>
  </si>
  <si>
    <t>M20</t>
  </si>
  <si>
    <t>Textile</t>
  </si>
  <si>
    <t>Tisserand soie</t>
  </si>
  <si>
    <t>École de tissage de Lyon</t>
  </si>
  <si>
    <t>M21</t>
  </si>
  <si>
    <t>Passementier</t>
  </si>
  <si>
    <t>Lycée La Martinière / Passementerie LUREX</t>
  </si>
  <si>
    <t>M22</t>
  </si>
  <si>
    <t>Fourreur</t>
  </si>
  <si>
    <t>LCFA / CFPPA Mode</t>
  </si>
  <si>
    <t>France / Grèce</t>
  </si>
  <si>
    <t>M23</t>
  </si>
  <si>
    <t>Gainier</t>
  </si>
  <si>
    <t>École Grégoire-Ferrandi</t>
  </si>
  <si>
    <t>M24</t>
  </si>
  <si>
    <t>Dessinateur joaillier</t>
  </si>
  <si>
    <t>BJO / Camondo</t>
  </si>
  <si>
    <t>M25</t>
  </si>
  <si>
    <t>Décorateur cadrans</t>
  </si>
  <si>
    <t>École d'Horlogerie Genève</t>
  </si>
  <si>
    <t>M26</t>
  </si>
  <si>
    <t>Corsetier</t>
  </si>
  <si>
    <t>M27</t>
  </si>
  <si>
    <t>Évaluateur olfactif</t>
  </si>
  <si>
    <t>ISIPCA / Formation interne</t>
  </si>
  <si>
    <t>M28</t>
  </si>
  <si>
    <t>Graveur sur verre</t>
  </si>
  <si>
    <t>Baccarat interne / École des Arts</t>
  </si>
  <si>
    <t>M29</t>
  </si>
  <si>
    <t>Dentellière au fuseau</t>
  </si>
  <si>
    <t>Conservatoire Dentelle Calais</t>
  </si>
  <si>
    <t>M30</t>
  </si>
  <si>
    <t>Sellier équestre</t>
  </si>
  <si>
    <t>IFCE / École du Cadre Noir</t>
  </si>
  <si>
    <t>TOTAL — 30 métiers référencés</t>
  </si>
  <si>
    <t>▌ STATISTIQUES PAR FAMILLE</t>
  </si>
  <si>
    <t>Nb métiers</t>
  </si>
  <si>
    <t>Rareté moy.</t>
  </si>
  <si>
    <t>Praticiens total</t>
  </si>
  <si>
    <t>% Risque critique</t>
  </si>
  <si>
    <t>▌ LÉGENDE — Niveaux de Rareté</t>
  </si>
  <si>
    <t>🔴 Rareté 9-10</t>
  </si>
  <si>
    <t>Compétence critique — Quasi impossible à recruter — Urgence absolue</t>
  </si>
  <si>
    <t>🟡 Rareté 7-8</t>
  </si>
  <si>
    <t>Marché tendu — Recrutement difficile — Vigilance recommandée</t>
  </si>
  <si>
    <t>🟢 Rareté 1-6</t>
  </si>
  <si>
    <t>Marché accessible — Recrutement possible dans des délais raisonnables</t>
  </si>
  <si>
    <t>📋  NEURAL — COMPETENCES · Matrice des Compétences par Métier d'Art</t>
  </si>
  <si>
    <t>Niveau attendu par compétence × métier · Pondéré par les paramètres de scoring</t>
  </si>
  <si>
    <t>Compétence</t>
  </si>
  <si>
    <t>Poids
Scoring</t>
  </si>
  <si>
    <t>— Catégorie —</t>
  </si>
  <si>
    <t>Sellier-
maroq.</t>
  </si>
  <si>
    <t>Première
main</t>
  </si>
  <si>
    <t>Nez</t>
  </si>
  <si>
    <t>Tailleur
cristal</t>
  </si>
  <si>
    <t>Tisserand
soie</t>
  </si>
  <si>
    <t>▌ TECHNIQUES FONDAMENTALES</t>
  </si>
  <si>
    <t>Connaissance matières premières</t>
  </si>
  <si>
    <t>Cuir/pierre/alliage/tissu selon métier</t>
  </si>
  <si>
    <t>Geste de précision / dextérité</t>
  </si>
  <si>
    <t>Maîtrise du geste artisanal</t>
  </si>
  <si>
    <t>Lecture plans / croquis techniques</t>
  </si>
  <si>
    <t>Interprétation des schémas</t>
  </si>
  <si>
    <t>Contrôle qualité &amp; finition</t>
  </si>
  <si>
    <t>Exigence du niveau luxe</t>
  </si>
  <si>
    <t>Outillage spécifique métier</t>
  </si>
  <si>
    <t>Maîtrise des outils propres au métier</t>
  </si>
  <si>
    <t>▌ TECHNIQUES AVANCÉES</t>
  </si>
  <si>
    <t>Innovation &amp; adaptation technique</t>
  </si>
  <si>
    <t>Capacité à évoluer et innover</t>
  </si>
  <si>
    <t>Prototypage &amp; maquette</t>
  </si>
  <si>
    <t>Réalisation de prototypes</t>
  </si>
  <si>
    <t>Restauration / service après-vente</t>
  </si>
  <si>
    <t>Maintenance et réparation pièces</t>
  </si>
  <si>
    <t>Maîtrise des techniques rares</t>
  </si>
  <si>
    <t>Savoir-faire en voie de disparition</t>
  </si>
  <si>
    <t>▌ COMPÉTENCES TRANSVERSES</t>
  </si>
  <si>
    <t>Transmission &amp; mentorat</t>
  </si>
  <si>
    <t>Capacité à former les apprentis</t>
  </si>
  <si>
    <t>Créativité &amp; proposition</t>
  </si>
  <si>
    <t>Apport créatif au-delà de l'exécution</t>
  </si>
  <si>
    <t>Travail en atelier collectif</t>
  </si>
  <si>
    <t>Intégration dans l'environnement atelier</t>
  </si>
  <si>
    <t>Culture de la maison</t>
  </si>
  <si>
    <t>Adhésion aux valeurs et codes</t>
  </si>
  <si>
    <t>Sens esthétique &amp; raffinement</t>
  </si>
  <si>
    <t>Perception du beau propre au luxe</t>
  </si>
  <si>
    <t>SCORE TOTAL PONDÉRÉ (référence idéale)</t>
  </si>
  <si>
    <t>Note /20 pondérée par dimension</t>
  </si>
  <si>
    <t>▌ LÉGENDE — Niveaux Attendus par Compétence</t>
  </si>
  <si>
    <t>5</t>
  </si>
  <si>
    <t>Indispensable — Maîtrise excellente requise</t>
  </si>
  <si>
    <t>4</t>
  </si>
  <si>
    <t>Très important — Bonne maîtrise attendue</t>
  </si>
  <si>
    <t>3</t>
  </si>
  <si>
    <t>Important — Maîtrise correcte</t>
  </si>
  <si>
    <t>2</t>
  </si>
  <si>
    <t>Secondaire — Notions suffisantes</t>
  </si>
  <si>
    <t>1</t>
  </si>
  <si>
    <t>Optionnel — Sensibilisation</t>
  </si>
  <si>
    <t>0</t>
  </si>
  <si>
    <t>Non applicable (N/A)</t>
  </si>
  <si>
    <t>📋  NEURAL — SCORING_CANDIDATS · Évaluation Multicritère Automatique</t>
  </si>
  <si>
    <t>Candidats
total</t>
  </si>
  <si>
    <t>Score
moyen</t>
  </si>
  <si>
    <t>Maîtres
d'Art 🟢</t>
  </si>
  <si>
    <t>Experts
🔵</t>
  </si>
  <si>
    <t>Avg délai
recrutement</t>
  </si>
  <si>
    <t>"67 jours"</t>
  </si>
  <si>
    <t>▌ GRILLE D'ÉVALUATION MULTICRITÈRE — Saisie et Scoring Automatique</t>
  </si>
  <si>
    <t>#</t>
  </si>
  <si>
    <t>Candidat</t>
  </si>
  <si>
    <t>Métier
visé</t>
  </si>
  <si>
    <t>Maîtrise
technique
/100 × 35%</t>
  </si>
  <si>
    <t>Expérience
/100 × 20%</t>
  </si>
  <si>
    <t>Rareté
Savoir-faire
/100 × 20%</t>
  </si>
  <si>
    <t>Potentiel
Transmission
/100 × 15%</t>
  </si>
  <si>
    <t>Adéquation
Culturelle
/100 × 10%</t>
  </si>
  <si>
    <t>SCORE
GLOBAL
/100</t>
  </si>
  <si>
    <t>RANG</t>
  </si>
  <si>
    <t>AVIS</t>
  </si>
  <si>
    <t>Source
candidat</t>
  </si>
  <si>
    <t>Prétention
salariale</t>
  </si>
  <si>
    <t>Dispo.
(date)</t>
  </si>
  <si>
    <t>Mobilité
géo.</t>
  </si>
  <si>
    <t>Notes
évaluateur</t>
  </si>
  <si>
    <t>Test
technique</t>
  </si>
  <si>
    <t>Benchmark
salaire</t>
  </si>
  <si>
    <t>Marie D.</t>
  </si>
  <si>
    <t>Cooptation</t>
  </si>
  <si>
    <t>01/04/2026</t>
  </si>
  <si>
    <t>Oui</t>
  </si>
  <si>
    <t>En attente</t>
  </si>
  <si>
    <t>Jean P.</t>
  </si>
  <si>
    <t>École ENSAAMA</t>
  </si>
  <si>
    <t>15/03/2026</t>
  </si>
  <si>
    <t>Partielle</t>
  </si>
  <si>
    <t>Akiko T.</t>
  </si>
  <si>
    <t>Chasseur</t>
  </si>
  <si>
    <t>01/06/2026</t>
  </si>
  <si>
    <t>Non</t>
  </si>
  <si>
    <t>Pierre L.</t>
  </si>
  <si>
    <t>Interne</t>
  </si>
  <si>
    <t>01/02/2026</t>
  </si>
  <si>
    <t>Sofia R.</t>
  </si>
  <si>
    <t>Candidature</t>
  </si>
  <si>
    <t>15/04/2026</t>
  </si>
  <si>
    <t>Hiroshi M.</t>
  </si>
  <si>
    <t>01/07/2026</t>
  </si>
  <si>
    <t>Camille B.</t>
  </si>
  <si>
    <t>Lukas S.</t>
  </si>
  <si>
    <t>École ENSP</t>
  </si>
  <si>
    <t>15/05/2026</t>
  </si>
  <si>
    <t>Fatima O.</t>
  </si>
  <si>
    <t>01/03/2026</t>
  </si>
  <si>
    <t>Antoine V.</t>
  </si>
  <si>
    <t>LinkedIn</t>
  </si>
  <si>
    <t>Yolanda G.</t>
  </si>
  <si>
    <t>Marco F.</t>
  </si>
  <si>
    <t>01/05/2026</t>
  </si>
  <si>
    <t>Ambre L.</t>
  </si>
  <si>
    <t>École ESMOD</t>
  </si>
  <si>
    <t>Kenji W.</t>
  </si>
  <si>
    <t>01/09/2026</t>
  </si>
  <si>
    <t>Isabelle C.</t>
  </si>
  <si>
    <t>Thomas K.</t>
  </si>
  <si>
    <t>Nadia P.</t>
  </si>
  <si>
    <t>Bastien M.</t>
  </si>
  <si>
    <t>École CFPPA</t>
  </si>
  <si>
    <t>Ryo T.</t>
  </si>
  <si>
    <t>01/08/2026</t>
  </si>
  <si>
    <t>Clara N.</t>
  </si>
  <si>
    <t>David H.</t>
  </si>
  <si>
    <t>Elisa R.</t>
  </si>
  <si>
    <t>01/10/2026</t>
  </si>
  <si>
    <t>Paul G.</t>
  </si>
  <si>
    <t>15/02/2026</t>
  </si>
  <si>
    <t>Mei L.</t>
  </si>
  <si>
    <t>Julien A.</t>
  </si>
  <si>
    <t>Soraya B.</t>
  </si>
  <si>
    <t>Hugo C.</t>
  </si>
  <si>
    <t>Priya S.</t>
  </si>
  <si>
    <t>01/12/2026</t>
  </si>
  <si>
    <t>Lucas T.</t>
  </si>
  <si>
    <t>École BJO</t>
  </si>
  <si>
    <t>Emma W.</t>
  </si>
  <si>
    <t>📋  NEURAL — VIVIER_TALENTS · Pipeline de Recrutement &amp; Suivi Candidatures</t>
  </si>
  <si>
    <t>Suivi temps réel · Alertes relance automatiques · Funnel recrutement</t>
  </si>
  <si>
    <t>👥 CANDIDATS
TOTAL VIVIER</t>
  </si>
  <si>
    <t>🟢 EN COURS
PIPELINE ACTIF</t>
  </si>
  <si>
    <t>✅ TAUX DE
CONVERSION</t>
  </si>
  <si>
    <t>⏱️ DÉLAI MOYEN
RECRUTEMENT</t>
  </si>
  <si>
    <t>▌ PIPELINE DE RECRUTEMENT — Suivi Individuel des Candidatures</t>
  </si>
  <si>
    <t>Score
(lien 04)</t>
  </si>
  <si>
    <t>Statut</t>
  </si>
  <si>
    <t>Étape
actuelle</t>
  </si>
  <si>
    <t>Date
mise à jour</t>
  </si>
  <si>
    <t>Source</t>
  </si>
  <si>
    <t>Coût recr.
estimé (€)</t>
  </si>
  <si>
    <t>Maître tuteur
identifié</t>
  </si>
  <si>
    <t>Date intégr.
prévisionnelle</t>
  </si>
  <si>
    <t>Alerte
Relance</t>
  </si>
  <si>
    <t>🟢 Actif</t>
  </si>
  <si>
    <t>7. Offre émise</t>
  </si>
  <si>
    <t>Robert M.</t>
  </si>
  <si>
    <t>5. Pièce d'essai / Test technique</t>
  </si>
  <si>
    <t>12/02/2026</t>
  </si>
  <si>
    <t>🟡 Stand-by</t>
  </si>
  <si>
    <t>4. Entretien #2 (Maître d'atelier)</t>
  </si>
  <si>
    <t>Yuki H.</t>
  </si>
  <si>
    <t>🔴 Refusé</t>
  </si>
  <si>
    <t>❌ Refusé / Retiré</t>
  </si>
  <si>
    <t>28/01/2026</t>
  </si>
  <si>
    <t>3. Entretien #1 (RH)</t>
  </si>
  <si>
    <t>10/02/2026</t>
  </si>
  <si>
    <t>Antoine G.</t>
  </si>
  <si>
    <t>2. Premier contact</t>
  </si>
  <si>
    <t>20/02/2026</t>
  </si>
  <si>
    <t>18/02/2026</t>
  </si>
  <si>
    <t>05/02/2026</t>
  </si>
  <si>
    <t>Isabelle F.</t>
  </si>
  <si>
    <t>14/02/2026</t>
  </si>
  <si>
    <t>16/02/2026</t>
  </si>
  <si>
    <t>✅ Intégré</t>
  </si>
  <si>
    <t>10. Intégré</t>
  </si>
  <si>
    <t>19/02/2026</t>
  </si>
  <si>
    <t>1. Sourcing identifié</t>
  </si>
  <si>
    <t>22/02/2026</t>
  </si>
  <si>
    <t>17/02/2026</t>
  </si>
  <si>
    <t>21/02/2026</t>
  </si>
  <si>
    <t>08/02/2026</t>
  </si>
  <si>
    <t>23/02/2026</t>
  </si>
  <si>
    <t>📋  NEURAL — CARTOGRAPHIE · Compétences Actuelles des Collaborateurs en Poste</t>
  </si>
  <si>
    <t>Matrice compétences × collaborateurs · Pyramide des âges · Risques départ</t>
  </si>
  <si>
    <t>👥 ARTISANS
EN POSTE</t>
  </si>
  <si>
    <t>🔴 RISQUE
DÉPART CRITIQUE</t>
  </si>
  <si>
    <t>⭐ SCORE
MOYEN ÉQUIPE</t>
  </si>
  <si>
    <t>🎓 MOF
EN POSTE</t>
  </si>
  <si>
    <t>📚 CAPACITÉ
TRANSMISSION</t>
  </si>
  <si>
    <t>▌ CARTOGRAPHIE DES COLLABORATEURS EN POSTE — Scores &amp; Risques</t>
  </si>
  <si>
    <t>Collaborateur</t>
  </si>
  <si>
    <t>Maîtrise
tech.
/100</t>
  </si>
  <si>
    <t>Expér.
/100</t>
  </si>
  <si>
    <t>Rareté
/100</t>
  </si>
  <si>
    <t>Trans-
mission
/100</t>
  </si>
  <si>
    <t>Âge</t>
  </si>
  <si>
    <t>Risque
départ</t>
  </si>
  <si>
    <t>Ancien-
neté (ans)</t>
  </si>
  <si>
    <t>Label
MOF</t>
  </si>
  <si>
    <t>Nb
apprentis</t>
  </si>
  <si>
    <t>Capacité
transmis.
/5</t>
  </si>
  <si>
    <t>Plan
successeur</t>
  </si>
  <si>
    <t>Léa P.</t>
  </si>
  <si>
    <t>Pierre M.</t>
  </si>
  <si>
    <t>Clara D.</t>
  </si>
  <si>
    <t>Hiromi T.</t>
  </si>
  <si>
    <t>Jean-Louis B.</t>
  </si>
  <si>
    <t>Sarah K.</t>
  </si>
  <si>
    <t>Michel V.</t>
  </si>
  <si>
    <t>Nathalie B.</t>
  </si>
  <si>
    <t>Fabrice C.</t>
  </si>
  <si>
    <t>Emilie R.</t>
  </si>
  <si>
    <t>Nicolas L.</t>
  </si>
  <si>
    <t>Aiko S.</t>
  </si>
  <si>
    <t>Bernard F.</t>
  </si>
  <si>
    <t>Julie P.</t>
  </si>
  <si>
    <t>Louis G.</t>
  </si>
  <si>
    <t>Carmen A.</t>
  </si>
  <si>
    <t>Philippe T.</t>
  </si>
  <si>
    <t>Aurelie M.</t>
  </si>
  <si>
    <t>Gustav K.</t>
  </si>
  <si>
    <t>Sakura Y.</t>
  </si>
  <si>
    <t>Henri B.</t>
  </si>
  <si>
    <t>Martine C.</t>
  </si>
  <si>
    <t>Kevin L.</t>
  </si>
  <si>
    <t>Pascale R.</t>
  </si>
  <si>
    <t>Tomas V.</t>
  </si>
  <si>
    <t>Colette D.</t>
  </si>
  <si>
    <t>▌ PYRAMIDE DES ÂGES — Données (alimentent le graphique)</t>
  </si>
  <si>
    <t>Tranche d'âge</t>
  </si>
  <si>
    <t>Nb collaborateurs</t>
  </si>
  <si>
    <t>% total</t>
  </si>
  <si>
    <t>Risque</t>
  </si>
  <si>
    <t>&lt; 30 ans</t>
  </si>
  <si>
    <t>🟢 Faible</t>
  </si>
  <si>
    <t>30–39 ans</t>
  </si>
  <si>
    <t>40–49 ans</t>
  </si>
  <si>
    <t>🟡 Modéré</t>
  </si>
  <si>
    <t>50–59 ans</t>
  </si>
  <si>
    <t>🟡 Élevé</t>
  </si>
  <si>
    <t>60 ans +</t>
  </si>
  <si>
    <t>🔴 Critique</t>
  </si>
  <si>
    <t>📋  NEURAL — GAP_ANALYSIS · Écart Compétences Actuelles vs Besoins</t>
  </si>
  <si>
    <t>Calcul automatique des gaps · Prise en compte départs retraite · Priorités recrutement</t>
  </si>
  <si>
    <t>POSTES EN
DÉFICIT</t>
  </si>
  <si>
    <t>URGENCES
CRITIQUES ⚡</t>
  </si>
  <si>
    <t>POSTES EN
SURPLUS</t>
  </si>
  <si>
    <t>GAP TOTAL
BRUT</t>
  </si>
  <si>
    <t>DÉPARTS
RETRAITE &lt; 3 ANS</t>
  </si>
  <si>
    <t>▌ ANALYSE DES ÉCARTS PAR MÉTIER — Priorités de Recrutement</t>
  </si>
  <si>
    <t>Besoin
cible FTE</t>
  </si>
  <si>
    <t>Effectif
actuel FTE</t>
  </si>
  <si>
    <t>Dont dép.
retraite
&lt; 3 ans</t>
  </si>
  <si>
    <t>GAP
brut</t>
  </si>
  <si>
    <t>Urgence
ajustée</t>
  </si>
  <si>
    <t>Priorité</t>
  </si>
  <si>
    <t>Statut
action</t>
  </si>
  <si>
    <t>En cours</t>
  </si>
  <si>
    <t>Planifié</t>
  </si>
  <si>
    <t>Non démarré</t>
  </si>
  <si>
    <t>📋  NEURAL — SUCCESSION · Plans de Relève — Savoir-Faire Critiques</t>
  </si>
  <si>
    <t>Titulaires critiques · Successeurs identifiés · Readiness &amp; Plans de formation</t>
  </si>
  <si>
    <t>TITULAIRES
CRITIQUES</t>
  </si>
  <si>
    <t>SANS PLAN
DE SUCCESSION</t>
  </si>
  <si>
    <t>READINESS
MOYENNE</t>
  </si>
  <si>
    <t>PRÊTS ≥ 90%
✅</t>
  </si>
  <si>
    <t>BUDGET
FORMATION (€)</t>
  </si>
  <si>
    <t>▌ MATRICE DE SUCCESSION — Titulaires Critiques &amp; Successeurs Identifiés</t>
  </si>
  <si>
    <t>Titulaire
actuel</t>
  </si>
  <si>
    <t>Métier
complet</t>
  </si>
  <si>
    <t>Âge /
Score</t>
  </si>
  <si>
    <t>Successeur
principal</t>
  </si>
  <si>
    <t>Score
success.</t>
  </si>
  <si>
    <t>Readiness
%</t>
  </si>
  <si>
    <t>Statut
readiness</t>
  </si>
  <si>
    <t>Plan de
formation</t>
  </si>
  <si>
    <t>Durée
(mois)</t>
  </si>
  <si>
    <t>Budget
formation</t>
  </si>
  <si>
    <t>Date
revue</t>
  </si>
  <si>
    <t>Commentaire</t>
  </si>
  <si>
    <t>🔴 Robert M.</t>
  </si>
  <si>
    <t>62 ans / 95.8</t>
  </si>
  <si>
    <t>🟡 En formation</t>
  </si>
  <si>
    <t>Compagnonnage 18 mois + pièce chef-d'œuvre</t>
  </si>
  <si>
    <t>T2 2026</t>
  </si>
  <si>
    <t>Suivi mensuel RH</t>
  </si>
  <si>
    <t>🔴 Bernard F.</t>
  </si>
  <si>
    <t>61 ans / 94.2</t>
  </si>
  <si>
    <t>Jean P. (cand.)</t>
  </si>
  <si>
    <t>🔵 En bonne voie</t>
  </si>
  <si>
    <t>Transfert interne + missions spéciales atelier</t>
  </si>
  <si>
    <t>🟡 Isabelle F.</t>
  </si>
  <si>
    <t>58 ans / 86.0</t>
  </si>
  <si>
    <t>Formation technique + 24 mois tutorat</t>
  </si>
  <si>
    <t>🔴 Philippe T.</t>
  </si>
  <si>
    <t>60 ans / 89.2</t>
  </si>
  <si>
    <t>Programme Maître-Apprenti interne</t>
  </si>
  <si>
    <t>🟡 Yuki H.</t>
  </si>
  <si>
    <t>55 ans / 88.4</t>
  </si>
  <si>
    <t>Akiko T.(cand.)</t>
  </si>
  <si>
    <t>🟢 Prêt</t>
  </si>
  <si>
    <t>Partenariat BJO + stages intensifs sertissage</t>
  </si>
  <si>
    <t>🟢 Hiromi T.</t>
  </si>
  <si>
    <t>52 ans / 90.6</t>
  </si>
  <si>
    <t>Hiroshi M.(cand.)</t>
  </si>
  <si>
    <t>Mission Japon + formation lapidaire GIA</t>
  </si>
  <si>
    <t>🟢 Aiko S.</t>
  </si>
  <si>
    <t>48 ans / 88.8</t>
  </si>
  <si>
    <t>Kenji W.(cand.)</t>
  </si>
  <si>
    <t>Formation Suisse (Piaget) + guillochage avancé</t>
  </si>
  <si>
    <t>🟡 Jean-Louis B.</t>
  </si>
  <si>
    <t>59 ans / 86.5</t>
  </si>
  <si>
    <t>Tutorat orfèvrerie + restauration haute joaillerie</t>
  </si>
  <si>
    <t>🟡 Colette D.</t>
  </si>
  <si>
    <t>58 ans / 89.5</t>
  </si>
  <si>
    <t>Résidence atelier 12 mois + mentorat</t>
  </si>
  <si>
    <t>🟢 Martine C.</t>
  </si>
  <si>
    <t>50 ans / 85.2</t>
  </si>
  <si>
    <t>Isabelle C.(cand.)</t>
  </si>
  <si>
    <t>Programme Plumassier Lemarié + 24 mois</t>
  </si>
  <si>
    <t>🟢 Gustav K.</t>
  </si>
  <si>
    <t>54 ans / 89.4</t>
  </si>
  <si>
    <t>Ryo T.(cand.)</t>
  </si>
  <si>
    <t>Formation émaillage Genève + atelier interne</t>
  </si>
  <si>
    <t>🟢 Carmen A.</t>
  </si>
  <si>
    <t>46 ans / 86.2</t>
  </si>
  <si>
    <t>Elisa R.(cand.)</t>
  </si>
  <si>
    <t>ISIPCA perfectionnement + 3 ans développement</t>
  </si>
  <si>
    <t>📋  NEURAL — PLAN_ACTION · Actions Prioritaires — Timeline &amp; Budget</t>
  </si>
  <si>
    <t>Actions recrutement / formation / partenariat · Gantt 24 mois · Budget consolidé</t>
  </si>
  <si>
    <t>BUDGET
TOTAL</t>
  </si>
  <si>
    <t>BUDGET
ENGAGÉ</t>
  </si>
  <si>
    <t>RESTE À
ENGAGER</t>
  </si>
  <si>
    <t>▌ PLAN D'ACTION CONSOLIDÉ — Timeline, Responsables &amp; Budget</t>
  </si>
  <si>
    <t>Action</t>
  </si>
  <si>
    <t>Métier
ciblé</t>
  </si>
  <si>
    <t>Prior.</t>
  </si>
  <si>
    <t>Budget
(€)</t>
  </si>
  <si>
    <t>Début</t>
  </si>
  <si>
    <t>Jan
26</t>
  </si>
  <si>
    <t>Feb
26</t>
  </si>
  <si>
    <t>Mar
26</t>
  </si>
  <si>
    <t>Apr
26</t>
  </si>
  <si>
    <t>May
26</t>
  </si>
  <si>
    <t>Jun
26</t>
  </si>
  <si>
    <t>Jul
26</t>
  </si>
  <si>
    <t>Aug
26</t>
  </si>
  <si>
    <t>Sep
26</t>
  </si>
  <si>
    <t>Oct
26</t>
  </si>
  <si>
    <t>Nov
26</t>
  </si>
  <si>
    <t>Dec
26</t>
  </si>
  <si>
    <t>Jan
27</t>
  </si>
  <si>
    <t>Feb
27</t>
  </si>
  <si>
    <t>Mar
27</t>
  </si>
  <si>
    <t>Apr
27</t>
  </si>
  <si>
    <t>May
27</t>
  </si>
  <si>
    <t>Jun
27</t>
  </si>
  <si>
    <t>Jul
27</t>
  </si>
  <si>
    <t>Aug
27</t>
  </si>
  <si>
    <t>Sep
27</t>
  </si>
  <si>
    <t>Oct
27</t>
  </si>
  <si>
    <t>Nov
27</t>
  </si>
  <si>
    <t>Dec
27</t>
  </si>
  <si>
    <t>Recruter 2 selliers-maroquiniers (chasseur)</t>
  </si>
  <si>
    <t>⚡1</t>
  </si>
  <si>
    <t>M1</t>
  </si>
  <si>
    <t>🟡 En cours</t>
  </si>
  <si>
    <t>Apprentissage compagnonnage avec Robert M.</t>
  </si>
  <si>
    <t>M3</t>
  </si>
  <si>
    <t>🔵 Planifié</t>
  </si>
  <si>
    <t>Partenariat École BJO — sertissage avancé</t>
  </si>
  <si>
    <t>⚡2</t>
  </si>
  <si>
    <t>Recruter 1 sertisseur (réseau Anvers)</t>
  </si>
  <si>
    <t>M2</t>
  </si>
  <si>
    <t>Programme Maître→Apprenti lapidaire</t>
  </si>
  <si>
    <t>⚡3</t>
  </si>
  <si>
    <t>M4</t>
  </si>
  <si>
    <t>⬜ Non démarré</t>
  </si>
  <si>
    <t>Benchmark salaire artisans vs marché</t>
  </si>
  <si>
    <t>ALL</t>
  </si>
  <si>
    <t>🟢 Terminé</t>
  </si>
  <si>
    <t>Recruter 1 piqueur main (ENSAAMA)</t>
  </si>
  <si>
    <t>Formation émaillage — partenariat Genève</t>
  </si>
  <si>
    <t>Marque employeur artisan — campagne digitale</t>
  </si>
  <si>
    <t>6</t>
  </si>
  <si>
    <t>Mobilité interne — transfert horlogers</t>
  </si>
  <si>
    <t>7</t>
  </si>
  <si>
    <t>Lancer programme 2 apprentis couture</t>
  </si>
  <si>
    <t>Partenariat ISIPCA — nez junior</t>
  </si>
  <si>
    <t>Modernisation ateliers équipements</t>
  </si>
  <si>
    <t>8</t>
  </si>
  <si>
    <t>M6</t>
  </si>
  <si>
    <t>Grille salariale métiers rares — révision</t>
  </si>
  <si>
    <t>Recruter 1 guillocheur (réseau Suisse)</t>
  </si>
  <si>
    <t>M5</t>
  </si>
  <si>
    <t>BUDGET TOTAL</t>
  </si>
  <si>
    <t>▌ LÉGENDE — Types d'Action</t>
  </si>
  <si>
    <t>Code</t>
  </si>
  <si>
    <t>Type d'action</t>
  </si>
  <si>
    <t>RECR</t>
  </si>
  <si>
    <t>Recrutement externe</t>
  </si>
  <si>
    <t>FORM</t>
  </si>
  <si>
    <t>Formation interne</t>
  </si>
  <si>
    <t>PART</t>
  </si>
  <si>
    <t>Partenariat école/institut</t>
  </si>
  <si>
    <t>MENT</t>
  </si>
  <si>
    <t>Mentorat/transmission</t>
  </si>
  <si>
    <t>REMU</t>
  </si>
  <si>
    <t>Politique de rémunération</t>
  </si>
  <si>
    <t>MARQ</t>
  </si>
  <si>
    <t>Marque employeur artisan</t>
  </si>
  <si>
    <t>MOBI</t>
  </si>
  <si>
    <t>Mobilité interne</t>
  </si>
  <si>
    <t>OUTI</t>
  </si>
  <si>
    <t>Outillage / atelier</t>
  </si>
  <si>
    <t>🔴 GAPS
CRITIQUES</t>
  </si>
  <si>
    <t>📋 VIVIER
ACTIF</t>
  </si>
  <si>
    <t>⚠️ RISQUES
SUCCESSION</t>
  </si>
  <si>
    <t>vs. cible 145</t>
  </si>
  <si>
    <t>métiers sous-effectif</t>
  </si>
  <si>
    <t>candidats en processus</t>
  </si>
  <si>
    <t>postes sans plan viable</t>
  </si>
  <si>
    <t>🎯  TOP 5 GAPS URGENTS (lien → 07_GAP)</t>
  </si>
  <si>
    <t>🏆  TOP 5 CANDIDATS (lien → 04_SCORING)</t>
  </si>
  <si>
    <t>GAP</t>
  </si>
  <si>
    <t>Urgence</t>
  </si>
  <si>
    <t>Rang</t>
  </si>
  <si>
    <t>Score</t>
  </si>
  <si>
    <t>Dispo</t>
  </si>
  <si>
    <t>#1</t>
  </si>
  <si>
    <t>#2</t>
  </si>
  <si>
    <t>École</t>
  </si>
  <si>
    <t>#3</t>
  </si>
  <si>
    <t>#4</t>
  </si>
  <si>
    <t>Première main</t>
  </si>
  <si>
    <t>#5</t>
  </si>
  <si>
    <t>⚠️  RISQUES SUCCESSION CRITIQUES (lien → 08)</t>
  </si>
  <si>
    <t>📅  BUDGET &amp; TIMELINE (lien → 09_PLAN_ACTION)</t>
  </si>
  <si>
    <t>Titulaire</t>
  </si>
  <si>
    <t>Readiness</t>
  </si>
  <si>
    <t>Indicateur</t>
  </si>
  <si>
    <t>Valeur</t>
  </si>
  <si>
    <t>M01 Sellier</t>
  </si>
  <si>
    <t>62 ans</t>
  </si>
  <si>
    <t>Offre émise cand.</t>
  </si>
  <si>
    <t>Budget total actions</t>
  </si>
  <si>
    <t>61 ans</t>
  </si>
  <si>
    <t>En recrutement</t>
  </si>
  <si>
    <t>Budget engagé</t>
  </si>
  <si>
    <t>M10 Horloger</t>
  </si>
  <si>
    <t>58 ans</t>
  </si>
  <si>
    <t>🟡 Vigilance</t>
  </si>
  <si>
    <t>Plan en cours</t>
  </si>
  <si>
    <t>Reste à engager</t>
  </si>
  <si>
    <t>M05 Sertisseur</t>
  </si>
  <si>
    <t>55 ans</t>
  </si>
  <si>
    <t>Candidat identifié</t>
  </si>
  <si>
    <t>Nb actions ⚡ critiques</t>
  </si>
  <si>
    <t>M09 Guilloch.</t>
  </si>
  <si>
    <t>48 ans</t>
  </si>
  <si>
    <t>🟢 Stable</t>
  </si>
  <si>
    <t>Candidat trouvé</t>
  </si>
  <si>
    <t>Nb actions terminées ✅</t>
  </si>
  <si>
    <t>Prochain recrutement prévu</t>
  </si>
  <si>
    <t>"Q2 2026"</t>
  </si>
  <si>
    <t>📈  PYRAMIDE DES ÂGES (lien → 06_CARTO)</t>
  </si>
  <si>
    <t>🔥  HEATMAP COMPÉTENCES — Effectifs par Famille &amp; Niveau</t>
  </si>
  <si>
    <t>Tranche</t>
  </si>
  <si>
    <t>Effectif</t>
  </si>
  <si>
    <t>%</t>
  </si>
  <si>
    <t>Maîtres d'Art
≥85</t>
  </si>
  <si>
    <t>Experts
70-84</t>
  </si>
  <si>
    <t>Confirmés
55-69</t>
  </si>
  <si>
    <t>Juniors
&lt;55</t>
  </si>
  <si>
    <t>Score moy.</t>
  </si>
  <si>
    <t>Tour #</t>
  </si>
  <si>
    <t>Date</t>
  </si>
  <si>
    <t>Demande utilisateur</t>
  </si>
  <si>
    <t>Action réalisée</t>
  </si>
  <si>
    <t>Détails</t>
  </si>
  <si>
    <t>Résultat</t>
  </si>
  <si>
    <t>Analyser les correctifs proposés (5 erreurs + 4 conflits) et appliquer ceux qui sont pertinents pour le projet NEURAL_LuxeArtisanTalent</t>
  </si>
  <si>
    <t>Audit complet des 9 points signalés. 3 correctifs appliqués : Dashboard B2 (#VALEUR!), Dashboard B5 (COUNTA→COUNTIF), plage nommée LISTE_METIERS créée.</t>
  </si>
  <si>
    <t>Erreur #1 (SCORING dim.): Non reproduite - formules 03_COMPETENCES utilisent SUMPRODUCT de moyenne /20, pas de référence C14:C18. Erreur #2 (VIVIER VLOOKUP): Déjà corrigée - E8:E10 utilisent IFERROR(VLOOKUP(),'—'). Erreur #3 (GAP retraite): Correct - colonne I contient ages, '&gt;='&amp;(62-N) est juste. Erreur #4 (SUCCESSION double source): Non reproduite - colonne E contient textes statiques, pas de VLOOKUP. Erreur #5 (DASHBOARD NB.SI): CORRIGÉ - B5 remplacé par COUNTIF('&lt;&gt;'&amp;''). Conflit C1: CORRIGÉ - LISTE_METIERS créée en $B$4:$B$100. Conflit C2 (INDIRECT): Non reproduit. Conflit C3 (doublons): Cosmétique. Conflit C4 (emojis filtres): Style seul. Bonus: CORRIGÉ - B2 Dashboard #VALEUR! via format 'jj/mm/aaaa'.</t>
  </si>
  <si>
    <t>Dashboard B2 = '📅 Analyse du : 01/04/2026'. B5 = 38 artisans. LISTE_METIERS = '02_REF_METIERS'!$B$4:$B$100 (capacité 97 métiers). Les 4 erreurs non appliquées ne correspondent pas à la structure réelle du fichier.</t>
  </si>
  <si>
    <t>⚙️  NEURAL — 03b_MAPPING · Correspondance Compétences → Dimensions de Scoring</t>
  </si>
  <si>
    <t>Matrice de conversion 13 compétences détaillées → 5 dimensions · Utilisée par 04_SCORING pour calcul automatique /100</t>
  </si>
  <si>
    <t>▌ MATRICE DE MAPPING — 13 Compétences × 5 Dimensions de Scoring</t>
  </si>
  <si>
    <t>Compétence détaillée</t>
  </si>
  <si>
    <t>Catégorie source</t>
  </si>
  <si>
    <t>Dimension Scoring</t>
  </si>
  <si>
    <t>Poids (01_PARAM)</t>
  </si>
  <si>
    <t>Techniques Fondamentales</t>
  </si>
  <si>
    <t>Techniques Avancées</t>
  </si>
  <si>
    <t>Rareté savoir-faire</t>
  </si>
  <si>
    <t>Compétences Transverses</t>
  </si>
  <si>
    <t>▌ SYNTHÈSE PAR DIMENSION — Nb compétences mappées &amp; poids associé</t>
  </si>
  <si>
    <t>Nb compétences</t>
  </si>
  <si>
    <t>Poids scoring</t>
  </si>
  <si>
    <t>Formule conversion /100</t>
  </si>
  <si>
    <t>💡 USAGE 04_SCORING : Score dimension = AVERAGEIF(03b_MAPPING!$E$6:$E$19, "[dimension]", [scores cand. /5]) / 5 * 100</t>
  </si>
  <si>
    <t>▌ SECTION E — PARAMÈTRES DE PROJECTION RETRAITE</t>
  </si>
  <si>
    <t>Paramètre</t>
  </si>
  <si>
    <t>Unité</t>
  </si>
  <si>
    <t>Usage</t>
  </si>
  <si>
    <t>Horizon d'alerte retraite</t>
  </si>
  <si>
    <t>ans</t>
  </si>
  <si>
    <t>Seuil d'alerte : artisans partant dans X ans</t>
  </si>
  <si>
    <t>Âge de vigilance (alerte précoce)</t>
  </si>
  <si>
    <t>06_CARTO : seuil risque 🟡 Vigilance</t>
  </si>
  <si>
    <t>ℹ️ Âge critique auto-calculé</t>
  </si>
  <si>
    <t>Artisans ≥ cet âge partent dans l'horizon</t>
  </si>
  <si>
    <t>PARAMS_RETRAITE</t>
  </si>
  <si>
    <t>01_PARAMETRES'!$C$44:$C$46</t>
  </si>
  <si>
    <t>Âge retraite, horizon, âge vigilance</t>
  </si>
  <si>
    <t>⚠️🔴 ALERTES
RELANCE + DORMANTS</t>
  </si>
  <si>
    <t>Proj. N+1
Âge retraite-1</t>
  </si>
  <si>
    <t>Proj. N+3
(param. C45)</t>
  </si>
  <si>
    <t>Proj. N+5
Âge retraite-5</t>
  </si>
  <si>
    <t>Score
Risque</t>
  </si>
  <si>
    <t>Niveau
Risque</t>
  </si>
  <si>
    <t>Âge de retraite légal → voir C48</t>
  </si>
  <si>
    <t xml:space="preserve">  ↳ VALEUR : Âge de retraite</t>
  </si>
  <si>
    <t>⚠️ Utilisé dans 07_GAP et 08_SUCCESSION — modifier ici pour changer le seuil</t>
  </si>
  <si>
    <t>Implémenter 4 automatisations : AUTO-1 mapping compétences, AUTO-2 alertes vivier enrichies, AUTO-3 GAP dynamique avec params retraite, AUTO-4 score risque succession</t>
  </si>
  <si>
    <t>4 automatisations déployées : onglet 03b_MAPPING créé, formules alertes M8:M27 mises à jour (3 niveaux), nouveaux paramètres Section E dans 01_PARAMETRES, formules K/L/M GAP mises à jour, colonnes O/P risque ajoutées à 08_SUCCESSION</t>
  </si>
  <si>
    <t>AUTO-1: 03b_MAPPING créé (14 lignes, 5 catégories, synthèse par dimension). AUTO-2: Alertes VIVIER → 3 niveaux 🟢/⚠️/🔴 avec nombre de jours + étape actuelle. KPI J3 mis à jour (COUNTIF double). AUTO-3: Params Section E — C45=3 (horizon), C46=55 (vigilance), C47=61 (âge critique auto=C48-C45), C48=64 (âge retraite — C44 bloqué, utilisé C48). GAP K/L/M reformulés sur C48 et C45. AUTO-4: 08_SUCCESSION colonnes O (score 0-1) et P (label 🟢-⚫) — score=(1-readiness)*MAX(0,MIN(1,(C48-âge)/C45)). Formatage couleur appliqué sur O/P et M (vivier).</t>
  </si>
  <si>
    <t>Scores succession tous 🟢 Faible (0.04-0.22) car readiness actuelle très élevée (85-96%). VIVIER: 3 DORMANTS détectés (Marie D. 45j, Jean P. 48j, Akiko T. 59j). GAP projections N+1 dynamiques sur âge_retraite paramétrable.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</si>
</sst>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#,##0&quot; €&quot;"/>
    <numFmt numFmtId="166" formatCode="0.0"/>
  </numFmts>
  <fonts count="100" x14ac:knownFonts="1">
    <font>
      <sz val="11"/>
      <color theme="1"/>
      <name val="Calibri"/>
      <family val="2"/>
      <charset val="1"/>
    </font>
    <font>
      <b/>
      <sz val="15"/>
      <color rgb="FFD4AF37"/>
      <name val="Arial"/>
      <charset val="1"/>
    </font>
    <font>
      <i/>
      <sz val="10"/>
      <color rgb="FFCCCCCC"/>
      <name val="Arial"/>
      <charset val="1"/>
    </font>
    <font>
      <b/>
      <sz val="11"/>
      <color rgb="FFFFFFFF"/>
      <name val="Arial"/>
      <charset val="1"/>
    </font>
    <font>
      <b/>
      <sz val="10"/>
      <color rgb="FFD4AF37"/>
      <name val="Arial"/>
      <charset val="1"/>
    </font>
    <font>
      <sz val="11"/>
      <color rgb="FF1B2A4A"/>
      <name val="Arial"/>
      <charset val="1"/>
    </font>
    <font>
      <sz val="10"/>
      <color rgb="FF1B2A4A"/>
      <name val="Arial"/>
      <charset val="1"/>
    </font>
    <font>
      <b/>
      <sz val="11"/>
      <color rgb="FF1B2A4A"/>
      <name val="Arial"/>
      <charset val="1"/>
    </font>
    <font>
      <b/>
      <sz val="10"/>
      <color rgb="FF0A0A0A"/>
      <name val="Arial"/>
      <charset val="1"/>
    </font>
    <font>
      <b/>
      <sz val="11"/>
      <color rgb="FF00695C"/>
      <name val="Arial"/>
      <charset val="1"/>
    </font>
    <font>
      <b/>
      <sz val="10"/>
      <color rgb="FF00695C"/>
      <name val="Arial"/>
      <charset val="1"/>
    </font>
    <font>
      <b/>
      <sz val="10"/>
      <color rgb="FF1B2A4A"/>
      <name val="Arial"/>
      <charset val="1"/>
    </font>
    <font>
      <b/>
      <sz val="11"/>
      <color rgb="FFF57F17"/>
      <name val="Arial"/>
      <charset val="1"/>
    </font>
    <font>
      <b/>
      <sz val="10"/>
      <color rgb="FFF57F17"/>
      <name val="Arial"/>
      <charset val="1"/>
    </font>
    <font>
      <b/>
      <sz val="11"/>
      <color rgb="FFE65100"/>
      <name val="Arial"/>
      <charset val="1"/>
    </font>
    <font>
      <b/>
      <sz val="10"/>
      <color rgb="FFE65100"/>
      <name val="Arial"/>
      <charset val="1"/>
    </font>
    <font>
      <b/>
      <sz val="11"/>
      <color rgb="FFC62828"/>
      <name val="Arial"/>
      <charset val="1"/>
    </font>
    <font>
      <b/>
      <sz val="10"/>
      <color rgb="FFC62828"/>
      <name val="Arial"/>
      <charset val="1"/>
    </font>
    <font>
      <sz val="10"/>
      <color rgb="FF2E7D32"/>
      <name val="Arial"/>
      <charset val="1"/>
    </font>
    <font>
      <i/>
      <sz val="9"/>
      <color rgb="FFCCCCCC"/>
      <name val="Arial"/>
      <charset val="1"/>
    </font>
    <font>
      <i/>
      <sz val="9"/>
      <color rgb="FFD4AF37"/>
      <name val="Arial"/>
      <charset val="1"/>
    </font>
    <font>
      <b/>
      <sz val="14"/>
      <color rgb="FFD4AF37"/>
      <name val="Arial"/>
      <charset val="1"/>
    </font>
    <font>
      <b/>
      <sz val="9"/>
      <color rgb="FFFFFFFF"/>
      <name val="Arial"/>
      <charset val="1"/>
    </font>
    <font>
      <b/>
      <sz val="9"/>
      <color rgb="FFD4AF37"/>
      <name val="Arial"/>
      <charset val="1"/>
    </font>
    <font>
      <b/>
      <sz val="9"/>
      <color rgb="FF2C3E50"/>
      <name val="Arial"/>
      <charset val="1"/>
    </font>
    <font>
      <b/>
      <sz val="10"/>
      <color rgb="FFFFFFFF"/>
      <name val="Arial"/>
      <charset val="1"/>
    </font>
    <font>
      <sz val="9"/>
      <color rgb="FF1B2A4A"/>
      <name val="Arial"/>
      <charset val="1"/>
    </font>
    <font>
      <sz val="10"/>
      <color rgb="FFD4AF37"/>
      <name val="Arial"/>
      <charset val="1"/>
    </font>
    <font>
      <sz val="10"/>
      <color rgb="FFCCCCCC"/>
      <name val="Arial"/>
      <charset val="1"/>
    </font>
    <font>
      <sz val="10"/>
      <color rgb="FFF57F17"/>
      <name val="Arial"/>
      <charset val="1"/>
    </font>
    <font>
      <b/>
      <sz val="9"/>
      <color rgb="FF4A235A"/>
      <name val="Arial"/>
      <charset val="1"/>
    </font>
    <font>
      <b/>
      <sz val="9"/>
      <color rgb="FF1A5276"/>
      <name val="Arial"/>
      <charset val="1"/>
    </font>
    <font>
      <sz val="9"/>
      <color rgb="FFCCCCCC"/>
      <name val="Arial"/>
      <charset val="1"/>
    </font>
    <font>
      <b/>
      <sz val="9"/>
      <color rgb="FF78281F"/>
      <name val="Arial"/>
      <charset val="1"/>
    </font>
    <font>
      <b/>
      <sz val="9"/>
      <color rgb="FF145A32"/>
      <name val="Arial"/>
      <charset val="1"/>
    </font>
    <font>
      <b/>
      <sz val="9"/>
      <color rgb="FF6E2F16"/>
      <name val="Arial"/>
      <charset val="1"/>
    </font>
    <font>
      <b/>
      <sz val="9"/>
      <color rgb="FF4D5656"/>
      <name val="Arial"/>
      <charset val="1"/>
    </font>
    <font>
      <sz val="10"/>
      <color rgb="FFC62828"/>
      <name val="Arial"/>
      <charset val="1"/>
    </font>
    <font>
      <i/>
      <sz val="9"/>
      <color rgb="FF1B2A4A"/>
      <name val="Arial"/>
      <charset val="1"/>
    </font>
    <font>
      <b/>
      <sz val="10"/>
      <color rgb="FF2E7D32"/>
      <name val="Arial"/>
      <charset val="1"/>
    </font>
    <font>
      <b/>
      <sz val="13"/>
      <color rgb="FFD4AF37"/>
      <name val="Arial"/>
      <charset val="1"/>
    </font>
    <font>
      <b/>
      <sz val="11"/>
      <color rgb="FFCCCCCC"/>
      <name val="Arial"/>
      <charset val="1"/>
    </font>
    <font>
      <b/>
      <sz val="12"/>
      <color rgb="FF1B2A4A"/>
      <name val="Arial"/>
      <charset val="1"/>
    </font>
    <font>
      <b/>
      <sz val="8"/>
      <color rgb="FFFFFFFF"/>
      <name val="Arial"/>
      <charset val="1"/>
    </font>
    <font>
      <b/>
      <sz val="12"/>
      <color rgb="FFD4AF37"/>
      <name val="Arial"/>
      <charset val="1"/>
    </font>
    <font>
      <b/>
      <sz val="16"/>
      <color rgb="FF1B2A4A"/>
      <name val="Arial"/>
      <charset val="1"/>
    </font>
    <font>
      <sz val="10"/>
      <color rgb="FF0A0A0A"/>
      <name val="Arial"/>
      <charset val="1"/>
    </font>
    <font>
      <sz val="9"/>
      <color rgb="FF0A0A0A"/>
      <name val="Arial"/>
      <charset val="1"/>
    </font>
    <font>
      <b/>
      <sz val="16"/>
      <color rgb="FFC62828"/>
      <name val="Arial"/>
      <charset val="1"/>
    </font>
    <font>
      <b/>
      <sz val="16"/>
      <color rgb="FF2E7D32"/>
      <name val="Arial"/>
      <charset val="1"/>
    </font>
    <font>
      <b/>
      <sz val="16"/>
      <color rgb="FFF57F17"/>
      <name val="Arial"/>
      <charset val="1"/>
    </font>
    <font>
      <b/>
      <sz val="10"/>
      <color rgb="FF2C3E50"/>
      <name val="Arial"/>
      <charset val="1"/>
    </font>
    <font>
      <b/>
      <sz val="11"/>
      <color rgb="FF0A0A0A"/>
      <name val="Arial"/>
      <charset val="1"/>
    </font>
    <font>
      <b/>
      <sz val="10"/>
      <color rgb="FF4A235A"/>
      <name val="Arial"/>
      <charset val="1"/>
    </font>
    <font>
      <b/>
      <sz val="10"/>
      <color rgb="FF1A5276"/>
      <name val="Arial"/>
      <charset val="1"/>
    </font>
    <font>
      <b/>
      <sz val="10"/>
      <color rgb="FF78281F"/>
      <name val="Arial"/>
      <charset val="1"/>
    </font>
    <font>
      <b/>
      <sz val="10"/>
      <color rgb="FF145A32"/>
      <name val="Arial"/>
      <charset val="1"/>
    </font>
    <font>
      <b/>
      <sz val="10"/>
      <color rgb="FF4D5656"/>
      <name val="Arial"/>
      <charset val="1"/>
    </font>
    <font>
      <b/>
      <sz val="9"/>
      <color rgb="FFC62828"/>
      <name val="Arial"/>
      <charset val="1"/>
    </font>
    <font>
      <b/>
      <sz val="9"/>
      <color rgb="FFF57F17"/>
      <name val="Arial"/>
      <charset val="1"/>
    </font>
    <font>
      <b/>
      <sz val="9"/>
      <color rgb="FF1B2A4A"/>
      <name val="Arial"/>
      <charset val="1"/>
    </font>
    <font>
      <b/>
      <sz val="9"/>
      <color rgb="FF00695C"/>
      <name val="Arial"/>
      <charset val="1"/>
    </font>
    <font>
      <b/>
      <sz val="7"/>
      <color rgb="FFFFFFFF"/>
      <name val="Arial"/>
      <charset val="1"/>
    </font>
    <font>
      <b/>
      <sz val="9"/>
      <color rgb="FF2E7D32"/>
      <name val="Arial"/>
      <charset val="1"/>
    </font>
    <font>
      <b/>
      <sz val="11"/>
      <color rgb="FFD4AF37"/>
      <name val="Arial"/>
      <charset val="1"/>
    </font>
    <font>
      <b/>
      <sz val="18"/>
      <color rgb="FFD4AF37"/>
      <name val="Arial"/>
      <charset val="1"/>
    </font>
    <font>
      <b/>
      <sz val="32"/>
      <color rgb="FF1B2A4A"/>
      <name val="Arial"/>
      <charset val="1"/>
    </font>
    <font>
      <b/>
      <sz val="32"/>
      <color rgb="FFC62828"/>
      <name val="Arial"/>
      <charset val="1"/>
    </font>
    <font>
      <b/>
      <sz val="32"/>
      <color rgb="FF2E7D32"/>
      <name val="Arial"/>
      <charset val="1"/>
    </font>
    <font>
      <b/>
      <sz val="32"/>
      <color rgb="FFF57F17"/>
      <name val="Arial"/>
      <charset val="1"/>
    </font>
    <font>
      <i/>
      <sz val="9"/>
      <color rgb="FFC62828"/>
      <name val="Arial"/>
      <charset val="1"/>
    </font>
    <font>
      <i/>
      <sz val="9"/>
      <color rgb="FF2E7D32"/>
      <name val="Arial"/>
      <charset val="1"/>
    </font>
    <font>
      <i/>
      <sz val="9"/>
      <color rgb="FFF57F17"/>
      <name val="Arial"/>
      <charset val="1"/>
    </font>
    <font>
      <b/>
      <sz val="12"/>
      <color rgb="FF2E7D32"/>
      <name val="Arial"/>
      <charset val="1"/>
    </font>
    <font>
      <b/>
      <sz val="12"/>
      <color rgb="FFF57F17"/>
      <name val="Arial"/>
      <charset val="1"/>
    </font>
    <font>
      <b/>
      <sz val="12"/>
      <color rgb="FFC62828"/>
      <name val="Arial"/>
      <charset val="1"/>
    </font>
    <font>
      <b/>
      <sz val="11"/>
      <color rgb="FF2E7D32"/>
      <name val="Calibri"/>
      <family val="2"/>
      <charset val="1"/>
    </font>
    <font>
      <b/>
      <sz val="11"/>
      <color rgb="FF1B2A4A"/>
      <name val="Calibri"/>
      <family val="2"/>
      <charset val="1"/>
    </font>
    <font>
      <b/>
      <sz val="11"/>
      <color rgb="FFFFFFFF"/>
      <name val="Calibri"/>
      <family val="2"/>
      <charset val="1"/>
    </font>
    <font>
      <b/>
      <sz val="10"/>
      <color rgb="FFD4AF37"/>
      <name val="Calibri"/>
      <family val="2"/>
      <charset val="1"/>
    </font>
    <font>
      <b/>
      <sz val="13"/>
      <color rgb="FFD4AF37"/>
      <name val="Calibri"/>
      <family val="2"/>
      <charset val="1"/>
    </font>
    <font>
      <i/>
      <sz val="9"/>
      <color rgb="FFCCCCCC"/>
      <name val="Calibri"/>
      <family val="2"/>
      <charset val="1"/>
    </font>
    <font>
      <b/>
      <sz val="10"/>
      <color rgb="FFFFFFFF"/>
      <name val="Calibri"/>
      <family val="2"/>
      <charset val="1"/>
    </font>
    <font>
      <b/>
      <sz val="9"/>
      <color rgb="FFFFFFFF"/>
      <name val="Calibri"/>
      <family val="2"/>
      <charset val="1"/>
    </font>
    <font>
      <sz val="9"/>
      <color rgb="FFCCCCCC"/>
      <name val="Calibri"/>
      <family val="2"/>
      <charset val="1"/>
    </font>
    <font>
      <sz val="10"/>
      <color theme="1"/>
      <name val="Calibri"/>
      <family val="2"/>
      <charset val="1"/>
    </font>
    <font>
      <sz val="10"/>
      <color rgb="FF1B2A4A"/>
      <name val="Calibri"/>
      <family val="2"/>
      <charset val="1"/>
    </font>
    <font>
      <sz val="10"/>
      <color rgb="FF4A235A"/>
      <name val="Calibri"/>
      <family val="2"/>
      <charset val="1"/>
    </font>
    <font>
      <sz val="10"/>
      <color rgb="FF00695C"/>
      <name val="Calibri"/>
      <family val="2"/>
      <charset val="1"/>
    </font>
    <font>
      <i/>
      <sz val="9"/>
      <color rgb="FF1B2A4A"/>
      <name val="Calibri"/>
      <family val="2"/>
      <charset val="1"/>
    </font>
    <font>
      <i/>
      <sz val="9"/>
      <color rgb="FFD4AF37"/>
      <name val="Calibri"/>
      <family val="2"/>
      <charset val="1"/>
    </font>
    <font>
      <b/>
      <i/>
      <sz val="11"/>
      <color rgb="FF0000FF"/>
      <name val="Arial"/>
      <charset val="1"/>
    </font>
    <font>
      <b/>
      <sz val="11"/>
      <color rgb="FF0000FF"/>
      <name val="Calibri"/>
      <family val="2"/>
      <charset val="1"/>
    </font>
    <font>
      <b/>
      <sz val="10"/>
      <color rgb="FF0000FF"/>
      <name val="Calibri"/>
      <family val="2"/>
      <charset val="1"/>
    </font>
    <font>
      <b/>
      <i/>
      <sz val="10"/>
      <color rgb="FFD4AF37"/>
      <name val="Arial"/>
      <charset val="1"/>
    </font>
    <font>
      <b/>
      <sz val="9"/>
      <color theme="1"/>
      <name val="Calibri"/>
      <family val="2"/>
      <charset val="1"/>
    </font>
    <font>
      <b/>
      <sz val="10"/>
      <color theme="1"/>
      <name val="Calibri"/>
      <family val="2"/>
      <charset val="1"/>
    </font>
    <font>
      <b/>
      <sz val="9"/>
      <color rgb="FF2E7D32"/>
      <name val="Calibri"/>
      <family val="2"/>
      <charset val="1"/>
    </font>
    <font>
      <i/>
      <sz val="9"/>
      <color rgb="FF0000FF"/>
      <name val="Calibri"/>
      <family val="2"/>
      <charset val="1"/>
    </font>
    <font>
      <i/>
      <sz val="8"/>
      <color rgb="FFC62828"/>
      <name val="Calibri"/>
      <family val="2"/>
      <charset val="1"/>
    </font>
  </fonts>
  <fills count="40">
    <fill>
      <patternFill patternType="none"/>
    </fill>
    <fill>
      <patternFill patternType="gray125"/>
    </fill>
    <fill>
      <patternFill patternType="solid">
        <fgColor rgb="FF0A0A0A"/>
        <bgColor rgb="FF000000"/>
      </patternFill>
    </fill>
    <fill>
      <patternFill patternType="solid">
        <fgColor rgb="FF1B2A4A"/>
        <bgColor rgb="FF2C3E50"/>
      </patternFill>
    </fill>
    <fill>
      <patternFill patternType="solid">
        <fgColor rgb="FFFFFDE7"/>
        <bgColor rgb="FFFFFFFF"/>
      </patternFill>
    </fill>
    <fill>
      <patternFill patternType="solid">
        <fgColor rgb="FFF2F2F2"/>
        <bgColor rgb="FFF2F3F4"/>
      </patternFill>
    </fill>
    <fill>
      <patternFill patternType="solid">
        <fgColor rgb="FFF5E6A3"/>
        <bgColor rgb="FFFFE0B2"/>
      </patternFill>
    </fill>
    <fill>
      <patternFill patternType="solid">
        <fgColor rgb="FFE0F2F1"/>
        <bgColor rgb="FFEAF2FF"/>
      </patternFill>
    </fill>
    <fill>
      <patternFill patternType="solid">
        <fgColor rgb="FFDBEAFE"/>
        <bgColor rgb="FFE0F2F1"/>
      </patternFill>
    </fill>
    <fill>
      <patternFill patternType="solid">
        <fgColor rgb="FFFFF3CD"/>
        <bgColor rgb="FFFDEBD0"/>
      </patternFill>
    </fill>
    <fill>
      <patternFill patternType="solid">
        <fgColor rgb="FFFFE0B2"/>
        <bgColor rgb="FFF5E6A3"/>
      </patternFill>
    </fill>
    <fill>
      <patternFill patternType="solid">
        <fgColor rgb="FFFFE0E0"/>
        <bgColor rgb="FFFDEBD0"/>
      </patternFill>
    </fill>
    <fill>
      <patternFill patternType="solid">
        <fgColor rgb="FFEBF5FB"/>
        <bgColor rgb="FFEAF2FF"/>
      </patternFill>
    </fill>
    <fill>
      <patternFill patternType="solid">
        <fgColor rgb="FFFFFFFF"/>
        <bgColor rgb="FFFFFDE7"/>
      </patternFill>
    </fill>
    <fill>
      <patternFill patternType="solid">
        <fgColor rgb="FFC62828"/>
        <bgColor rgb="FFE91E63"/>
      </patternFill>
    </fill>
    <fill>
      <patternFill patternType="solid">
        <fgColor rgb="FFD4EDDA"/>
        <bgColor rgb="FFE0F2F1"/>
      </patternFill>
    </fill>
    <fill>
      <patternFill patternType="solid">
        <fgColor rgb="FFF5EEF8"/>
        <bgColor rgb="FFF2F2F2"/>
      </patternFill>
    </fill>
    <fill>
      <patternFill patternType="solid">
        <fgColor rgb="FFEAF2FF"/>
        <bgColor rgb="FFEBF5FB"/>
      </patternFill>
    </fill>
    <fill>
      <patternFill patternType="solid">
        <fgColor rgb="FFFDEDEC"/>
        <bgColor rgb="FFF5EEF8"/>
      </patternFill>
    </fill>
    <fill>
      <patternFill patternType="solid">
        <fgColor rgb="FFEAFAF1"/>
        <bgColor rgb="FFEBF5FB"/>
      </patternFill>
    </fill>
    <fill>
      <patternFill patternType="solid">
        <fgColor rgb="FFFDEBD0"/>
        <bgColor rgb="FFFFF3CD"/>
      </patternFill>
    </fill>
    <fill>
      <patternFill patternType="solid">
        <fgColor rgb="FFF2F3F4"/>
        <bgColor rgb="FFF2F2F2"/>
      </patternFill>
    </fill>
    <fill>
      <patternFill patternType="solid">
        <fgColor rgb="FFD4AF37"/>
        <bgColor rgb="FFFF9800"/>
      </patternFill>
    </fill>
    <fill>
      <patternFill patternType="solid">
        <fgColor rgb="FFCCCCCC"/>
        <bgColor rgb="FFD9D9D9"/>
      </patternFill>
    </fill>
    <fill>
      <patternFill patternType="solid">
        <fgColor rgb="FF4A235A"/>
        <bgColor rgb="FF2C3E50"/>
      </patternFill>
    </fill>
    <fill>
      <patternFill patternType="solid">
        <fgColor rgb="FF00695C"/>
        <bgColor rgb="FF145A32"/>
      </patternFill>
    </fill>
    <fill>
      <patternFill patternType="solid">
        <fgColor rgb="FF2E7D32"/>
        <bgColor rgb="FF145A32"/>
      </patternFill>
    </fill>
    <fill>
      <patternFill patternType="solid">
        <fgColor rgb="FFE91E63"/>
        <bgColor rgb="FFC62828"/>
      </patternFill>
    </fill>
    <fill>
      <patternFill patternType="solid">
        <fgColor rgb="FFFF9800"/>
        <bgColor rgb="FFF57F17"/>
      </patternFill>
    </fill>
    <fill>
      <patternFill patternType="solid">
        <fgColor rgb="FF607D8B"/>
        <bgColor rgb="FF4F81BD"/>
      </patternFill>
    </fill>
    <fill>
      <patternFill patternType="solid">
        <fgColor rgb="FFD4EDDA"/>
        <bgColor indexed="64"/>
      </patternFill>
    </fill>
    <fill>
      <patternFill patternType="solid">
        <fgColor rgb="FFFFE0E0"/>
        <bgColor indexed="64"/>
      </patternFill>
    </fill>
    <fill>
      <patternFill patternType="solid">
        <fgColor rgb="FFE0F2F1"/>
        <bgColor indexed="64"/>
      </patternFill>
    </fill>
    <fill>
      <patternFill patternType="solid">
        <fgColor rgb="FFDBEAFE"/>
        <bgColor indexed="64"/>
      </patternFill>
    </fill>
    <fill>
      <patternFill patternType="solid">
        <fgColor rgb="FF0A0A0A"/>
        <bgColor indexed="64"/>
      </patternFill>
    </fill>
    <fill>
      <patternFill patternType="solid">
        <fgColor rgb="FF1B2A4A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5EEF8"/>
        <bgColor indexed="64"/>
      </patternFill>
    </fill>
    <fill>
      <patternFill patternType="solid">
        <fgColor rgb="FFFFFDE7"/>
        <bgColor indexed="64"/>
      </patternFill>
    </fill>
    <fill>
      <patternFill patternType="solid">
        <fgColor rgb="FFF5E6A3"/>
        <bgColor indexed="64"/>
      </patternFill>
    </fill>
  </fills>
  <borders count="5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1">
    <xf numFmtId="0" fontId="0" fillId="0" borderId="0"/>
  </cellStyleXfs>
  <cellXfs count="246">
    <xf numFmtId="0" fontId="0" fillId="0" borderId="0" xfId="0"/>
    <xf numFmtId="0" fontId="25" fillId="24" borderId="2" xfId="0" applyFont="1" applyFill="1" applyBorder="1" applyAlignment="1">
      <alignment horizontal="left" vertical="center"/>
    </xf>
    <xf numFmtId="0" fontId="25" fillId="3" borderId="2" xfId="0" applyFont="1" applyFill="1" applyBorder="1" applyAlignment="1">
      <alignment horizontal="left" vertical="center"/>
    </xf>
    <xf numFmtId="0" fontId="40" fillId="2" borderId="0" xfId="0" applyFont="1" applyFill="1" applyAlignment="1">
      <alignment horizontal="center" vertical="center"/>
    </xf>
    <xf numFmtId="0" fontId="38" fillId="15" borderId="2" xfId="0" applyFont="1" applyFill="1" applyBorder="1" applyAlignment="1">
      <alignment horizontal="left" vertical="center"/>
    </xf>
    <xf numFmtId="0" fontId="38" fillId="9" borderId="2" xfId="0" applyFont="1" applyFill="1" applyBorder="1" applyAlignment="1">
      <alignment horizontal="left" vertical="center"/>
    </xf>
    <xf numFmtId="0" fontId="38" fillId="11" borderId="2" xfId="0" applyFont="1" applyFill="1" applyBorder="1" applyAlignment="1">
      <alignment horizontal="left" vertical="center"/>
    </xf>
    <xf numFmtId="0" fontId="25" fillId="3" borderId="0" xfId="0" applyFont="1" applyFill="1" applyAlignment="1">
      <alignment horizontal="left" vertical="center"/>
    </xf>
    <xf numFmtId="0" fontId="4" fillId="3" borderId="2" xfId="0" applyFont="1" applyFill="1" applyBorder="1" applyAlignment="1">
      <alignment horizontal="center" vertical="center"/>
    </xf>
    <xf numFmtId="0" fontId="19" fillId="3" borderId="0" xfId="0" applyFont="1" applyFill="1" applyAlignment="1">
      <alignment horizontal="center" vertical="center"/>
    </xf>
    <xf numFmtId="0" fontId="21" fillId="2" borderId="0" xfId="0" applyFont="1" applyFill="1" applyAlignment="1">
      <alignment horizontal="center" vertical="center"/>
    </xf>
    <xf numFmtId="0" fontId="20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0" fontId="2" fillId="3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4" fillId="3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left" vertical="center"/>
    </xf>
    <xf numFmtId="0" fontId="6" fillId="5" borderId="1" xfId="0" applyFont="1" applyFill="1" applyBorder="1" applyAlignment="1">
      <alignment horizontal="left" vertical="center"/>
    </xf>
    <xf numFmtId="164" fontId="6" fillId="5" borderId="1" xfId="0" applyNumberFormat="1" applyFont="1" applyFill="1" applyBorder="1" applyAlignment="1">
      <alignment horizontal="left" vertical="center"/>
    </xf>
    <xf numFmtId="14" fontId="6" fillId="5" borderId="1" xfId="0" applyNumberFormat="1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2" fontId="6" fillId="5" borderId="1" xfId="0" applyNumberFormat="1" applyFont="1" applyFill="1" applyBorder="1" applyAlignment="1">
      <alignment horizontal="center" vertical="center"/>
    </xf>
    <xf numFmtId="0" fontId="0" fillId="0" borderId="1" xfId="0" applyBorder="1"/>
    <xf numFmtId="9" fontId="7" fillId="6" borderId="1" xfId="0" applyNumberFormat="1" applyFont="1" applyFill="1" applyBorder="1" applyAlignment="1">
      <alignment horizontal="center" vertical="center"/>
    </xf>
    <xf numFmtId="2" fontId="7" fillId="6" borderId="1" xfId="0" applyNumberFormat="1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0" fontId="9" fillId="7" borderId="1" xfId="0" applyFont="1" applyFill="1" applyBorder="1" applyAlignment="1">
      <alignment horizontal="left" vertical="center"/>
    </xf>
    <xf numFmtId="0" fontId="6" fillId="5" borderId="1" xfId="0" applyFont="1" applyFill="1" applyBorder="1" applyAlignment="1">
      <alignment horizontal="center" vertical="center"/>
    </xf>
    <xf numFmtId="0" fontId="10" fillId="7" borderId="1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left" vertical="center"/>
    </xf>
    <xf numFmtId="0" fontId="11" fillId="8" borderId="1" xfId="0" applyFont="1" applyFill="1" applyBorder="1" applyAlignment="1">
      <alignment horizontal="center" vertical="center"/>
    </xf>
    <xf numFmtId="0" fontId="12" fillId="9" borderId="1" xfId="0" applyFont="1" applyFill="1" applyBorder="1" applyAlignment="1">
      <alignment horizontal="left" vertical="center"/>
    </xf>
    <xf numFmtId="0" fontId="13" fillId="9" borderId="1" xfId="0" applyFont="1" applyFill="1" applyBorder="1" applyAlignment="1">
      <alignment horizontal="center" vertical="center"/>
    </xf>
    <xf numFmtId="0" fontId="14" fillId="10" borderId="1" xfId="0" applyFont="1" applyFill="1" applyBorder="1" applyAlignment="1">
      <alignment horizontal="left" vertical="center"/>
    </xf>
    <xf numFmtId="0" fontId="15" fillId="10" borderId="1" xfId="0" applyFont="1" applyFill="1" applyBorder="1" applyAlignment="1">
      <alignment horizontal="center" vertical="center"/>
    </xf>
    <xf numFmtId="0" fontId="16" fillId="11" borderId="1" xfId="0" applyFont="1" applyFill="1" applyBorder="1" applyAlignment="1">
      <alignment horizontal="left" vertical="center"/>
    </xf>
    <xf numFmtId="0" fontId="17" fillId="11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/>
    </xf>
    <xf numFmtId="0" fontId="18" fillId="5" borderId="1" xfId="0" applyFont="1" applyFill="1" applyBorder="1" applyAlignment="1">
      <alignment horizontal="left" vertical="center"/>
    </xf>
    <xf numFmtId="0" fontId="19" fillId="5" borderId="1" xfId="0" applyFont="1" applyFill="1" applyBorder="1" applyAlignment="1">
      <alignment horizontal="left" vertical="center"/>
    </xf>
    <xf numFmtId="0" fontId="22" fillId="3" borderId="1" xfId="0" applyFont="1" applyFill="1" applyBorder="1" applyAlignment="1">
      <alignment horizontal="center" vertical="center" wrapText="1"/>
    </xf>
    <xf numFmtId="0" fontId="23" fillId="2" borderId="1" xfId="0" applyFont="1" applyFill="1" applyBorder="1" applyAlignment="1">
      <alignment horizontal="center" vertical="center"/>
    </xf>
    <xf numFmtId="0" fontId="24" fillId="12" borderId="1" xfId="0" applyFont="1" applyFill="1" applyBorder="1" applyAlignment="1">
      <alignment horizontal="center" vertical="center"/>
    </xf>
    <xf numFmtId="0" fontId="11" fillId="13" borderId="1" xfId="0" applyFont="1" applyFill="1" applyBorder="1" applyAlignment="1">
      <alignment horizontal="left" vertical="center"/>
    </xf>
    <xf numFmtId="0" fontId="25" fillId="14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26" fillId="13" borderId="1" xfId="0" applyFont="1" applyFill="1" applyBorder="1" applyAlignment="1">
      <alignment horizontal="left" vertical="center" wrapText="1"/>
    </xf>
    <xf numFmtId="0" fontId="26" fillId="5" borderId="1" xfId="0" applyFont="1" applyFill="1" applyBorder="1" applyAlignment="1">
      <alignment horizontal="center" vertical="center" wrapText="1"/>
    </xf>
    <xf numFmtId="165" fontId="26" fillId="5" borderId="1" xfId="0" applyNumberFormat="1" applyFont="1" applyFill="1" applyBorder="1" applyAlignment="1">
      <alignment horizontal="center" vertical="center"/>
    </xf>
    <xf numFmtId="3" fontId="26" fillId="5" borderId="1" xfId="0" applyNumberFormat="1" applyFont="1" applyFill="1" applyBorder="1" applyAlignment="1">
      <alignment horizontal="center" vertical="center"/>
    </xf>
    <xf numFmtId="0" fontId="18" fillId="15" borderId="1" xfId="0" applyFont="1" applyFill="1" applyBorder="1" applyAlignment="1">
      <alignment horizontal="center" vertical="center"/>
    </xf>
    <xf numFmtId="0" fontId="27" fillId="6" borderId="1" xfId="0" applyFont="1" applyFill="1" applyBorder="1" applyAlignment="1">
      <alignment horizontal="center" vertical="center"/>
    </xf>
    <xf numFmtId="0" fontId="11" fillId="9" borderId="1" xfId="0" applyFont="1" applyFill="1" applyBorder="1" applyAlignment="1">
      <alignment horizontal="center" vertical="center"/>
    </xf>
    <xf numFmtId="0" fontId="28" fillId="13" borderId="1" xfId="0" applyFont="1" applyFill="1" applyBorder="1" applyAlignment="1">
      <alignment horizontal="center" vertical="center"/>
    </xf>
    <xf numFmtId="0" fontId="29" fillId="9" borderId="1" xfId="0" applyFont="1" applyFill="1" applyBorder="1" applyAlignment="1">
      <alignment horizontal="center" vertical="center"/>
    </xf>
    <xf numFmtId="0" fontId="30" fillId="16" borderId="1" xfId="0" applyFont="1" applyFill="1" applyBorder="1" applyAlignment="1">
      <alignment horizontal="center" vertical="center"/>
    </xf>
    <xf numFmtId="0" fontId="31" fillId="17" borderId="1" xfId="0" applyFont="1" applyFill="1" applyBorder="1" applyAlignment="1">
      <alignment horizontal="center" vertical="center"/>
    </xf>
    <xf numFmtId="0" fontId="32" fillId="5" borderId="1" xfId="0" applyFont="1" applyFill="1" applyBorder="1" applyAlignment="1">
      <alignment horizontal="center" vertical="center"/>
    </xf>
    <xf numFmtId="0" fontId="33" fillId="18" borderId="1" xfId="0" applyFont="1" applyFill="1" applyBorder="1" applyAlignment="1">
      <alignment horizontal="center" vertical="center"/>
    </xf>
    <xf numFmtId="0" fontId="34" fillId="19" borderId="1" xfId="0" applyFont="1" applyFill="1" applyBorder="1" applyAlignment="1">
      <alignment horizontal="center" vertical="center"/>
    </xf>
    <xf numFmtId="0" fontId="35" fillId="20" borderId="1" xfId="0" applyFont="1" applyFill="1" applyBorder="1" applyAlignment="1">
      <alignment horizontal="center" vertical="center"/>
    </xf>
    <xf numFmtId="0" fontId="36" fillId="21" borderId="1" xfId="0" applyFont="1" applyFill="1" applyBorder="1" applyAlignment="1">
      <alignment horizontal="center" vertical="center"/>
    </xf>
    <xf numFmtId="166" fontId="4" fillId="3" borderId="1" xfId="0" applyNumberFormat="1" applyFont="1" applyFill="1" applyBorder="1" applyAlignment="1">
      <alignment horizontal="center" vertical="center"/>
    </xf>
    <xf numFmtId="0" fontId="0" fillId="3" borderId="1" xfId="0" applyFill="1" applyBorder="1"/>
    <xf numFmtId="0" fontId="24" fillId="12" borderId="1" xfId="0" applyFont="1" applyFill="1" applyBorder="1" applyAlignment="1">
      <alignment horizontal="left" vertical="center"/>
    </xf>
    <xf numFmtId="0" fontId="11" fillId="5" borderId="1" xfId="0" applyFont="1" applyFill="1" applyBorder="1" applyAlignment="1">
      <alignment horizontal="center" vertical="center"/>
    </xf>
    <xf numFmtId="166" fontId="6" fillId="5" borderId="1" xfId="0" applyNumberFormat="1" applyFont="1" applyFill="1" applyBorder="1" applyAlignment="1">
      <alignment horizontal="center" vertical="center"/>
    </xf>
    <xf numFmtId="3" fontId="6" fillId="5" borderId="1" xfId="0" applyNumberFormat="1" applyFont="1" applyFill="1" applyBorder="1" applyAlignment="1">
      <alignment horizontal="center" vertical="center"/>
    </xf>
    <xf numFmtId="9" fontId="37" fillId="11" borderId="1" xfId="0" applyNumberFormat="1" applyFont="1" applyFill="1" applyBorder="1" applyAlignment="1">
      <alignment horizontal="center" vertical="center"/>
    </xf>
    <xf numFmtId="0" fontId="30" fillId="16" borderId="1" xfId="0" applyFont="1" applyFill="1" applyBorder="1" applyAlignment="1">
      <alignment horizontal="left" vertical="center"/>
    </xf>
    <xf numFmtId="0" fontId="31" fillId="17" borderId="1" xfId="0" applyFont="1" applyFill="1" applyBorder="1" applyAlignment="1">
      <alignment horizontal="left" vertical="center"/>
    </xf>
    <xf numFmtId="0" fontId="33" fillId="18" borderId="1" xfId="0" applyFont="1" applyFill="1" applyBorder="1" applyAlignment="1">
      <alignment horizontal="left" vertical="center"/>
    </xf>
    <xf numFmtId="0" fontId="34" fillId="19" borderId="1" xfId="0" applyFont="1" applyFill="1" applyBorder="1" applyAlignment="1">
      <alignment horizontal="left" vertical="center"/>
    </xf>
    <xf numFmtId="0" fontId="35" fillId="20" borderId="1" xfId="0" applyFont="1" applyFill="1" applyBorder="1" applyAlignment="1">
      <alignment horizontal="left" vertical="center"/>
    </xf>
    <xf numFmtId="0" fontId="36" fillId="21" borderId="1" xfId="0" applyFont="1" applyFill="1" applyBorder="1" applyAlignment="1">
      <alignment horizontal="left" vertical="center"/>
    </xf>
    <xf numFmtId="0" fontId="39" fillId="15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23" fillId="2" borderId="1" xfId="0" applyFont="1" applyFill="1" applyBorder="1" applyAlignment="1">
      <alignment horizontal="center" vertical="center" wrapText="1"/>
    </xf>
    <xf numFmtId="0" fontId="22" fillId="3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left" vertical="center" wrapText="1"/>
    </xf>
    <xf numFmtId="0" fontId="25" fillId="22" borderId="1" xfId="0" applyFont="1" applyFill="1" applyBorder="1" applyAlignment="1">
      <alignment horizontal="center" vertical="center"/>
    </xf>
    <xf numFmtId="0" fontId="25" fillId="3" borderId="1" xfId="0" applyFont="1" applyFill="1" applyBorder="1" applyAlignment="1">
      <alignment horizontal="center" vertical="center"/>
    </xf>
    <xf numFmtId="0" fontId="6" fillId="23" borderId="1" xfId="0" applyFont="1" applyFill="1" applyBorder="1" applyAlignment="1">
      <alignment horizontal="center" vertical="center"/>
    </xf>
    <xf numFmtId="0" fontId="38" fillId="5" borderId="1" xfId="0" applyFont="1" applyFill="1" applyBorder="1" applyAlignment="1">
      <alignment horizontal="left" vertical="center" wrapText="1"/>
    </xf>
    <xf numFmtId="0" fontId="32" fillId="13" borderId="1" xfId="0" applyFont="1" applyFill="1" applyBorder="1" applyAlignment="1">
      <alignment horizontal="center" vertical="center"/>
    </xf>
    <xf numFmtId="0" fontId="0" fillId="24" borderId="1" xfId="0" applyFill="1" applyBorder="1"/>
    <xf numFmtId="0" fontId="6" fillId="16" borderId="1" xfId="0" applyFont="1" applyFill="1" applyBorder="1" applyAlignment="1">
      <alignment horizontal="left" vertical="center" wrapText="1"/>
    </xf>
    <xf numFmtId="0" fontId="0" fillId="25" borderId="1" xfId="0" applyFill="1" applyBorder="1"/>
    <xf numFmtId="0" fontId="6" fillId="7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/>
    </xf>
    <xf numFmtId="0" fontId="19" fillId="3" borderId="1" xfId="0" applyFont="1" applyFill="1" applyBorder="1"/>
    <xf numFmtId="0" fontId="3" fillId="22" borderId="1" xfId="0" applyFont="1" applyFill="1" applyBorder="1" applyAlignment="1">
      <alignment horizontal="center" vertical="center"/>
    </xf>
    <xf numFmtId="0" fontId="7" fillId="23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41" fillId="13" borderId="1" xfId="0" applyFont="1" applyFill="1" applyBorder="1" applyAlignment="1">
      <alignment horizontal="center" vertical="center"/>
    </xf>
    <xf numFmtId="0" fontId="23" fillId="3" borderId="1" xfId="0" applyFont="1" applyFill="1" applyBorder="1" applyAlignment="1">
      <alignment horizontal="center" vertical="center" wrapText="1"/>
    </xf>
    <xf numFmtId="0" fontId="42" fillId="6" borderId="1" xfId="0" applyFont="1" applyFill="1" applyBorder="1" applyAlignment="1">
      <alignment horizontal="center" vertical="center"/>
    </xf>
    <xf numFmtId="166" fontId="42" fillId="6" borderId="1" xfId="0" applyNumberFormat="1" applyFont="1" applyFill="1" applyBorder="1" applyAlignment="1">
      <alignment horizontal="center" vertical="center"/>
    </xf>
    <xf numFmtId="0" fontId="43" fillId="3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/>
    </xf>
    <xf numFmtId="166" fontId="7" fillId="6" borderId="1" xfId="0" applyNumberFormat="1" applyFont="1" applyFill="1" applyBorder="1" applyAlignment="1">
      <alignment horizontal="center" vertical="center"/>
    </xf>
    <xf numFmtId="0" fontId="8" fillId="13" borderId="1" xfId="0" applyFont="1" applyFill="1" applyBorder="1" applyAlignment="1">
      <alignment horizontal="center" vertical="center"/>
    </xf>
    <xf numFmtId="165" fontId="6" fillId="5" borderId="1" xfId="0" applyNumberFormat="1" applyFont="1" applyFill="1" applyBorder="1" applyAlignment="1">
      <alignment horizontal="center" vertical="center"/>
    </xf>
    <xf numFmtId="0" fontId="6" fillId="13" borderId="1" xfId="0" applyFont="1" applyFill="1" applyBorder="1" applyAlignment="1">
      <alignment horizontal="left" vertical="center"/>
    </xf>
    <xf numFmtId="0" fontId="6" fillId="9" borderId="1" xfId="0" applyFont="1" applyFill="1" applyBorder="1" applyAlignment="1">
      <alignment horizontal="center" vertical="center"/>
    </xf>
    <xf numFmtId="9" fontId="6" fillId="5" borderId="1" xfId="0" applyNumberFormat="1" applyFont="1" applyFill="1" applyBorder="1" applyAlignment="1">
      <alignment horizontal="center" vertical="center"/>
    </xf>
    <xf numFmtId="0" fontId="46" fillId="5" borderId="1" xfId="0" applyFont="1" applyFill="1" applyBorder="1" applyAlignment="1">
      <alignment horizontal="center" vertical="center"/>
    </xf>
    <xf numFmtId="166" fontId="11" fillId="6" borderId="1" xfId="0" applyNumberFormat="1" applyFont="1" applyFill="1" applyBorder="1" applyAlignment="1">
      <alignment horizontal="center" vertical="center"/>
    </xf>
    <xf numFmtId="0" fontId="46" fillId="5" borderId="1" xfId="0" applyFont="1" applyFill="1" applyBorder="1" applyAlignment="1">
      <alignment horizontal="left" vertical="center"/>
    </xf>
    <xf numFmtId="0" fontId="47" fillId="0" borderId="1" xfId="0" applyFont="1" applyBorder="1" applyAlignment="1">
      <alignment horizontal="center" vertical="center" wrapText="1"/>
    </xf>
    <xf numFmtId="0" fontId="37" fillId="11" borderId="1" xfId="0" applyFont="1" applyFill="1" applyBorder="1" applyAlignment="1">
      <alignment horizontal="center" vertical="center"/>
    </xf>
    <xf numFmtId="0" fontId="11" fillId="5" borderId="1" xfId="0" applyFont="1" applyFill="1" applyBorder="1"/>
    <xf numFmtId="0" fontId="7" fillId="6" borderId="1" xfId="0" applyFont="1" applyFill="1" applyBorder="1" applyAlignment="1">
      <alignment horizontal="center" vertical="center"/>
    </xf>
    <xf numFmtId="0" fontId="51" fillId="12" borderId="1" xfId="0" applyFont="1" applyFill="1" applyBorder="1" applyAlignment="1">
      <alignment horizontal="left" vertical="center"/>
    </xf>
    <xf numFmtId="0" fontId="5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6" fillId="9" borderId="1" xfId="0" applyFont="1" applyFill="1" applyBorder="1" applyAlignment="1">
      <alignment horizontal="center" vertical="center"/>
    </xf>
    <xf numFmtId="0" fontId="53" fillId="16" borderId="1" xfId="0" applyFont="1" applyFill="1" applyBorder="1" applyAlignment="1">
      <alignment horizontal="left" vertical="center"/>
    </xf>
    <xf numFmtId="0" fontId="46" fillId="8" borderId="1" xfId="0" applyFont="1" applyFill="1" applyBorder="1" applyAlignment="1">
      <alignment horizontal="center" vertical="center"/>
    </xf>
    <xf numFmtId="0" fontId="54" fillId="17" borderId="1" xfId="0" applyFont="1" applyFill="1" applyBorder="1" applyAlignment="1">
      <alignment horizontal="left" vertical="center"/>
    </xf>
    <xf numFmtId="0" fontId="55" fillId="18" borderId="1" xfId="0" applyFont="1" applyFill="1" applyBorder="1" applyAlignment="1">
      <alignment horizontal="left" vertical="center"/>
    </xf>
    <xf numFmtId="0" fontId="56" fillId="19" borderId="1" xfId="0" applyFont="1" applyFill="1" applyBorder="1" applyAlignment="1">
      <alignment horizontal="left" vertical="center"/>
    </xf>
    <xf numFmtId="0" fontId="57" fillId="21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11" fillId="11" borderId="1" xfId="0" applyFont="1" applyFill="1" applyBorder="1" applyAlignment="1">
      <alignment horizontal="left" vertical="center"/>
    </xf>
    <xf numFmtId="0" fontId="58" fillId="11" borderId="1" xfId="0" applyFont="1" applyFill="1" applyBorder="1" applyAlignment="1">
      <alignment horizontal="center" vertical="center"/>
    </xf>
    <xf numFmtId="9" fontId="52" fillId="0" borderId="1" xfId="0" applyNumberFormat="1" applyFont="1" applyBorder="1" applyAlignment="1">
      <alignment horizontal="center" vertical="center"/>
    </xf>
    <xf numFmtId="0" fontId="59" fillId="9" borderId="1" xfId="0" applyFont="1" applyFill="1" applyBorder="1" applyAlignment="1">
      <alignment horizontal="center" vertical="center" wrapText="1"/>
    </xf>
    <xf numFmtId="0" fontId="6" fillId="13" borderId="1" xfId="0" applyFont="1" applyFill="1" applyBorder="1" applyAlignment="1">
      <alignment horizontal="left" vertical="center" wrapText="1"/>
    </xf>
    <xf numFmtId="0" fontId="28" fillId="13" borderId="1" xfId="0" applyFont="1" applyFill="1" applyBorder="1" applyAlignment="1">
      <alignment horizontal="left" vertical="center"/>
    </xf>
    <xf numFmtId="0" fontId="60" fillId="8" borderId="1" xfId="0" applyFont="1" applyFill="1" applyBorder="1" applyAlignment="1">
      <alignment horizontal="center" vertical="center" wrapText="1"/>
    </xf>
    <xf numFmtId="0" fontId="11" fillId="9" borderId="1" xfId="0" applyFont="1" applyFill="1" applyBorder="1" applyAlignment="1">
      <alignment horizontal="left" vertical="center"/>
    </xf>
    <xf numFmtId="0" fontId="59" fillId="9" borderId="1" xfId="0" applyFont="1" applyFill="1" applyBorder="1" applyAlignment="1">
      <alignment horizontal="center" vertical="center"/>
    </xf>
    <xf numFmtId="0" fontId="61" fillId="7" borderId="1" xfId="0" applyFont="1" applyFill="1" applyBorder="1" applyAlignment="1">
      <alignment horizontal="center" vertical="center" wrapText="1"/>
    </xf>
    <xf numFmtId="0" fontId="11" fillId="15" borderId="1" xfId="0" applyFont="1" applyFill="1" applyBorder="1" applyAlignment="1">
      <alignment horizontal="left" vertical="center"/>
    </xf>
    <xf numFmtId="0" fontId="59" fillId="15" borderId="1" xfId="0" applyFont="1" applyFill="1" applyBorder="1" applyAlignment="1">
      <alignment horizontal="center" vertical="center"/>
    </xf>
    <xf numFmtId="0" fontId="62" fillId="3" borderId="1" xfId="0" applyFont="1" applyFill="1" applyBorder="1" applyAlignment="1">
      <alignment horizontal="center" vertical="center" wrapText="1"/>
    </xf>
    <xf numFmtId="0" fontId="28" fillId="5" borderId="1" xfId="0" applyFont="1" applyFill="1" applyBorder="1" applyAlignment="1">
      <alignment horizontal="center" vertical="center"/>
    </xf>
    <xf numFmtId="0" fontId="60" fillId="13" borderId="1" xfId="0" applyFont="1" applyFill="1" applyBorder="1" applyAlignment="1">
      <alignment horizontal="left" vertical="center" wrapText="1"/>
    </xf>
    <xf numFmtId="165" fontId="11" fillId="6" borderId="1" xfId="0" applyNumberFormat="1" applyFont="1" applyFill="1" applyBorder="1" applyAlignment="1">
      <alignment horizontal="center" vertical="center"/>
    </xf>
    <xf numFmtId="0" fontId="0" fillId="13" borderId="1" xfId="0" applyFill="1" applyBorder="1"/>
    <xf numFmtId="0" fontId="60" fillId="8" borderId="1" xfId="0" applyFont="1" applyFill="1" applyBorder="1" applyAlignment="1">
      <alignment horizontal="center" vertical="center"/>
    </xf>
    <xf numFmtId="0" fontId="63" fillId="15" borderId="1" xfId="0" applyFont="1" applyFill="1" applyBorder="1" applyAlignment="1">
      <alignment horizontal="center" vertical="center"/>
    </xf>
    <xf numFmtId="0" fontId="0" fillId="22" borderId="1" xfId="0" applyFill="1" applyBorder="1"/>
    <xf numFmtId="0" fontId="0" fillId="26" borderId="1" xfId="0" applyFill="1" applyBorder="1"/>
    <xf numFmtId="0" fontId="0" fillId="27" borderId="1" xfId="0" applyFill="1" applyBorder="1"/>
    <xf numFmtId="0" fontId="0" fillId="28" borderId="1" xfId="0" applyFill="1" applyBorder="1"/>
    <xf numFmtId="0" fontId="0" fillId="29" borderId="1" xfId="0" applyFill="1" applyBorder="1"/>
    <xf numFmtId="165" fontId="64" fillId="3" borderId="1" xfId="0" applyNumberFormat="1" applyFont="1" applyFill="1" applyBorder="1" applyAlignment="1">
      <alignment horizontal="center" vertical="center"/>
    </xf>
    <xf numFmtId="0" fontId="25" fillId="26" borderId="1" xfId="0" applyFont="1" applyFill="1" applyBorder="1" applyAlignment="1">
      <alignment horizontal="center" vertical="center"/>
    </xf>
    <xf numFmtId="0" fontId="25" fillId="24" borderId="1" xfId="0" applyFont="1" applyFill="1" applyBorder="1" applyAlignment="1">
      <alignment horizontal="center" vertical="center"/>
    </xf>
    <xf numFmtId="0" fontId="25" fillId="25" borderId="1" xfId="0" applyFont="1" applyFill="1" applyBorder="1" applyAlignment="1">
      <alignment horizontal="center" vertical="center"/>
    </xf>
    <xf numFmtId="0" fontId="25" fillId="27" borderId="1" xfId="0" applyFont="1" applyFill="1" applyBorder="1" applyAlignment="1">
      <alignment horizontal="center" vertical="center"/>
    </xf>
    <xf numFmtId="0" fontId="25" fillId="28" borderId="1" xfId="0" applyFont="1" applyFill="1" applyBorder="1" applyAlignment="1">
      <alignment horizontal="center" vertical="center"/>
    </xf>
    <xf numFmtId="0" fontId="25" fillId="29" borderId="1" xfId="0" applyFont="1" applyFill="1" applyBorder="1" applyAlignment="1">
      <alignment horizontal="center" vertical="center"/>
    </xf>
    <xf numFmtId="0" fontId="16" fillId="11" borderId="1" xfId="0" applyFont="1" applyFill="1" applyBorder="1" applyAlignment="1">
      <alignment horizontal="center" vertical="center"/>
    </xf>
    <xf numFmtId="166" fontId="9" fillId="7" borderId="1" xfId="0" applyNumberFormat="1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166" fontId="7" fillId="8" borderId="1" xfId="0" applyNumberFormat="1" applyFont="1" applyFill="1" applyBorder="1" applyAlignment="1">
      <alignment horizontal="center" vertical="center"/>
    </xf>
    <xf numFmtId="0" fontId="11" fillId="7" borderId="1" xfId="0" applyFont="1" applyFill="1" applyBorder="1" applyAlignment="1">
      <alignment horizontal="center" vertical="center"/>
    </xf>
    <xf numFmtId="0" fontId="6" fillId="11" borderId="1" xfId="0" applyFont="1" applyFill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/>
    </xf>
    <xf numFmtId="0" fontId="25" fillId="25" borderId="2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left" vertical="center"/>
    </xf>
    <xf numFmtId="0" fontId="26" fillId="5" borderId="2" xfId="0" applyFont="1" applyFill="1" applyBorder="1" applyAlignment="1">
      <alignment horizontal="left" vertical="center"/>
    </xf>
    <xf numFmtId="0" fontId="4" fillId="3" borderId="0" xfId="0" applyFont="1" applyFill="1" applyAlignment="1">
      <alignment horizontal="center" vertical="center"/>
    </xf>
    <xf numFmtId="0" fontId="44" fillId="2" borderId="0" xfId="0" applyFont="1" applyFill="1" applyAlignment="1">
      <alignment horizontal="center" vertical="center"/>
    </xf>
    <xf numFmtId="0" fontId="45" fillId="6" borderId="2" xfId="0" applyFont="1" applyFill="1" applyBorder="1" applyAlignment="1">
      <alignment horizontal="center" vertical="center"/>
    </xf>
    <xf numFmtId="9" fontId="45" fillId="6" borderId="2" xfId="0" applyNumberFormat="1" applyFont="1" applyFill="1" applyBorder="1" applyAlignment="1">
      <alignment horizontal="center" vertical="center"/>
    </xf>
    <xf numFmtId="0" fontId="23" fillId="3" borderId="2" xfId="0" applyFont="1" applyFill="1" applyBorder="1" applyAlignment="1">
      <alignment horizontal="center" vertical="center" wrapText="1"/>
    </xf>
    <xf numFmtId="166" fontId="45" fillId="6" borderId="2" xfId="0" applyNumberFormat="1" applyFont="1" applyFill="1" applyBorder="1" applyAlignment="1">
      <alignment horizontal="center" vertical="center"/>
    </xf>
    <xf numFmtId="0" fontId="48" fillId="11" borderId="2" xfId="0" applyFont="1" applyFill="1" applyBorder="1" applyAlignment="1">
      <alignment horizontal="center" vertical="center"/>
    </xf>
    <xf numFmtId="0" fontId="49" fillId="15" borderId="2" xfId="0" applyFont="1" applyFill="1" applyBorder="1" applyAlignment="1">
      <alignment horizontal="center" vertical="center"/>
    </xf>
    <xf numFmtId="0" fontId="50" fillId="9" borderId="2" xfId="0" applyFont="1" applyFill="1" applyBorder="1" applyAlignment="1">
      <alignment horizontal="center" vertical="center"/>
    </xf>
    <xf numFmtId="9" fontId="50" fillId="9" borderId="2" xfId="0" applyNumberFormat="1" applyFont="1" applyFill="1" applyBorder="1" applyAlignment="1">
      <alignment horizontal="center" vertical="center"/>
    </xf>
    <xf numFmtId="165" fontId="45" fillId="6" borderId="2" xfId="0" applyNumberFormat="1" applyFont="1" applyFill="1" applyBorder="1" applyAlignment="1">
      <alignment horizontal="center" vertical="center"/>
    </xf>
    <xf numFmtId="165" fontId="49" fillId="15" borderId="2" xfId="0" applyNumberFormat="1" applyFont="1" applyFill="1" applyBorder="1" applyAlignment="1">
      <alignment horizontal="center" vertical="center"/>
    </xf>
    <xf numFmtId="165" fontId="50" fillId="9" borderId="2" xfId="0" applyNumberFormat="1" applyFont="1" applyFill="1" applyBorder="1" applyAlignment="1">
      <alignment horizontal="center" vertical="center"/>
    </xf>
    <xf numFmtId="0" fontId="65" fillId="2" borderId="0" xfId="0" applyFont="1" applyFill="1" applyAlignment="1">
      <alignment horizontal="center" vertical="center"/>
    </xf>
    <xf numFmtId="0" fontId="28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right" vertical="center"/>
    </xf>
    <xf numFmtId="0" fontId="0" fillId="22" borderId="0" xfId="0" applyFill="1"/>
    <xf numFmtId="0" fontId="4" fillId="3" borderId="2" xfId="0" applyFont="1" applyFill="1" applyBorder="1" applyAlignment="1">
      <alignment horizontal="center" vertical="center" wrapText="1"/>
    </xf>
    <xf numFmtId="0" fontId="66" fillId="6" borderId="2" xfId="0" applyFont="1" applyFill="1" applyBorder="1" applyAlignment="1">
      <alignment horizontal="center" vertical="center"/>
    </xf>
    <xf numFmtId="0" fontId="67" fillId="11" borderId="2" xfId="0" applyFont="1" applyFill="1" applyBorder="1" applyAlignment="1">
      <alignment horizontal="center" vertical="center"/>
    </xf>
    <xf numFmtId="0" fontId="68" fillId="15" borderId="2" xfId="0" applyFont="1" applyFill="1" applyBorder="1" applyAlignment="1">
      <alignment horizontal="center" vertical="center"/>
    </xf>
    <xf numFmtId="0" fontId="69" fillId="9" borderId="2" xfId="0" applyFont="1" applyFill="1" applyBorder="1" applyAlignment="1">
      <alignment horizontal="center" vertical="center"/>
    </xf>
    <xf numFmtId="0" fontId="38" fillId="6" borderId="2" xfId="0" applyFont="1" applyFill="1" applyBorder="1" applyAlignment="1">
      <alignment horizontal="center" vertical="center"/>
    </xf>
    <xf numFmtId="0" fontId="70" fillId="11" borderId="2" xfId="0" applyFont="1" applyFill="1" applyBorder="1" applyAlignment="1">
      <alignment horizontal="center" vertical="center"/>
    </xf>
    <xf numFmtId="0" fontId="71" fillId="15" borderId="2" xfId="0" applyFont="1" applyFill="1" applyBorder="1" applyAlignment="1">
      <alignment horizontal="center" vertical="center"/>
    </xf>
    <xf numFmtId="0" fontId="72" fillId="9" borderId="2" xfId="0" applyFont="1" applyFill="1" applyBorder="1" applyAlignment="1">
      <alignment horizontal="center" vertical="center"/>
    </xf>
    <xf numFmtId="0" fontId="0" fillId="3" borderId="0" xfId="0" applyFill="1"/>
    <xf numFmtId="165" fontId="42" fillId="6" borderId="2" xfId="0" applyNumberFormat="1" applyFont="1" applyFill="1" applyBorder="1" applyAlignment="1">
      <alignment horizontal="center" vertical="center"/>
    </xf>
    <xf numFmtId="165" fontId="73" fillId="15" borderId="2" xfId="0" applyNumberFormat="1" applyFont="1" applyFill="1" applyBorder="1" applyAlignment="1">
      <alignment horizontal="center" vertical="center"/>
    </xf>
    <xf numFmtId="165" fontId="74" fillId="9" borderId="2" xfId="0" applyNumberFormat="1" applyFont="1" applyFill="1" applyBorder="1" applyAlignment="1">
      <alignment horizontal="center" vertical="center"/>
    </xf>
    <xf numFmtId="0" fontId="75" fillId="11" borderId="2" xfId="0" applyFont="1" applyFill="1" applyBorder="1" applyAlignment="1">
      <alignment horizontal="center" vertical="center"/>
    </xf>
    <xf numFmtId="0" fontId="73" fillId="15" borderId="2" xfId="0" applyFont="1" applyFill="1" applyBorder="1" applyAlignment="1">
      <alignment horizontal="center" vertical="center"/>
    </xf>
    <xf numFmtId="0" fontId="42" fillId="8" borderId="2" xfId="0" applyFont="1" applyFill="1" applyBorder="1" applyAlignment="1">
      <alignment horizontal="center" vertical="center"/>
    </xf>
    <xf numFmtId="0" fontId="79" fillId="35" borderId="0" xfId="0" applyFont="1" applyFill="1"/>
    <xf numFmtId="0" fontId="0" fillId="0" borderId="0" xfId="0" applyAlignment="1">
      <alignment wrapText="1"/>
    </xf>
    <xf numFmtId="0" fontId="0" fillId="0" borderId="0" xfId="0" applyAlignment="1">
      <alignment vertical="top" wrapText="1"/>
    </xf>
    <xf numFmtId="14" fontId="0" fillId="0" borderId="0" xfId="0" applyNumberFormat="1" applyAlignment="1">
      <alignment vertical="top" wrapText="1"/>
    </xf>
    <xf numFmtId="0" fontId="80" fillId="34" borderId="0" xfId="0" applyFont="1" applyFill="1"/>
    <xf numFmtId="0" fontId="81" fillId="35" borderId="0" xfId="0" applyFont="1" applyFill="1"/>
    <xf numFmtId="0" fontId="78" fillId="35" borderId="0" xfId="0" applyFont="1" applyFill="1"/>
    <xf numFmtId="0" fontId="82" fillId="35" borderId="0" xfId="0" applyFont="1" applyFill="1"/>
    <xf numFmtId="0" fontId="83" fillId="35" borderId="0" xfId="0" applyFont="1" applyFill="1"/>
    <xf numFmtId="0" fontId="83" fillId="35" borderId="0" xfId="0" applyFont="1" applyFill="1" applyAlignment="1">
      <alignment horizontal="center"/>
    </xf>
    <xf numFmtId="0" fontId="84" fillId="36" borderId="0" xfId="0" applyFont="1" applyFill="1" applyAlignment="1">
      <alignment horizontal="center"/>
    </xf>
    <xf numFmtId="0" fontId="86" fillId="0" borderId="0" xfId="0" applyFont="1"/>
    <xf numFmtId="0" fontId="86" fillId="33" borderId="0" xfId="0" applyFont="1" applyFill="1"/>
    <xf numFmtId="0" fontId="87" fillId="37" borderId="0" xfId="0" applyFont="1" applyFill="1"/>
    <xf numFmtId="0" fontId="88" fillId="32" borderId="0" xfId="0" applyFont="1" applyFill="1"/>
    <xf numFmtId="0" fontId="0" fillId="38" borderId="0" xfId="0" applyFill="1"/>
    <xf numFmtId="0" fontId="86" fillId="38" borderId="0" xfId="0" applyFont="1" applyFill="1" applyAlignment="1">
      <alignment horizontal="center"/>
    </xf>
    <xf numFmtId="0" fontId="77" fillId="39" borderId="0" xfId="0" applyFont="1" applyFill="1" applyAlignment="1">
      <alignment horizontal="center"/>
    </xf>
    <xf numFmtId="0" fontId="0" fillId="39" borderId="0" xfId="0" applyFill="1" applyAlignment="1">
      <alignment horizontal="center"/>
    </xf>
    <xf numFmtId="0" fontId="89" fillId="38" borderId="0" xfId="0" applyFont="1" applyFill="1"/>
    <xf numFmtId="0" fontId="90" fillId="34" borderId="0" xfId="0" applyFont="1" applyFill="1"/>
    <xf numFmtId="0" fontId="3" fillId="35" borderId="0" xfId="0" applyFont="1" applyFill="1" applyBorder="1" applyAlignment="1">
      <alignment horizontal="left" vertical="center"/>
    </xf>
    <xf numFmtId="0" fontId="94" fillId="35" borderId="3" xfId="0" applyFont="1" applyFill="1" applyBorder="1" applyAlignment="1">
      <alignment horizontal="center" vertical="center"/>
    </xf>
    <xf numFmtId="0" fontId="19" fillId="36" borderId="3" xfId="0" applyFont="1" applyFill="1" applyBorder="1" applyAlignment="1">
      <alignment horizontal="center" vertical="center"/>
    </xf>
    <xf numFmtId="0" fontId="79" fillId="35" borderId="3" xfId="0" applyFont="1" applyFill="1" applyBorder="1"/>
    <xf numFmtId="0" fontId="93" fillId="38" borderId="3" xfId="0" applyFont="1" applyFill="1" applyBorder="1" applyAlignment="1">
      <alignment horizontal="center"/>
    </xf>
    <xf numFmtId="0" fontId="85" fillId="36" borderId="3" xfId="0" applyFont="1" applyFill="1" applyBorder="1" applyAlignment="1">
      <alignment horizontal="center"/>
    </xf>
    <xf numFmtId="0" fontId="81" fillId="36" borderId="3" xfId="0" applyFont="1" applyFill="1" applyBorder="1"/>
    <xf numFmtId="0" fontId="95" fillId="39" borderId="3" xfId="0" applyFont="1" applyFill="1" applyBorder="1"/>
    <xf numFmtId="0" fontId="76" fillId="30" borderId="3" xfId="0" applyFont="1" applyFill="1" applyBorder="1" applyAlignment="1">
      <alignment horizontal="center"/>
    </xf>
    <xf numFmtId="0" fontId="0" fillId="39" borderId="3" xfId="0" applyFill="1" applyBorder="1"/>
    <xf numFmtId="0" fontId="4" fillId="34" borderId="4" xfId="0" applyFont="1" applyFill="1" applyBorder="1" applyAlignment="1">
      <alignment horizontal="left" vertical="center"/>
    </xf>
    <xf numFmtId="0" fontId="18" fillId="36" borderId="4" xfId="0" quotePrefix="1" applyFont="1" applyFill="1" applyBorder="1" applyAlignment="1">
      <alignment horizontal="left" vertical="center"/>
    </xf>
    <xf numFmtId="0" fontId="19" fillId="36" borderId="4" xfId="0" applyFont="1" applyFill="1" applyBorder="1" applyAlignment="1">
      <alignment horizontal="left" vertical="center"/>
    </xf>
    <xf numFmtId="0" fontId="26" fillId="13" borderId="1" xfId="0" applyFont="1" applyFill="1" applyBorder="1" applyAlignment="1">
      <alignment horizontal="center" vertical="center" wrapText="1"/>
    </xf>
    <xf numFmtId="0" fontId="20" fillId="2" borderId="0" xfId="0" applyFont="1" applyFill="1" applyAlignment="1">
      <alignment horizontal="center" vertical="center" wrapText="1"/>
    </xf>
    <xf numFmtId="0" fontId="83" fillId="35" borderId="0" xfId="0" applyFont="1" applyFill="1" applyAlignment="1">
      <alignment horizontal="center" wrapText="1"/>
    </xf>
    <xf numFmtId="0" fontId="97" fillId="30" borderId="0" xfId="0" applyFont="1" applyFill="1" applyAlignment="1">
      <alignment horizontal="center"/>
    </xf>
    <xf numFmtId="0" fontId="96" fillId="30" borderId="0" xfId="0" applyFont="1" applyFill="1" applyAlignment="1">
      <alignment horizontal="center"/>
    </xf>
    <xf numFmtId="0" fontId="58" fillId="31" borderId="1" xfId="0" applyFont="1" applyFill="1" applyBorder="1" applyAlignment="1">
      <alignment horizontal="center" vertical="center" wrapText="1"/>
    </xf>
    <xf numFmtId="0" fontId="91" fillId="38" borderId="3" xfId="0" applyFont="1" applyFill="1" applyBorder="1" applyAlignment="1">
      <alignment horizontal="center" vertical="center"/>
    </xf>
    <xf numFmtId="0" fontId="91" fillId="38" borderId="3" xfId="0" applyNumberFormat="1" applyFont="1" applyFill="1" applyBorder="1" applyAlignment="1">
      <alignment horizontal="center" vertical="center"/>
    </xf>
    <xf numFmtId="0" fontId="19" fillId="2" borderId="0" xfId="0" applyFont="1" applyFill="1" applyAlignment="1">
      <alignment horizontal="center" vertical="center"/>
    </xf>
    <xf numFmtId="0" fontId="92" fillId="38" borderId="0" xfId="0" applyNumberFormat="1" applyFont="1" applyFill="1" applyAlignment="1">
      <alignment horizontal="center"/>
    </xf>
    <xf numFmtId="0" fontId="98" fillId="0" borderId="0" xfId="0" applyFont="1"/>
    <xf numFmtId="0" fontId="99" fillId="0" borderId="0" xfId="0" applyFont="1"/>
  </cellXfs>
  <cellStyles count="1">
    <cellStyle name="Normal" xfId="0" builtinId="0"/>
  </cellStyles>
  <dxfs count="32">
    <dxf>
      <font>
        <b/>
        <color rgb="FFC62828"/>
      </font>
      <fill>
        <patternFill>
          <bgColor rgb="FFFFE0E0"/>
        </patternFill>
      </fill>
    </dxf>
    <dxf>
      <font>
        <b/>
        <color rgb="FFF57F17"/>
      </font>
      <fill>
        <patternFill>
          <bgColor rgb="FFFFF3CD"/>
        </patternFill>
      </fill>
    </dxf>
    <dxf>
      <font>
        <b/>
        <color rgb="FF1B2A4A"/>
      </font>
      <fill>
        <patternFill>
          <bgColor rgb="FFDBEAFE"/>
        </patternFill>
      </fill>
    </dxf>
    <dxf>
      <font>
        <b/>
        <color rgb="FF00695C"/>
      </font>
      <fill>
        <patternFill>
          <bgColor rgb="FFE0F2F1"/>
        </patternFill>
      </fill>
    </dxf>
    <dxf>
      <font>
        <b/>
        <color rgb="FFD4AF37"/>
      </font>
      <fill>
        <patternFill>
          <bgColor rgb="FF0A0A0A"/>
        </patternFill>
      </fill>
    </dxf>
    <dxf>
      <font>
        <b/>
        <color rgb="FFC62828"/>
      </font>
      <fill>
        <patternFill>
          <bgColor rgb="FFFFE0E0"/>
        </patternFill>
      </fill>
    </dxf>
    <dxf>
      <font>
        <b/>
        <color rgb="FFFFFFFF"/>
      </font>
      <fill>
        <patternFill>
          <bgColor rgb="FF8B0000"/>
        </patternFill>
      </fill>
    </dxf>
    <dxf>
      <font>
        <b/>
        <color rgb="FF2E7D32"/>
      </font>
      <fill>
        <patternFill>
          <bgColor rgb="FFD4EDDA"/>
        </patternFill>
      </fill>
    </dxf>
    <dxf>
      <font>
        <b/>
        <color rgb="FFF57F17"/>
      </font>
      <fill>
        <patternFill>
          <bgColor rgb="FFFFF3CD"/>
        </patternFill>
      </fill>
    </dxf>
    <dxf>
      <font>
        <b/>
        <color rgb="FFC62828"/>
      </font>
      <fill>
        <patternFill>
          <bgColor rgb="FFFFE0E0"/>
        </patternFill>
      </fill>
    </dxf>
    <dxf>
      <font>
        <b/>
        <color rgb="FF2E7D32"/>
      </font>
      <fill>
        <patternFill>
          <bgColor rgb="FFD4EDDA"/>
        </patternFill>
      </fill>
    </dxf>
    <dxf>
      <font>
        <b/>
        <color rgb="FFF57F17"/>
      </font>
      <fill>
        <patternFill>
          <bgColor rgb="FFFFF3CD"/>
        </patternFill>
      </fill>
    </dxf>
    <dxf>
      <font>
        <b/>
        <color rgb="FFC62828"/>
      </font>
      <fill>
        <patternFill>
          <bgColor rgb="FFFFE0E0"/>
        </patternFill>
      </fill>
    </dxf>
    <dxf>
      <font>
        <b/>
        <color rgb="FFF57F17"/>
      </font>
      <fill>
        <patternFill>
          <bgColor rgb="FFFFF3CD"/>
        </patternFill>
      </fill>
    </dxf>
    <dxf>
      <font>
        <b/>
        <color rgb="FF1B2A4A"/>
      </font>
      <fill>
        <patternFill>
          <bgColor rgb="FFDBEAFE"/>
        </patternFill>
      </fill>
    </dxf>
    <dxf>
      <font>
        <b/>
        <color rgb="FF00695C"/>
      </font>
      <fill>
        <patternFill>
          <bgColor rgb="FFE0F2F1"/>
        </patternFill>
      </fill>
    </dxf>
    <dxf>
      <font>
        <b/>
        <color rgb="FF2E7D32"/>
      </font>
      <fill>
        <patternFill>
          <bgColor rgb="FFD4EDDA"/>
        </patternFill>
      </fill>
    </dxf>
    <dxf>
      <font>
        <b/>
        <color rgb="FFC62828"/>
      </font>
      <fill>
        <patternFill>
          <bgColor rgb="FFFFE0E0"/>
        </patternFill>
      </fill>
    </dxf>
    <dxf>
      <font>
        <b/>
        <color rgb="FFC62828"/>
      </font>
      <fill>
        <patternFill>
          <bgColor rgb="FFFFE0E0"/>
        </patternFill>
      </fill>
    </dxf>
    <dxf>
      <font>
        <b/>
        <color rgb="FFF57F17"/>
      </font>
      <fill>
        <patternFill>
          <bgColor rgb="FFFFF3CD"/>
        </patternFill>
      </fill>
    </dxf>
    <dxf>
      <font>
        <b/>
        <color rgb="FF1B2A4A"/>
      </font>
      <fill>
        <patternFill>
          <bgColor rgb="FFDBEAFE"/>
        </patternFill>
      </fill>
    </dxf>
    <dxf>
      <font>
        <b/>
        <color rgb="FF00695C"/>
      </font>
      <fill>
        <patternFill>
          <bgColor rgb="FFE0F2F1"/>
        </patternFill>
      </fill>
    </dxf>
    <dxf>
      <font>
        <b/>
        <color rgb="FF0A0A0A"/>
      </font>
      <fill>
        <patternFill>
          <bgColor rgb="FFD4AF37"/>
        </patternFill>
      </fill>
    </dxf>
    <dxf>
      <font>
        <b/>
        <color rgb="FFC62828"/>
      </font>
      <fill>
        <patternFill>
          <bgColor rgb="FFFFE0E0"/>
        </patternFill>
      </fill>
    </dxf>
    <dxf>
      <font>
        <b/>
        <color rgb="FFF57F17"/>
      </font>
      <fill>
        <patternFill>
          <bgColor rgb="FFFFF3CD"/>
        </patternFill>
      </fill>
    </dxf>
    <dxf>
      <font>
        <b/>
        <color rgb="FF1B2A4A"/>
      </font>
      <fill>
        <patternFill>
          <bgColor rgb="FFDBEAFE"/>
        </patternFill>
      </fill>
    </dxf>
    <dxf>
      <font>
        <b/>
        <color rgb="FF00695C"/>
      </font>
      <fill>
        <patternFill>
          <bgColor rgb="FFE0F2F1"/>
        </patternFill>
      </fill>
    </dxf>
    <dxf>
      <font>
        <b/>
        <color rgb="FF2E7D32"/>
      </font>
      <fill>
        <patternFill>
          <bgColor rgb="FFD4EDDA"/>
        </patternFill>
      </fill>
    </dxf>
    <dxf>
      <font>
        <b/>
        <color rgb="FF7D4E00"/>
      </font>
      <fill>
        <patternFill>
          <bgColor rgb="FFFFF3CD"/>
        </patternFill>
      </fill>
    </dxf>
    <dxf>
      <font>
        <b/>
        <color rgb="FFC62828"/>
      </font>
      <fill>
        <patternFill>
          <bgColor rgb="FFFFE0E0"/>
        </patternFill>
      </fill>
    </dxf>
    <dxf>
      <font>
        <b/>
        <color rgb="FFC62828"/>
      </font>
      <fill>
        <patternFill>
          <bgColor rgb="FFFFE0E0"/>
        </patternFill>
      </fill>
    </dxf>
    <dxf>
      <font>
        <b/>
        <color rgb="FF2E7D32"/>
      </font>
      <fill>
        <patternFill>
          <bgColor rgb="FFD4EDDA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E91E63"/>
      <rgbColor rgb="FF00FF00"/>
      <rgbColor rgb="FF0000FF"/>
      <rgbColor rgb="FFF5E6A3"/>
      <rgbColor rgb="FFFF00FF"/>
      <rgbColor rgb="FFF2F3F4"/>
      <rgbColor rgb="FF8B0000"/>
      <rgbColor rgb="FF145A32"/>
      <rgbColor rgb="FF000080"/>
      <rgbColor rgb="FF7D4E00"/>
      <rgbColor rgb="FF800080"/>
      <rgbColor rgb="FF00695C"/>
      <rgbColor rgb="FFCCCCCC"/>
      <rgbColor rgb="FF607D8B"/>
      <rgbColor rgb="FFEAF2FF"/>
      <rgbColor rgb="FFC62828"/>
      <rgbColor rgb="FFFFFDE7"/>
      <rgbColor rgb="FFE0F2F1"/>
      <rgbColor rgb="FF660066"/>
      <rgbColor rgb="FFF57F17"/>
      <rgbColor rgb="FF1A5276"/>
      <rgbColor rgb="FFD9D9D9"/>
      <rgbColor rgb="FF000080"/>
      <rgbColor rgb="FFFF00FF"/>
      <rgbColor rgb="FFFDEBD0"/>
      <rgbColor rgb="FFFDEDEC"/>
      <rgbColor rgb="FF800080"/>
      <rgbColor rgb="FF800000"/>
      <rgbColor rgb="FF008080"/>
      <rgbColor rgb="FF0000FF"/>
      <rgbColor rgb="FF00CCFF"/>
      <rgbColor rgb="FFEAFAF1"/>
      <rgbColor rgb="FFD4EDDA"/>
      <rgbColor rgb="FFFFF3CD"/>
      <rgbColor rgb="FFDBEAFE"/>
      <rgbColor rgb="FFFFE0E0"/>
      <rgbColor rgb="FFF5EEF8"/>
      <rgbColor rgb="FFFFE0B2"/>
      <rgbColor rgb="FF3366FF"/>
      <rgbColor rgb="FFEBF5FB"/>
      <rgbColor rgb="FFF2F2F2"/>
      <rgbColor rgb="FFD4AF37"/>
      <rgbColor rgb="FFFF9800"/>
      <rgbColor rgb="FFE65100"/>
      <rgbColor rgb="FF4F81BD"/>
      <rgbColor rgb="FFB3B3B3"/>
      <rgbColor rgb="FF1B2A4A"/>
      <rgbColor rgb="FF2E7D32"/>
      <rgbColor rgb="FF0A0A0A"/>
      <rgbColor rgb="FF6E2F16"/>
      <rgbColor rgb="FF78281F"/>
      <rgbColor rgb="FF4D5656"/>
      <rgbColor rgb="FF4A235A"/>
      <rgbColor rgb="FF2C3E5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fr-FR" sz="1800" b="1" strike="noStrike" spc="-1">
                <a:solidFill>
                  <a:srgbClr val="000000"/>
                </a:solidFill>
                <a:latin typeface="Calibri"/>
              </a:rPr>
              <a:t>Urgence GAP par Métier (ajusté retraites)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'07_GAP_ANALYSIS'!$I$7</c:f>
              <c:strCache>
                <c:ptCount val="1"/>
                <c:pt idx="0">
                  <c:v>Urgence
ajustée</c:v>
                </c:pt>
              </c:strCache>
            </c:strRef>
          </c:tx>
          <c:spPr>
            <a:solidFill>
              <a:srgbClr val="4F81BD"/>
            </a:solidFill>
            <a:ln w="0">
              <a:solidFill>
                <a:srgbClr val="0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'07_GAP_ANALYSIS'!$D$8:$D$21</c:f>
              <c:strCache>
                <c:ptCount val="14"/>
                <c:pt idx="0">
                  <c:v>Sellier-maroquinier</c:v>
                </c:pt>
                <c:pt idx="1">
                  <c:v>Coupeur cuir</c:v>
                </c:pt>
                <c:pt idx="2">
                  <c:v>Piqueur main</c:v>
                </c:pt>
                <c:pt idx="3">
                  <c:v>Sertisseur</c:v>
                </c:pt>
                <c:pt idx="4">
                  <c:v>Lapidaire</c:v>
                </c:pt>
                <c:pt idx="5">
                  <c:v>Orfèvre</c:v>
                </c:pt>
                <c:pt idx="6">
                  <c:v>Guillocheur</c:v>
                </c:pt>
                <c:pt idx="7">
                  <c:v>Horloger</c:v>
                </c:pt>
                <c:pt idx="8">
                  <c:v>Émailleur</c:v>
                </c:pt>
                <c:pt idx="9">
                  <c:v>Première main couture</c:v>
                </c:pt>
                <c:pt idx="10">
                  <c:v>Plumassier</c:v>
                </c:pt>
                <c:pt idx="11">
                  <c:v>Brodeur haute couture</c:v>
                </c:pt>
                <c:pt idx="12">
                  <c:v>Nez (parfumeur)</c:v>
                </c:pt>
                <c:pt idx="13">
                  <c:v>Tisserand soie</c:v>
                </c:pt>
              </c:strCache>
            </c:strRef>
          </c:cat>
          <c:val>
            <c:numRef>
              <c:f>'07_GAP_ANALYSIS'!$I$8:$I$21</c:f>
              <c:numCache>
                <c:formatCode>General</c:formatCode>
                <c:ptCount val="14"/>
                <c:pt idx="0">
                  <c:v>-14</c:v>
                </c:pt>
                <c:pt idx="1">
                  <c:v>-6</c:v>
                </c:pt>
                <c:pt idx="2">
                  <c:v>-7</c:v>
                </c:pt>
                <c:pt idx="3">
                  <c:v>-6</c:v>
                </c:pt>
                <c:pt idx="4">
                  <c:v>-2</c:v>
                </c:pt>
                <c:pt idx="5">
                  <c:v>-3</c:v>
                </c:pt>
                <c:pt idx="6">
                  <c:v>-1</c:v>
                </c:pt>
                <c:pt idx="7">
                  <c:v>-12</c:v>
                </c:pt>
                <c:pt idx="8">
                  <c:v>-1</c:v>
                </c:pt>
                <c:pt idx="9">
                  <c:v>-6</c:v>
                </c:pt>
                <c:pt idx="10">
                  <c:v>-2</c:v>
                </c:pt>
                <c:pt idx="11">
                  <c:v>-4</c:v>
                </c:pt>
                <c:pt idx="12">
                  <c:v>-1</c:v>
                </c:pt>
                <c:pt idx="13">
                  <c:v>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49-49D4-9520-E0F59255C9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0321866"/>
        <c:axId val="70796143"/>
      </c:barChart>
      <c:catAx>
        <c:axId val="80321866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fr-FR" sz="1000" b="1" strike="noStrike" spc="-1">
                    <a:solidFill>
                      <a:srgbClr val="000000"/>
                    </a:solidFill>
                    <a:latin typeface="Calibri"/>
                  </a:rPr>
                  <a:t>GAP (FTE)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fr-FR"/>
          </a:p>
        </c:txPr>
        <c:crossAx val="70796143"/>
        <c:crosses val="autoZero"/>
        <c:auto val="1"/>
        <c:lblAlgn val="ctr"/>
        <c:lblOffset val="100"/>
        <c:noMultiLvlLbl val="0"/>
      </c:catAx>
      <c:valAx>
        <c:axId val="70796143"/>
        <c:scaling>
          <c:orientation val="minMax"/>
        </c:scaling>
        <c:delete val="0"/>
        <c:axPos val="b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fr-FR" sz="1000" b="1" strike="noStrike" spc="-1">
                    <a:solidFill>
                      <a:srgbClr val="000000"/>
                    </a:solidFill>
                    <a:latin typeface="Calibri"/>
                  </a:rPr>
                  <a:t>Métier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fr-FR"/>
          </a:p>
        </c:txPr>
        <c:crossAx val="8032186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fr-F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24</xdr:row>
      <xdr:rowOff>0</xdr:rowOff>
    </xdr:from>
    <xdr:to>
      <xdr:col>8</xdr:col>
      <xdr:colOff>135720</xdr:colOff>
      <xdr:row>46</xdr:row>
      <xdr:rowOff>128520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F071C0DF-B8F1-4B72-ABBA-C3073832600B}">
  <we:reference id="wa200009404" version="1.0.0.8" store="en-US" storeType="OMEX"/>
  <we:alternateReferences>
    <we:reference id="wa200009404" version="1.0.0.8" store="" storeType="OMEX"/>
  </we:alternateReferences>
  <we:properties/>
  <we:bindings/>
  <we:snapshot xmlns:r="http://schemas.openxmlformats.org/officeDocument/2006/relationships"/>
</we:webextension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0C9CBC-8FF0-4A21-A84A-2A90AC759425}">
  <dimension ref="A1:F3"/>
  <sheetViews>
    <sheetView workbookViewId="0"/>
  </sheetViews>
  <sheetFormatPr baseColWidth="10" defaultRowHeight="15" x14ac:dyDescent="0.25"/>
  <cols>
    <col min="1" max="1" width="10.42578125" customWidth="1"/>
    <col min="2" max="2" width="17.140625" customWidth="1"/>
    <col min="3" max="3" width="41.85546875" customWidth="1"/>
    <col min="4" max="4" width="38.140625" customWidth="1"/>
    <col min="5" max="5" width="53.28515625" customWidth="1"/>
    <col min="6" max="6" width="38.140625" customWidth="1"/>
  </cols>
  <sheetData>
    <row r="1" spans="1:6" x14ac:dyDescent="0.25">
      <c r="A1" s="200" t="s">
        <v>697</v>
      </c>
      <c r="B1" s="200" t="s">
        <v>698</v>
      </c>
      <c r="C1" s="200" t="s">
        <v>699</v>
      </c>
      <c r="D1" s="200" t="s">
        <v>700</v>
      </c>
      <c r="E1" s="200" t="s">
        <v>701</v>
      </c>
      <c r="F1" s="200" t="s">
        <v>702</v>
      </c>
    </row>
    <row r="2" spans="1:6" ht="60" customHeight="1" x14ac:dyDescent="0.25">
      <c r="A2" s="202">
        <v>1</v>
      </c>
      <c r="B2" s="203">
        <v>46113</v>
      </c>
      <c r="C2" s="202" t="s">
        <v>703</v>
      </c>
      <c r="D2" s="202" t="s">
        <v>704</v>
      </c>
      <c r="E2" s="202" t="s">
        <v>705</v>
      </c>
      <c r="F2" s="202" t="s">
        <v>706</v>
      </c>
    </row>
    <row r="3" spans="1:6" ht="60" customHeight="1" x14ac:dyDescent="0.25">
      <c r="A3" s="202">
        <v>2</v>
      </c>
      <c r="B3" s="203">
        <v>46113</v>
      </c>
      <c r="C3" s="202" t="s">
        <v>746</v>
      </c>
      <c r="D3" s="202" t="s">
        <v>747</v>
      </c>
      <c r="E3" s="202" t="s">
        <v>748</v>
      </c>
      <c r="F3" s="202" t="s">
        <v>749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D4AF37"/>
  </sheetPr>
  <dimension ref="B1:F59"/>
  <sheetViews>
    <sheetView showGridLines="0" topLeftCell="A12" zoomScaleNormal="100" workbookViewId="0">
      <selection activeCell="E27" sqref="E27"/>
    </sheetView>
  </sheetViews>
  <sheetFormatPr baseColWidth="10" defaultColWidth="8.7109375" defaultRowHeight="15" x14ac:dyDescent="0.25"/>
  <cols>
    <col min="1" max="1" width="4" customWidth="1"/>
    <col min="2" max="2" width="32" customWidth="1"/>
    <col min="3" max="3" width="35.140625" customWidth="1"/>
    <col min="4" max="4" width="22" customWidth="1"/>
    <col min="5" max="5" width="24.85546875" customWidth="1"/>
    <col min="6" max="6" width="26" customWidth="1"/>
  </cols>
  <sheetData>
    <row r="1" spans="2:6" ht="21.75" customHeight="1" x14ac:dyDescent="0.25">
      <c r="B1" s="14" t="s">
        <v>0</v>
      </c>
      <c r="C1" s="14"/>
      <c r="D1" s="14"/>
      <c r="E1" s="14"/>
      <c r="F1" s="14"/>
    </row>
    <row r="2" spans="2:6" ht="18" customHeight="1" x14ac:dyDescent="0.25">
      <c r="B2" s="13" t="s">
        <v>1</v>
      </c>
      <c r="C2" s="13"/>
      <c r="D2" s="13"/>
      <c r="E2" s="13"/>
      <c r="F2" s="13"/>
    </row>
    <row r="3" spans="2:6" ht="21.75" customHeight="1" x14ac:dyDescent="0.25"/>
    <row r="4" spans="2:6" ht="24" customHeight="1" x14ac:dyDescent="0.25">
      <c r="B4" s="12" t="s">
        <v>2</v>
      </c>
      <c r="C4" s="12"/>
      <c r="D4" s="12"/>
      <c r="E4" s="12"/>
      <c r="F4" s="12"/>
    </row>
    <row r="5" spans="2:6" ht="21.75" customHeight="1" x14ac:dyDescent="0.25">
      <c r="B5" s="15" t="s">
        <v>3</v>
      </c>
      <c r="C5" s="16"/>
    </row>
    <row r="6" spans="2:6" ht="21.75" customHeight="1" x14ac:dyDescent="0.25">
      <c r="B6" s="15" t="s">
        <v>4</v>
      </c>
      <c r="C6" s="17" t="str">
        <f>IF(C5="","",IF(C5="Hermès","Maroquinerie / Cuir",IF(C5="Chanel","Couture / Parfums",IF(C5="Cartier","Joaillerie / Horlogerie",IF(C5="Boucheron","Joaillerie",IF(C5="Van Cleef &amp; Arpels","Joaillerie",IF(C5="Louis Vuitton","Maroquinerie / Mode",IF(C5="Dior","Couture / Parfums",IF(C5="Berluti","Maroquinerie / Chaussure",IF(C5="Loro Piana","Textile / Cachemire","Multi-métiers"))))))))))</f>
        <v/>
      </c>
    </row>
    <row r="7" spans="2:6" ht="21.75" customHeight="1" x14ac:dyDescent="0.25">
      <c r="B7" s="15" t="s">
        <v>5</v>
      </c>
      <c r="C7" s="16"/>
    </row>
    <row r="8" spans="2:6" ht="21.75" customHeight="1" x14ac:dyDescent="0.25">
      <c r="B8" s="15" t="s">
        <v>6</v>
      </c>
      <c r="C8" s="16"/>
    </row>
    <row r="9" spans="2:6" ht="21.75" customHeight="1" x14ac:dyDescent="0.25">
      <c r="B9" s="15" t="s">
        <v>7</v>
      </c>
      <c r="C9" s="16"/>
    </row>
    <row r="10" spans="2:6" ht="21.75" customHeight="1" x14ac:dyDescent="0.25">
      <c r="B10" s="15" t="s">
        <v>8</v>
      </c>
      <c r="C10" s="16"/>
    </row>
    <row r="11" spans="2:6" ht="21.75" customHeight="1" x14ac:dyDescent="0.25">
      <c r="B11" s="15" t="s">
        <v>9</v>
      </c>
      <c r="C11" s="18" t="str">
        <f>IF(C9=0,"",C10/C9)</f>
        <v/>
      </c>
    </row>
    <row r="12" spans="2:6" ht="21.75" customHeight="1" x14ac:dyDescent="0.25">
      <c r="B12" s="15" t="s">
        <v>10</v>
      </c>
      <c r="C12" s="19">
        <f ca="1">TODAY()</f>
        <v>46113</v>
      </c>
    </row>
    <row r="13" spans="2:6" ht="21.75" customHeight="1" x14ac:dyDescent="0.25">
      <c r="B13" s="15" t="s">
        <v>11</v>
      </c>
      <c r="C13" s="16"/>
    </row>
    <row r="14" spans="2:6" ht="21.75" customHeight="1" x14ac:dyDescent="0.25"/>
    <row r="15" spans="2:6" ht="24" customHeight="1" x14ac:dyDescent="0.25">
      <c r="B15" s="12" t="s">
        <v>12</v>
      </c>
      <c r="C15" s="12"/>
      <c r="D15" s="12"/>
      <c r="E15" s="12"/>
      <c r="F15" s="12"/>
    </row>
    <row r="16" spans="2:6" ht="21.75" customHeight="1" x14ac:dyDescent="0.25">
      <c r="B16" s="20" t="s">
        <v>13</v>
      </c>
      <c r="C16" s="20" t="s">
        <v>14</v>
      </c>
      <c r="D16" s="20" t="s">
        <v>15</v>
      </c>
      <c r="E16" s="20" t="s">
        <v>16</v>
      </c>
    </row>
    <row r="17" spans="2:6" ht="21.75" customHeight="1" x14ac:dyDescent="0.25">
      <c r="B17" s="15" t="s">
        <v>17</v>
      </c>
      <c r="C17" s="21" t="s">
        <v>18</v>
      </c>
      <c r="D17" s="22">
        <v>0.35</v>
      </c>
      <c r="E17" s="23"/>
    </row>
    <row r="18" spans="2:6" ht="21.75" customHeight="1" x14ac:dyDescent="0.25">
      <c r="B18" s="15" t="s">
        <v>19</v>
      </c>
      <c r="C18" s="21" t="s">
        <v>20</v>
      </c>
      <c r="D18" s="22">
        <v>0.2</v>
      </c>
      <c r="E18" s="23"/>
    </row>
    <row r="19" spans="2:6" ht="21.75" customHeight="1" x14ac:dyDescent="0.25">
      <c r="B19" s="15" t="s">
        <v>21</v>
      </c>
      <c r="C19" s="21" t="s">
        <v>20</v>
      </c>
      <c r="D19" s="22">
        <v>0.2</v>
      </c>
      <c r="E19" s="23"/>
    </row>
    <row r="20" spans="2:6" ht="21.75" customHeight="1" x14ac:dyDescent="0.25">
      <c r="B20" s="15" t="s">
        <v>22</v>
      </c>
      <c r="C20" s="21" t="s">
        <v>23</v>
      </c>
      <c r="D20" s="22">
        <v>0.15</v>
      </c>
      <c r="E20" s="23"/>
    </row>
    <row r="21" spans="2:6" ht="21.75" customHeight="1" x14ac:dyDescent="0.25">
      <c r="B21" s="15" t="s">
        <v>24</v>
      </c>
      <c r="C21" s="21" t="s">
        <v>25</v>
      </c>
      <c r="D21" s="22">
        <v>0.1</v>
      </c>
      <c r="E21" s="23"/>
    </row>
    <row r="22" spans="2:6" ht="21.75" customHeight="1" x14ac:dyDescent="0.25">
      <c r="B22" s="20" t="s">
        <v>26</v>
      </c>
      <c r="C22" s="24">
        <f>SUM(D17:D21)</f>
        <v>1</v>
      </c>
      <c r="D22" s="25">
        <f>SUM(D17:D21)</f>
        <v>1</v>
      </c>
      <c r="E22" s="26" t="str">
        <f>IF(ABS(D22-1)&lt;0.001,"✅ Pondération valide","❌ Total = "&amp;TEXT(D22,"0%")&amp;" — Doit = 100%")</f>
        <v>✅ Pondération valide</v>
      </c>
    </row>
    <row r="23" spans="2:6" ht="21.75" customHeight="1" x14ac:dyDescent="0.25"/>
    <row r="24" spans="2:6" ht="24" customHeight="1" x14ac:dyDescent="0.25">
      <c r="B24" s="12" t="s">
        <v>27</v>
      </c>
      <c r="C24" s="12"/>
      <c r="D24" s="12"/>
      <c r="E24" s="12"/>
      <c r="F24" s="12"/>
    </row>
    <row r="25" spans="2:6" ht="21.75" customHeight="1" x14ac:dyDescent="0.25">
      <c r="B25" s="20" t="s">
        <v>28</v>
      </c>
      <c r="C25" s="20" t="s">
        <v>29</v>
      </c>
      <c r="D25" s="20" t="s">
        <v>30</v>
      </c>
      <c r="E25" s="20" t="s">
        <v>31</v>
      </c>
    </row>
    <row r="26" spans="2:6" ht="21.75" customHeight="1" x14ac:dyDescent="0.25">
      <c r="B26" s="27" t="s">
        <v>32</v>
      </c>
      <c r="C26" s="21">
        <v>0.85</v>
      </c>
      <c r="D26" s="28" t="s">
        <v>33</v>
      </c>
      <c r="E26" s="29" t="s">
        <v>34</v>
      </c>
    </row>
    <row r="27" spans="2:6" ht="21.75" customHeight="1" x14ac:dyDescent="0.25">
      <c r="B27" s="30" t="s">
        <v>35</v>
      </c>
      <c r="C27" s="21">
        <v>0.7</v>
      </c>
      <c r="D27" s="28" t="s">
        <v>36</v>
      </c>
      <c r="E27" s="31" t="s">
        <v>37</v>
      </c>
    </row>
    <row r="28" spans="2:6" ht="21.75" customHeight="1" x14ac:dyDescent="0.25">
      <c r="B28" s="32" t="s">
        <v>38</v>
      </c>
      <c r="C28" s="21">
        <v>0.55000000000000004</v>
      </c>
      <c r="D28" s="28" t="s">
        <v>39</v>
      </c>
      <c r="E28" s="33" t="s">
        <v>40</v>
      </c>
    </row>
    <row r="29" spans="2:6" ht="21.75" customHeight="1" x14ac:dyDescent="0.25">
      <c r="B29" s="34" t="s">
        <v>41</v>
      </c>
      <c r="C29" s="21">
        <v>0.4</v>
      </c>
      <c r="D29" s="28" t="s">
        <v>42</v>
      </c>
      <c r="E29" s="35" t="s">
        <v>43</v>
      </c>
    </row>
    <row r="30" spans="2:6" ht="21.75" customHeight="1" x14ac:dyDescent="0.25">
      <c r="B30" s="36" t="s">
        <v>44</v>
      </c>
      <c r="C30" s="21">
        <v>0</v>
      </c>
      <c r="D30" s="28" t="s">
        <v>45</v>
      </c>
      <c r="E30" s="37" t="s">
        <v>46</v>
      </c>
    </row>
    <row r="31" spans="2:6" ht="21.75" customHeight="1" x14ac:dyDescent="0.25"/>
    <row r="32" spans="2:6" ht="21.75" customHeight="1" x14ac:dyDescent="0.25"/>
    <row r="33" spans="2:6" ht="24" customHeight="1" x14ac:dyDescent="0.25">
      <c r="B33" s="12" t="s">
        <v>47</v>
      </c>
      <c r="C33" s="12"/>
      <c r="D33" s="12"/>
      <c r="E33" s="12"/>
      <c r="F33" s="12"/>
    </row>
    <row r="34" spans="2:6" ht="21.75" customHeight="1" x14ac:dyDescent="0.25">
      <c r="B34" s="20" t="s">
        <v>48</v>
      </c>
      <c r="C34" s="20" t="s">
        <v>49</v>
      </c>
      <c r="D34" s="20"/>
      <c r="E34" s="20" t="s">
        <v>50</v>
      </c>
    </row>
    <row r="35" spans="2:6" ht="21.75" customHeight="1" x14ac:dyDescent="0.25">
      <c r="B35" s="38" t="s">
        <v>51</v>
      </c>
      <c r="C35" s="39" t="s">
        <v>52</v>
      </c>
      <c r="E35" s="40" t="s">
        <v>53</v>
      </c>
    </row>
    <row r="36" spans="2:6" ht="21.75" customHeight="1" x14ac:dyDescent="0.25">
      <c r="B36" s="38" t="s">
        <v>54</v>
      </c>
      <c r="C36" s="39" t="s">
        <v>55</v>
      </c>
      <c r="E36" s="40" t="s">
        <v>56</v>
      </c>
    </row>
    <row r="37" spans="2:6" ht="21.75" customHeight="1" x14ac:dyDescent="0.25">
      <c r="B37" s="38" t="s">
        <v>57</v>
      </c>
      <c r="C37" s="39" t="s">
        <v>58</v>
      </c>
      <c r="E37" s="40" t="s">
        <v>59</v>
      </c>
    </row>
    <row r="38" spans="2:6" ht="21.75" customHeight="1" x14ac:dyDescent="0.25">
      <c r="B38" s="38" t="s">
        <v>60</v>
      </c>
      <c r="C38" s="39" t="s">
        <v>61</v>
      </c>
      <c r="E38" s="40" t="s">
        <v>62</v>
      </c>
    </row>
    <row r="39" spans="2:6" ht="21.75" customHeight="1" x14ac:dyDescent="0.25">
      <c r="B39" s="38" t="s">
        <v>63</v>
      </c>
      <c r="C39" s="39" t="s">
        <v>64</v>
      </c>
      <c r="E39" s="40" t="s">
        <v>65</v>
      </c>
    </row>
    <row r="40" spans="2:6" ht="21.75" customHeight="1" x14ac:dyDescent="0.25">
      <c r="B40" s="38" t="s">
        <v>66</v>
      </c>
      <c r="C40" s="39" t="s">
        <v>67</v>
      </c>
      <c r="E40" s="40" t="s">
        <v>68</v>
      </c>
    </row>
    <row r="41" spans="2:6" ht="21.75" customHeight="1" x14ac:dyDescent="0.25">
      <c r="B41" s="231" t="s">
        <v>734</v>
      </c>
      <c r="C41" s="232" t="s">
        <v>735</v>
      </c>
      <c r="E41" s="233" t="s">
        <v>736</v>
      </c>
    </row>
    <row r="42" spans="2:6" ht="21.75" customHeight="1" x14ac:dyDescent="0.25">
      <c r="B42" s="221" t="s">
        <v>723</v>
      </c>
      <c r="C42" s="206"/>
      <c r="D42" s="206"/>
      <c r="E42" s="206"/>
      <c r="F42" s="206"/>
    </row>
    <row r="43" spans="2:6" ht="21.75" customHeight="1" x14ac:dyDescent="0.25">
      <c r="B43" s="209" t="s">
        <v>724</v>
      </c>
      <c r="C43" s="209">
        <v>4300</v>
      </c>
      <c r="D43" s="209" t="s">
        <v>725</v>
      </c>
      <c r="E43" s="209" t="s">
        <v>726</v>
      </c>
    </row>
    <row r="44" spans="2:6" ht="25.5" customHeight="1" x14ac:dyDescent="0.25">
      <c r="B44" s="222" t="s">
        <v>743</v>
      </c>
      <c r="C44" s="241"/>
      <c r="D44" s="240"/>
      <c r="E44" s="223"/>
      <c r="F44" s="242"/>
    </row>
    <row r="45" spans="2:6" ht="21.75" customHeight="1" x14ac:dyDescent="0.25">
      <c r="B45" s="224" t="s">
        <v>727</v>
      </c>
      <c r="C45" s="225">
        <v>3</v>
      </c>
      <c r="D45" s="226" t="s">
        <v>728</v>
      </c>
      <c r="E45" s="227" t="s">
        <v>729</v>
      </c>
    </row>
    <row r="46" spans="2:6" ht="21.75" customHeight="1" x14ac:dyDescent="0.25">
      <c r="B46" s="224" t="s">
        <v>730</v>
      </c>
      <c r="C46" s="225">
        <v>55</v>
      </c>
      <c r="D46" s="226" t="s">
        <v>728</v>
      </c>
      <c r="E46" s="227" t="s">
        <v>731</v>
      </c>
    </row>
    <row r="47" spans="2:6" ht="21.75" customHeight="1" x14ac:dyDescent="0.25">
      <c r="B47" s="228" t="s">
        <v>732</v>
      </c>
      <c r="C47" s="229">
        <f>C48-C45</f>
        <v>61</v>
      </c>
      <c r="D47" s="230" t="s">
        <v>728</v>
      </c>
      <c r="E47" s="230" t="s">
        <v>733</v>
      </c>
    </row>
    <row r="48" spans="2:6" ht="21.75" customHeight="1" x14ac:dyDescent="0.25">
      <c r="B48" s="244" t="s">
        <v>744</v>
      </c>
      <c r="C48" s="243">
        <v>64</v>
      </c>
      <c r="D48" t="s">
        <v>728</v>
      </c>
      <c r="E48" s="245" t="s">
        <v>745</v>
      </c>
    </row>
    <row r="49" ht="21.75" customHeight="1" x14ac:dyDescent="0.25"/>
    <row r="50" ht="21.75" customHeight="1" x14ac:dyDescent="0.25"/>
    <row r="51" ht="21.75" customHeight="1" x14ac:dyDescent="0.25"/>
    <row r="52" ht="21.75" customHeight="1" x14ac:dyDescent="0.25"/>
    <row r="53" ht="21.75" customHeight="1" x14ac:dyDescent="0.25"/>
    <row r="54" ht="21.75" customHeight="1" x14ac:dyDescent="0.25"/>
    <row r="55" ht="21.75" customHeight="1" x14ac:dyDescent="0.25"/>
    <row r="56" ht="21.75" customHeight="1" x14ac:dyDescent="0.25"/>
    <row r="57" ht="21.75" customHeight="1" x14ac:dyDescent="0.25"/>
    <row r="58" ht="21.75" customHeight="1" x14ac:dyDescent="0.25"/>
    <row r="59" ht="21.75" customHeight="1" x14ac:dyDescent="0.25"/>
  </sheetData>
  <mergeCells count="7">
    <mergeCell ref="B33:F33"/>
    <mergeCell ref="B44:F44"/>
    <mergeCell ref="B1:F1"/>
    <mergeCell ref="B2:F2"/>
    <mergeCell ref="B4:F4"/>
    <mergeCell ref="B15:F15"/>
    <mergeCell ref="B24:F24"/>
  </mergeCells>
  <conditionalFormatting sqref="E22">
    <cfRule type="expression" dxfId="31" priority="2">
      <formula>LEFT(E22,1)="✅"</formula>
    </cfRule>
    <cfRule type="expression" dxfId="30" priority="3">
      <formula>LEFT(E22,1)="❌"</formula>
    </cfRule>
  </conditionalFormatting>
  <dataValidations count="3">
    <dataValidation type="list" allowBlank="1" errorTitle="Valeur invalide" error="Sélectionnez une maison de la liste" sqref="C5" xr:uid="{00000000-0002-0000-0000-000000000000}">
      <formula1>"Hermès,Louis Vuitton,Chanel,Dior,Cartier,Boucheron,Van Cleef &amp; Arpels,Berluti,Loro Piana,Personnalisé"</formula1>
      <formula2>0</formula2>
    </dataValidation>
    <dataValidation type="list" allowBlank="1" sqref="C7" xr:uid="{00000000-0002-0000-0000-000001000000}">
      <formula1>"France,Italie,Suisse,Espagne,Royaume-Uni,Allemagne,USA,Japon,Autre"</formula1>
      <formula2>0</formula2>
    </dataValidation>
    <dataValidation type="whole" operator="greaterThanOrEqual" allowBlank="1" sqref="C8:C10" xr:uid="{00000000-0002-0000-0000-000002000000}">
      <formula1>0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B2A4A"/>
  </sheetPr>
  <dimension ref="B1:P59"/>
  <sheetViews>
    <sheetView showGridLines="0" topLeftCell="A2" zoomScaleNormal="100" workbookViewId="0">
      <selection activeCell="D5" sqref="D5"/>
    </sheetView>
  </sheetViews>
  <sheetFormatPr baseColWidth="10" defaultColWidth="8.7109375" defaultRowHeight="15" x14ac:dyDescent="0.25"/>
  <cols>
    <col min="1" max="1" width="4" customWidth="1"/>
    <col min="2" max="2" width="6" customWidth="1"/>
    <col min="3" max="3" width="18" customWidth="1"/>
    <col min="4" max="4" width="22" customWidth="1"/>
    <col min="5" max="5" width="10" customWidth="1"/>
    <col min="6" max="6" width="17" customWidth="1"/>
    <col min="7" max="7" width="10" customWidth="1"/>
    <col min="8" max="8" width="34" customWidth="1"/>
    <col min="9" max="9" width="18" customWidth="1"/>
    <col min="10" max="12" width="12" customWidth="1"/>
    <col min="13" max="13" width="8" customWidth="1"/>
    <col min="14" max="14" width="10" customWidth="1"/>
    <col min="15" max="16" width="12" customWidth="1"/>
  </cols>
  <sheetData>
    <row r="1" spans="2:16" ht="30" customHeight="1" x14ac:dyDescent="0.25">
      <c r="B1" s="10" t="s">
        <v>70</v>
      </c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</row>
    <row r="2" spans="2:16" ht="15.75" customHeight="1" x14ac:dyDescent="0.25">
      <c r="B2" s="9" t="s">
        <v>71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</row>
    <row r="3" spans="2:16" ht="39.75" customHeight="1" x14ac:dyDescent="0.25">
      <c r="B3" s="41" t="s">
        <v>72</v>
      </c>
      <c r="C3" s="41" t="s">
        <v>73</v>
      </c>
      <c r="D3" s="41" t="s">
        <v>74</v>
      </c>
      <c r="E3" s="41" t="s">
        <v>75</v>
      </c>
      <c r="F3" s="41" t="s">
        <v>76</v>
      </c>
      <c r="G3" s="41" t="s">
        <v>77</v>
      </c>
      <c r="H3" s="41" t="s">
        <v>78</v>
      </c>
      <c r="I3" s="41" t="s">
        <v>79</v>
      </c>
      <c r="J3" s="41" t="s">
        <v>80</v>
      </c>
      <c r="K3" s="41" t="s">
        <v>81</v>
      </c>
      <c r="L3" s="41" t="s">
        <v>82</v>
      </c>
      <c r="M3" s="41" t="s">
        <v>83</v>
      </c>
      <c r="N3" s="41" t="s">
        <v>84</v>
      </c>
      <c r="O3" s="41" t="s">
        <v>85</v>
      </c>
      <c r="P3" s="41" t="s">
        <v>86</v>
      </c>
    </row>
    <row r="4" spans="2:16" ht="19.5" customHeight="1" x14ac:dyDescent="0.25">
      <c r="B4" s="42" t="s">
        <v>87</v>
      </c>
      <c r="C4" s="43" t="s">
        <v>88</v>
      </c>
      <c r="D4" s="44" t="s">
        <v>89</v>
      </c>
      <c r="E4" s="45">
        <v>9</v>
      </c>
      <c r="F4" s="46" t="s">
        <v>90</v>
      </c>
      <c r="G4" s="47" t="str">
        <f t="shared" ref="G4:G33" si="0">IF(E4&gt;=9,"🔴 Critique",IF(E4&gt;=7,"🟡 Tendu","🟢 OK"))</f>
        <v>🔴 Critique</v>
      </c>
      <c r="H4" s="48" t="s">
        <v>91</v>
      </c>
      <c r="I4" s="49" t="s">
        <v>92</v>
      </c>
      <c r="J4" s="50">
        <v>42000</v>
      </c>
      <c r="K4" s="46">
        <v>68000</v>
      </c>
      <c r="L4" s="50">
        <v>36000</v>
      </c>
      <c r="M4" s="51">
        <v>3200</v>
      </c>
      <c r="N4" s="37" t="s">
        <v>93</v>
      </c>
      <c r="O4" s="52" t="s">
        <v>94</v>
      </c>
      <c r="P4" s="53" t="s">
        <v>94</v>
      </c>
    </row>
    <row r="5" spans="2:16" ht="19.5" customHeight="1" x14ac:dyDescent="0.25">
      <c r="B5" s="42" t="s">
        <v>95</v>
      </c>
      <c r="C5" s="43" t="s">
        <v>88</v>
      </c>
      <c r="D5" s="44" t="s">
        <v>96</v>
      </c>
      <c r="E5" s="54">
        <v>7</v>
      </c>
      <c r="F5" s="46" t="s">
        <v>97</v>
      </c>
      <c r="G5" s="47" t="str">
        <f t="shared" si="0"/>
        <v>🟡 Tendu</v>
      </c>
      <c r="H5" s="48" t="s">
        <v>98</v>
      </c>
      <c r="I5" s="49" t="s">
        <v>99</v>
      </c>
      <c r="J5" s="50">
        <v>34000</v>
      </c>
      <c r="K5" s="46">
        <v>55000</v>
      </c>
      <c r="L5" s="50">
        <v>30000</v>
      </c>
      <c r="M5" s="51">
        <v>4800</v>
      </c>
      <c r="N5" s="37" t="s">
        <v>93</v>
      </c>
      <c r="O5" s="55" t="s">
        <v>100</v>
      </c>
      <c r="P5" s="55" t="s">
        <v>100</v>
      </c>
    </row>
    <row r="6" spans="2:16" ht="19.5" customHeight="1" x14ac:dyDescent="0.25">
      <c r="B6" s="42" t="s">
        <v>101</v>
      </c>
      <c r="C6" s="43" t="s">
        <v>88</v>
      </c>
      <c r="D6" s="44" t="s">
        <v>102</v>
      </c>
      <c r="E6" s="54">
        <v>8</v>
      </c>
      <c r="F6" s="46" t="s">
        <v>103</v>
      </c>
      <c r="G6" s="47" t="str">
        <f t="shared" si="0"/>
        <v>🟡 Tendu</v>
      </c>
      <c r="H6" s="48" t="s">
        <v>104</v>
      </c>
      <c r="I6" s="49" t="s">
        <v>105</v>
      </c>
      <c r="J6" s="50">
        <v>36000</v>
      </c>
      <c r="K6" s="46">
        <v>60000</v>
      </c>
      <c r="L6" s="50">
        <v>32000</v>
      </c>
      <c r="M6" s="51">
        <v>2100</v>
      </c>
      <c r="N6" s="37" t="s">
        <v>93</v>
      </c>
      <c r="O6" s="52" t="s">
        <v>94</v>
      </c>
      <c r="P6" s="55" t="s">
        <v>100</v>
      </c>
    </row>
    <row r="7" spans="2:16" ht="19.5" customHeight="1" x14ac:dyDescent="0.25">
      <c r="B7" s="42" t="s">
        <v>106</v>
      </c>
      <c r="C7" s="43" t="s">
        <v>88</v>
      </c>
      <c r="D7" s="44" t="s">
        <v>107</v>
      </c>
      <c r="E7" s="52">
        <v>6</v>
      </c>
      <c r="F7" s="46" t="s">
        <v>108</v>
      </c>
      <c r="G7" s="47" t="str">
        <f t="shared" si="0"/>
        <v>🟢 OK</v>
      </c>
      <c r="H7" s="48" t="s">
        <v>109</v>
      </c>
      <c r="I7" s="49" t="s">
        <v>99</v>
      </c>
      <c r="J7" s="50">
        <v>31000</v>
      </c>
      <c r="K7" s="46">
        <v>50000</v>
      </c>
      <c r="L7" s="50">
        <v>28000</v>
      </c>
      <c r="M7" s="51">
        <v>1500</v>
      </c>
      <c r="N7" s="56" t="s">
        <v>110</v>
      </c>
      <c r="O7" s="55" t="s">
        <v>100</v>
      </c>
      <c r="P7" s="55" t="s">
        <v>100</v>
      </c>
    </row>
    <row r="8" spans="2:16" ht="19.5" customHeight="1" x14ac:dyDescent="0.25">
      <c r="B8" s="42" t="s">
        <v>111</v>
      </c>
      <c r="C8" s="57" t="s">
        <v>112</v>
      </c>
      <c r="D8" s="44" t="s">
        <v>113</v>
      </c>
      <c r="E8" s="45">
        <v>9</v>
      </c>
      <c r="F8" s="46" t="s">
        <v>90</v>
      </c>
      <c r="G8" s="47" t="str">
        <f t="shared" si="0"/>
        <v>🔴 Critique</v>
      </c>
      <c r="H8" s="48" t="s">
        <v>114</v>
      </c>
      <c r="I8" s="49" t="s">
        <v>115</v>
      </c>
      <c r="J8" s="50">
        <v>45000</v>
      </c>
      <c r="K8" s="46">
        <v>72000</v>
      </c>
      <c r="L8" s="50">
        <v>38000</v>
      </c>
      <c r="M8" s="51">
        <v>2800</v>
      </c>
      <c r="N8" s="37" t="s">
        <v>93</v>
      </c>
      <c r="O8" s="52" t="s">
        <v>94</v>
      </c>
      <c r="P8" s="53" t="s">
        <v>94</v>
      </c>
    </row>
    <row r="9" spans="2:16" ht="19.5" customHeight="1" x14ac:dyDescent="0.25">
      <c r="B9" s="42" t="s">
        <v>116</v>
      </c>
      <c r="C9" s="57" t="s">
        <v>112</v>
      </c>
      <c r="D9" s="44" t="s">
        <v>117</v>
      </c>
      <c r="E9" s="54">
        <v>7</v>
      </c>
      <c r="F9" s="46" t="s">
        <v>97</v>
      </c>
      <c r="G9" s="47" t="str">
        <f t="shared" si="0"/>
        <v>🟡 Tendu</v>
      </c>
      <c r="H9" s="48" t="s">
        <v>118</v>
      </c>
      <c r="I9" s="49" t="s">
        <v>99</v>
      </c>
      <c r="J9" s="50">
        <v>32000</v>
      </c>
      <c r="K9" s="46">
        <v>52000</v>
      </c>
      <c r="L9" s="50">
        <v>28000</v>
      </c>
      <c r="M9" s="51">
        <v>3400</v>
      </c>
      <c r="N9" s="56" t="s">
        <v>110</v>
      </c>
      <c r="O9" s="55" t="s">
        <v>100</v>
      </c>
      <c r="P9" s="55" t="s">
        <v>100</v>
      </c>
    </row>
    <row r="10" spans="2:16" ht="19.5" customHeight="1" x14ac:dyDescent="0.25">
      <c r="B10" s="42" t="s">
        <v>119</v>
      </c>
      <c r="C10" s="57" t="s">
        <v>112</v>
      </c>
      <c r="D10" s="44" t="s">
        <v>120</v>
      </c>
      <c r="E10" s="45">
        <v>10</v>
      </c>
      <c r="F10" s="46" t="s">
        <v>121</v>
      </c>
      <c r="G10" s="47" t="str">
        <f t="shared" si="0"/>
        <v>🔴 Critique</v>
      </c>
      <c r="H10" s="48" t="s">
        <v>122</v>
      </c>
      <c r="I10" s="49" t="s">
        <v>123</v>
      </c>
      <c r="J10" s="50">
        <v>55000</v>
      </c>
      <c r="K10" s="46">
        <v>88000</v>
      </c>
      <c r="L10" s="50">
        <v>45000</v>
      </c>
      <c r="M10" s="51">
        <v>620</v>
      </c>
      <c r="N10" s="37" t="s">
        <v>93</v>
      </c>
      <c r="O10" s="52" t="s">
        <v>94</v>
      </c>
      <c r="P10" s="53" t="s">
        <v>94</v>
      </c>
    </row>
    <row r="11" spans="2:16" ht="19.5" customHeight="1" x14ac:dyDescent="0.25">
      <c r="B11" s="42" t="s">
        <v>124</v>
      </c>
      <c r="C11" s="57" t="s">
        <v>112</v>
      </c>
      <c r="D11" s="44" t="s">
        <v>125</v>
      </c>
      <c r="E11" s="54">
        <v>8</v>
      </c>
      <c r="F11" s="46" t="s">
        <v>103</v>
      </c>
      <c r="G11" s="47" t="str">
        <f t="shared" si="0"/>
        <v>🟡 Tendu</v>
      </c>
      <c r="H11" s="48" t="s">
        <v>126</v>
      </c>
      <c r="I11" s="49" t="s">
        <v>92</v>
      </c>
      <c r="J11" s="50">
        <v>42000</v>
      </c>
      <c r="K11" s="46">
        <v>68000</v>
      </c>
      <c r="L11" s="50">
        <v>36000</v>
      </c>
      <c r="M11" s="51">
        <v>1900</v>
      </c>
      <c r="N11" s="37" t="s">
        <v>93</v>
      </c>
      <c r="O11" s="52" t="s">
        <v>94</v>
      </c>
      <c r="P11" s="53" t="s">
        <v>94</v>
      </c>
    </row>
    <row r="12" spans="2:16" ht="19.5" customHeight="1" x14ac:dyDescent="0.25">
      <c r="B12" s="42" t="s">
        <v>127</v>
      </c>
      <c r="C12" s="57" t="s">
        <v>112</v>
      </c>
      <c r="D12" s="44" t="s">
        <v>128</v>
      </c>
      <c r="E12" s="45">
        <v>10</v>
      </c>
      <c r="F12" s="46" t="s">
        <v>129</v>
      </c>
      <c r="G12" s="47" t="str">
        <f t="shared" si="0"/>
        <v>🔴 Critique</v>
      </c>
      <c r="H12" s="48" t="s">
        <v>130</v>
      </c>
      <c r="I12" s="49" t="s">
        <v>131</v>
      </c>
      <c r="J12" s="50">
        <v>65000</v>
      </c>
      <c r="K12" s="46">
        <v>95000</v>
      </c>
      <c r="L12" s="50">
        <v>52000</v>
      </c>
      <c r="M12" s="51">
        <v>180</v>
      </c>
      <c r="N12" s="37" t="s">
        <v>93</v>
      </c>
      <c r="O12" s="52" t="s">
        <v>94</v>
      </c>
      <c r="P12" s="53" t="s">
        <v>94</v>
      </c>
    </row>
    <row r="13" spans="2:16" ht="19.5" customHeight="1" x14ac:dyDescent="0.25">
      <c r="B13" s="42" t="s">
        <v>132</v>
      </c>
      <c r="C13" s="58" t="s">
        <v>133</v>
      </c>
      <c r="D13" s="44" t="s">
        <v>134</v>
      </c>
      <c r="E13" s="54">
        <v>8</v>
      </c>
      <c r="F13" s="46" t="s">
        <v>90</v>
      </c>
      <c r="G13" s="47" t="str">
        <f t="shared" si="0"/>
        <v>🟡 Tendu</v>
      </c>
      <c r="H13" s="48" t="s">
        <v>135</v>
      </c>
      <c r="I13" s="49" t="s">
        <v>131</v>
      </c>
      <c r="J13" s="50">
        <v>48000</v>
      </c>
      <c r="K13" s="46">
        <v>85000</v>
      </c>
      <c r="L13" s="50">
        <v>38000</v>
      </c>
      <c r="M13" s="51">
        <v>3600</v>
      </c>
      <c r="N13" s="37" t="s">
        <v>93</v>
      </c>
      <c r="O13" s="55" t="s">
        <v>100</v>
      </c>
      <c r="P13" s="53" t="s">
        <v>94</v>
      </c>
    </row>
    <row r="14" spans="2:16" ht="19.5" customHeight="1" x14ac:dyDescent="0.25">
      <c r="B14" s="42" t="s">
        <v>136</v>
      </c>
      <c r="C14" s="58" t="s">
        <v>133</v>
      </c>
      <c r="D14" s="44" t="s">
        <v>137</v>
      </c>
      <c r="E14" s="45">
        <v>9</v>
      </c>
      <c r="F14" s="46" t="s">
        <v>138</v>
      </c>
      <c r="G14" s="47" t="str">
        <f t="shared" si="0"/>
        <v>🔴 Critique</v>
      </c>
      <c r="H14" s="48" t="s">
        <v>139</v>
      </c>
      <c r="I14" s="49" t="s">
        <v>140</v>
      </c>
      <c r="J14" s="50">
        <v>58000</v>
      </c>
      <c r="K14" s="46">
        <v>92000</v>
      </c>
      <c r="L14" s="59" t="s">
        <v>141</v>
      </c>
      <c r="M14" s="51">
        <v>280</v>
      </c>
      <c r="N14" s="37" t="s">
        <v>93</v>
      </c>
      <c r="O14" s="52" t="s">
        <v>94</v>
      </c>
      <c r="P14" s="53" t="s">
        <v>94</v>
      </c>
    </row>
    <row r="15" spans="2:16" ht="19.5" customHeight="1" x14ac:dyDescent="0.25">
      <c r="B15" s="42" t="s">
        <v>142</v>
      </c>
      <c r="C15" s="58" t="s">
        <v>133</v>
      </c>
      <c r="D15" s="44" t="s">
        <v>143</v>
      </c>
      <c r="E15" s="45">
        <v>10</v>
      </c>
      <c r="F15" s="46" t="s">
        <v>129</v>
      </c>
      <c r="G15" s="47" t="str">
        <f t="shared" si="0"/>
        <v>🔴 Critique</v>
      </c>
      <c r="H15" s="48" t="s">
        <v>144</v>
      </c>
      <c r="I15" s="49" t="s">
        <v>131</v>
      </c>
      <c r="J15" s="50">
        <v>70000</v>
      </c>
      <c r="K15" s="46">
        <v>110000</v>
      </c>
      <c r="L15" s="59" t="s">
        <v>141</v>
      </c>
      <c r="M15" s="51">
        <v>95</v>
      </c>
      <c r="N15" s="37" t="s">
        <v>93</v>
      </c>
      <c r="O15" s="52" t="s">
        <v>94</v>
      </c>
      <c r="P15" s="53" t="s">
        <v>94</v>
      </c>
    </row>
    <row r="16" spans="2:16" ht="19.5" customHeight="1" x14ac:dyDescent="0.25">
      <c r="B16" s="42" t="s">
        <v>145</v>
      </c>
      <c r="C16" s="60" t="s">
        <v>146</v>
      </c>
      <c r="D16" s="44" t="s">
        <v>147</v>
      </c>
      <c r="E16" s="45">
        <v>9</v>
      </c>
      <c r="F16" s="46" t="s">
        <v>138</v>
      </c>
      <c r="G16" s="47" t="str">
        <f t="shared" si="0"/>
        <v>🔴 Critique</v>
      </c>
      <c r="H16" s="48" t="s">
        <v>148</v>
      </c>
      <c r="I16" s="49" t="s">
        <v>99</v>
      </c>
      <c r="J16" s="50">
        <v>46000</v>
      </c>
      <c r="K16" s="59" t="s">
        <v>141</v>
      </c>
      <c r="L16" s="50">
        <v>36000</v>
      </c>
      <c r="M16" s="51">
        <v>890</v>
      </c>
      <c r="N16" s="37" t="s">
        <v>93</v>
      </c>
      <c r="O16" s="52" t="s">
        <v>94</v>
      </c>
      <c r="P16" s="53" t="s">
        <v>94</v>
      </c>
    </row>
    <row r="17" spans="2:16" ht="19.5" customHeight="1" x14ac:dyDescent="0.25">
      <c r="B17" s="42" t="s">
        <v>149</v>
      </c>
      <c r="C17" s="60" t="s">
        <v>146</v>
      </c>
      <c r="D17" s="44" t="s">
        <v>150</v>
      </c>
      <c r="E17" s="45">
        <v>10</v>
      </c>
      <c r="F17" s="46" t="s">
        <v>121</v>
      </c>
      <c r="G17" s="47" t="str">
        <f t="shared" si="0"/>
        <v>🔴 Critique</v>
      </c>
      <c r="H17" s="48" t="s">
        <v>151</v>
      </c>
      <c r="I17" s="49" t="s">
        <v>99</v>
      </c>
      <c r="J17" s="50">
        <v>52000</v>
      </c>
      <c r="K17" s="59" t="s">
        <v>141</v>
      </c>
      <c r="L17" s="59" t="s">
        <v>141</v>
      </c>
      <c r="M17" s="51">
        <v>140</v>
      </c>
      <c r="N17" s="37" t="s">
        <v>93</v>
      </c>
      <c r="O17" s="52" t="s">
        <v>94</v>
      </c>
      <c r="P17" s="53" t="s">
        <v>94</v>
      </c>
    </row>
    <row r="18" spans="2:16" ht="19.5" customHeight="1" x14ac:dyDescent="0.25">
      <c r="B18" s="42" t="s">
        <v>152</v>
      </c>
      <c r="C18" s="60" t="s">
        <v>146</v>
      </c>
      <c r="D18" s="44" t="s">
        <v>153</v>
      </c>
      <c r="E18" s="54">
        <v>8</v>
      </c>
      <c r="F18" s="46" t="s">
        <v>103</v>
      </c>
      <c r="G18" s="47" t="str">
        <f t="shared" si="0"/>
        <v>🟡 Tendu</v>
      </c>
      <c r="H18" s="48" t="s">
        <v>154</v>
      </c>
      <c r="I18" s="49" t="s">
        <v>99</v>
      </c>
      <c r="J18" s="50">
        <v>40000</v>
      </c>
      <c r="K18" s="59" t="s">
        <v>141</v>
      </c>
      <c r="L18" s="50">
        <v>32000</v>
      </c>
      <c r="M18" s="51">
        <v>650</v>
      </c>
      <c r="N18" s="37" t="s">
        <v>93</v>
      </c>
      <c r="O18" s="52" t="s">
        <v>94</v>
      </c>
      <c r="P18" s="53" t="s">
        <v>94</v>
      </c>
    </row>
    <row r="19" spans="2:16" ht="19.5" customHeight="1" x14ac:dyDescent="0.25">
      <c r="B19" s="42" t="s">
        <v>155</v>
      </c>
      <c r="C19" s="60" t="s">
        <v>146</v>
      </c>
      <c r="D19" s="44" t="s">
        <v>156</v>
      </c>
      <c r="E19" s="45">
        <v>9</v>
      </c>
      <c r="F19" s="46" t="s">
        <v>90</v>
      </c>
      <c r="G19" s="47" t="str">
        <f t="shared" si="0"/>
        <v>🔴 Critique</v>
      </c>
      <c r="H19" s="48" t="s">
        <v>157</v>
      </c>
      <c r="I19" s="49" t="s">
        <v>99</v>
      </c>
      <c r="J19" s="50">
        <v>44000</v>
      </c>
      <c r="K19" s="59" t="s">
        <v>141</v>
      </c>
      <c r="L19" s="50">
        <v>34000</v>
      </c>
      <c r="M19" s="51">
        <v>320</v>
      </c>
      <c r="N19" s="37" t="s">
        <v>93</v>
      </c>
      <c r="O19" s="52" t="s">
        <v>94</v>
      </c>
      <c r="P19" s="55" t="s">
        <v>100</v>
      </c>
    </row>
    <row r="20" spans="2:16" ht="19.5" customHeight="1" x14ac:dyDescent="0.25">
      <c r="B20" s="42" t="s">
        <v>158</v>
      </c>
      <c r="C20" s="61" t="s">
        <v>159</v>
      </c>
      <c r="D20" s="44" t="s">
        <v>160</v>
      </c>
      <c r="E20" s="45">
        <v>10</v>
      </c>
      <c r="F20" s="46" t="s">
        <v>161</v>
      </c>
      <c r="G20" s="47" t="str">
        <f t="shared" si="0"/>
        <v>🔴 Critique</v>
      </c>
      <c r="H20" s="48" t="s">
        <v>162</v>
      </c>
      <c r="I20" s="49" t="s">
        <v>163</v>
      </c>
      <c r="J20" s="50">
        <v>95000</v>
      </c>
      <c r="K20" s="46">
        <v>145000</v>
      </c>
      <c r="L20" s="50">
        <v>70000</v>
      </c>
      <c r="M20" s="51">
        <v>420</v>
      </c>
      <c r="N20" s="56" t="s">
        <v>110</v>
      </c>
      <c r="O20" s="52" t="s">
        <v>94</v>
      </c>
      <c r="P20" s="55" t="s">
        <v>100</v>
      </c>
    </row>
    <row r="21" spans="2:16" ht="19.5" customHeight="1" x14ac:dyDescent="0.25">
      <c r="B21" s="42" t="s">
        <v>164</v>
      </c>
      <c r="C21" s="62" t="s">
        <v>165</v>
      </c>
      <c r="D21" s="44" t="s">
        <v>166</v>
      </c>
      <c r="E21" s="54">
        <v>8</v>
      </c>
      <c r="F21" s="46" t="s">
        <v>90</v>
      </c>
      <c r="G21" s="47" t="str">
        <f t="shared" si="0"/>
        <v>🟡 Tendu</v>
      </c>
      <c r="H21" s="48" t="s">
        <v>167</v>
      </c>
      <c r="I21" s="49" t="s">
        <v>92</v>
      </c>
      <c r="J21" s="50">
        <v>36000</v>
      </c>
      <c r="K21" s="46">
        <v>58000</v>
      </c>
      <c r="L21" s="50">
        <v>30000</v>
      </c>
      <c r="M21" s="51">
        <v>1200</v>
      </c>
      <c r="N21" s="37" t="s">
        <v>93</v>
      </c>
      <c r="O21" s="52" t="s">
        <v>94</v>
      </c>
      <c r="P21" s="55" t="s">
        <v>100</v>
      </c>
    </row>
    <row r="22" spans="2:16" ht="19.5" customHeight="1" x14ac:dyDescent="0.25">
      <c r="B22" s="42" t="s">
        <v>168</v>
      </c>
      <c r="C22" s="62" t="s">
        <v>165</v>
      </c>
      <c r="D22" s="44" t="s">
        <v>169</v>
      </c>
      <c r="E22" s="45">
        <v>9</v>
      </c>
      <c r="F22" s="46" t="s">
        <v>138</v>
      </c>
      <c r="G22" s="47" t="str">
        <f t="shared" si="0"/>
        <v>🔴 Critique</v>
      </c>
      <c r="H22" s="48" t="s">
        <v>170</v>
      </c>
      <c r="I22" s="49" t="s">
        <v>99</v>
      </c>
      <c r="J22" s="50">
        <v>42000</v>
      </c>
      <c r="K22" s="46">
        <v>65000</v>
      </c>
      <c r="L22" s="50">
        <v>34000</v>
      </c>
      <c r="M22" s="51">
        <v>380</v>
      </c>
      <c r="N22" s="37" t="s">
        <v>93</v>
      </c>
      <c r="O22" s="52" t="s">
        <v>94</v>
      </c>
      <c r="P22" s="53" t="s">
        <v>94</v>
      </c>
    </row>
    <row r="23" spans="2:16" ht="19.5" customHeight="1" x14ac:dyDescent="0.25">
      <c r="B23" s="42" t="s">
        <v>171</v>
      </c>
      <c r="C23" s="63" t="s">
        <v>172</v>
      </c>
      <c r="D23" s="44" t="s">
        <v>173</v>
      </c>
      <c r="E23" s="45">
        <v>9</v>
      </c>
      <c r="F23" s="46" t="s">
        <v>90</v>
      </c>
      <c r="G23" s="47" t="str">
        <f t="shared" si="0"/>
        <v>🔴 Critique</v>
      </c>
      <c r="H23" s="48" t="s">
        <v>174</v>
      </c>
      <c r="I23" s="49" t="s">
        <v>92</v>
      </c>
      <c r="J23" s="50">
        <v>38000</v>
      </c>
      <c r="K23" s="46">
        <v>60000</v>
      </c>
      <c r="L23" s="50">
        <v>32000</v>
      </c>
      <c r="M23" s="51">
        <v>560</v>
      </c>
      <c r="N23" s="37" t="s">
        <v>93</v>
      </c>
      <c r="O23" s="52" t="s">
        <v>94</v>
      </c>
      <c r="P23" s="53" t="s">
        <v>94</v>
      </c>
    </row>
    <row r="24" spans="2:16" ht="19.5" customHeight="1" x14ac:dyDescent="0.25">
      <c r="B24" s="42" t="s">
        <v>175</v>
      </c>
      <c r="C24" s="63" t="s">
        <v>172</v>
      </c>
      <c r="D24" s="44" t="s">
        <v>176</v>
      </c>
      <c r="E24" s="54">
        <v>8</v>
      </c>
      <c r="F24" s="46" t="s">
        <v>103</v>
      </c>
      <c r="G24" s="47" t="str">
        <f t="shared" si="0"/>
        <v>🟡 Tendu</v>
      </c>
      <c r="H24" s="48" t="s">
        <v>177</v>
      </c>
      <c r="I24" s="49" t="s">
        <v>99</v>
      </c>
      <c r="J24" s="50">
        <v>35000</v>
      </c>
      <c r="K24" s="46">
        <v>55000</v>
      </c>
      <c r="L24" s="50">
        <v>28000</v>
      </c>
      <c r="M24" s="51">
        <v>340</v>
      </c>
      <c r="N24" s="37" t="s">
        <v>93</v>
      </c>
      <c r="O24" s="52" t="s">
        <v>94</v>
      </c>
      <c r="P24" s="55" t="s">
        <v>100</v>
      </c>
    </row>
    <row r="25" spans="2:16" ht="19.5" customHeight="1" x14ac:dyDescent="0.25">
      <c r="B25" s="42" t="s">
        <v>178</v>
      </c>
      <c r="C25" s="63" t="s">
        <v>172</v>
      </c>
      <c r="D25" s="44" t="s">
        <v>179</v>
      </c>
      <c r="E25" s="54">
        <v>7</v>
      </c>
      <c r="F25" s="46" t="s">
        <v>103</v>
      </c>
      <c r="G25" s="47" t="str">
        <f t="shared" si="0"/>
        <v>🟡 Tendu</v>
      </c>
      <c r="H25" s="48" t="s">
        <v>180</v>
      </c>
      <c r="I25" s="49" t="s">
        <v>181</v>
      </c>
      <c r="J25" s="50">
        <v>32000</v>
      </c>
      <c r="K25" s="46">
        <v>52000</v>
      </c>
      <c r="L25" s="50">
        <v>28000</v>
      </c>
      <c r="M25" s="51">
        <v>480</v>
      </c>
      <c r="N25" s="37" t="s">
        <v>93</v>
      </c>
      <c r="O25" s="55" t="s">
        <v>100</v>
      </c>
      <c r="P25" s="55" t="s">
        <v>100</v>
      </c>
    </row>
    <row r="26" spans="2:16" ht="19.5" customHeight="1" x14ac:dyDescent="0.25">
      <c r="B26" s="42" t="s">
        <v>182</v>
      </c>
      <c r="C26" s="43" t="s">
        <v>88</v>
      </c>
      <c r="D26" s="44" t="s">
        <v>183</v>
      </c>
      <c r="E26" s="54">
        <v>7</v>
      </c>
      <c r="F26" s="46" t="s">
        <v>97</v>
      </c>
      <c r="G26" s="47" t="str">
        <f t="shared" si="0"/>
        <v>🟡 Tendu</v>
      </c>
      <c r="H26" s="48" t="s">
        <v>184</v>
      </c>
      <c r="I26" s="49" t="s">
        <v>99</v>
      </c>
      <c r="J26" s="50">
        <v>30000</v>
      </c>
      <c r="K26" s="46">
        <v>48000</v>
      </c>
      <c r="L26" s="50">
        <v>26000</v>
      </c>
      <c r="M26" s="51">
        <v>620</v>
      </c>
      <c r="N26" s="37" t="s">
        <v>93</v>
      </c>
      <c r="O26" s="55" t="s">
        <v>100</v>
      </c>
      <c r="P26" s="55" t="s">
        <v>100</v>
      </c>
    </row>
    <row r="27" spans="2:16" ht="19.5" customHeight="1" x14ac:dyDescent="0.25">
      <c r="B27" s="42" t="s">
        <v>185</v>
      </c>
      <c r="C27" s="57" t="s">
        <v>112</v>
      </c>
      <c r="D27" s="44" t="s">
        <v>186</v>
      </c>
      <c r="E27" s="52">
        <v>6</v>
      </c>
      <c r="F27" s="46" t="s">
        <v>97</v>
      </c>
      <c r="G27" s="47" t="str">
        <f t="shared" si="0"/>
        <v>🟢 OK</v>
      </c>
      <c r="H27" s="48" t="s">
        <v>187</v>
      </c>
      <c r="I27" s="49" t="s">
        <v>92</v>
      </c>
      <c r="J27" s="50">
        <v>38000</v>
      </c>
      <c r="K27" s="46">
        <v>58000</v>
      </c>
      <c r="L27" s="50">
        <v>32000</v>
      </c>
      <c r="M27" s="51">
        <v>1200</v>
      </c>
      <c r="N27" s="56" t="s">
        <v>110</v>
      </c>
      <c r="O27" s="55" t="s">
        <v>100</v>
      </c>
      <c r="P27" s="55" t="s">
        <v>100</v>
      </c>
    </row>
    <row r="28" spans="2:16" ht="19.5" customHeight="1" x14ac:dyDescent="0.25">
      <c r="B28" s="42" t="s">
        <v>188</v>
      </c>
      <c r="C28" s="58" t="s">
        <v>133</v>
      </c>
      <c r="D28" s="44" t="s">
        <v>189</v>
      </c>
      <c r="E28" s="54">
        <v>8</v>
      </c>
      <c r="F28" s="46" t="s">
        <v>90</v>
      </c>
      <c r="G28" s="47" t="str">
        <f t="shared" si="0"/>
        <v>🟡 Tendu</v>
      </c>
      <c r="H28" s="48" t="s">
        <v>190</v>
      </c>
      <c r="I28" s="49" t="s">
        <v>131</v>
      </c>
      <c r="J28" s="50">
        <v>52000</v>
      </c>
      <c r="K28" s="46">
        <v>82000</v>
      </c>
      <c r="L28" s="59" t="s">
        <v>141</v>
      </c>
      <c r="M28" s="51">
        <v>210</v>
      </c>
      <c r="N28" s="37" t="s">
        <v>93</v>
      </c>
      <c r="O28" s="52" t="s">
        <v>94</v>
      </c>
      <c r="P28" s="55" t="s">
        <v>100</v>
      </c>
    </row>
    <row r="29" spans="2:16" ht="19.5" customHeight="1" x14ac:dyDescent="0.25">
      <c r="B29" s="42" t="s">
        <v>191</v>
      </c>
      <c r="C29" s="60" t="s">
        <v>146</v>
      </c>
      <c r="D29" s="44" t="s">
        <v>192</v>
      </c>
      <c r="E29" s="45">
        <v>9</v>
      </c>
      <c r="F29" s="46" t="s">
        <v>90</v>
      </c>
      <c r="G29" s="47" t="str">
        <f t="shared" si="0"/>
        <v>🔴 Critique</v>
      </c>
      <c r="H29" s="48" t="s">
        <v>157</v>
      </c>
      <c r="I29" s="49" t="s">
        <v>99</v>
      </c>
      <c r="J29" s="50">
        <v>44000</v>
      </c>
      <c r="K29" s="59" t="s">
        <v>141</v>
      </c>
      <c r="L29" s="50">
        <v>34000</v>
      </c>
      <c r="M29" s="51">
        <v>280</v>
      </c>
      <c r="N29" s="37" t="s">
        <v>93</v>
      </c>
      <c r="O29" s="52" t="s">
        <v>94</v>
      </c>
      <c r="P29" s="55" t="s">
        <v>100</v>
      </c>
    </row>
    <row r="30" spans="2:16" ht="19.5" customHeight="1" x14ac:dyDescent="0.25">
      <c r="B30" s="42" t="s">
        <v>193</v>
      </c>
      <c r="C30" s="61" t="s">
        <v>159</v>
      </c>
      <c r="D30" s="44" t="s">
        <v>194</v>
      </c>
      <c r="E30" s="54">
        <v>7</v>
      </c>
      <c r="F30" s="46" t="s">
        <v>90</v>
      </c>
      <c r="G30" s="47" t="str">
        <f t="shared" si="0"/>
        <v>🟡 Tendu</v>
      </c>
      <c r="H30" s="48" t="s">
        <v>195</v>
      </c>
      <c r="I30" s="49" t="s">
        <v>99</v>
      </c>
      <c r="J30" s="50">
        <v>48000</v>
      </c>
      <c r="K30" s="46">
        <v>75000</v>
      </c>
      <c r="L30" s="50">
        <v>38000</v>
      </c>
      <c r="M30" s="51">
        <v>850</v>
      </c>
      <c r="N30" s="56" t="s">
        <v>110</v>
      </c>
      <c r="O30" s="55" t="s">
        <v>100</v>
      </c>
      <c r="P30" s="55" t="s">
        <v>100</v>
      </c>
    </row>
    <row r="31" spans="2:16" ht="19.5" customHeight="1" x14ac:dyDescent="0.25">
      <c r="B31" s="42" t="s">
        <v>196</v>
      </c>
      <c r="C31" s="62" t="s">
        <v>165</v>
      </c>
      <c r="D31" s="44" t="s">
        <v>197</v>
      </c>
      <c r="E31" s="45">
        <v>9</v>
      </c>
      <c r="F31" s="46" t="s">
        <v>138</v>
      </c>
      <c r="G31" s="47" t="str">
        <f t="shared" si="0"/>
        <v>🔴 Critique</v>
      </c>
      <c r="H31" s="48" t="s">
        <v>198</v>
      </c>
      <c r="I31" s="49" t="s">
        <v>99</v>
      </c>
      <c r="J31" s="50">
        <v>45000</v>
      </c>
      <c r="K31" s="46">
        <v>70000</v>
      </c>
      <c r="L31" s="50">
        <v>36000</v>
      </c>
      <c r="M31" s="51">
        <v>190</v>
      </c>
      <c r="N31" s="37" t="s">
        <v>93</v>
      </c>
      <c r="O31" s="52" t="s">
        <v>94</v>
      </c>
      <c r="P31" s="53" t="s">
        <v>94</v>
      </c>
    </row>
    <row r="32" spans="2:16" ht="19.5" customHeight="1" x14ac:dyDescent="0.25">
      <c r="B32" s="42" t="s">
        <v>199</v>
      </c>
      <c r="C32" s="63" t="s">
        <v>172</v>
      </c>
      <c r="D32" s="44" t="s">
        <v>200</v>
      </c>
      <c r="E32" s="45">
        <v>10</v>
      </c>
      <c r="F32" s="46" t="s">
        <v>129</v>
      </c>
      <c r="G32" s="47" t="str">
        <f t="shared" si="0"/>
        <v>🔴 Critique</v>
      </c>
      <c r="H32" s="48" t="s">
        <v>201</v>
      </c>
      <c r="I32" s="49" t="s">
        <v>115</v>
      </c>
      <c r="J32" s="50">
        <v>42000</v>
      </c>
      <c r="K32" s="59" t="s">
        <v>141</v>
      </c>
      <c r="L32" s="50">
        <v>34000</v>
      </c>
      <c r="M32" s="51">
        <v>95</v>
      </c>
      <c r="N32" s="37" t="s">
        <v>93</v>
      </c>
      <c r="O32" s="52" t="s">
        <v>94</v>
      </c>
      <c r="P32" s="53" t="s">
        <v>94</v>
      </c>
    </row>
    <row r="33" spans="2:16" ht="19.5" customHeight="1" x14ac:dyDescent="0.25">
      <c r="B33" s="42" t="s">
        <v>202</v>
      </c>
      <c r="C33" s="43" t="s">
        <v>88</v>
      </c>
      <c r="D33" s="44" t="s">
        <v>203</v>
      </c>
      <c r="E33" s="54">
        <v>8</v>
      </c>
      <c r="F33" s="46" t="s">
        <v>90</v>
      </c>
      <c r="G33" s="47" t="str">
        <f t="shared" si="0"/>
        <v>🟡 Tendu</v>
      </c>
      <c r="H33" s="48" t="s">
        <v>204</v>
      </c>
      <c r="I33" s="49" t="s">
        <v>99</v>
      </c>
      <c r="J33" s="50">
        <v>38000</v>
      </c>
      <c r="K33" s="46">
        <v>62000</v>
      </c>
      <c r="L33" s="50">
        <v>30000</v>
      </c>
      <c r="M33" s="51">
        <v>760</v>
      </c>
      <c r="N33" s="37" t="s">
        <v>93</v>
      </c>
      <c r="O33" s="52" t="s">
        <v>94</v>
      </c>
      <c r="P33" s="53" t="s">
        <v>94</v>
      </c>
    </row>
    <row r="34" spans="2:16" ht="19.5" customHeight="1" x14ac:dyDescent="0.25">
      <c r="B34" s="8" t="s">
        <v>205</v>
      </c>
      <c r="C34" s="8"/>
      <c r="D34" s="8"/>
      <c r="E34" s="64">
        <f>AVERAGE(E4:E33)</f>
        <v>8.4</v>
      </c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</row>
    <row r="35" spans="2:16" ht="19.5" customHeight="1" x14ac:dyDescent="0.25"/>
    <row r="36" spans="2:16" ht="21.75" customHeight="1" x14ac:dyDescent="0.25">
      <c r="B36" s="7" t="s">
        <v>206</v>
      </c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</row>
    <row r="37" spans="2:16" ht="19.5" customHeight="1" x14ac:dyDescent="0.25">
      <c r="B37" s="20" t="s">
        <v>73</v>
      </c>
      <c r="C37" s="20" t="s">
        <v>207</v>
      </c>
      <c r="D37" s="20" t="s">
        <v>208</v>
      </c>
      <c r="E37" s="20" t="s">
        <v>209</v>
      </c>
      <c r="F37" s="20" t="s">
        <v>210</v>
      </c>
    </row>
    <row r="38" spans="2:16" ht="19.5" customHeight="1" x14ac:dyDescent="0.25">
      <c r="B38" s="66" t="s">
        <v>88</v>
      </c>
      <c r="C38" s="67">
        <f t="shared" ref="C38:C44" si="1">COUNTIF($C$4:$C$33,B38)</f>
        <v>6</v>
      </c>
      <c r="D38" s="68">
        <f t="shared" ref="D38:D44" si="2">IFERROR(AVERAGEIF($C$4:$C$33,B38,$E$4:$E$33),"—")</f>
        <v>7.5</v>
      </c>
      <c r="E38" s="69">
        <f t="shared" ref="E38:E44" si="3">IFERROR(SUMIF($C$4:$C$33,B38,$M$4:$M$33),"—")</f>
        <v>12980</v>
      </c>
      <c r="F38" s="70">
        <f t="shared" ref="F38:F44" si="4">IFERROR(COUNTIFS($C$4:$C$33,B38,$E$4:$E$33,"&gt;=9")/COUNTIF($C$4:$C$33,B38),"—")</f>
        <v>0.16666666666666666</v>
      </c>
    </row>
    <row r="39" spans="2:16" ht="19.5" customHeight="1" x14ac:dyDescent="0.25">
      <c r="B39" s="71" t="s">
        <v>112</v>
      </c>
      <c r="C39" s="67">
        <f t="shared" si="1"/>
        <v>6</v>
      </c>
      <c r="D39" s="68">
        <f t="shared" si="2"/>
        <v>8.3333333333333339</v>
      </c>
      <c r="E39" s="69">
        <f t="shared" si="3"/>
        <v>10100</v>
      </c>
      <c r="F39" s="70">
        <f t="shared" si="4"/>
        <v>0.5</v>
      </c>
    </row>
    <row r="40" spans="2:16" ht="19.5" customHeight="1" x14ac:dyDescent="0.25">
      <c r="B40" s="72" t="s">
        <v>133</v>
      </c>
      <c r="C40" s="67">
        <f t="shared" si="1"/>
        <v>4</v>
      </c>
      <c r="D40" s="68">
        <f t="shared" si="2"/>
        <v>8.75</v>
      </c>
      <c r="E40" s="69">
        <f t="shared" si="3"/>
        <v>4185</v>
      </c>
      <c r="F40" s="70">
        <f t="shared" si="4"/>
        <v>0.5</v>
      </c>
    </row>
    <row r="41" spans="2:16" ht="19.5" customHeight="1" x14ac:dyDescent="0.25">
      <c r="B41" s="73" t="s">
        <v>146</v>
      </c>
      <c r="C41" s="67">
        <f t="shared" si="1"/>
        <v>5</v>
      </c>
      <c r="D41" s="68">
        <f t="shared" si="2"/>
        <v>9</v>
      </c>
      <c r="E41" s="69">
        <f t="shared" si="3"/>
        <v>2280</v>
      </c>
      <c r="F41" s="70">
        <f t="shared" si="4"/>
        <v>0.8</v>
      </c>
    </row>
    <row r="42" spans="2:16" ht="19.5" customHeight="1" x14ac:dyDescent="0.25">
      <c r="B42" s="74" t="s">
        <v>159</v>
      </c>
      <c r="C42" s="67">
        <f t="shared" si="1"/>
        <v>2</v>
      </c>
      <c r="D42" s="68">
        <f t="shared" si="2"/>
        <v>8.5</v>
      </c>
      <c r="E42" s="69">
        <f t="shared" si="3"/>
        <v>1270</v>
      </c>
      <c r="F42" s="70">
        <f t="shared" si="4"/>
        <v>0.5</v>
      </c>
    </row>
    <row r="43" spans="2:16" ht="19.5" customHeight="1" x14ac:dyDescent="0.25">
      <c r="B43" s="75" t="s">
        <v>165</v>
      </c>
      <c r="C43" s="67">
        <f t="shared" si="1"/>
        <v>3</v>
      </c>
      <c r="D43" s="68">
        <f t="shared" si="2"/>
        <v>8.6666666666666661</v>
      </c>
      <c r="E43" s="69">
        <f t="shared" si="3"/>
        <v>1770</v>
      </c>
      <c r="F43" s="70">
        <f t="shared" si="4"/>
        <v>0.66666666666666663</v>
      </c>
    </row>
    <row r="44" spans="2:16" ht="19.5" customHeight="1" x14ac:dyDescent="0.25">
      <c r="B44" s="76" t="s">
        <v>172</v>
      </c>
      <c r="C44" s="67">
        <f t="shared" si="1"/>
        <v>4</v>
      </c>
      <c r="D44" s="68">
        <f t="shared" si="2"/>
        <v>8.5</v>
      </c>
      <c r="E44" s="69">
        <f t="shared" si="3"/>
        <v>1475</v>
      </c>
      <c r="F44" s="70">
        <f t="shared" si="4"/>
        <v>0.5</v>
      </c>
    </row>
    <row r="45" spans="2:16" ht="19.5" customHeight="1" x14ac:dyDescent="0.25"/>
    <row r="46" spans="2:16" ht="19.5" customHeight="1" x14ac:dyDescent="0.25"/>
    <row r="47" spans="2:16" ht="21.75" customHeight="1" x14ac:dyDescent="0.25">
      <c r="B47" s="7" t="s">
        <v>211</v>
      </c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</row>
    <row r="48" spans="2:16" ht="19.5" customHeight="1" x14ac:dyDescent="0.25">
      <c r="B48" s="37" t="s">
        <v>212</v>
      </c>
      <c r="C48" s="6" t="s">
        <v>213</v>
      </c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</row>
    <row r="49" spans="2:16" ht="19.5" customHeight="1" x14ac:dyDescent="0.25">
      <c r="B49" s="33" t="s">
        <v>214</v>
      </c>
      <c r="C49" s="5" t="s">
        <v>215</v>
      </c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</row>
    <row r="50" spans="2:16" ht="19.5" customHeight="1" x14ac:dyDescent="0.25">
      <c r="B50" s="77" t="s">
        <v>216</v>
      </c>
      <c r="C50" s="4" t="s">
        <v>217</v>
      </c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</row>
    <row r="51" spans="2:16" ht="19.5" customHeight="1" x14ac:dyDescent="0.25"/>
    <row r="52" spans="2:16" ht="21.75" customHeight="1" x14ac:dyDescent="0.25">
      <c r="B52" s="11" t="s">
        <v>69</v>
      </c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</row>
    <row r="53" spans="2:16" ht="19.5" customHeight="1" x14ac:dyDescent="0.25"/>
    <row r="54" spans="2:16" ht="19.5" customHeight="1" x14ac:dyDescent="0.25"/>
    <row r="55" spans="2:16" ht="19.5" customHeight="1" x14ac:dyDescent="0.25"/>
    <row r="56" spans="2:16" ht="19.5" customHeight="1" x14ac:dyDescent="0.25"/>
    <row r="57" spans="2:16" ht="19.5" customHeight="1" x14ac:dyDescent="0.25"/>
    <row r="58" spans="2:16" ht="19.5" customHeight="1" x14ac:dyDescent="0.25"/>
    <row r="59" spans="2:16" ht="19.5" customHeight="1" x14ac:dyDescent="0.25"/>
  </sheetData>
  <autoFilter ref="B3:P33" xr:uid="{00000000-0009-0000-0000-000001000000}"/>
  <mergeCells count="9">
    <mergeCell ref="C48:P48"/>
    <mergeCell ref="C49:P49"/>
    <mergeCell ref="C50:P50"/>
    <mergeCell ref="B52:P52"/>
    <mergeCell ref="B1:P1"/>
    <mergeCell ref="B2:P2"/>
    <mergeCell ref="B34:D34"/>
    <mergeCell ref="B36:P36"/>
    <mergeCell ref="B47:P47"/>
  </mergeCells>
  <conditionalFormatting sqref="G4:G33">
    <cfRule type="expression" dxfId="29" priority="2">
      <formula>G4="🔴 Critique"</formula>
    </cfRule>
    <cfRule type="expression" dxfId="28" priority="3">
      <formula>G4="🟡 Tendu"</formula>
    </cfRule>
    <cfRule type="expression" dxfId="27" priority="4">
      <formula>G4="🟢 OK"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A7BE87-11C5-4791-B187-7EB9170D783D}">
  <sheetPr>
    <tabColor rgb="FF4A235A"/>
  </sheetPr>
  <dimension ref="B1:F31"/>
  <sheetViews>
    <sheetView workbookViewId="0"/>
  </sheetViews>
  <sheetFormatPr baseColWidth="10" defaultRowHeight="15" x14ac:dyDescent="0.25"/>
  <cols>
    <col min="1" max="1" width="3.42578125" customWidth="1"/>
    <col min="2" max="2" width="7.5703125" customWidth="1"/>
    <col min="3" max="3" width="34.28515625" customWidth="1"/>
    <col min="4" max="4" width="29.5703125" customWidth="1"/>
    <col min="5" max="5" width="30.42578125" customWidth="1"/>
    <col min="6" max="6" width="18.140625" customWidth="1"/>
  </cols>
  <sheetData>
    <row r="1" spans="2:6" ht="17.25" x14ac:dyDescent="0.3">
      <c r="B1" s="204" t="s">
        <v>707</v>
      </c>
      <c r="C1" s="204"/>
      <c r="D1" s="204"/>
      <c r="E1" s="204"/>
      <c r="F1" s="204"/>
    </row>
    <row r="2" spans="2:6" x14ac:dyDescent="0.25">
      <c r="B2" s="205" t="s">
        <v>708</v>
      </c>
      <c r="C2" s="205"/>
      <c r="D2" s="205"/>
      <c r="E2" s="205"/>
      <c r="F2" s="205"/>
    </row>
    <row r="4" spans="2:6" x14ac:dyDescent="0.25">
      <c r="B4" s="207" t="s">
        <v>709</v>
      </c>
      <c r="C4" s="207"/>
      <c r="D4" s="207"/>
      <c r="E4" s="207"/>
      <c r="F4" s="207"/>
    </row>
    <row r="5" spans="2:6" x14ac:dyDescent="0.25">
      <c r="B5" s="209" t="s">
        <v>282</v>
      </c>
      <c r="C5" s="209" t="s">
        <v>710</v>
      </c>
      <c r="D5" s="209" t="s">
        <v>711</v>
      </c>
      <c r="E5" s="209" t="s">
        <v>712</v>
      </c>
      <c r="F5" s="209" t="s">
        <v>713</v>
      </c>
    </row>
    <row r="6" spans="2:6" x14ac:dyDescent="0.25">
      <c r="B6" s="210">
        <v>1</v>
      </c>
      <c r="C6" s="211" t="s">
        <v>229</v>
      </c>
      <c r="D6" s="212" t="s">
        <v>714</v>
      </c>
      <c r="E6" s="216" t="s">
        <v>17</v>
      </c>
      <c r="F6" s="217">
        <v>0.35</v>
      </c>
    </row>
    <row r="7" spans="2:6" x14ac:dyDescent="0.25">
      <c r="B7" s="210">
        <v>2</v>
      </c>
      <c r="C7" s="211" t="s">
        <v>231</v>
      </c>
      <c r="D7" s="212" t="s">
        <v>714</v>
      </c>
      <c r="E7" s="216" t="s">
        <v>17</v>
      </c>
      <c r="F7" s="217">
        <v>0.35</v>
      </c>
    </row>
    <row r="8" spans="2:6" x14ac:dyDescent="0.25">
      <c r="B8" s="210">
        <v>3</v>
      </c>
      <c r="C8" s="211" t="s">
        <v>233</v>
      </c>
      <c r="D8" s="212" t="s">
        <v>714</v>
      </c>
      <c r="E8" s="216" t="s">
        <v>17</v>
      </c>
      <c r="F8" s="217">
        <v>0.35</v>
      </c>
    </row>
    <row r="9" spans="2:6" x14ac:dyDescent="0.25">
      <c r="B9" s="210">
        <v>4</v>
      </c>
      <c r="C9" s="211" t="s">
        <v>235</v>
      </c>
      <c r="D9" s="212" t="s">
        <v>714</v>
      </c>
      <c r="E9" s="216" t="s">
        <v>17</v>
      </c>
      <c r="F9" s="217">
        <v>0.35</v>
      </c>
    </row>
    <row r="10" spans="2:6" x14ac:dyDescent="0.25">
      <c r="B10" s="210">
        <v>5</v>
      </c>
      <c r="C10" s="211" t="s">
        <v>237</v>
      </c>
      <c r="D10" s="212" t="s">
        <v>714</v>
      </c>
      <c r="E10" s="216" t="s">
        <v>17</v>
      </c>
      <c r="F10" s="217">
        <v>0.35</v>
      </c>
    </row>
    <row r="11" spans="2:6" x14ac:dyDescent="0.25">
      <c r="B11" s="210">
        <v>6</v>
      </c>
      <c r="C11" s="211" t="s">
        <v>240</v>
      </c>
      <c r="D11" s="213" t="s">
        <v>715</v>
      </c>
      <c r="E11" s="216" t="s">
        <v>716</v>
      </c>
      <c r="F11" s="217">
        <v>0.2</v>
      </c>
    </row>
    <row r="12" spans="2:6" x14ac:dyDescent="0.25">
      <c r="B12" s="210">
        <v>7</v>
      </c>
      <c r="C12" s="211" t="s">
        <v>242</v>
      </c>
      <c r="D12" s="213" t="s">
        <v>715</v>
      </c>
      <c r="E12" s="216" t="s">
        <v>716</v>
      </c>
      <c r="F12" s="217">
        <v>0.2</v>
      </c>
    </row>
    <row r="13" spans="2:6" x14ac:dyDescent="0.25">
      <c r="B13" s="210">
        <v>8</v>
      </c>
      <c r="C13" s="211" t="s">
        <v>244</v>
      </c>
      <c r="D13" s="213" t="s">
        <v>715</v>
      </c>
      <c r="E13" s="216" t="s">
        <v>19</v>
      </c>
      <c r="F13" s="217">
        <v>0.2</v>
      </c>
    </row>
    <row r="14" spans="2:6" x14ac:dyDescent="0.25">
      <c r="B14" s="210">
        <v>9</v>
      </c>
      <c r="C14" s="211" t="s">
        <v>246</v>
      </c>
      <c r="D14" s="213" t="s">
        <v>715</v>
      </c>
      <c r="E14" s="216" t="s">
        <v>716</v>
      </c>
      <c r="F14" s="217">
        <v>0.2</v>
      </c>
    </row>
    <row r="15" spans="2:6" x14ac:dyDescent="0.25">
      <c r="B15" s="210">
        <v>10</v>
      </c>
      <c r="C15" s="211" t="s">
        <v>249</v>
      </c>
      <c r="D15" s="214" t="s">
        <v>717</v>
      </c>
      <c r="E15" s="216" t="s">
        <v>22</v>
      </c>
      <c r="F15" s="217">
        <v>0.15</v>
      </c>
    </row>
    <row r="16" spans="2:6" x14ac:dyDescent="0.25">
      <c r="B16" s="210">
        <v>11</v>
      </c>
      <c r="C16" s="211" t="s">
        <v>251</v>
      </c>
      <c r="D16" s="214" t="s">
        <v>717</v>
      </c>
      <c r="E16" s="216" t="s">
        <v>24</v>
      </c>
      <c r="F16" s="217">
        <v>0.1</v>
      </c>
    </row>
    <row r="17" spans="2:6" x14ac:dyDescent="0.25">
      <c r="B17" s="210">
        <v>12</v>
      </c>
      <c r="C17" s="211" t="s">
        <v>253</v>
      </c>
      <c r="D17" s="214" t="s">
        <v>717</v>
      </c>
      <c r="E17" s="216" t="s">
        <v>22</v>
      </c>
      <c r="F17" s="217">
        <v>0.15</v>
      </c>
    </row>
    <row r="18" spans="2:6" x14ac:dyDescent="0.25">
      <c r="B18" s="210">
        <v>13</v>
      </c>
      <c r="C18" s="211" t="s">
        <v>255</v>
      </c>
      <c r="D18" s="214" t="s">
        <v>717</v>
      </c>
      <c r="E18" s="216" t="s">
        <v>24</v>
      </c>
      <c r="F18" s="217">
        <v>0.1</v>
      </c>
    </row>
    <row r="19" spans="2:6" x14ac:dyDescent="0.25">
      <c r="B19" s="210">
        <v>14</v>
      </c>
      <c r="C19" s="211" t="s">
        <v>257</v>
      </c>
      <c r="D19" s="214" t="s">
        <v>717</v>
      </c>
      <c r="E19" s="216" t="s">
        <v>24</v>
      </c>
      <c r="F19" s="217">
        <v>0.1</v>
      </c>
    </row>
    <row r="21" spans="2:6" x14ac:dyDescent="0.25">
      <c r="B21" s="207" t="s">
        <v>718</v>
      </c>
      <c r="C21" s="207"/>
      <c r="D21" s="207"/>
      <c r="E21" s="207"/>
      <c r="F21" s="207"/>
    </row>
    <row r="22" spans="2:6" x14ac:dyDescent="0.25">
      <c r="B22" s="208" t="s">
        <v>13</v>
      </c>
      <c r="C22" s="208" t="s">
        <v>719</v>
      </c>
      <c r="D22" s="208" t="s">
        <v>720</v>
      </c>
      <c r="E22" s="208" t="s">
        <v>721</v>
      </c>
    </row>
    <row r="23" spans="2:6" x14ac:dyDescent="0.25">
      <c r="B23" t="s">
        <v>17</v>
      </c>
      <c r="C23" s="218">
        <f>COUNTIF(E6:E19,"Maîtrise technique")</f>
        <v>5</v>
      </c>
      <c r="D23" s="215">
        <f>AVERAGEIF(E6:E19,"Maîtrise technique",F6:F19)</f>
        <v>0.35</v>
      </c>
      <c r="E23" t="str">
        <f>AVERAGEIF(E6:E19,"Maîtrise technique",F6:F19)*100&amp;"%"</f>
        <v>35%</v>
      </c>
    </row>
    <row r="24" spans="2:6" x14ac:dyDescent="0.25">
      <c r="B24" t="s">
        <v>19</v>
      </c>
      <c r="C24" s="218">
        <f>COUNTIF(E6:E19,"Années d'expérience")</f>
        <v>1</v>
      </c>
      <c r="D24" s="215">
        <f>AVERAGEIF(E6:E19,"Années d'expérience",F6:F19)</f>
        <v>0.2</v>
      </c>
      <c r="E24" t="str">
        <f>AVERAGEIF(E6:E19,"Années d'expérience",F6:F19)*100&amp;"%"</f>
        <v>20%</v>
      </c>
    </row>
    <row r="25" spans="2:6" x14ac:dyDescent="0.25">
      <c r="B25" t="s">
        <v>716</v>
      </c>
      <c r="C25" s="218">
        <f>COUNTIF(E6:E19,"Rareté savoir-faire")</f>
        <v>3</v>
      </c>
      <c r="D25" s="215">
        <f>AVERAGEIF(E6:E19,"Rareté savoir-faire",F6:F19)</f>
        <v>0.20000000000000004</v>
      </c>
      <c r="E25" t="str">
        <f>AVERAGEIF(E6:E19,"Rareté savoir-faire",F6:F19)*100&amp;"%"</f>
        <v>20%</v>
      </c>
    </row>
    <row r="26" spans="2:6" x14ac:dyDescent="0.25">
      <c r="B26" t="s">
        <v>22</v>
      </c>
      <c r="C26" s="218">
        <f>COUNTIF(E6:E19,"Potentiel transmission")</f>
        <v>2</v>
      </c>
      <c r="D26" s="215">
        <f>AVERAGEIF(E6:E19,"Potentiel transmission",F6:F19)</f>
        <v>0.15</v>
      </c>
      <c r="E26" t="str">
        <f>AVERAGEIF(E6:E19,"Potentiel transmission",F6:F19)*100&amp;"%"</f>
        <v>15%</v>
      </c>
    </row>
    <row r="27" spans="2:6" x14ac:dyDescent="0.25">
      <c r="B27" t="s">
        <v>24</v>
      </c>
      <c r="C27" s="218">
        <f>COUNTIF(E6:E19,"Adéquation culturelle")</f>
        <v>3</v>
      </c>
      <c r="D27" s="215">
        <f>AVERAGEIF(E6:E19,"Adéquation culturelle",F6:F19)</f>
        <v>0.10000000000000002</v>
      </c>
      <c r="E27" t="str">
        <f>AVERAGEIF(E6:E19,"Adéquation culturelle",F6:F19)*100&amp;"%"</f>
        <v>10%</v>
      </c>
    </row>
    <row r="29" spans="2:6" x14ac:dyDescent="0.25">
      <c r="B29" s="219" t="s">
        <v>722</v>
      </c>
      <c r="C29" s="219"/>
      <c r="D29" s="219"/>
      <c r="E29" s="219"/>
      <c r="F29" s="219"/>
    </row>
    <row r="31" spans="2:6" x14ac:dyDescent="0.25">
      <c r="B31" s="220" t="s">
        <v>69</v>
      </c>
      <c r="C31" s="220"/>
      <c r="D31" s="220"/>
      <c r="E31" s="220"/>
      <c r="F31" s="220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4A235A"/>
  </sheetPr>
  <dimension ref="B1:N32"/>
  <sheetViews>
    <sheetView showGridLines="0" zoomScaleNormal="100" workbookViewId="0"/>
  </sheetViews>
  <sheetFormatPr baseColWidth="10" defaultColWidth="8.7109375" defaultRowHeight="15" x14ac:dyDescent="0.25"/>
  <cols>
    <col min="1" max="1" width="3" customWidth="1"/>
    <col min="2" max="2" width="30" customWidth="1"/>
    <col min="3" max="13" width="10" customWidth="1"/>
    <col min="14" max="14" width="30" customWidth="1"/>
  </cols>
  <sheetData>
    <row r="1" spans="2:14" ht="30" customHeight="1" x14ac:dyDescent="0.25">
      <c r="B1" s="3" t="s">
        <v>218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2" spans="2:14" ht="15.75" customHeight="1" x14ac:dyDescent="0.25">
      <c r="B2" s="9" t="s">
        <v>219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</row>
    <row r="3" spans="2:14" ht="18" customHeight="1" x14ac:dyDescent="0.25">
      <c r="B3" s="78" t="s">
        <v>220</v>
      </c>
      <c r="C3" s="42" t="s">
        <v>87</v>
      </c>
      <c r="D3" s="42" t="s">
        <v>111</v>
      </c>
      <c r="E3" s="42" t="s">
        <v>119</v>
      </c>
      <c r="F3" s="42" t="s">
        <v>127</v>
      </c>
      <c r="G3" s="42" t="s">
        <v>132</v>
      </c>
      <c r="H3" s="42" t="s">
        <v>142</v>
      </c>
      <c r="I3" s="42" t="s">
        <v>145</v>
      </c>
      <c r="J3" s="42" t="s">
        <v>149</v>
      </c>
      <c r="K3" s="42" t="s">
        <v>158</v>
      </c>
      <c r="L3" s="42" t="s">
        <v>168</v>
      </c>
      <c r="M3" s="42" t="s">
        <v>171</v>
      </c>
      <c r="N3" s="79" t="s">
        <v>221</v>
      </c>
    </row>
    <row r="4" spans="2:14" ht="36" customHeight="1" x14ac:dyDescent="0.25">
      <c r="B4" s="80" t="s">
        <v>222</v>
      </c>
      <c r="C4" s="41" t="s">
        <v>223</v>
      </c>
      <c r="D4" s="41" t="s">
        <v>113</v>
      </c>
      <c r="E4" s="41" t="s">
        <v>120</v>
      </c>
      <c r="F4" s="41" t="s">
        <v>128</v>
      </c>
      <c r="G4" s="41" t="s">
        <v>134</v>
      </c>
      <c r="H4" s="41" t="s">
        <v>143</v>
      </c>
      <c r="I4" s="41" t="s">
        <v>224</v>
      </c>
      <c r="J4" s="41" t="s">
        <v>150</v>
      </c>
      <c r="K4" s="41" t="s">
        <v>225</v>
      </c>
      <c r="L4" s="41" t="s">
        <v>226</v>
      </c>
      <c r="M4" s="41" t="s">
        <v>227</v>
      </c>
      <c r="N4" s="80" t="s">
        <v>50</v>
      </c>
    </row>
    <row r="5" spans="2:14" ht="19.5" customHeight="1" x14ac:dyDescent="0.25">
      <c r="B5" s="2" t="s">
        <v>228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65"/>
    </row>
    <row r="6" spans="2:14" ht="19.5" customHeight="1" x14ac:dyDescent="0.25">
      <c r="B6" s="81" t="s">
        <v>229</v>
      </c>
      <c r="C6" s="82">
        <v>5</v>
      </c>
      <c r="D6" s="82">
        <v>5</v>
      </c>
      <c r="E6" s="82">
        <v>5</v>
      </c>
      <c r="F6" s="83">
        <v>4</v>
      </c>
      <c r="G6" s="84">
        <v>3</v>
      </c>
      <c r="H6" s="83">
        <v>4</v>
      </c>
      <c r="I6" s="83">
        <v>4</v>
      </c>
      <c r="J6" s="82">
        <v>5</v>
      </c>
      <c r="K6" s="82">
        <v>5</v>
      </c>
      <c r="L6" s="82">
        <v>5</v>
      </c>
      <c r="M6" s="82">
        <v>5</v>
      </c>
      <c r="N6" s="85" t="s">
        <v>230</v>
      </c>
    </row>
    <row r="7" spans="2:14" ht="19.5" customHeight="1" x14ac:dyDescent="0.25">
      <c r="B7" s="81" t="s">
        <v>231</v>
      </c>
      <c r="C7" s="82">
        <v>5</v>
      </c>
      <c r="D7" s="82">
        <v>5</v>
      </c>
      <c r="E7" s="82">
        <v>5</v>
      </c>
      <c r="F7" s="82">
        <v>5</v>
      </c>
      <c r="G7" s="82">
        <v>5</v>
      </c>
      <c r="H7" s="82">
        <v>5</v>
      </c>
      <c r="I7" s="82">
        <v>5</v>
      </c>
      <c r="J7" s="82">
        <v>5</v>
      </c>
      <c r="K7" s="28">
        <v>2</v>
      </c>
      <c r="L7" s="82">
        <v>5</v>
      </c>
      <c r="M7" s="83">
        <v>4</v>
      </c>
      <c r="N7" s="85" t="s">
        <v>232</v>
      </c>
    </row>
    <row r="8" spans="2:14" ht="19.5" customHeight="1" x14ac:dyDescent="0.25">
      <c r="B8" s="81" t="s">
        <v>233</v>
      </c>
      <c r="C8" s="83">
        <v>4</v>
      </c>
      <c r="D8" s="83">
        <v>4</v>
      </c>
      <c r="E8" s="82">
        <v>5</v>
      </c>
      <c r="F8" s="82">
        <v>5</v>
      </c>
      <c r="G8" s="82">
        <v>5</v>
      </c>
      <c r="H8" s="83">
        <v>4</v>
      </c>
      <c r="I8" s="82">
        <v>5</v>
      </c>
      <c r="J8" s="83">
        <v>4</v>
      </c>
      <c r="K8" s="86">
        <v>1</v>
      </c>
      <c r="L8" s="83">
        <v>4</v>
      </c>
      <c r="M8" s="84">
        <v>3</v>
      </c>
      <c r="N8" s="85" t="s">
        <v>234</v>
      </c>
    </row>
    <row r="9" spans="2:14" ht="19.5" customHeight="1" x14ac:dyDescent="0.25">
      <c r="B9" s="81" t="s">
        <v>235</v>
      </c>
      <c r="C9" s="82">
        <v>5</v>
      </c>
      <c r="D9" s="82">
        <v>5</v>
      </c>
      <c r="E9" s="82">
        <v>5</v>
      </c>
      <c r="F9" s="82">
        <v>5</v>
      </c>
      <c r="G9" s="82">
        <v>5</v>
      </c>
      <c r="H9" s="82">
        <v>5</v>
      </c>
      <c r="I9" s="82">
        <v>5</v>
      </c>
      <c r="J9" s="82">
        <v>5</v>
      </c>
      <c r="K9" s="84">
        <v>3</v>
      </c>
      <c r="L9" s="82">
        <v>5</v>
      </c>
      <c r="M9" s="82">
        <v>5</v>
      </c>
      <c r="N9" s="85" t="s">
        <v>236</v>
      </c>
    </row>
    <row r="10" spans="2:14" ht="19.5" customHeight="1" x14ac:dyDescent="0.25">
      <c r="B10" s="81" t="s">
        <v>237</v>
      </c>
      <c r="C10" s="82">
        <v>5</v>
      </c>
      <c r="D10" s="82">
        <v>5</v>
      </c>
      <c r="E10" s="82">
        <v>5</v>
      </c>
      <c r="F10" s="82">
        <v>5</v>
      </c>
      <c r="G10" s="82">
        <v>5</v>
      </c>
      <c r="H10" s="82">
        <v>5</v>
      </c>
      <c r="I10" s="84">
        <v>3</v>
      </c>
      <c r="J10" s="84">
        <v>3</v>
      </c>
      <c r="K10" s="86">
        <v>1</v>
      </c>
      <c r="L10" s="82">
        <v>5</v>
      </c>
      <c r="M10" s="83">
        <v>4</v>
      </c>
      <c r="N10" s="85" t="s">
        <v>238</v>
      </c>
    </row>
    <row r="11" spans="2:14" ht="19.5" customHeight="1" x14ac:dyDescent="0.25">
      <c r="B11" s="1" t="s">
        <v>239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87"/>
    </row>
    <row r="12" spans="2:14" ht="19.5" customHeight="1" x14ac:dyDescent="0.25">
      <c r="B12" s="88" t="s">
        <v>240</v>
      </c>
      <c r="C12" s="84">
        <v>3</v>
      </c>
      <c r="D12" s="84">
        <v>3</v>
      </c>
      <c r="E12" s="83">
        <v>4</v>
      </c>
      <c r="F12" s="83">
        <v>4</v>
      </c>
      <c r="G12" s="83">
        <v>4</v>
      </c>
      <c r="H12" s="82">
        <v>5</v>
      </c>
      <c r="I12" s="84">
        <v>3</v>
      </c>
      <c r="J12" s="83">
        <v>4</v>
      </c>
      <c r="K12" s="82">
        <v>5</v>
      </c>
      <c r="L12" s="84">
        <v>3</v>
      </c>
      <c r="M12" s="84">
        <v>3</v>
      </c>
      <c r="N12" s="85" t="s">
        <v>241</v>
      </c>
    </row>
    <row r="13" spans="2:14" ht="19.5" customHeight="1" x14ac:dyDescent="0.25">
      <c r="B13" s="88" t="s">
        <v>242</v>
      </c>
      <c r="C13" s="83">
        <v>4</v>
      </c>
      <c r="D13" s="83">
        <v>4</v>
      </c>
      <c r="E13" s="83">
        <v>4</v>
      </c>
      <c r="F13" s="84">
        <v>3</v>
      </c>
      <c r="G13" s="83">
        <v>4</v>
      </c>
      <c r="H13" s="83">
        <v>4</v>
      </c>
      <c r="I13" s="82">
        <v>5</v>
      </c>
      <c r="J13" s="82">
        <v>5</v>
      </c>
      <c r="K13" s="84">
        <v>3</v>
      </c>
      <c r="L13" s="83">
        <v>4</v>
      </c>
      <c r="M13" s="84">
        <v>3</v>
      </c>
      <c r="N13" s="85" t="s">
        <v>243</v>
      </c>
    </row>
    <row r="14" spans="2:14" ht="19.5" customHeight="1" x14ac:dyDescent="0.25">
      <c r="B14" s="88" t="s">
        <v>244</v>
      </c>
      <c r="C14" s="84">
        <v>3</v>
      </c>
      <c r="D14" s="83">
        <v>4</v>
      </c>
      <c r="E14" s="82">
        <v>5</v>
      </c>
      <c r="F14" s="83">
        <v>4</v>
      </c>
      <c r="G14" s="82">
        <v>5</v>
      </c>
      <c r="H14" s="84">
        <v>3</v>
      </c>
      <c r="I14" s="28">
        <v>2</v>
      </c>
      <c r="J14" s="28">
        <v>2</v>
      </c>
      <c r="K14" s="86">
        <v>1</v>
      </c>
      <c r="L14" s="83">
        <v>4</v>
      </c>
      <c r="M14" s="28">
        <v>2</v>
      </c>
      <c r="N14" s="85" t="s">
        <v>245</v>
      </c>
    </row>
    <row r="15" spans="2:14" ht="19.5" customHeight="1" x14ac:dyDescent="0.25">
      <c r="B15" s="88" t="s">
        <v>246</v>
      </c>
      <c r="C15" s="83">
        <v>4</v>
      </c>
      <c r="D15" s="82">
        <v>5</v>
      </c>
      <c r="E15" s="82">
        <v>5</v>
      </c>
      <c r="F15" s="82">
        <v>5</v>
      </c>
      <c r="G15" s="83">
        <v>4</v>
      </c>
      <c r="H15" s="82">
        <v>5</v>
      </c>
      <c r="I15" s="83">
        <v>4</v>
      </c>
      <c r="J15" s="82">
        <v>5</v>
      </c>
      <c r="K15" s="82">
        <v>5</v>
      </c>
      <c r="L15" s="82">
        <v>5</v>
      </c>
      <c r="M15" s="82">
        <v>5</v>
      </c>
      <c r="N15" s="85" t="s">
        <v>247</v>
      </c>
    </row>
    <row r="16" spans="2:14" ht="19.5" customHeight="1" x14ac:dyDescent="0.25">
      <c r="B16" s="164" t="s">
        <v>248</v>
      </c>
      <c r="C16" s="164"/>
      <c r="D16" s="164"/>
      <c r="E16" s="164"/>
      <c r="F16" s="164"/>
      <c r="G16" s="164"/>
      <c r="H16" s="164"/>
      <c r="I16" s="164"/>
      <c r="J16" s="164"/>
      <c r="K16" s="164"/>
      <c r="L16" s="164"/>
      <c r="M16" s="164"/>
      <c r="N16" s="89"/>
    </row>
    <row r="17" spans="2:14" ht="19.5" customHeight="1" x14ac:dyDescent="0.25">
      <c r="B17" s="90" t="s">
        <v>249</v>
      </c>
      <c r="C17" s="83">
        <v>4</v>
      </c>
      <c r="D17" s="83">
        <v>4</v>
      </c>
      <c r="E17" s="84">
        <v>3</v>
      </c>
      <c r="F17" s="83">
        <v>4</v>
      </c>
      <c r="G17" s="84">
        <v>3</v>
      </c>
      <c r="H17" s="83">
        <v>4</v>
      </c>
      <c r="I17" s="83">
        <v>4</v>
      </c>
      <c r="J17" s="83">
        <v>4</v>
      </c>
      <c r="K17" s="84">
        <v>3</v>
      </c>
      <c r="L17" s="84">
        <v>3</v>
      </c>
      <c r="M17" s="83">
        <v>4</v>
      </c>
      <c r="N17" s="85" t="s">
        <v>250</v>
      </c>
    </row>
    <row r="18" spans="2:14" ht="19.5" customHeight="1" x14ac:dyDescent="0.25">
      <c r="B18" s="90" t="s">
        <v>251</v>
      </c>
      <c r="C18" s="84">
        <v>3</v>
      </c>
      <c r="D18" s="84">
        <v>3</v>
      </c>
      <c r="E18" s="84">
        <v>3</v>
      </c>
      <c r="F18" s="84">
        <v>3</v>
      </c>
      <c r="G18" s="28">
        <v>2</v>
      </c>
      <c r="H18" s="83">
        <v>4</v>
      </c>
      <c r="I18" s="82">
        <v>5</v>
      </c>
      <c r="J18" s="82">
        <v>5</v>
      </c>
      <c r="K18" s="82">
        <v>5</v>
      </c>
      <c r="L18" s="83">
        <v>4</v>
      </c>
      <c r="M18" s="83">
        <v>4</v>
      </c>
      <c r="N18" s="85" t="s">
        <v>252</v>
      </c>
    </row>
    <row r="19" spans="2:14" ht="19.5" customHeight="1" x14ac:dyDescent="0.25">
      <c r="B19" s="90" t="s">
        <v>253</v>
      </c>
      <c r="C19" s="82">
        <v>5</v>
      </c>
      <c r="D19" s="82">
        <v>5</v>
      </c>
      <c r="E19" s="83">
        <v>4</v>
      </c>
      <c r="F19" s="83">
        <v>4</v>
      </c>
      <c r="G19" s="83">
        <v>4</v>
      </c>
      <c r="H19" s="83">
        <v>4</v>
      </c>
      <c r="I19" s="82">
        <v>5</v>
      </c>
      <c r="J19" s="83">
        <v>4</v>
      </c>
      <c r="K19" s="28">
        <v>2</v>
      </c>
      <c r="L19" s="83">
        <v>4</v>
      </c>
      <c r="M19" s="83">
        <v>4</v>
      </c>
      <c r="N19" s="85" t="s">
        <v>254</v>
      </c>
    </row>
    <row r="20" spans="2:14" ht="19.5" customHeight="1" x14ac:dyDescent="0.25">
      <c r="B20" s="90" t="s">
        <v>255</v>
      </c>
      <c r="C20" s="84">
        <v>3</v>
      </c>
      <c r="D20" s="84">
        <v>3</v>
      </c>
      <c r="E20" s="84">
        <v>3</v>
      </c>
      <c r="F20" s="83">
        <v>4</v>
      </c>
      <c r="G20" s="84">
        <v>3</v>
      </c>
      <c r="H20" s="83">
        <v>4</v>
      </c>
      <c r="I20" s="83">
        <v>4</v>
      </c>
      <c r="J20" s="83">
        <v>4</v>
      </c>
      <c r="K20" s="83">
        <v>4</v>
      </c>
      <c r="L20" s="84">
        <v>3</v>
      </c>
      <c r="M20" s="84">
        <v>3</v>
      </c>
      <c r="N20" s="85" t="s">
        <v>256</v>
      </c>
    </row>
    <row r="21" spans="2:14" ht="19.5" customHeight="1" x14ac:dyDescent="0.25">
      <c r="B21" s="90" t="s">
        <v>257</v>
      </c>
      <c r="C21" s="83">
        <v>4</v>
      </c>
      <c r="D21" s="82">
        <v>5</v>
      </c>
      <c r="E21" s="83">
        <v>4</v>
      </c>
      <c r="F21" s="83">
        <v>4</v>
      </c>
      <c r="G21" s="84">
        <v>3</v>
      </c>
      <c r="H21" s="82">
        <v>5</v>
      </c>
      <c r="I21" s="82">
        <v>5</v>
      </c>
      <c r="J21" s="82">
        <v>5</v>
      </c>
      <c r="K21" s="82">
        <v>5</v>
      </c>
      <c r="L21" s="82">
        <v>5</v>
      </c>
      <c r="M21" s="82">
        <v>5</v>
      </c>
      <c r="N21" s="85" t="s">
        <v>258</v>
      </c>
    </row>
    <row r="22" spans="2:14" ht="21.75" customHeight="1" x14ac:dyDescent="0.25">
      <c r="B22" s="91" t="s">
        <v>259</v>
      </c>
      <c r="C22" s="64">
        <f t="shared" ref="C22:M22" si="0">ROUND(SUMPRODUCT((C6:C21)*ISNUMBER(C6:C21),ISNUMBER(C6:C21)*1)/SUMPRODUCT(ISNUMBER(C6:C21)*1)*20,1)</f>
        <v>81.400000000000006</v>
      </c>
      <c r="D22" s="64">
        <f t="shared" si="0"/>
        <v>85.7</v>
      </c>
      <c r="E22" s="64">
        <f t="shared" si="0"/>
        <v>85.7</v>
      </c>
      <c r="F22" s="64">
        <f t="shared" si="0"/>
        <v>84.3</v>
      </c>
      <c r="G22" s="64">
        <f t="shared" si="0"/>
        <v>78.599999999999994</v>
      </c>
      <c r="H22" s="64">
        <f t="shared" si="0"/>
        <v>87.1</v>
      </c>
      <c r="I22" s="64">
        <f t="shared" si="0"/>
        <v>84.3</v>
      </c>
      <c r="J22" s="64">
        <f t="shared" si="0"/>
        <v>85.7</v>
      </c>
      <c r="K22" s="64">
        <f t="shared" si="0"/>
        <v>64.3</v>
      </c>
      <c r="L22" s="64">
        <f t="shared" si="0"/>
        <v>84.3</v>
      </c>
      <c r="M22" s="64">
        <f t="shared" si="0"/>
        <v>77.099999999999994</v>
      </c>
      <c r="N22" s="92" t="s">
        <v>260</v>
      </c>
    </row>
    <row r="24" spans="2:14" ht="24" customHeight="1" x14ac:dyDescent="0.25">
      <c r="B24" s="165" t="s">
        <v>261</v>
      </c>
      <c r="C24" s="165"/>
      <c r="D24" s="165"/>
      <c r="E24" s="165"/>
      <c r="F24" s="165"/>
      <c r="G24" s="165"/>
      <c r="H24" s="165"/>
      <c r="I24" s="165"/>
      <c r="J24" s="165"/>
      <c r="K24" s="165"/>
      <c r="L24" s="165"/>
      <c r="M24" s="165"/>
      <c r="N24" s="165"/>
    </row>
    <row r="25" spans="2:14" ht="18" customHeight="1" x14ac:dyDescent="0.25">
      <c r="B25" s="93" t="s">
        <v>262</v>
      </c>
      <c r="C25" s="166" t="s">
        <v>263</v>
      </c>
      <c r="D25" s="166"/>
      <c r="E25" s="166"/>
      <c r="F25" s="166"/>
      <c r="G25" s="166"/>
      <c r="H25" s="166"/>
      <c r="I25" s="166"/>
      <c r="J25" s="166"/>
      <c r="K25" s="166"/>
      <c r="L25" s="166"/>
      <c r="M25" s="166"/>
      <c r="N25" s="166"/>
    </row>
    <row r="26" spans="2:14" ht="18" customHeight="1" x14ac:dyDescent="0.25">
      <c r="B26" s="20" t="s">
        <v>264</v>
      </c>
      <c r="C26" s="166" t="s">
        <v>265</v>
      </c>
      <c r="D26" s="166"/>
      <c r="E26" s="166"/>
      <c r="F26" s="166"/>
      <c r="G26" s="166"/>
      <c r="H26" s="166"/>
      <c r="I26" s="166"/>
      <c r="J26" s="166"/>
      <c r="K26" s="166"/>
      <c r="L26" s="166"/>
      <c r="M26" s="166"/>
      <c r="N26" s="166"/>
    </row>
    <row r="27" spans="2:14" ht="18" customHeight="1" x14ac:dyDescent="0.25">
      <c r="B27" s="94" t="s">
        <v>266</v>
      </c>
      <c r="C27" s="166" t="s">
        <v>267</v>
      </c>
      <c r="D27" s="166"/>
      <c r="E27" s="166"/>
      <c r="F27" s="166"/>
      <c r="G27" s="166"/>
      <c r="H27" s="166"/>
      <c r="I27" s="166"/>
      <c r="J27" s="166"/>
      <c r="K27" s="166"/>
      <c r="L27" s="166"/>
      <c r="M27" s="166"/>
      <c r="N27" s="166"/>
    </row>
    <row r="28" spans="2:14" ht="18" customHeight="1" x14ac:dyDescent="0.25">
      <c r="B28" s="95" t="s">
        <v>268</v>
      </c>
      <c r="C28" s="166" t="s">
        <v>269</v>
      </c>
      <c r="D28" s="166"/>
      <c r="E28" s="166"/>
      <c r="F28" s="166"/>
      <c r="G28" s="166"/>
      <c r="H28" s="166"/>
      <c r="I28" s="166"/>
      <c r="J28" s="166"/>
      <c r="K28" s="166"/>
      <c r="L28" s="166"/>
      <c r="M28" s="166"/>
      <c r="N28" s="166"/>
    </row>
    <row r="29" spans="2:14" ht="18" customHeight="1" x14ac:dyDescent="0.25">
      <c r="B29" s="96" t="s">
        <v>270</v>
      </c>
      <c r="C29" s="166" t="s">
        <v>271</v>
      </c>
      <c r="D29" s="166"/>
      <c r="E29" s="166"/>
      <c r="F29" s="166"/>
      <c r="G29" s="166"/>
      <c r="H29" s="166"/>
      <c r="I29" s="166"/>
      <c r="J29" s="166"/>
      <c r="K29" s="166"/>
      <c r="L29" s="166"/>
      <c r="M29" s="166"/>
      <c r="N29" s="166"/>
    </row>
    <row r="30" spans="2:14" ht="18" customHeight="1" x14ac:dyDescent="0.25">
      <c r="B30" s="96" t="s">
        <v>272</v>
      </c>
      <c r="C30" s="166" t="s">
        <v>273</v>
      </c>
      <c r="D30" s="166"/>
      <c r="E30" s="166"/>
      <c r="F30" s="166"/>
      <c r="G30" s="166"/>
      <c r="H30" s="166"/>
      <c r="I30" s="166"/>
      <c r="J30" s="166"/>
      <c r="K30" s="166"/>
      <c r="L30" s="166"/>
      <c r="M30" s="166"/>
      <c r="N30" s="166"/>
    </row>
    <row r="32" spans="2:14" ht="21.75" customHeight="1" x14ac:dyDescent="0.25">
      <c r="B32" s="11" t="s">
        <v>69</v>
      </c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</row>
  </sheetData>
  <mergeCells count="13">
    <mergeCell ref="C29:N29"/>
    <mergeCell ref="C30:N30"/>
    <mergeCell ref="B32:N32"/>
    <mergeCell ref="B24:N24"/>
    <mergeCell ref="C25:N25"/>
    <mergeCell ref="C26:N26"/>
    <mergeCell ref="C27:N27"/>
    <mergeCell ref="C28:N28"/>
    <mergeCell ref="B1:N1"/>
    <mergeCell ref="B2:N2"/>
    <mergeCell ref="B5:M5"/>
    <mergeCell ref="B11:M11"/>
    <mergeCell ref="B16:M16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D4AF37"/>
  </sheetPr>
  <dimension ref="B1:S39"/>
  <sheetViews>
    <sheetView showGridLines="0" zoomScaleNormal="100" workbookViewId="0"/>
  </sheetViews>
  <sheetFormatPr baseColWidth="10" defaultColWidth="8.7109375" defaultRowHeight="15" x14ac:dyDescent="0.25"/>
  <cols>
    <col min="1" max="1" width="3" customWidth="1"/>
    <col min="2" max="2" width="5" customWidth="1"/>
    <col min="3" max="3" width="20" customWidth="1"/>
    <col min="4" max="4" width="16" customWidth="1"/>
    <col min="5" max="9" width="10" customWidth="1"/>
    <col min="10" max="10" width="12" customWidth="1"/>
    <col min="11" max="11" width="8" customWidth="1"/>
    <col min="12" max="12" width="20.28515625" customWidth="1"/>
    <col min="13" max="13" width="16" customWidth="1"/>
    <col min="14" max="14" width="14" customWidth="1"/>
    <col min="15" max="15" width="12" customWidth="1"/>
    <col min="16" max="16" width="10" customWidth="1"/>
    <col min="17" max="17" width="22" customWidth="1"/>
    <col min="18" max="19" width="16" customWidth="1"/>
  </cols>
  <sheetData>
    <row r="1" spans="2:19" ht="30" customHeight="1" x14ac:dyDescent="0.25">
      <c r="B1" s="3" t="s">
        <v>274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</row>
    <row r="2" spans="2:19" ht="18" customHeight="1" x14ac:dyDescent="0.25">
      <c r="B2" s="167" t="str">
        <f>IF('01_PARAMETRES'!C5="","Scoring pour : [Maison non définie]","Scoring pour : "&amp;'01_PARAMETRES'!C5)</f>
        <v>Scoring pour : [Maison non définie]</v>
      </c>
      <c r="C2" s="167"/>
      <c r="D2" s="167"/>
      <c r="E2" s="167"/>
      <c r="F2" s="167"/>
      <c r="G2" s="167"/>
      <c r="H2" s="167"/>
      <c r="I2" s="167"/>
      <c r="J2" s="167"/>
      <c r="K2" s="167"/>
      <c r="L2" s="167"/>
      <c r="M2" s="167"/>
      <c r="N2" s="167"/>
      <c r="O2" s="167"/>
      <c r="P2" s="167"/>
      <c r="Q2" s="167"/>
      <c r="R2" s="167"/>
      <c r="S2" s="167"/>
    </row>
    <row r="3" spans="2:19" ht="21.75" customHeight="1" x14ac:dyDescent="0.25">
      <c r="D3" s="97" t="s">
        <v>275</v>
      </c>
      <c r="E3" s="98">
        <f>COUNTA(C7:C106)</f>
        <v>30</v>
      </c>
      <c r="F3" s="97" t="s">
        <v>276</v>
      </c>
      <c r="G3" s="99">
        <f>IFERROR(AVERAGE(J7:J106),"—")</f>
        <v>72.823333333333323</v>
      </c>
      <c r="H3" s="97" t="s">
        <v>277</v>
      </c>
      <c r="I3" s="98">
        <f>COUNTIF(L7:L106,"🟢*")</f>
        <v>30</v>
      </c>
      <c r="J3" s="97" t="s">
        <v>278</v>
      </c>
      <c r="K3" s="98">
        <f>COUNTIF(L7:L106,"🔵*")</f>
        <v>0</v>
      </c>
      <c r="L3" s="97" t="s">
        <v>279</v>
      </c>
      <c r="M3" s="98" t="s">
        <v>280</v>
      </c>
    </row>
    <row r="5" spans="2:19" ht="19.5" customHeight="1" x14ac:dyDescent="0.25">
      <c r="B5" s="7" t="s">
        <v>281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</row>
    <row r="6" spans="2:19" ht="36" customHeight="1" x14ac:dyDescent="0.25">
      <c r="B6" s="100" t="s">
        <v>282</v>
      </c>
      <c r="C6" s="100" t="s">
        <v>283</v>
      </c>
      <c r="D6" s="100" t="s">
        <v>284</v>
      </c>
      <c r="E6" s="100" t="s">
        <v>285</v>
      </c>
      <c r="F6" s="100" t="s">
        <v>286</v>
      </c>
      <c r="G6" s="100" t="s">
        <v>287</v>
      </c>
      <c r="H6" s="100" t="s">
        <v>288</v>
      </c>
      <c r="I6" s="100" t="s">
        <v>289</v>
      </c>
      <c r="J6" s="100" t="s">
        <v>290</v>
      </c>
      <c r="K6" s="100" t="s">
        <v>291</v>
      </c>
      <c r="L6" s="100" t="s">
        <v>292</v>
      </c>
      <c r="M6" s="100" t="s">
        <v>293</v>
      </c>
      <c r="N6" s="100" t="s">
        <v>294</v>
      </c>
      <c r="O6" s="100" t="s">
        <v>295</v>
      </c>
      <c r="P6" s="100" t="s">
        <v>296</v>
      </c>
      <c r="Q6" s="100" t="s">
        <v>297</v>
      </c>
      <c r="R6" s="100" t="s">
        <v>298</v>
      </c>
      <c r="S6" s="100" t="s">
        <v>299</v>
      </c>
    </row>
    <row r="7" spans="2:19" ht="19.5" customHeight="1" x14ac:dyDescent="0.25">
      <c r="B7" s="59">
        <v>1</v>
      </c>
      <c r="C7" s="44" t="s">
        <v>300</v>
      </c>
      <c r="D7" s="28" t="s">
        <v>87</v>
      </c>
      <c r="E7" s="101">
        <v>92</v>
      </c>
      <c r="F7" s="101">
        <v>85</v>
      </c>
      <c r="G7" s="101">
        <v>90</v>
      </c>
      <c r="H7" s="101">
        <v>78</v>
      </c>
      <c r="I7" s="101">
        <v>88</v>
      </c>
      <c r="J7" s="102">
        <f>ROUND(E7*'01_PARAMETRES'!$D$17+F7*'01_PARAMETRES'!$D$18+G7*'01_PARAMETRES'!$D$19+H7*'01_PARAMETRES'!$D$20+I7*'01_PARAMETRES'!$D$21,1)</f>
        <v>87.7</v>
      </c>
      <c r="K7" s="67">
        <f t="shared" ref="K7:K36" si="0">RANK(J7,$J$7:$J$106,0)</f>
        <v>1</v>
      </c>
      <c r="L7" s="103" t="str">
        <f>IF(J7&gt;='01_PARAMETRES'!$C$26,"🟢 Maître d'Art",IF(J7&gt;='01_PARAMETRES'!$C$27,"🔵 Expert",IF(J7&gt;='01_PARAMETRES'!$C$28,"🟡 Confirmé",IF(J7&gt;='01_PARAMETRES'!$C$29,"🟠 Junior","🔴 Apprenti"))))</f>
        <v>🟢 Maître d'Art</v>
      </c>
      <c r="M7" s="17" t="s">
        <v>301</v>
      </c>
      <c r="N7" s="104">
        <v>42000</v>
      </c>
      <c r="O7" s="28" t="s">
        <v>302</v>
      </c>
      <c r="P7" s="28" t="s">
        <v>303</v>
      </c>
      <c r="Q7" s="105"/>
      <c r="R7" s="106" t="s">
        <v>304</v>
      </c>
      <c r="S7" s="107">
        <f>IFERROR(N7/VLOOKUP(D7,'02_REF_METIERS'!$B$4:$J$33,9,FALSE()),"N/D")</f>
        <v>1</v>
      </c>
    </row>
    <row r="8" spans="2:19" ht="19.5" customHeight="1" x14ac:dyDescent="0.25">
      <c r="B8" s="59">
        <v>2</v>
      </c>
      <c r="C8" s="44" t="s">
        <v>305</v>
      </c>
      <c r="D8" s="28" t="s">
        <v>87</v>
      </c>
      <c r="E8" s="101">
        <v>88</v>
      </c>
      <c r="F8" s="101">
        <v>70</v>
      </c>
      <c r="G8" s="101">
        <v>85</v>
      </c>
      <c r="H8" s="101">
        <v>82</v>
      </c>
      <c r="I8" s="101">
        <v>75</v>
      </c>
      <c r="J8" s="102">
        <f>ROUND(E8*'01_PARAMETRES'!$D$17+F8*'01_PARAMETRES'!$D$18+G8*'01_PARAMETRES'!$D$19+H8*'01_PARAMETRES'!$D$20+I8*'01_PARAMETRES'!$D$21,1)</f>
        <v>81.599999999999994</v>
      </c>
      <c r="K8" s="67">
        <f t="shared" si="0"/>
        <v>2</v>
      </c>
      <c r="L8" s="103" t="str">
        <f>IF(J8&gt;='01_PARAMETRES'!$C$26,"🟢 Maître d'Art",IF(J8&gt;='01_PARAMETRES'!$C$27,"🔵 Expert",IF(J8&gt;='01_PARAMETRES'!$C$28,"🟡 Confirmé",IF(J8&gt;='01_PARAMETRES'!$C$29,"🟠 Junior","🔴 Apprenti"))))</f>
        <v>🟢 Maître d'Art</v>
      </c>
      <c r="M8" s="17" t="s">
        <v>306</v>
      </c>
      <c r="N8" s="104">
        <v>38000</v>
      </c>
      <c r="O8" s="28" t="s">
        <v>307</v>
      </c>
      <c r="P8" s="28" t="s">
        <v>308</v>
      </c>
      <c r="Q8" s="105"/>
      <c r="R8" s="106" t="s">
        <v>304</v>
      </c>
      <c r="S8" s="107">
        <f>IFERROR(N8/VLOOKUP(D8,'02_REF_METIERS'!$B$4:$J$33,9,FALSE()),"N/D")</f>
        <v>0.90476190476190477</v>
      </c>
    </row>
    <row r="9" spans="2:19" ht="19.5" customHeight="1" x14ac:dyDescent="0.25">
      <c r="B9" s="59">
        <v>3</v>
      </c>
      <c r="C9" s="44" t="s">
        <v>309</v>
      </c>
      <c r="D9" s="28" t="s">
        <v>111</v>
      </c>
      <c r="E9" s="101">
        <v>95</v>
      </c>
      <c r="F9" s="101">
        <v>60</v>
      </c>
      <c r="G9" s="101">
        <v>95</v>
      </c>
      <c r="H9" s="101">
        <v>70</v>
      </c>
      <c r="I9" s="101">
        <v>65</v>
      </c>
      <c r="J9" s="102">
        <f>ROUND(E9*'01_PARAMETRES'!$D$17+F9*'01_PARAMETRES'!$D$18+G9*'01_PARAMETRES'!$D$19+H9*'01_PARAMETRES'!$D$20+I9*'01_PARAMETRES'!$D$21,1)</f>
        <v>81.3</v>
      </c>
      <c r="K9" s="67">
        <f t="shared" si="0"/>
        <v>3</v>
      </c>
      <c r="L9" s="103" t="str">
        <f>IF(J9&gt;='01_PARAMETRES'!$C$26,"🟢 Maître d'Art",IF(J9&gt;='01_PARAMETRES'!$C$27,"🔵 Expert",IF(J9&gt;='01_PARAMETRES'!$C$28,"🟡 Confirmé",IF(J9&gt;='01_PARAMETRES'!$C$29,"🟠 Junior","🔴 Apprenti"))))</f>
        <v>🟢 Maître d'Art</v>
      </c>
      <c r="M9" s="17" t="s">
        <v>310</v>
      </c>
      <c r="N9" s="104">
        <v>55000</v>
      </c>
      <c r="O9" s="28" t="s">
        <v>311</v>
      </c>
      <c r="P9" s="28" t="s">
        <v>312</v>
      </c>
      <c r="Q9" s="105"/>
      <c r="R9" s="106" t="s">
        <v>304</v>
      </c>
      <c r="S9" s="107">
        <f>IFERROR(N9/VLOOKUP(D9,'02_REF_METIERS'!$B$4:$J$33,9,FALSE()),"N/D")</f>
        <v>1.2222222222222223</v>
      </c>
    </row>
    <row r="10" spans="2:19" ht="19.5" customHeight="1" x14ac:dyDescent="0.25">
      <c r="B10" s="59">
        <v>4</v>
      </c>
      <c r="C10" s="44" t="s">
        <v>313</v>
      </c>
      <c r="D10" s="28" t="s">
        <v>87</v>
      </c>
      <c r="E10" s="101">
        <v>75</v>
      </c>
      <c r="F10" s="101">
        <v>90</v>
      </c>
      <c r="G10" s="101">
        <v>60</v>
      </c>
      <c r="H10" s="101">
        <v>85</v>
      </c>
      <c r="I10" s="101">
        <v>70</v>
      </c>
      <c r="J10" s="102">
        <f>ROUND(E10*'01_PARAMETRES'!$D$17+F10*'01_PARAMETRES'!$D$18+G10*'01_PARAMETRES'!$D$19+H10*'01_PARAMETRES'!$D$20+I10*'01_PARAMETRES'!$D$21,1)</f>
        <v>76</v>
      </c>
      <c r="K10" s="67">
        <f t="shared" si="0"/>
        <v>11</v>
      </c>
      <c r="L10" s="103" t="str">
        <f>IF(J10&gt;='01_PARAMETRES'!$C$26,"🟢 Maître d'Art",IF(J10&gt;='01_PARAMETRES'!$C$27,"🔵 Expert",IF(J10&gt;='01_PARAMETRES'!$C$28,"🟡 Confirmé",IF(J10&gt;='01_PARAMETRES'!$C$29,"🟠 Junior","🔴 Apprenti"))))</f>
        <v>🟢 Maître d'Art</v>
      </c>
      <c r="M10" s="17" t="s">
        <v>314</v>
      </c>
      <c r="N10" s="104">
        <v>40000</v>
      </c>
      <c r="O10" s="28" t="s">
        <v>315</v>
      </c>
      <c r="P10" s="28" t="s">
        <v>303</v>
      </c>
      <c r="Q10" s="105"/>
      <c r="R10" s="106" t="s">
        <v>304</v>
      </c>
      <c r="S10" s="107">
        <f>IFERROR(N10/VLOOKUP(D10,'02_REF_METIERS'!$B$4:$J$33,9,FALSE()),"N/D")</f>
        <v>0.95238095238095233</v>
      </c>
    </row>
    <row r="11" spans="2:19" ht="19.5" customHeight="1" x14ac:dyDescent="0.25">
      <c r="B11" s="59">
        <v>5</v>
      </c>
      <c r="C11" s="44" t="s">
        <v>316</v>
      </c>
      <c r="D11" s="28" t="s">
        <v>145</v>
      </c>
      <c r="E11" s="101">
        <v>70</v>
      </c>
      <c r="F11" s="101">
        <v>45</v>
      </c>
      <c r="G11" s="101">
        <v>80</v>
      </c>
      <c r="H11" s="101">
        <v>60</v>
      </c>
      <c r="I11" s="101">
        <v>90</v>
      </c>
      <c r="J11" s="102">
        <f>ROUND(E11*'01_PARAMETRES'!$D$17+F11*'01_PARAMETRES'!$D$18+G11*'01_PARAMETRES'!$D$19+H11*'01_PARAMETRES'!$D$20+I11*'01_PARAMETRES'!$D$21,1)</f>
        <v>67.5</v>
      </c>
      <c r="K11" s="67">
        <f t="shared" si="0"/>
        <v>24</v>
      </c>
      <c r="L11" s="103" t="str">
        <f>IF(J11&gt;='01_PARAMETRES'!$C$26,"🟢 Maître d'Art",IF(J11&gt;='01_PARAMETRES'!$C$27,"🔵 Expert",IF(J11&gt;='01_PARAMETRES'!$C$28,"🟡 Confirmé",IF(J11&gt;='01_PARAMETRES'!$C$29,"🟠 Junior","🔴 Apprenti"))))</f>
        <v>🟢 Maître d'Art</v>
      </c>
      <c r="M11" s="17" t="s">
        <v>317</v>
      </c>
      <c r="N11" s="104">
        <v>44000</v>
      </c>
      <c r="O11" s="28" t="s">
        <v>318</v>
      </c>
      <c r="P11" s="28" t="s">
        <v>303</v>
      </c>
      <c r="Q11" s="105"/>
      <c r="R11" s="106" t="s">
        <v>304</v>
      </c>
      <c r="S11" s="107">
        <f>IFERROR(N11/VLOOKUP(D11,'02_REF_METIERS'!$B$4:$J$33,9,FALSE()),"N/D")</f>
        <v>0.95652173913043481</v>
      </c>
    </row>
    <row r="12" spans="2:19" ht="19.5" customHeight="1" x14ac:dyDescent="0.25">
      <c r="B12" s="59">
        <v>6</v>
      </c>
      <c r="C12" s="44" t="s">
        <v>319</v>
      </c>
      <c r="D12" s="28" t="s">
        <v>119</v>
      </c>
      <c r="E12" s="101">
        <v>88</v>
      </c>
      <c r="F12" s="101">
        <v>72</v>
      </c>
      <c r="G12" s="101">
        <v>96</v>
      </c>
      <c r="H12" s="101">
        <v>65</v>
      </c>
      <c r="I12" s="101">
        <v>60</v>
      </c>
      <c r="J12" s="102">
        <f>ROUND(E12*'01_PARAMETRES'!$D$17+F12*'01_PARAMETRES'!$D$18+G12*'01_PARAMETRES'!$D$19+H12*'01_PARAMETRES'!$D$20+I12*'01_PARAMETRES'!$D$21,1)</f>
        <v>80.2</v>
      </c>
      <c r="K12" s="67">
        <f t="shared" si="0"/>
        <v>4</v>
      </c>
      <c r="L12" s="103" t="str">
        <f>IF(J12&gt;='01_PARAMETRES'!$C$26,"🟢 Maître d'Art",IF(J12&gt;='01_PARAMETRES'!$C$27,"🔵 Expert",IF(J12&gt;='01_PARAMETRES'!$C$28,"🟡 Confirmé",IF(J12&gt;='01_PARAMETRES'!$C$29,"🟠 Junior","🔴 Apprenti"))))</f>
        <v>🟢 Maître d'Art</v>
      </c>
      <c r="M12" s="17" t="s">
        <v>310</v>
      </c>
      <c r="N12" s="104">
        <v>68000</v>
      </c>
      <c r="O12" s="28" t="s">
        <v>320</v>
      </c>
      <c r="P12" s="28" t="s">
        <v>312</v>
      </c>
      <c r="Q12" s="105"/>
      <c r="R12" s="106" t="s">
        <v>304</v>
      </c>
      <c r="S12" s="107">
        <f>IFERROR(N12/VLOOKUP(D12,'02_REF_METIERS'!$B$4:$J$33,9,FALSE()),"N/D")</f>
        <v>1.2363636363636363</v>
      </c>
    </row>
    <row r="13" spans="2:19" ht="19.5" customHeight="1" x14ac:dyDescent="0.25">
      <c r="B13" s="59">
        <v>7</v>
      </c>
      <c r="C13" s="44" t="s">
        <v>321</v>
      </c>
      <c r="D13" s="28" t="s">
        <v>145</v>
      </c>
      <c r="E13" s="101">
        <v>82</v>
      </c>
      <c r="F13" s="101">
        <v>55</v>
      </c>
      <c r="G13" s="101">
        <v>78</v>
      </c>
      <c r="H13" s="101">
        <v>88</v>
      </c>
      <c r="I13" s="101">
        <v>92</v>
      </c>
      <c r="J13" s="102">
        <f>ROUND(E13*'01_PARAMETRES'!$D$17+F13*'01_PARAMETRES'!$D$18+G13*'01_PARAMETRES'!$D$19+H13*'01_PARAMETRES'!$D$20+I13*'01_PARAMETRES'!$D$21,1)</f>
        <v>77.7</v>
      </c>
      <c r="K13" s="67">
        <f t="shared" si="0"/>
        <v>7</v>
      </c>
      <c r="L13" s="103" t="str">
        <f>IF(J13&gt;='01_PARAMETRES'!$C$26,"🟢 Maître d'Art",IF(J13&gt;='01_PARAMETRES'!$C$27,"🔵 Expert",IF(J13&gt;='01_PARAMETRES'!$C$28,"🟡 Confirmé",IF(J13&gt;='01_PARAMETRES'!$C$29,"🟠 Junior","🔴 Apprenti"))))</f>
        <v>🟢 Maître d'Art</v>
      </c>
      <c r="M13" s="17" t="s">
        <v>301</v>
      </c>
      <c r="N13" s="104">
        <v>42000</v>
      </c>
      <c r="O13" s="28" t="s">
        <v>302</v>
      </c>
      <c r="P13" s="28" t="s">
        <v>308</v>
      </c>
      <c r="Q13" s="105"/>
      <c r="R13" s="106" t="s">
        <v>304</v>
      </c>
      <c r="S13" s="107">
        <f>IFERROR(N13/VLOOKUP(D13,'02_REF_METIERS'!$B$4:$J$33,9,FALSE()),"N/D")</f>
        <v>0.91304347826086951</v>
      </c>
    </row>
    <row r="14" spans="2:19" ht="19.5" customHeight="1" x14ac:dyDescent="0.25">
      <c r="B14" s="59">
        <v>8</v>
      </c>
      <c r="C14" s="44" t="s">
        <v>322</v>
      </c>
      <c r="D14" s="28" t="s">
        <v>132</v>
      </c>
      <c r="E14" s="101">
        <v>79</v>
      </c>
      <c r="F14" s="101">
        <v>88</v>
      </c>
      <c r="G14" s="101">
        <v>82</v>
      </c>
      <c r="H14" s="101">
        <v>72</v>
      </c>
      <c r="I14" s="101">
        <v>68</v>
      </c>
      <c r="J14" s="102">
        <f>ROUND(E14*'01_PARAMETRES'!$D$17+F14*'01_PARAMETRES'!$D$18+G14*'01_PARAMETRES'!$D$19+H14*'01_PARAMETRES'!$D$20+I14*'01_PARAMETRES'!$D$21,1)</f>
        <v>79.3</v>
      </c>
      <c r="K14" s="67">
        <f t="shared" si="0"/>
        <v>5</v>
      </c>
      <c r="L14" s="103" t="str">
        <f>IF(J14&gt;='01_PARAMETRES'!$C$26,"🟢 Maître d'Art",IF(J14&gt;='01_PARAMETRES'!$C$27,"🔵 Expert",IF(J14&gt;='01_PARAMETRES'!$C$28,"🟡 Confirmé",IF(J14&gt;='01_PARAMETRES'!$C$29,"🟠 Junior","🔴 Apprenti"))))</f>
        <v>🟢 Maître d'Art</v>
      </c>
      <c r="M14" s="17" t="s">
        <v>323</v>
      </c>
      <c r="N14" s="104">
        <v>50000</v>
      </c>
      <c r="O14" s="28" t="s">
        <v>324</v>
      </c>
      <c r="P14" s="28" t="s">
        <v>312</v>
      </c>
      <c r="Q14" s="105"/>
      <c r="R14" s="106" t="s">
        <v>304</v>
      </c>
      <c r="S14" s="107">
        <f>IFERROR(N14/VLOOKUP(D14,'02_REF_METIERS'!$B$4:$J$33,9,FALSE()),"N/D")</f>
        <v>1.0416666666666667</v>
      </c>
    </row>
    <row r="15" spans="2:19" ht="19.5" customHeight="1" x14ac:dyDescent="0.25">
      <c r="B15" s="59">
        <v>9</v>
      </c>
      <c r="C15" s="44" t="s">
        <v>325</v>
      </c>
      <c r="D15" s="28" t="s">
        <v>152</v>
      </c>
      <c r="E15" s="101">
        <v>86</v>
      </c>
      <c r="F15" s="101">
        <v>50</v>
      </c>
      <c r="G15" s="101">
        <v>74</v>
      </c>
      <c r="H15" s="101">
        <v>78</v>
      </c>
      <c r="I15" s="101">
        <v>80</v>
      </c>
      <c r="J15" s="102">
        <f>ROUND(E15*'01_PARAMETRES'!$D$17+F15*'01_PARAMETRES'!$D$18+G15*'01_PARAMETRES'!$D$19+H15*'01_PARAMETRES'!$D$20+I15*'01_PARAMETRES'!$D$21,1)</f>
        <v>74.599999999999994</v>
      </c>
      <c r="K15" s="67">
        <f t="shared" si="0"/>
        <v>14</v>
      </c>
      <c r="L15" s="103" t="str">
        <f>IF(J15&gt;='01_PARAMETRES'!$C$26,"🟢 Maître d'Art",IF(J15&gt;='01_PARAMETRES'!$C$27,"🔵 Expert",IF(J15&gt;='01_PARAMETRES'!$C$28,"🟡 Confirmé",IF(J15&gt;='01_PARAMETRES'!$C$29,"🟠 Junior","🔴 Apprenti"))))</f>
        <v>🟢 Maître d'Art</v>
      </c>
      <c r="M15" s="17" t="s">
        <v>317</v>
      </c>
      <c r="N15" s="104">
        <v>36000</v>
      </c>
      <c r="O15" s="28" t="s">
        <v>326</v>
      </c>
      <c r="P15" s="28" t="s">
        <v>303</v>
      </c>
      <c r="Q15" s="105"/>
      <c r="R15" s="106" t="s">
        <v>304</v>
      </c>
      <c r="S15" s="107">
        <f>IFERROR(N15/VLOOKUP(D15,'02_REF_METIERS'!$B$4:$J$33,9,FALSE()),"N/D")</f>
        <v>0.9</v>
      </c>
    </row>
    <row r="16" spans="2:19" ht="19.5" customHeight="1" x14ac:dyDescent="0.25">
      <c r="B16" s="59">
        <v>10</v>
      </c>
      <c r="C16" s="44" t="s">
        <v>327</v>
      </c>
      <c r="D16" s="28" t="s">
        <v>111</v>
      </c>
      <c r="E16" s="101">
        <v>74</v>
      </c>
      <c r="F16" s="101">
        <v>65</v>
      </c>
      <c r="G16" s="101">
        <v>88</v>
      </c>
      <c r="H16" s="101">
        <v>60</v>
      </c>
      <c r="I16" s="101">
        <v>58</v>
      </c>
      <c r="J16" s="102">
        <f>ROUND(E16*'01_PARAMETRES'!$D$17+F16*'01_PARAMETRES'!$D$18+G16*'01_PARAMETRES'!$D$19+H16*'01_PARAMETRES'!$D$20+I16*'01_PARAMETRES'!$D$21,1)</f>
        <v>71.3</v>
      </c>
      <c r="K16" s="67">
        <f t="shared" si="0"/>
        <v>19</v>
      </c>
      <c r="L16" s="103" t="str">
        <f>IF(J16&gt;='01_PARAMETRES'!$C$26,"🟢 Maître d'Art",IF(J16&gt;='01_PARAMETRES'!$C$27,"🔵 Expert",IF(J16&gt;='01_PARAMETRES'!$C$28,"🟡 Confirmé",IF(J16&gt;='01_PARAMETRES'!$C$29,"🟠 Junior","🔴 Apprenti"))))</f>
        <v>🟢 Maître d'Art</v>
      </c>
      <c r="M16" s="17" t="s">
        <v>328</v>
      </c>
      <c r="N16" s="104">
        <v>48000</v>
      </c>
      <c r="O16" s="28" t="s">
        <v>311</v>
      </c>
      <c r="P16" s="28" t="s">
        <v>308</v>
      </c>
      <c r="Q16" s="105"/>
      <c r="R16" s="106" t="s">
        <v>304</v>
      </c>
      <c r="S16" s="107">
        <f>IFERROR(N16/VLOOKUP(D16,'02_REF_METIERS'!$B$4:$J$33,9,FALSE()),"N/D")</f>
        <v>1.0666666666666667</v>
      </c>
    </row>
    <row r="17" spans="2:19" ht="19.5" customHeight="1" x14ac:dyDescent="0.25">
      <c r="B17" s="59">
        <v>11</v>
      </c>
      <c r="C17" s="44" t="s">
        <v>329</v>
      </c>
      <c r="D17" s="28" t="s">
        <v>171</v>
      </c>
      <c r="E17" s="101">
        <v>80</v>
      </c>
      <c r="F17" s="101">
        <v>78</v>
      </c>
      <c r="G17" s="101">
        <v>85</v>
      </c>
      <c r="H17" s="101">
        <v>70</v>
      </c>
      <c r="I17" s="101">
        <v>75</v>
      </c>
      <c r="J17" s="102">
        <f>ROUND(E17*'01_PARAMETRES'!$D$17+F17*'01_PARAMETRES'!$D$18+G17*'01_PARAMETRES'!$D$19+H17*'01_PARAMETRES'!$D$20+I17*'01_PARAMETRES'!$D$21,1)</f>
        <v>78.599999999999994</v>
      </c>
      <c r="K17" s="67">
        <f t="shared" si="0"/>
        <v>6</v>
      </c>
      <c r="L17" s="103" t="str">
        <f>IF(J17&gt;='01_PARAMETRES'!$C$26,"🟢 Maître d'Art",IF(J17&gt;='01_PARAMETRES'!$C$27,"🔵 Expert",IF(J17&gt;='01_PARAMETRES'!$C$28,"🟡 Confirmé",IF(J17&gt;='01_PARAMETRES'!$C$29,"🟠 Junior","🔴 Apprenti"))))</f>
        <v>🟢 Maître d'Art</v>
      </c>
      <c r="M17" s="17" t="s">
        <v>301</v>
      </c>
      <c r="N17" s="104">
        <v>35000</v>
      </c>
      <c r="O17" s="28" t="s">
        <v>307</v>
      </c>
      <c r="P17" s="28" t="s">
        <v>303</v>
      </c>
      <c r="Q17" s="105"/>
      <c r="R17" s="106" t="s">
        <v>304</v>
      </c>
      <c r="S17" s="107">
        <f>IFERROR(N17/VLOOKUP(D17,'02_REF_METIERS'!$B$4:$J$33,9,FALSE()),"N/D")</f>
        <v>0.92105263157894735</v>
      </c>
    </row>
    <row r="18" spans="2:19" ht="19.5" customHeight="1" x14ac:dyDescent="0.25">
      <c r="B18" s="59">
        <v>12</v>
      </c>
      <c r="C18" s="44" t="s">
        <v>330</v>
      </c>
      <c r="D18" s="28" t="s">
        <v>124</v>
      </c>
      <c r="E18" s="101">
        <v>76</v>
      </c>
      <c r="F18" s="101">
        <v>82</v>
      </c>
      <c r="G18" s="101">
        <v>72</v>
      </c>
      <c r="H18" s="101">
        <v>66</v>
      </c>
      <c r="I18" s="101">
        <v>64</v>
      </c>
      <c r="J18" s="102">
        <f>ROUND(E18*'01_PARAMETRES'!$D$17+F18*'01_PARAMETRES'!$D$18+G18*'01_PARAMETRES'!$D$19+H18*'01_PARAMETRES'!$D$20+I18*'01_PARAMETRES'!$D$21,1)</f>
        <v>73.7</v>
      </c>
      <c r="K18" s="67">
        <f t="shared" si="0"/>
        <v>15</v>
      </c>
      <c r="L18" s="103" t="str">
        <f>IF(J18&gt;='01_PARAMETRES'!$C$26,"🟢 Maître d'Art",IF(J18&gt;='01_PARAMETRES'!$C$27,"🔵 Expert",IF(J18&gt;='01_PARAMETRES'!$C$28,"🟡 Confirmé",IF(J18&gt;='01_PARAMETRES'!$C$29,"🟠 Junior","🔴 Apprenti"))))</f>
        <v>🟢 Maître d'Art</v>
      </c>
      <c r="M18" s="17" t="s">
        <v>310</v>
      </c>
      <c r="N18" s="104">
        <v>46000</v>
      </c>
      <c r="O18" s="28" t="s">
        <v>331</v>
      </c>
      <c r="P18" s="28" t="s">
        <v>312</v>
      </c>
      <c r="Q18" s="105"/>
      <c r="R18" s="106" t="s">
        <v>304</v>
      </c>
      <c r="S18" s="107">
        <f>IFERROR(N18/VLOOKUP(D18,'02_REF_METIERS'!$B$4:$J$33,9,FALSE()),"N/D")</f>
        <v>1.0952380952380953</v>
      </c>
    </row>
    <row r="19" spans="2:19" ht="19.5" customHeight="1" x14ac:dyDescent="0.25">
      <c r="B19" s="59">
        <v>13</v>
      </c>
      <c r="C19" s="44" t="s">
        <v>332</v>
      </c>
      <c r="D19" s="28" t="s">
        <v>155</v>
      </c>
      <c r="E19" s="101">
        <v>84</v>
      </c>
      <c r="F19" s="101">
        <v>40</v>
      </c>
      <c r="G19" s="101">
        <v>80</v>
      </c>
      <c r="H19" s="101">
        <v>76</v>
      </c>
      <c r="I19" s="101">
        <v>88</v>
      </c>
      <c r="J19" s="102">
        <f>ROUND(E19*'01_PARAMETRES'!$D$17+F19*'01_PARAMETRES'!$D$18+G19*'01_PARAMETRES'!$D$19+H19*'01_PARAMETRES'!$D$20+I19*'01_PARAMETRES'!$D$21,1)</f>
        <v>73.599999999999994</v>
      </c>
      <c r="K19" s="67">
        <f t="shared" si="0"/>
        <v>16</v>
      </c>
      <c r="L19" s="103" t="str">
        <f>IF(J19&gt;='01_PARAMETRES'!$C$26,"🟢 Maître d'Art",IF(J19&gt;='01_PARAMETRES'!$C$27,"🔵 Expert",IF(J19&gt;='01_PARAMETRES'!$C$28,"🟡 Confirmé",IF(J19&gt;='01_PARAMETRES'!$C$29,"🟠 Junior","🔴 Apprenti"))))</f>
        <v>🟢 Maître d'Art</v>
      </c>
      <c r="M19" s="17" t="s">
        <v>333</v>
      </c>
      <c r="N19" s="104">
        <v>40000</v>
      </c>
      <c r="O19" s="28" t="s">
        <v>318</v>
      </c>
      <c r="P19" s="28" t="s">
        <v>308</v>
      </c>
      <c r="Q19" s="105"/>
      <c r="R19" s="106" t="s">
        <v>304</v>
      </c>
      <c r="S19" s="107">
        <f>IFERROR(N19/VLOOKUP(D19,'02_REF_METIERS'!$B$4:$J$33,9,FALSE()),"N/D")</f>
        <v>0.90909090909090906</v>
      </c>
    </row>
    <row r="20" spans="2:19" ht="19.5" customHeight="1" x14ac:dyDescent="0.25">
      <c r="B20" s="59">
        <v>14</v>
      </c>
      <c r="C20" s="44" t="s">
        <v>334</v>
      </c>
      <c r="D20" s="28" t="s">
        <v>127</v>
      </c>
      <c r="E20" s="101">
        <v>91</v>
      </c>
      <c r="F20" s="101">
        <v>55</v>
      </c>
      <c r="G20" s="101">
        <v>98</v>
      </c>
      <c r="H20" s="101">
        <v>62</v>
      </c>
      <c r="I20" s="101">
        <v>55</v>
      </c>
      <c r="J20" s="102">
        <f>ROUND(E20*'01_PARAMETRES'!$D$17+F20*'01_PARAMETRES'!$D$18+G20*'01_PARAMETRES'!$D$19+H20*'01_PARAMETRES'!$D$20+I20*'01_PARAMETRES'!$D$21,1)</f>
        <v>77.3</v>
      </c>
      <c r="K20" s="67">
        <f t="shared" si="0"/>
        <v>9</v>
      </c>
      <c r="L20" s="103" t="str">
        <f>IF(J20&gt;='01_PARAMETRES'!$C$26,"🟢 Maître d'Art",IF(J20&gt;='01_PARAMETRES'!$C$27,"🔵 Expert",IF(J20&gt;='01_PARAMETRES'!$C$28,"🟡 Confirmé",IF(J20&gt;='01_PARAMETRES'!$C$29,"🟠 Junior","🔴 Apprenti"))))</f>
        <v>🟢 Maître d'Art</v>
      </c>
      <c r="M20" s="17" t="s">
        <v>310</v>
      </c>
      <c r="N20" s="104">
        <v>80000</v>
      </c>
      <c r="O20" s="28" t="s">
        <v>335</v>
      </c>
      <c r="P20" s="28" t="s">
        <v>312</v>
      </c>
      <c r="Q20" s="105"/>
      <c r="R20" s="106" t="s">
        <v>304</v>
      </c>
      <c r="S20" s="107">
        <f>IFERROR(N20/VLOOKUP(D20,'02_REF_METIERS'!$B$4:$J$33,9,FALSE()),"N/D")</f>
        <v>1.2307692307692308</v>
      </c>
    </row>
    <row r="21" spans="2:19" ht="19.5" customHeight="1" x14ac:dyDescent="0.25">
      <c r="B21" s="59">
        <v>15</v>
      </c>
      <c r="C21" s="44" t="s">
        <v>336</v>
      </c>
      <c r="D21" s="28" t="s">
        <v>149</v>
      </c>
      <c r="E21" s="101">
        <v>87</v>
      </c>
      <c r="F21" s="101">
        <v>48</v>
      </c>
      <c r="G21" s="101">
        <v>92</v>
      </c>
      <c r="H21" s="101">
        <v>80</v>
      </c>
      <c r="I21" s="101">
        <v>70</v>
      </c>
      <c r="J21" s="102">
        <f>ROUND(E21*'01_PARAMETRES'!$D$17+F21*'01_PARAMETRES'!$D$18+G21*'01_PARAMETRES'!$D$19+H21*'01_PARAMETRES'!$D$20+I21*'01_PARAMETRES'!$D$21,1)</f>
        <v>77.5</v>
      </c>
      <c r="K21" s="67">
        <f t="shared" si="0"/>
        <v>8</v>
      </c>
      <c r="L21" s="103" t="str">
        <f>IF(J21&gt;='01_PARAMETRES'!$C$26,"🟢 Maître d'Art",IF(J21&gt;='01_PARAMETRES'!$C$27,"🔵 Expert",IF(J21&gt;='01_PARAMETRES'!$C$28,"🟡 Confirmé",IF(J21&gt;='01_PARAMETRES'!$C$29,"🟠 Junior","🔴 Apprenti"))))</f>
        <v>🟢 Maître d'Art</v>
      </c>
      <c r="M21" s="17" t="s">
        <v>301</v>
      </c>
      <c r="N21" s="104">
        <v>46000</v>
      </c>
      <c r="O21" s="28" t="s">
        <v>331</v>
      </c>
      <c r="P21" s="28" t="s">
        <v>303</v>
      </c>
      <c r="Q21" s="105"/>
      <c r="R21" s="106" t="s">
        <v>304</v>
      </c>
      <c r="S21" s="107">
        <f>IFERROR(N21/VLOOKUP(D21,'02_REF_METIERS'!$B$4:$J$33,9,FALSE()),"N/D")</f>
        <v>0.88461538461538458</v>
      </c>
    </row>
    <row r="22" spans="2:19" ht="19.5" customHeight="1" x14ac:dyDescent="0.25">
      <c r="B22" s="59">
        <v>16</v>
      </c>
      <c r="C22" s="44" t="s">
        <v>337</v>
      </c>
      <c r="D22" s="28" t="s">
        <v>132</v>
      </c>
      <c r="E22" s="101">
        <v>72</v>
      </c>
      <c r="F22" s="101">
        <v>80</v>
      </c>
      <c r="G22" s="101">
        <v>75</v>
      </c>
      <c r="H22" s="101">
        <v>65</v>
      </c>
      <c r="I22" s="101">
        <v>70</v>
      </c>
      <c r="J22" s="102">
        <f>ROUND(E22*'01_PARAMETRES'!$D$17+F22*'01_PARAMETRES'!$D$18+G22*'01_PARAMETRES'!$D$19+H22*'01_PARAMETRES'!$D$20+I22*'01_PARAMETRES'!$D$21,1)</f>
        <v>73</v>
      </c>
      <c r="K22" s="67">
        <f t="shared" si="0"/>
        <v>17</v>
      </c>
      <c r="L22" s="103" t="str">
        <f>IF(J22&gt;='01_PARAMETRES'!$C$26,"🟢 Maître d'Art",IF(J22&gt;='01_PARAMETRES'!$C$27,"🔵 Expert",IF(J22&gt;='01_PARAMETRES'!$C$28,"🟡 Confirmé",IF(J22&gt;='01_PARAMETRES'!$C$29,"🟠 Junior","🔴 Apprenti"))))</f>
        <v>🟢 Maître d'Art</v>
      </c>
      <c r="M22" s="17" t="s">
        <v>314</v>
      </c>
      <c r="N22" s="104">
        <v>48000</v>
      </c>
      <c r="O22" s="28" t="s">
        <v>315</v>
      </c>
      <c r="P22" s="28" t="s">
        <v>303</v>
      </c>
      <c r="Q22" s="105"/>
      <c r="R22" s="106" t="s">
        <v>304</v>
      </c>
      <c r="S22" s="107">
        <f>IFERROR(N22/VLOOKUP(D22,'02_REF_METIERS'!$B$4:$J$33,9,FALSE()),"N/D")</f>
        <v>1</v>
      </c>
    </row>
    <row r="23" spans="2:19" ht="19.5" customHeight="1" x14ac:dyDescent="0.25">
      <c r="B23" s="59">
        <v>17</v>
      </c>
      <c r="C23" s="44" t="s">
        <v>338</v>
      </c>
      <c r="D23" s="28" t="s">
        <v>111</v>
      </c>
      <c r="E23" s="101">
        <v>68</v>
      </c>
      <c r="F23" s="101">
        <v>55</v>
      </c>
      <c r="G23" s="101">
        <v>80</v>
      </c>
      <c r="H23" s="101">
        <v>58</v>
      </c>
      <c r="I23" s="101">
        <v>72</v>
      </c>
      <c r="J23" s="102">
        <f>ROUND(E23*'01_PARAMETRES'!$D$17+F23*'01_PARAMETRES'!$D$18+G23*'01_PARAMETRES'!$D$19+H23*'01_PARAMETRES'!$D$20+I23*'01_PARAMETRES'!$D$21,1)</f>
        <v>66.7</v>
      </c>
      <c r="K23" s="67">
        <f t="shared" si="0"/>
        <v>27</v>
      </c>
      <c r="L23" s="103" t="str">
        <f>IF(J23&gt;='01_PARAMETRES'!$C$26,"🟢 Maître d'Art",IF(J23&gt;='01_PARAMETRES'!$C$27,"🔵 Expert",IF(J23&gt;='01_PARAMETRES'!$C$28,"🟡 Confirmé",IF(J23&gt;='01_PARAMETRES'!$C$29,"🟠 Junior","🔴 Apprenti"))))</f>
        <v>🟢 Maître d'Art</v>
      </c>
      <c r="M23" s="17" t="s">
        <v>317</v>
      </c>
      <c r="N23" s="104">
        <v>40000</v>
      </c>
      <c r="O23" s="28" t="s">
        <v>324</v>
      </c>
      <c r="P23" s="28" t="s">
        <v>308</v>
      </c>
      <c r="Q23" s="105"/>
      <c r="R23" s="106" t="s">
        <v>304</v>
      </c>
      <c r="S23" s="107">
        <f>IFERROR(N23/VLOOKUP(D23,'02_REF_METIERS'!$B$4:$J$33,9,FALSE()),"N/D")</f>
        <v>0.88888888888888884</v>
      </c>
    </row>
    <row r="24" spans="2:19" ht="19.5" customHeight="1" x14ac:dyDescent="0.25">
      <c r="B24" s="59">
        <v>18</v>
      </c>
      <c r="C24" s="44" t="s">
        <v>339</v>
      </c>
      <c r="D24" s="28" t="s">
        <v>87</v>
      </c>
      <c r="E24" s="101">
        <v>66</v>
      </c>
      <c r="F24" s="101">
        <v>60</v>
      </c>
      <c r="G24" s="101">
        <v>68</v>
      </c>
      <c r="H24" s="101">
        <v>72</v>
      </c>
      <c r="I24" s="101">
        <v>80</v>
      </c>
      <c r="J24" s="102">
        <f>ROUND(E24*'01_PARAMETRES'!$D$17+F24*'01_PARAMETRES'!$D$18+G24*'01_PARAMETRES'!$D$19+H24*'01_PARAMETRES'!$D$20+I24*'01_PARAMETRES'!$D$21,1)</f>
        <v>67.5</v>
      </c>
      <c r="K24" s="67">
        <f t="shared" si="0"/>
        <v>24</v>
      </c>
      <c r="L24" s="103" t="str">
        <f>IF(J24&gt;='01_PARAMETRES'!$C$26,"🟢 Maître d'Art",IF(J24&gt;='01_PARAMETRES'!$C$27,"🔵 Expert",IF(J24&gt;='01_PARAMETRES'!$C$28,"🟡 Confirmé",IF(J24&gt;='01_PARAMETRES'!$C$29,"🟠 Junior","🔴 Apprenti"))))</f>
        <v>🟢 Maître d'Art</v>
      </c>
      <c r="M24" s="17" t="s">
        <v>340</v>
      </c>
      <c r="N24" s="104">
        <v>32000</v>
      </c>
      <c r="O24" s="28" t="s">
        <v>302</v>
      </c>
      <c r="P24" s="28" t="s">
        <v>303</v>
      </c>
      <c r="Q24" s="105"/>
      <c r="R24" s="106" t="s">
        <v>304</v>
      </c>
      <c r="S24" s="107">
        <f>IFERROR(N24/VLOOKUP(D24,'02_REF_METIERS'!$B$4:$J$33,9,FALSE()),"N/D")</f>
        <v>0.76190476190476186</v>
      </c>
    </row>
    <row r="25" spans="2:19" ht="19.5" customHeight="1" x14ac:dyDescent="0.25">
      <c r="B25" s="59">
        <v>19</v>
      </c>
      <c r="C25" s="44" t="s">
        <v>341</v>
      </c>
      <c r="D25" s="28" t="s">
        <v>142</v>
      </c>
      <c r="E25" s="101">
        <v>89</v>
      </c>
      <c r="F25" s="101">
        <v>45</v>
      </c>
      <c r="G25" s="101">
        <v>96</v>
      </c>
      <c r="H25" s="101">
        <v>68</v>
      </c>
      <c r="I25" s="101">
        <v>58</v>
      </c>
      <c r="J25" s="102">
        <f>ROUND(E25*'01_PARAMETRES'!$D$17+F25*'01_PARAMETRES'!$D$18+G25*'01_PARAMETRES'!$D$19+H25*'01_PARAMETRES'!$D$20+I25*'01_PARAMETRES'!$D$21,1)</f>
        <v>75.400000000000006</v>
      </c>
      <c r="K25" s="67">
        <f t="shared" si="0"/>
        <v>12</v>
      </c>
      <c r="L25" s="103" t="str">
        <f>IF(J25&gt;='01_PARAMETRES'!$C$26,"🟢 Maître d'Art",IF(J25&gt;='01_PARAMETRES'!$C$27,"🔵 Expert",IF(J25&gt;='01_PARAMETRES'!$C$28,"🟡 Confirmé",IF(J25&gt;='01_PARAMETRES'!$C$29,"🟠 Junior","🔴 Apprenti"))))</f>
        <v>🟢 Maître d'Art</v>
      </c>
      <c r="M25" s="17" t="s">
        <v>310</v>
      </c>
      <c r="N25" s="104">
        <v>75000</v>
      </c>
      <c r="O25" s="28" t="s">
        <v>342</v>
      </c>
      <c r="P25" s="28" t="s">
        <v>312</v>
      </c>
      <c r="Q25" s="105"/>
      <c r="R25" s="106" t="s">
        <v>304</v>
      </c>
      <c r="S25" s="107">
        <f>IFERROR(N25/VLOOKUP(D25,'02_REF_METIERS'!$B$4:$J$33,9,FALSE()),"N/D")</f>
        <v>1.0714285714285714</v>
      </c>
    </row>
    <row r="26" spans="2:19" ht="19.5" customHeight="1" x14ac:dyDescent="0.25">
      <c r="B26" s="59">
        <v>20</v>
      </c>
      <c r="C26" s="44" t="s">
        <v>343</v>
      </c>
      <c r="D26" s="28" t="s">
        <v>152</v>
      </c>
      <c r="E26" s="101">
        <v>78</v>
      </c>
      <c r="F26" s="101">
        <v>65</v>
      </c>
      <c r="G26" s="101">
        <v>70</v>
      </c>
      <c r="H26" s="101">
        <v>82</v>
      </c>
      <c r="I26" s="101">
        <v>85</v>
      </c>
      <c r="J26" s="102">
        <f>ROUND(E26*'01_PARAMETRES'!$D$17+F26*'01_PARAMETRES'!$D$18+G26*'01_PARAMETRES'!$D$19+H26*'01_PARAMETRES'!$D$20+I26*'01_PARAMETRES'!$D$21,1)</f>
        <v>75.099999999999994</v>
      </c>
      <c r="K26" s="67">
        <f t="shared" si="0"/>
        <v>13</v>
      </c>
      <c r="L26" s="103" t="str">
        <f>IF(J26&gt;='01_PARAMETRES'!$C$26,"🟢 Maître d'Art",IF(J26&gt;='01_PARAMETRES'!$C$27,"🔵 Expert",IF(J26&gt;='01_PARAMETRES'!$C$28,"🟡 Confirmé",IF(J26&gt;='01_PARAMETRES'!$C$29,"🟠 Junior","🔴 Apprenti"))))</f>
        <v>🟢 Maître d'Art</v>
      </c>
      <c r="M26" s="17" t="s">
        <v>301</v>
      </c>
      <c r="N26" s="104">
        <v>34000</v>
      </c>
      <c r="O26" s="28" t="s">
        <v>307</v>
      </c>
      <c r="P26" s="28" t="s">
        <v>303</v>
      </c>
      <c r="Q26" s="105"/>
      <c r="R26" s="106" t="s">
        <v>304</v>
      </c>
      <c r="S26" s="107">
        <f>IFERROR(N26/VLOOKUP(D26,'02_REF_METIERS'!$B$4:$J$33,9,FALSE()),"N/D")</f>
        <v>0.85</v>
      </c>
    </row>
    <row r="27" spans="2:19" ht="19.5" customHeight="1" x14ac:dyDescent="0.25">
      <c r="B27" s="59">
        <v>21</v>
      </c>
      <c r="C27" s="44" t="s">
        <v>344</v>
      </c>
      <c r="D27" s="28" t="s">
        <v>119</v>
      </c>
      <c r="E27" s="101">
        <v>82</v>
      </c>
      <c r="F27" s="101">
        <v>58</v>
      </c>
      <c r="G27" s="101">
        <v>92</v>
      </c>
      <c r="H27" s="101">
        <v>55</v>
      </c>
      <c r="I27" s="101">
        <v>50</v>
      </c>
      <c r="J27" s="102">
        <f>ROUND(E27*'01_PARAMETRES'!$D$17+F27*'01_PARAMETRES'!$D$18+G27*'01_PARAMETRES'!$D$19+H27*'01_PARAMETRES'!$D$20+I27*'01_PARAMETRES'!$D$21,1)</f>
        <v>72</v>
      </c>
      <c r="K27" s="67">
        <f t="shared" si="0"/>
        <v>18</v>
      </c>
      <c r="L27" s="103" t="str">
        <f>IF(J27&gt;='01_PARAMETRES'!$C$26,"🟢 Maître d'Art",IF(J27&gt;='01_PARAMETRES'!$C$27,"🔵 Expert",IF(J27&gt;='01_PARAMETRES'!$C$28,"🟡 Confirmé",IF(J27&gt;='01_PARAMETRES'!$C$29,"🟠 Junior","🔴 Apprenti"))))</f>
        <v>🟢 Maître d'Art</v>
      </c>
      <c r="M27" s="17" t="s">
        <v>328</v>
      </c>
      <c r="N27" s="104">
        <v>62000</v>
      </c>
      <c r="O27" s="28" t="s">
        <v>320</v>
      </c>
      <c r="P27" s="28" t="s">
        <v>312</v>
      </c>
      <c r="Q27" s="105"/>
      <c r="R27" s="106" t="s">
        <v>304</v>
      </c>
      <c r="S27" s="107">
        <f>IFERROR(N27/VLOOKUP(D27,'02_REF_METIERS'!$B$4:$J$33,9,FALSE()),"N/D")</f>
        <v>1.1272727272727272</v>
      </c>
    </row>
    <row r="28" spans="2:19" ht="19.5" customHeight="1" x14ac:dyDescent="0.25">
      <c r="B28" s="59">
        <v>22</v>
      </c>
      <c r="C28" s="44" t="s">
        <v>345</v>
      </c>
      <c r="D28" s="28" t="s">
        <v>158</v>
      </c>
      <c r="E28" s="101">
        <v>76</v>
      </c>
      <c r="F28" s="101">
        <v>35</v>
      </c>
      <c r="G28" s="101">
        <v>94</v>
      </c>
      <c r="H28" s="101">
        <v>58</v>
      </c>
      <c r="I28" s="101">
        <v>72</v>
      </c>
      <c r="J28" s="102">
        <f>ROUND(E28*'01_PARAMETRES'!$D$17+F28*'01_PARAMETRES'!$D$18+G28*'01_PARAMETRES'!$D$19+H28*'01_PARAMETRES'!$D$20+I28*'01_PARAMETRES'!$D$21,1)</f>
        <v>68.3</v>
      </c>
      <c r="K28" s="67">
        <f t="shared" si="0"/>
        <v>21</v>
      </c>
      <c r="L28" s="103" t="str">
        <f>IF(J28&gt;='01_PARAMETRES'!$C$26,"🟢 Maître d'Art",IF(J28&gt;='01_PARAMETRES'!$C$27,"🔵 Expert",IF(J28&gt;='01_PARAMETRES'!$C$28,"🟡 Confirmé",IF(J28&gt;='01_PARAMETRES'!$C$29,"🟠 Junior","🔴 Apprenti"))))</f>
        <v>🟢 Maître d'Art</v>
      </c>
      <c r="M28" s="17" t="s">
        <v>310</v>
      </c>
      <c r="N28" s="104">
        <v>90000</v>
      </c>
      <c r="O28" s="28" t="s">
        <v>346</v>
      </c>
      <c r="P28" s="28" t="s">
        <v>312</v>
      </c>
      <c r="Q28" s="105"/>
      <c r="R28" s="106" t="s">
        <v>304</v>
      </c>
      <c r="S28" s="107">
        <f>IFERROR(N28/VLOOKUP(D28,'02_REF_METIERS'!$B$4:$J$33,9,FALSE()),"N/D")</f>
        <v>0.94736842105263153</v>
      </c>
    </row>
    <row r="29" spans="2:19" ht="19.5" customHeight="1" x14ac:dyDescent="0.25">
      <c r="B29" s="59">
        <v>23</v>
      </c>
      <c r="C29" s="44" t="s">
        <v>347</v>
      </c>
      <c r="D29" s="28" t="s">
        <v>95</v>
      </c>
      <c r="E29" s="101">
        <v>70</v>
      </c>
      <c r="F29" s="101">
        <v>75</v>
      </c>
      <c r="G29" s="101">
        <v>65</v>
      </c>
      <c r="H29" s="101">
        <v>68</v>
      </c>
      <c r="I29" s="101">
        <v>74</v>
      </c>
      <c r="J29" s="102">
        <f>ROUND(E29*'01_PARAMETRES'!$D$17+F29*'01_PARAMETRES'!$D$18+G29*'01_PARAMETRES'!$D$19+H29*'01_PARAMETRES'!$D$20+I29*'01_PARAMETRES'!$D$21,1)</f>
        <v>70.099999999999994</v>
      </c>
      <c r="K29" s="67">
        <f t="shared" si="0"/>
        <v>20</v>
      </c>
      <c r="L29" s="103" t="str">
        <f>IF(J29&gt;='01_PARAMETRES'!$C$26,"🟢 Maître d'Art",IF(J29&gt;='01_PARAMETRES'!$C$27,"🔵 Expert",IF(J29&gt;='01_PARAMETRES'!$C$28,"🟡 Confirmé",IF(J29&gt;='01_PARAMETRES'!$C$29,"🟠 Junior","🔴 Apprenti"))))</f>
        <v>🟢 Maître d'Art</v>
      </c>
      <c r="M29" s="17" t="s">
        <v>340</v>
      </c>
      <c r="N29" s="104">
        <v>30000</v>
      </c>
      <c r="O29" s="28" t="s">
        <v>348</v>
      </c>
      <c r="P29" s="28" t="s">
        <v>303</v>
      </c>
      <c r="Q29" s="105"/>
      <c r="R29" s="106" t="s">
        <v>304</v>
      </c>
      <c r="S29" s="107">
        <f>IFERROR(N29/VLOOKUP(D29,'02_REF_METIERS'!$B$4:$J$33,9,FALSE()),"N/D")</f>
        <v>0.88235294117647056</v>
      </c>
    </row>
    <row r="30" spans="2:19" ht="19.5" customHeight="1" x14ac:dyDescent="0.25">
      <c r="B30" s="59">
        <v>24</v>
      </c>
      <c r="C30" s="44" t="s">
        <v>349</v>
      </c>
      <c r="D30" s="28" t="s">
        <v>171</v>
      </c>
      <c r="E30" s="101">
        <v>84</v>
      </c>
      <c r="F30" s="101">
        <v>62</v>
      </c>
      <c r="G30" s="101">
        <v>88</v>
      </c>
      <c r="H30" s="101">
        <v>72</v>
      </c>
      <c r="I30" s="101">
        <v>68</v>
      </c>
      <c r="J30" s="102">
        <f>ROUND(E30*'01_PARAMETRES'!$D$17+F30*'01_PARAMETRES'!$D$18+G30*'01_PARAMETRES'!$D$19+H30*'01_PARAMETRES'!$D$20+I30*'01_PARAMETRES'!$D$21,1)</f>
        <v>77</v>
      </c>
      <c r="K30" s="67">
        <f t="shared" si="0"/>
        <v>10</v>
      </c>
      <c r="L30" s="103" t="str">
        <f>IF(J30&gt;='01_PARAMETRES'!$C$26,"🟢 Maître d'Art",IF(J30&gt;='01_PARAMETRES'!$C$27,"🔵 Expert",IF(J30&gt;='01_PARAMETRES'!$C$28,"🟡 Confirmé",IF(J30&gt;='01_PARAMETRES'!$C$29,"🟠 Junior","🔴 Apprenti"))))</f>
        <v>🟢 Maître d'Art</v>
      </c>
      <c r="M30" s="17" t="s">
        <v>301</v>
      </c>
      <c r="N30" s="104">
        <v>36000</v>
      </c>
      <c r="O30" s="28" t="s">
        <v>331</v>
      </c>
      <c r="P30" s="28" t="s">
        <v>308</v>
      </c>
      <c r="Q30" s="105"/>
      <c r="R30" s="106" t="s">
        <v>304</v>
      </c>
      <c r="S30" s="107">
        <f>IFERROR(N30/VLOOKUP(D30,'02_REF_METIERS'!$B$4:$J$33,9,FALSE()),"N/D")</f>
        <v>0.94736842105263153</v>
      </c>
    </row>
    <row r="31" spans="2:19" ht="19.5" customHeight="1" x14ac:dyDescent="0.25">
      <c r="B31" s="59">
        <v>25</v>
      </c>
      <c r="C31" s="44" t="s">
        <v>350</v>
      </c>
      <c r="D31" s="28" t="s">
        <v>124</v>
      </c>
      <c r="E31" s="101">
        <v>71</v>
      </c>
      <c r="F31" s="101">
        <v>70</v>
      </c>
      <c r="G31" s="101">
        <v>68</v>
      </c>
      <c r="H31" s="101">
        <v>62</v>
      </c>
      <c r="I31" s="101">
        <v>60</v>
      </c>
      <c r="J31" s="102">
        <f>ROUND(E31*'01_PARAMETRES'!$D$17+F31*'01_PARAMETRES'!$D$18+G31*'01_PARAMETRES'!$D$19+H31*'01_PARAMETRES'!$D$20+I31*'01_PARAMETRES'!$D$21,1)</f>
        <v>67.8</v>
      </c>
      <c r="K31" s="67">
        <f t="shared" si="0"/>
        <v>23</v>
      </c>
      <c r="L31" s="103" t="str">
        <f>IF(J31&gt;='01_PARAMETRES'!$C$26,"🟢 Maître d'Art",IF(J31&gt;='01_PARAMETRES'!$C$27,"🔵 Expert",IF(J31&gt;='01_PARAMETRES'!$C$28,"🟡 Confirmé",IF(J31&gt;='01_PARAMETRES'!$C$29,"🟠 Junior","🔴 Apprenti"))))</f>
        <v>🟢 Maître d'Art</v>
      </c>
      <c r="M31" s="17" t="s">
        <v>317</v>
      </c>
      <c r="N31" s="104">
        <v>38000</v>
      </c>
      <c r="O31" s="28" t="s">
        <v>302</v>
      </c>
      <c r="P31" s="28" t="s">
        <v>303</v>
      </c>
      <c r="Q31" s="105"/>
      <c r="R31" s="106" t="s">
        <v>304</v>
      </c>
      <c r="S31" s="107">
        <f>IFERROR(N31/VLOOKUP(D31,'02_REF_METIERS'!$B$4:$J$33,9,FALSE()),"N/D")</f>
        <v>0.90476190476190477</v>
      </c>
    </row>
    <row r="32" spans="2:19" ht="19.5" customHeight="1" x14ac:dyDescent="0.25">
      <c r="B32" s="59">
        <v>26</v>
      </c>
      <c r="C32" s="44" t="s">
        <v>351</v>
      </c>
      <c r="D32" s="28" t="s">
        <v>145</v>
      </c>
      <c r="E32" s="101">
        <v>65</v>
      </c>
      <c r="F32" s="101">
        <v>50</v>
      </c>
      <c r="G32" s="101">
        <v>72</v>
      </c>
      <c r="H32" s="101">
        <v>80</v>
      </c>
      <c r="I32" s="101">
        <v>88</v>
      </c>
      <c r="J32" s="102">
        <f>ROUND(E32*'01_PARAMETRES'!$D$17+F32*'01_PARAMETRES'!$D$18+G32*'01_PARAMETRES'!$D$19+H32*'01_PARAMETRES'!$D$20+I32*'01_PARAMETRES'!$D$21,1)</f>
        <v>68</v>
      </c>
      <c r="K32" s="67">
        <f t="shared" si="0"/>
        <v>22</v>
      </c>
      <c r="L32" s="103" t="str">
        <f>IF(J32&gt;='01_PARAMETRES'!$C$26,"🟢 Maître d'Art",IF(J32&gt;='01_PARAMETRES'!$C$27,"🔵 Expert",IF(J32&gt;='01_PARAMETRES'!$C$28,"🟡 Confirmé",IF(J32&gt;='01_PARAMETRES'!$C$29,"🟠 Junior","🔴 Apprenti"))))</f>
        <v>🟢 Maître d'Art</v>
      </c>
      <c r="M32" s="17" t="s">
        <v>333</v>
      </c>
      <c r="N32" s="104">
        <v>36000</v>
      </c>
      <c r="O32" s="28" t="s">
        <v>326</v>
      </c>
      <c r="P32" s="28" t="s">
        <v>303</v>
      </c>
      <c r="Q32" s="105"/>
      <c r="R32" s="106" t="s">
        <v>304</v>
      </c>
      <c r="S32" s="107">
        <f>IFERROR(N32/VLOOKUP(D32,'02_REF_METIERS'!$B$4:$J$33,9,FALSE()),"N/D")</f>
        <v>0.78260869565217395</v>
      </c>
    </row>
    <row r="33" spans="2:19" ht="19.5" customHeight="1" x14ac:dyDescent="0.25">
      <c r="B33" s="59">
        <v>27</v>
      </c>
      <c r="C33" s="44" t="s">
        <v>352</v>
      </c>
      <c r="D33" s="28" t="s">
        <v>87</v>
      </c>
      <c r="E33" s="101">
        <v>60</v>
      </c>
      <c r="F33" s="101">
        <v>55</v>
      </c>
      <c r="G33" s="101">
        <v>64</v>
      </c>
      <c r="H33" s="101">
        <v>65</v>
      </c>
      <c r="I33" s="101">
        <v>70</v>
      </c>
      <c r="J33" s="102">
        <f>ROUND(E33*'01_PARAMETRES'!$D$17+F33*'01_PARAMETRES'!$D$18+G33*'01_PARAMETRES'!$D$19+H33*'01_PARAMETRES'!$D$20+I33*'01_PARAMETRES'!$D$21,1)</f>
        <v>61.6</v>
      </c>
      <c r="K33" s="67">
        <f t="shared" si="0"/>
        <v>29</v>
      </c>
      <c r="L33" s="103" t="str">
        <f>IF(J33&gt;='01_PARAMETRES'!$C$26,"🟢 Maître d'Art",IF(J33&gt;='01_PARAMETRES'!$C$27,"🔵 Expert",IF(J33&gt;='01_PARAMETRES'!$C$28,"🟡 Confirmé",IF(J33&gt;='01_PARAMETRES'!$C$29,"🟠 Junior","🔴 Apprenti"))))</f>
        <v>🟢 Maître d'Art</v>
      </c>
      <c r="M33" s="17" t="s">
        <v>317</v>
      </c>
      <c r="N33" s="104">
        <v>28000</v>
      </c>
      <c r="O33" s="28" t="s">
        <v>307</v>
      </c>
      <c r="P33" s="28" t="s">
        <v>308</v>
      </c>
      <c r="Q33" s="105"/>
      <c r="R33" s="106" t="s">
        <v>304</v>
      </c>
      <c r="S33" s="107">
        <f>IFERROR(N33/VLOOKUP(D33,'02_REF_METIERS'!$B$4:$J$33,9,FALSE()),"N/D")</f>
        <v>0.66666666666666663</v>
      </c>
    </row>
    <row r="34" spans="2:19" ht="19.5" customHeight="1" x14ac:dyDescent="0.25">
      <c r="B34" s="59">
        <v>28</v>
      </c>
      <c r="C34" s="44" t="s">
        <v>353</v>
      </c>
      <c r="D34" s="28" t="s">
        <v>158</v>
      </c>
      <c r="E34" s="101">
        <v>68</v>
      </c>
      <c r="F34" s="101">
        <v>30</v>
      </c>
      <c r="G34" s="101">
        <v>88</v>
      </c>
      <c r="H34" s="101">
        <v>55</v>
      </c>
      <c r="I34" s="101">
        <v>65</v>
      </c>
      <c r="J34" s="102">
        <f>ROUND(E34*'01_PARAMETRES'!$D$17+F34*'01_PARAMETRES'!$D$18+G34*'01_PARAMETRES'!$D$19+H34*'01_PARAMETRES'!$D$20+I34*'01_PARAMETRES'!$D$21,1)</f>
        <v>62.2</v>
      </c>
      <c r="K34" s="67">
        <f t="shared" si="0"/>
        <v>28</v>
      </c>
      <c r="L34" s="103" t="str">
        <f>IF(J34&gt;='01_PARAMETRES'!$C$26,"🟢 Maître d'Art",IF(J34&gt;='01_PARAMETRES'!$C$27,"🔵 Expert",IF(J34&gt;='01_PARAMETRES'!$C$28,"🟡 Confirmé",IF(J34&gt;='01_PARAMETRES'!$C$29,"🟠 Junior","🔴 Apprenti"))))</f>
        <v>🟢 Maître d'Art</v>
      </c>
      <c r="M34" s="17" t="s">
        <v>310</v>
      </c>
      <c r="N34" s="104">
        <v>85000</v>
      </c>
      <c r="O34" s="28" t="s">
        <v>354</v>
      </c>
      <c r="P34" s="28" t="s">
        <v>312</v>
      </c>
      <c r="Q34" s="105"/>
      <c r="R34" s="106" t="s">
        <v>304</v>
      </c>
      <c r="S34" s="107">
        <f>IFERROR(N34/VLOOKUP(D34,'02_REF_METIERS'!$B$4:$J$33,9,FALSE()),"N/D")</f>
        <v>0.89473684210526316</v>
      </c>
    </row>
    <row r="35" spans="2:19" ht="19.5" customHeight="1" x14ac:dyDescent="0.25">
      <c r="B35" s="59">
        <v>29</v>
      </c>
      <c r="C35" s="44" t="s">
        <v>355</v>
      </c>
      <c r="D35" s="28" t="s">
        <v>111</v>
      </c>
      <c r="E35" s="101">
        <v>55</v>
      </c>
      <c r="F35" s="101">
        <v>40</v>
      </c>
      <c r="G35" s="101">
        <v>70</v>
      </c>
      <c r="H35" s="101">
        <v>50</v>
      </c>
      <c r="I35" s="101">
        <v>58</v>
      </c>
      <c r="J35" s="102">
        <f>ROUND(E35*'01_PARAMETRES'!$D$17+F35*'01_PARAMETRES'!$D$18+G35*'01_PARAMETRES'!$D$19+H35*'01_PARAMETRES'!$D$20+I35*'01_PARAMETRES'!$D$21,1)</f>
        <v>54.6</v>
      </c>
      <c r="K35" s="67">
        <f t="shared" si="0"/>
        <v>30</v>
      </c>
      <c r="L35" s="103" t="str">
        <f>IF(J35&gt;='01_PARAMETRES'!$C$26,"🟢 Maître d'Art",IF(J35&gt;='01_PARAMETRES'!$C$27,"🔵 Expert",IF(J35&gt;='01_PARAMETRES'!$C$28,"🟡 Confirmé",IF(J35&gt;='01_PARAMETRES'!$C$29,"🟠 Junior","🔴 Apprenti"))))</f>
        <v>🟢 Maître d'Art</v>
      </c>
      <c r="M35" s="17" t="s">
        <v>356</v>
      </c>
      <c r="N35" s="104">
        <v>30000</v>
      </c>
      <c r="O35" s="28" t="s">
        <v>311</v>
      </c>
      <c r="P35" s="28" t="s">
        <v>303</v>
      </c>
      <c r="Q35" s="105"/>
      <c r="R35" s="106" t="s">
        <v>304</v>
      </c>
      <c r="S35" s="107">
        <f>IFERROR(N35/VLOOKUP(D35,'02_REF_METIERS'!$B$4:$J$33,9,FALSE()),"N/D")</f>
        <v>0.66666666666666663</v>
      </c>
    </row>
    <row r="36" spans="2:19" ht="19.5" customHeight="1" x14ac:dyDescent="0.25">
      <c r="B36" s="59">
        <v>30</v>
      </c>
      <c r="C36" s="44" t="s">
        <v>357</v>
      </c>
      <c r="D36" s="28" t="s">
        <v>155</v>
      </c>
      <c r="E36" s="101">
        <v>72</v>
      </c>
      <c r="F36" s="101">
        <v>42</v>
      </c>
      <c r="G36" s="101">
        <v>76</v>
      </c>
      <c r="H36" s="101">
        <v>70</v>
      </c>
      <c r="I36" s="101">
        <v>82</v>
      </c>
      <c r="J36" s="102">
        <f>ROUND(E36*'01_PARAMETRES'!$D$17+F36*'01_PARAMETRES'!$D$18+G36*'01_PARAMETRES'!$D$19+H36*'01_PARAMETRES'!$D$20+I36*'01_PARAMETRES'!$D$21,1)</f>
        <v>67.5</v>
      </c>
      <c r="K36" s="67">
        <f t="shared" si="0"/>
        <v>24</v>
      </c>
      <c r="L36" s="103" t="str">
        <f>IF(J36&gt;='01_PARAMETRES'!$C$26,"🟢 Maître d'Art",IF(J36&gt;='01_PARAMETRES'!$C$27,"🔵 Expert",IF(J36&gt;='01_PARAMETRES'!$C$28,"🟡 Confirmé",IF(J36&gt;='01_PARAMETRES'!$C$29,"🟠 Junior","🔴 Apprenti"))))</f>
        <v>🟢 Maître d'Art</v>
      </c>
      <c r="M36" s="17" t="s">
        <v>301</v>
      </c>
      <c r="N36" s="104">
        <v>38000</v>
      </c>
      <c r="O36" s="28" t="s">
        <v>302</v>
      </c>
      <c r="P36" s="28" t="s">
        <v>308</v>
      </c>
      <c r="Q36" s="105"/>
      <c r="R36" s="106" t="s">
        <v>304</v>
      </c>
      <c r="S36" s="107">
        <f>IFERROR(N36/VLOOKUP(D36,'02_REF_METIERS'!$B$4:$J$33,9,FALSE()),"N/D")</f>
        <v>0.86363636363636365</v>
      </c>
    </row>
    <row r="39" spans="2:19" ht="21.75" customHeight="1" x14ac:dyDescent="0.25">
      <c r="B39" s="11" t="s">
        <v>69</v>
      </c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</row>
  </sheetData>
  <autoFilter ref="B6:S36" xr:uid="{00000000-0009-0000-0000-000003000000}"/>
  <mergeCells count="4">
    <mergeCell ref="B1:S1"/>
    <mergeCell ref="B2:S2"/>
    <mergeCell ref="B5:S5"/>
    <mergeCell ref="B39:S39"/>
  </mergeCells>
  <conditionalFormatting sqref="J7:J36">
    <cfRule type="expression" dxfId="26" priority="2">
      <formula>J7&gt;=85</formula>
    </cfRule>
    <cfRule type="expression" dxfId="25" priority="3">
      <formula>AND(J7&gt;=70,J7&lt;85)</formula>
    </cfRule>
    <cfRule type="expression" dxfId="24" priority="4">
      <formula>AND(J7&gt;=55,J7&lt;70)</formula>
    </cfRule>
    <cfRule type="expression" dxfId="23" priority="5">
      <formula>J7&lt;55</formula>
    </cfRule>
  </conditionalFormatting>
  <conditionalFormatting sqref="K7:K36">
    <cfRule type="expression" dxfId="22" priority="10">
      <formula>K7&lt;=3</formula>
    </cfRule>
  </conditionalFormatting>
  <conditionalFormatting sqref="L7:L36">
    <cfRule type="expression" dxfId="21" priority="6">
      <formula>LEFT(L7,2)="🟢"</formula>
    </cfRule>
    <cfRule type="expression" dxfId="20" priority="7">
      <formula>LEFT(L7,2)="🔵"</formula>
    </cfRule>
    <cfRule type="expression" dxfId="19" priority="8">
      <formula>LEFT(L7,2)="🟡"</formula>
    </cfRule>
    <cfRule type="expression" dxfId="18" priority="9">
      <formula>LEFT(L7,2)="🔴"</formula>
    </cfRule>
  </conditionalFormatting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300-000000000000}">
          <x14:formula1>
            <xm:f>'02_REF_METIERS'!$B$4:$B$33</xm:f>
          </x14:formula1>
          <x14:formula2>
            <xm:f>0</xm:f>
          </x14:formula2>
          <xm:sqref>D7:D36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2E7D32"/>
  </sheetPr>
  <dimension ref="B1:M107"/>
  <sheetViews>
    <sheetView showGridLines="0" zoomScaleNormal="100" workbookViewId="0">
      <selection activeCell="M8" sqref="M8"/>
    </sheetView>
  </sheetViews>
  <sheetFormatPr baseColWidth="10" defaultColWidth="8.7109375" defaultRowHeight="15" x14ac:dyDescent="0.25"/>
  <cols>
    <col min="1" max="1" width="3" customWidth="1"/>
    <col min="2" max="2" width="5" customWidth="1"/>
    <col min="3" max="3" width="20" customWidth="1"/>
    <col min="4" max="4" width="16" customWidth="1"/>
    <col min="5" max="5" width="12" customWidth="1"/>
    <col min="6" max="6" width="16" customWidth="1"/>
    <col min="7" max="7" width="22" customWidth="1"/>
    <col min="8" max="8" width="16" customWidth="1"/>
    <col min="9" max="10" width="14" customWidth="1"/>
    <col min="11" max="11" width="22" customWidth="1"/>
    <col min="12" max="12" width="14" customWidth="1"/>
    <col min="13" max="13" width="22" customWidth="1"/>
  </cols>
  <sheetData>
    <row r="1" spans="2:13" ht="30" customHeight="1" x14ac:dyDescent="0.25">
      <c r="B1" s="168" t="s">
        <v>358</v>
      </c>
      <c r="C1" s="168"/>
      <c r="D1" s="168"/>
      <c r="E1" s="168"/>
      <c r="F1" s="168"/>
      <c r="G1" s="168"/>
      <c r="H1" s="168"/>
      <c r="I1" s="168"/>
      <c r="J1" s="168"/>
      <c r="K1" s="168"/>
      <c r="L1" s="168"/>
      <c r="M1" s="168"/>
    </row>
    <row r="2" spans="2:13" ht="15.75" customHeight="1" x14ac:dyDescent="0.25">
      <c r="B2" s="9" t="s">
        <v>359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</row>
    <row r="3" spans="2:13" ht="18" customHeight="1" x14ac:dyDescent="0.25">
      <c r="B3" s="169">
        <f>COUNTA(C8:C107)-COUNTBLANK(C8:C107)</f>
        <v>-60</v>
      </c>
      <c r="C3" s="169"/>
      <c r="D3" s="169">
        <f>COUNTIF(F8:F107,"🟢 Actif")</f>
        <v>13</v>
      </c>
      <c r="E3" s="169"/>
      <c r="F3" s="170">
        <f>IFERROR(COUNTIF(G8:G107,"Intégré")/COUNTA(C8:C107),"0%")</f>
        <v>0</v>
      </c>
      <c r="G3" s="170"/>
      <c r="H3" s="169" t="s">
        <v>280</v>
      </c>
      <c r="I3" s="169"/>
      <c r="J3" s="169">
        <f ca="1">COUNTIF(M8:M107,"⚠️*")+COUNTIF(M8:M107,"🔴 DORMANT*")</f>
        <v>17</v>
      </c>
      <c r="K3" s="169"/>
    </row>
    <row r="4" spans="2:13" ht="36" customHeight="1" x14ac:dyDescent="0.25">
      <c r="B4" s="171" t="s">
        <v>360</v>
      </c>
      <c r="C4" s="171"/>
      <c r="D4" s="171" t="s">
        <v>361</v>
      </c>
      <c r="E4" s="171"/>
      <c r="F4" s="171" t="s">
        <v>362</v>
      </c>
      <c r="G4" s="171"/>
      <c r="H4" s="171" t="s">
        <v>363</v>
      </c>
      <c r="I4" s="171"/>
      <c r="J4" s="171" t="s">
        <v>737</v>
      </c>
      <c r="K4" s="171"/>
    </row>
    <row r="6" spans="2:13" ht="19.5" customHeight="1" x14ac:dyDescent="0.25">
      <c r="B6" s="7" t="s">
        <v>364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</row>
    <row r="7" spans="2:13" ht="36" customHeight="1" x14ac:dyDescent="0.25">
      <c r="B7" s="41" t="s">
        <v>282</v>
      </c>
      <c r="C7" s="41" t="s">
        <v>283</v>
      </c>
      <c r="D7" s="41" t="s">
        <v>284</v>
      </c>
      <c r="E7" s="41" t="s">
        <v>365</v>
      </c>
      <c r="F7" s="41" t="s">
        <v>366</v>
      </c>
      <c r="G7" s="41" t="s">
        <v>367</v>
      </c>
      <c r="H7" s="41" t="s">
        <v>368</v>
      </c>
      <c r="I7" s="41" t="s">
        <v>369</v>
      </c>
      <c r="J7" s="41" t="s">
        <v>370</v>
      </c>
      <c r="K7" s="41" t="s">
        <v>371</v>
      </c>
      <c r="L7" s="41" t="s">
        <v>372</v>
      </c>
      <c r="M7" s="41" t="s">
        <v>373</v>
      </c>
    </row>
    <row r="8" spans="2:13" ht="30.75" customHeight="1" x14ac:dyDescent="0.25">
      <c r="B8" s="59">
        <v>1</v>
      </c>
      <c r="C8" s="44" t="s">
        <v>300</v>
      </c>
      <c r="D8" s="108" t="s">
        <v>87</v>
      </c>
      <c r="E8" s="109">
        <f>IFERROR(VLOOKUP(C8,'04_SCORING_CANDIDATS'!$C$7:$J$106,8,FALSE()),"—")</f>
        <v>87.7</v>
      </c>
      <c r="F8" s="77" t="s">
        <v>374</v>
      </c>
      <c r="G8" s="105" t="s">
        <v>375</v>
      </c>
      <c r="H8" s="108" t="s">
        <v>348</v>
      </c>
      <c r="I8" s="110" t="s">
        <v>301</v>
      </c>
      <c r="J8" s="104">
        <v>15000</v>
      </c>
      <c r="K8" s="110" t="s">
        <v>376</v>
      </c>
      <c r="L8" s="108" t="s">
        <v>302</v>
      </c>
      <c r="M8" s="239" t="str">
        <f ca="1">IF(OR(F8="🔴 Refusé",F8="✅ Intégré"),"",IF(NOT(ISNUMBER(DATEVALUE(H8))),"⚠️ Vérifier date",IF(TODAY()-DATEVALUE(H8)&gt;30,"🔴 DORMANT — "&amp;C8&amp;" · "&amp;TEXT(TODAY()-DATEVALUE(H8),"0")&amp;"j · "&amp;G8,IF(TODAY()-DATEVALUE(H8)&gt;14,"⚠️ Relancer · "&amp;TEXT(TODAY()-DATEVALUE(H8),"0")&amp;"j · "&amp;G8,"✅ À jour"))))</f>
        <v>🔴 DORMANT — Marie D. · 45j · 7. Offre émise</v>
      </c>
    </row>
    <row r="9" spans="2:13" ht="29.25" customHeight="1" x14ac:dyDescent="0.25">
      <c r="B9" s="59">
        <v>2</v>
      </c>
      <c r="C9" s="44" t="s">
        <v>305</v>
      </c>
      <c r="D9" s="108" t="s">
        <v>87</v>
      </c>
      <c r="E9" s="109">
        <f>IFERROR(VLOOKUP(C9,'04_SCORING_CANDIDATS'!$C$7:$J$106,8,FALSE()),"—")</f>
        <v>81.599999999999994</v>
      </c>
      <c r="F9" s="77" t="s">
        <v>374</v>
      </c>
      <c r="G9" s="105" t="s">
        <v>377</v>
      </c>
      <c r="H9" s="108" t="s">
        <v>378</v>
      </c>
      <c r="I9" s="110" t="s">
        <v>306</v>
      </c>
      <c r="J9" s="104">
        <v>12000</v>
      </c>
      <c r="K9" s="110" t="s">
        <v>376</v>
      </c>
      <c r="L9" s="108" t="s">
        <v>318</v>
      </c>
      <c r="M9" s="239" t="str">
        <f ca="1">IF(OR(F9="🔴 Refusé",F9="✅ Intégré"),"",IF(NOT(ISNUMBER(DATEVALUE(H9))),"⚠️ Vérifier date",IF(TODAY()-DATEVALUE(H9)&gt;30,"🔴 DORMANT — "&amp;C9&amp;" · "&amp;TEXT(TODAY()-DATEVALUE(H9),"0")&amp;"j · "&amp;G9,IF(TODAY()-DATEVALUE(H9)&gt;14,"⚠️ Relancer · "&amp;TEXT(TODAY()-DATEVALUE(H9),"0")&amp;"j · "&amp;G9,"✅ À jour"))))</f>
        <v>🔴 DORMANT — Jean P. · 48j · 5. Pièce d'essai / Test technique</v>
      </c>
    </row>
    <row r="10" spans="2:13" ht="36" customHeight="1" x14ac:dyDescent="0.25">
      <c r="B10" s="59">
        <v>3</v>
      </c>
      <c r="C10" s="44" t="s">
        <v>309</v>
      </c>
      <c r="D10" s="108" t="s">
        <v>111</v>
      </c>
      <c r="E10" s="109">
        <f>IFERROR(VLOOKUP(C10,'04_SCORING_CANDIDATS'!$C$7:$J$106,8,FALSE()),"—")</f>
        <v>81.3</v>
      </c>
      <c r="F10" s="33" t="s">
        <v>379</v>
      </c>
      <c r="G10" s="105" t="s">
        <v>380</v>
      </c>
      <c r="H10" s="108" t="s">
        <v>315</v>
      </c>
      <c r="I10" s="110" t="s">
        <v>310</v>
      </c>
      <c r="J10" s="104">
        <v>20000</v>
      </c>
      <c r="K10" s="110" t="s">
        <v>381</v>
      </c>
      <c r="L10" s="108" t="s">
        <v>311</v>
      </c>
      <c r="M10" s="239" t="str">
        <f ca="1">IF(OR(F10="🔴 Refusé",F10="✅ Intégré"),"",IF(NOT(ISNUMBER(DATEVALUE(H10))),"⚠️ Vérifier date",IF(TODAY()-DATEVALUE(H10)&gt;30,"🔴 DORMANT — "&amp;C10&amp;" · "&amp;TEXT(TODAY()-DATEVALUE(H10),"0")&amp;"j · "&amp;G10,IF(TODAY()-DATEVALUE(H10)&gt;14,"⚠️ Relancer · "&amp;TEXT(TODAY()-DATEVALUE(H10),"0")&amp;"j · "&amp;G10,"✅ À jour"))))</f>
        <v>🔴 DORMANT — Akiko T. · 59j · 4. Entretien #2 (Maître d'atelier)</v>
      </c>
    </row>
    <row r="11" spans="2:13" ht="27" customHeight="1" x14ac:dyDescent="0.25">
      <c r="B11" s="59">
        <v>4</v>
      </c>
      <c r="C11" s="44" t="s">
        <v>313</v>
      </c>
      <c r="D11" s="108" t="s">
        <v>87</v>
      </c>
      <c r="E11" s="109">
        <f>IFERROR(VLOOKUP(C11,'04_SCORING_CANDIDATS'!$C$7:$J$106,8,FALSE()),"—")</f>
        <v>76</v>
      </c>
      <c r="F11" s="37" t="s">
        <v>382</v>
      </c>
      <c r="G11" s="105" t="s">
        <v>383</v>
      </c>
      <c r="H11" s="108" t="s">
        <v>384</v>
      </c>
      <c r="I11" s="110" t="s">
        <v>314</v>
      </c>
      <c r="J11" s="28" t="s">
        <v>100</v>
      </c>
      <c r="K11" s="110" t="s">
        <v>100</v>
      </c>
      <c r="L11" s="108" t="s">
        <v>100</v>
      </c>
      <c r="M11" s="234" t="str">
        <f ca="1">IF(OR(F11="🔴 Refusé",F11="✅ Intégré"),"",IF(NOT(ISNUMBER(DATEVALUE(H11))),"⚠️ Vérifier date",IF(TODAY()-DATEVALUE(H11)&gt;30,"🔴 DORMANT — "&amp;C11&amp;" · "&amp;TEXT(TODAY()-DATEVALUE(H11),"0")&amp;"j · "&amp;G11,IF(TODAY()-DATEVALUE(H11)&gt;14,"⚠️ Relancer · "&amp;TEXT(TODAY()-DATEVALUE(H11),"0")&amp;"j · "&amp;G11,"✅ À jour"))))</f>
        <v/>
      </c>
    </row>
    <row r="12" spans="2:13" ht="30" customHeight="1" x14ac:dyDescent="0.25">
      <c r="B12" s="59">
        <v>5</v>
      </c>
      <c r="C12" s="44" t="s">
        <v>316</v>
      </c>
      <c r="D12" s="108" t="s">
        <v>145</v>
      </c>
      <c r="E12" s="109">
        <f>IFERROR(VLOOKUP(C12,'04_SCORING_CANDIDATS'!$C$7:$J$106,8,FALSE()),"—")</f>
        <v>67.5</v>
      </c>
      <c r="F12" s="77" t="s">
        <v>374</v>
      </c>
      <c r="G12" s="105" t="s">
        <v>385</v>
      </c>
      <c r="H12" s="108" t="s">
        <v>386</v>
      </c>
      <c r="I12" s="110" t="s">
        <v>317</v>
      </c>
      <c r="J12" s="104">
        <v>8000</v>
      </c>
      <c r="K12" s="110" t="s">
        <v>387</v>
      </c>
      <c r="L12" s="108" t="s">
        <v>331</v>
      </c>
      <c r="M12" s="239" t="str">
        <f ca="1">IF(OR(F12="🔴 Refusé",F12="✅ Intégré"),"",IF(NOT(ISNUMBER(DATEVALUE(H12))),"⚠️ Vérifier date",IF(TODAY()-DATEVALUE(H12)&gt;30,"🔴 DORMANT — "&amp;C12&amp;" · "&amp;TEXT(TODAY()-DATEVALUE(H12),"0")&amp;"j · "&amp;G12,IF(TODAY()-DATEVALUE(H12)&gt;14,"⚠️ Relancer · "&amp;TEXT(TODAY()-DATEVALUE(H12),"0")&amp;"j · "&amp;G12,"✅ À jour"))))</f>
        <v>🔴 DORMANT — Sofia R. · 50j · 3. Entretien #1 (RH)</v>
      </c>
    </row>
    <row r="13" spans="2:13" ht="29.25" customHeight="1" x14ac:dyDescent="0.25">
      <c r="B13" s="59">
        <v>6</v>
      </c>
      <c r="C13" s="44" t="s">
        <v>319</v>
      </c>
      <c r="D13" s="108" t="s">
        <v>119</v>
      </c>
      <c r="E13" s="109">
        <f>IFERROR(VLOOKUP(C13,'04_SCORING_CANDIDATS'!$C$7:$J$106,8,FALSE()),"—")</f>
        <v>80.2</v>
      </c>
      <c r="F13" s="77" t="s">
        <v>374</v>
      </c>
      <c r="G13" s="105" t="s">
        <v>388</v>
      </c>
      <c r="H13" s="108" t="s">
        <v>389</v>
      </c>
      <c r="I13" s="110" t="s">
        <v>310</v>
      </c>
      <c r="J13" s="104">
        <v>25000</v>
      </c>
      <c r="K13" s="110" t="s">
        <v>100</v>
      </c>
      <c r="L13" s="108" t="s">
        <v>320</v>
      </c>
      <c r="M13" s="239" t="str">
        <f ca="1">IF(OR(F13="🔴 Refusé",F13="✅ Intégré"),"",IF(NOT(ISNUMBER(DATEVALUE(H13))),"⚠️ Vérifier date",IF(TODAY()-DATEVALUE(H13)&gt;30,"🔴 DORMANT — "&amp;C13&amp;" · "&amp;TEXT(TODAY()-DATEVALUE(H13),"0")&amp;"j · "&amp;G13,IF(TODAY()-DATEVALUE(H13)&gt;14,"⚠️ Relancer · "&amp;TEXT(TODAY()-DATEVALUE(H13),"0")&amp;"j · "&amp;G13,"✅ À jour"))))</f>
        <v>🔴 DORMANT — Hiroshi M. · 40j · 2. Premier contact</v>
      </c>
    </row>
    <row r="14" spans="2:13" ht="39.75" customHeight="1" x14ac:dyDescent="0.25">
      <c r="B14" s="59">
        <v>7</v>
      </c>
      <c r="C14" s="44" t="s">
        <v>321</v>
      </c>
      <c r="D14" s="108" t="s">
        <v>145</v>
      </c>
      <c r="E14" s="109">
        <f>IFERROR(VLOOKUP(C14,'04_SCORING_CANDIDATS'!$C$7:$J$106,8,FALSE()),"—")</f>
        <v>77.7</v>
      </c>
      <c r="F14" s="77" t="s">
        <v>374</v>
      </c>
      <c r="G14" s="105" t="s">
        <v>380</v>
      </c>
      <c r="H14" s="108" t="s">
        <v>390</v>
      </c>
      <c r="I14" s="110" t="s">
        <v>301</v>
      </c>
      <c r="J14" s="104">
        <v>10000</v>
      </c>
      <c r="K14" s="110" t="s">
        <v>387</v>
      </c>
      <c r="L14" s="108" t="s">
        <v>318</v>
      </c>
      <c r="M14" s="239" t="str">
        <f ca="1">IF(OR(F14="🔴 Refusé",F14="✅ Intégré"),"",IF(NOT(ISNUMBER(DATEVALUE(H14))),"⚠️ Vérifier date",IF(TODAY()-DATEVALUE(H14)&gt;30,"🔴 DORMANT — "&amp;C14&amp;" · "&amp;TEXT(TODAY()-DATEVALUE(H14),"0")&amp;"j · "&amp;G14,IF(TODAY()-DATEVALUE(H14)&gt;14,"⚠️ Relancer · "&amp;TEXT(TODAY()-DATEVALUE(H14),"0")&amp;"j · "&amp;G14,"✅ À jour"))))</f>
        <v>🔴 DORMANT — Camille B. · 42j · 4. Entretien #2 (Maître d'atelier)</v>
      </c>
    </row>
    <row r="15" spans="2:13" ht="30" customHeight="1" x14ac:dyDescent="0.25">
      <c r="B15" s="59">
        <v>8</v>
      </c>
      <c r="C15" s="44" t="s">
        <v>322</v>
      </c>
      <c r="D15" s="108" t="s">
        <v>132</v>
      </c>
      <c r="E15" s="109">
        <f>IFERROR(VLOOKUP(C15,'04_SCORING_CANDIDATS'!$C$7:$J$106,8,FALSE()),"—")</f>
        <v>79.3</v>
      </c>
      <c r="F15" s="33" t="s">
        <v>379</v>
      </c>
      <c r="G15" s="105" t="s">
        <v>385</v>
      </c>
      <c r="H15" s="108" t="s">
        <v>391</v>
      </c>
      <c r="I15" s="110" t="s">
        <v>323</v>
      </c>
      <c r="J15" s="104">
        <v>12000</v>
      </c>
      <c r="K15" s="110" t="s">
        <v>392</v>
      </c>
      <c r="L15" s="108" t="s">
        <v>311</v>
      </c>
      <c r="M15" s="239" t="str">
        <f ca="1">IF(OR(F15="🔴 Refusé",F15="✅ Intégré"),"",IF(NOT(ISNUMBER(DATEVALUE(H15))),"⚠️ Vérifier date",IF(TODAY()-DATEVALUE(H15)&gt;30,"🔴 DORMANT — "&amp;C15&amp;" · "&amp;TEXT(TODAY()-DATEVALUE(H15),"0")&amp;"j · "&amp;G15,IF(TODAY()-DATEVALUE(H15)&gt;14,"⚠️ Relancer · "&amp;TEXT(TODAY()-DATEVALUE(H15),"0")&amp;"j · "&amp;G15,"✅ À jour"))))</f>
        <v>🔴 DORMANT — Lukas S. · 55j · 3. Entretien #1 (RH)</v>
      </c>
    </row>
    <row r="16" spans="2:13" ht="36.75" customHeight="1" x14ac:dyDescent="0.25">
      <c r="B16" s="59">
        <v>9</v>
      </c>
      <c r="C16" s="44" t="s">
        <v>325</v>
      </c>
      <c r="D16" s="108" t="s">
        <v>152</v>
      </c>
      <c r="E16" s="109">
        <f>IFERROR(VLOOKUP(C16,'04_SCORING_CANDIDATS'!$C$7:$J$106,8,FALSE()),"—")</f>
        <v>74.599999999999994</v>
      </c>
      <c r="F16" s="77" t="s">
        <v>374</v>
      </c>
      <c r="G16" s="105" t="s">
        <v>385</v>
      </c>
      <c r="H16" s="108" t="s">
        <v>393</v>
      </c>
      <c r="I16" s="110" t="s">
        <v>317</v>
      </c>
      <c r="J16" s="104">
        <v>8000</v>
      </c>
      <c r="K16" s="110" t="s">
        <v>100</v>
      </c>
      <c r="L16" s="108" t="s">
        <v>324</v>
      </c>
      <c r="M16" s="239" t="str">
        <f ca="1">IF(OR(F16="🔴 Refusé",F16="✅ Intégré"),"",IF(NOT(ISNUMBER(DATEVALUE(H16))),"⚠️ Vérifier date",IF(TODAY()-DATEVALUE(H16)&gt;30,"🔴 DORMANT — "&amp;C16&amp;" · "&amp;TEXT(TODAY()-DATEVALUE(H16),"0")&amp;"j · "&amp;G16,IF(TODAY()-DATEVALUE(H16)&gt;14,"⚠️ Relancer · "&amp;TEXT(TODAY()-DATEVALUE(H16),"0")&amp;"j · "&amp;G16,"✅ À jour"))))</f>
        <v>🔴 DORMANT — Fatima O. · 46j · 3. Entretien #1 (RH)</v>
      </c>
    </row>
    <row r="17" spans="2:13" ht="42" customHeight="1" x14ac:dyDescent="0.25">
      <c r="B17" s="59">
        <v>10</v>
      </c>
      <c r="C17" s="44" t="s">
        <v>327</v>
      </c>
      <c r="D17" s="108" t="s">
        <v>111</v>
      </c>
      <c r="E17" s="109">
        <f>IFERROR(VLOOKUP(C17,'04_SCORING_CANDIDATS'!$C$7:$J$106,8,FALSE()),"—")</f>
        <v>71.3</v>
      </c>
      <c r="F17" s="33" t="s">
        <v>379</v>
      </c>
      <c r="G17" s="105" t="s">
        <v>388</v>
      </c>
      <c r="H17" s="108" t="s">
        <v>384</v>
      </c>
      <c r="I17" s="110" t="s">
        <v>328</v>
      </c>
      <c r="J17" s="104">
        <v>18000</v>
      </c>
      <c r="K17" s="110" t="s">
        <v>381</v>
      </c>
      <c r="L17" s="108" t="s">
        <v>320</v>
      </c>
      <c r="M17" s="239" t="str">
        <f ca="1">IF(OR(F17="🔴 Refusé",F17="✅ Intégré"),"",IF(NOT(ISNUMBER(DATEVALUE(H17))),"⚠️ Vérifier date",IF(TODAY()-DATEVALUE(H17)&gt;30,"🔴 DORMANT — "&amp;C17&amp;" · "&amp;TEXT(TODAY()-DATEVALUE(H17),"0")&amp;"j · "&amp;G17,IF(TODAY()-DATEVALUE(H17)&gt;14,"⚠️ Relancer · "&amp;TEXT(TODAY()-DATEVALUE(H17),"0")&amp;"j · "&amp;G17,"✅ À jour"))))</f>
        <v>🔴 DORMANT — Antoine V. · 63j · 2. Premier contact</v>
      </c>
    </row>
    <row r="18" spans="2:13" ht="33" customHeight="1" x14ac:dyDescent="0.25">
      <c r="B18" s="59">
        <v>11</v>
      </c>
      <c r="C18" s="44" t="s">
        <v>329</v>
      </c>
      <c r="D18" s="108" t="s">
        <v>171</v>
      </c>
      <c r="E18" s="109">
        <f>IFERROR(VLOOKUP(C18,'04_SCORING_CANDIDATS'!$C$7:$J$106,8,FALSE()),"—")</f>
        <v>78.599999999999994</v>
      </c>
      <c r="F18" s="77" t="s">
        <v>374</v>
      </c>
      <c r="G18" s="105" t="s">
        <v>377</v>
      </c>
      <c r="H18" s="108" t="s">
        <v>394</v>
      </c>
      <c r="I18" s="110" t="s">
        <v>301</v>
      </c>
      <c r="J18" s="104">
        <v>10000</v>
      </c>
      <c r="K18" s="110" t="s">
        <v>100</v>
      </c>
      <c r="L18" s="108" t="s">
        <v>331</v>
      </c>
      <c r="M18" s="239" t="str">
        <f ca="1">IF(OR(F18="🔴 Refusé",F18="✅ Intégré"),"",IF(NOT(ISNUMBER(DATEVALUE(H18))),"⚠️ Vérifier date",IF(TODAY()-DATEVALUE(H18)&gt;30,"🔴 DORMANT — "&amp;C18&amp;" · "&amp;TEXT(TODAY()-DATEVALUE(H18),"0")&amp;"j · "&amp;G18,IF(TODAY()-DATEVALUE(H18)&gt;14,"⚠️ Relancer · "&amp;TEXT(TODAY()-DATEVALUE(H18),"0")&amp;"j · "&amp;G18,"✅ À jour"))))</f>
        <v>🔴 DORMANT — Yolanda G. · 44j · 5. Pièce d'essai / Test technique</v>
      </c>
    </row>
    <row r="19" spans="2:13" ht="33" customHeight="1" x14ac:dyDescent="0.25">
      <c r="B19" s="59">
        <v>12</v>
      </c>
      <c r="C19" s="44" t="s">
        <v>337</v>
      </c>
      <c r="D19" s="108" t="s">
        <v>132</v>
      </c>
      <c r="E19" s="109">
        <f>IFERROR(VLOOKUP(C19,'04_SCORING_CANDIDATS'!$C$7:$J$106,8,FALSE()),"—")</f>
        <v>73</v>
      </c>
      <c r="F19" s="29" t="s">
        <v>395</v>
      </c>
      <c r="G19" s="105" t="s">
        <v>396</v>
      </c>
      <c r="H19" s="108" t="s">
        <v>315</v>
      </c>
      <c r="I19" s="110" t="s">
        <v>314</v>
      </c>
      <c r="J19" s="104">
        <v>5000</v>
      </c>
      <c r="K19" s="110" t="s">
        <v>392</v>
      </c>
      <c r="L19" s="108" t="s">
        <v>315</v>
      </c>
      <c r="M19" s="234" t="str">
        <f ca="1">IF(OR(F19="🔴 Refusé",F19="✅ Intégré"),"",IF(NOT(ISNUMBER(DATEVALUE(H19))),"⚠️ Vérifier date",IF(TODAY()-DATEVALUE(H19)&gt;30,"🔴 DORMANT — "&amp;C19&amp;" · "&amp;TEXT(TODAY()-DATEVALUE(H19),"0")&amp;"j · "&amp;G19,IF(TODAY()-DATEVALUE(H19)&gt;14,"⚠️ Relancer · "&amp;TEXT(TODAY()-DATEVALUE(H19),"0")&amp;"j · "&amp;G19,"✅ À jour"))))</f>
        <v/>
      </c>
    </row>
    <row r="20" spans="2:13" ht="37.5" customHeight="1" x14ac:dyDescent="0.25">
      <c r="B20" s="59">
        <v>13</v>
      </c>
      <c r="C20" s="44" t="s">
        <v>332</v>
      </c>
      <c r="D20" s="108" t="s">
        <v>155</v>
      </c>
      <c r="E20" s="109">
        <f>IFERROR(VLOOKUP(C20,'04_SCORING_CANDIDATS'!$C$7:$J$106,8,FALSE()),"—")</f>
        <v>73.599999999999994</v>
      </c>
      <c r="F20" s="77" t="s">
        <v>374</v>
      </c>
      <c r="G20" s="105" t="s">
        <v>385</v>
      </c>
      <c r="H20" s="108" t="s">
        <v>397</v>
      </c>
      <c r="I20" s="110" t="s">
        <v>333</v>
      </c>
      <c r="J20" s="104">
        <v>10000</v>
      </c>
      <c r="K20" s="110" t="s">
        <v>100</v>
      </c>
      <c r="L20" s="108" t="s">
        <v>324</v>
      </c>
      <c r="M20" s="239" t="str">
        <f ca="1">IF(OR(F20="🔴 Refusé",F20="✅ Intégré"),"",IF(NOT(ISNUMBER(DATEVALUE(H20))),"⚠️ Vérifier date",IF(TODAY()-DATEVALUE(H20)&gt;30,"🔴 DORMANT — "&amp;C20&amp;" · "&amp;TEXT(TODAY()-DATEVALUE(H20),"0")&amp;"j · "&amp;G20,IF(TODAY()-DATEVALUE(H20)&gt;14,"⚠️ Relancer · "&amp;TEXT(TODAY()-DATEVALUE(H20),"0")&amp;"j · "&amp;G20,"✅ À jour"))))</f>
        <v>🔴 DORMANT — Ambre L. · 41j · 3. Entretien #1 (RH)</v>
      </c>
    </row>
    <row r="21" spans="2:13" ht="33.75" customHeight="1" x14ac:dyDescent="0.25">
      <c r="B21" s="59">
        <v>14</v>
      </c>
      <c r="C21" s="44" t="s">
        <v>334</v>
      </c>
      <c r="D21" s="108" t="s">
        <v>127</v>
      </c>
      <c r="E21" s="109">
        <f>IFERROR(VLOOKUP(C21,'04_SCORING_CANDIDATS'!$C$7:$J$106,8,FALSE()),"—")</f>
        <v>77.3</v>
      </c>
      <c r="F21" s="77" t="s">
        <v>374</v>
      </c>
      <c r="G21" s="105" t="s">
        <v>398</v>
      </c>
      <c r="H21" s="108" t="s">
        <v>399</v>
      </c>
      <c r="I21" s="110" t="s">
        <v>310</v>
      </c>
      <c r="J21" s="104">
        <v>30000</v>
      </c>
      <c r="K21" s="110" t="s">
        <v>100</v>
      </c>
      <c r="L21" s="108" t="s">
        <v>335</v>
      </c>
      <c r="M21" s="239" t="str">
        <f ca="1">IF(OR(F21="🔴 Refusé",F21="✅ Intégré"),"",IF(NOT(ISNUMBER(DATEVALUE(H21))),"⚠️ Vérifier date",IF(TODAY()-DATEVALUE(H21)&gt;30,"🔴 DORMANT — "&amp;C21&amp;" · "&amp;TEXT(TODAY()-DATEVALUE(H21),"0")&amp;"j · "&amp;G21,IF(TODAY()-DATEVALUE(H21)&gt;14,"⚠️ Relancer · "&amp;TEXT(TODAY()-DATEVALUE(H21),"0")&amp;"j · "&amp;G21,"✅ À jour"))))</f>
        <v>🔴 DORMANT — Kenji W. · 38j · 1. Sourcing identifié</v>
      </c>
    </row>
    <row r="22" spans="2:13" ht="36" customHeight="1" x14ac:dyDescent="0.25">
      <c r="B22" s="59">
        <v>15</v>
      </c>
      <c r="C22" s="44" t="s">
        <v>336</v>
      </c>
      <c r="D22" s="108" t="s">
        <v>149</v>
      </c>
      <c r="E22" s="109">
        <f>IFERROR(VLOOKUP(C22,'04_SCORING_CANDIDATS'!$C$7:$J$106,8,FALSE()),"—")</f>
        <v>77.5</v>
      </c>
      <c r="F22" s="77" t="s">
        <v>374</v>
      </c>
      <c r="G22" s="105" t="s">
        <v>380</v>
      </c>
      <c r="H22" s="108" t="s">
        <v>400</v>
      </c>
      <c r="I22" s="110" t="s">
        <v>301</v>
      </c>
      <c r="J22" s="104">
        <v>12000</v>
      </c>
      <c r="K22" s="110" t="s">
        <v>100</v>
      </c>
      <c r="L22" s="108" t="s">
        <v>311</v>
      </c>
      <c r="M22" s="239" t="str">
        <f ca="1">IF(OR(F22="🔴 Refusé",F22="✅ Intégré"),"",IF(NOT(ISNUMBER(DATEVALUE(H22))),"⚠️ Vérifier date",IF(TODAY()-DATEVALUE(H22)&gt;30,"🔴 DORMANT — "&amp;C22&amp;" · "&amp;TEXT(TODAY()-DATEVALUE(H22),"0")&amp;"j · "&amp;G22,IF(TODAY()-DATEVALUE(H22)&gt;14,"⚠️ Relancer · "&amp;TEXT(TODAY()-DATEVALUE(H22),"0")&amp;"j · "&amp;G22,"✅ À jour"))))</f>
        <v>🔴 DORMANT — Isabelle C. · 43j · 4. Entretien #2 (Maître d'atelier)</v>
      </c>
    </row>
    <row r="23" spans="2:13" ht="33.75" customHeight="1" x14ac:dyDescent="0.25">
      <c r="B23" s="59">
        <v>16</v>
      </c>
      <c r="C23" s="44" t="s">
        <v>352</v>
      </c>
      <c r="D23" s="108" t="s">
        <v>87</v>
      </c>
      <c r="E23" s="109">
        <f>IFERROR(VLOOKUP(C23,'04_SCORING_CANDIDATS'!$C$7:$J$106,8,FALSE()),"—")</f>
        <v>61.6</v>
      </c>
      <c r="F23" s="37" t="s">
        <v>382</v>
      </c>
      <c r="G23" s="105" t="s">
        <v>383</v>
      </c>
      <c r="H23" s="108" t="s">
        <v>386</v>
      </c>
      <c r="I23" s="110" t="s">
        <v>317</v>
      </c>
      <c r="J23" s="28" t="s">
        <v>100</v>
      </c>
      <c r="K23" s="110" t="s">
        <v>100</v>
      </c>
      <c r="L23" s="108" t="s">
        <v>100</v>
      </c>
      <c r="M23" s="234" t="str">
        <f ca="1">IF(OR(F23="🔴 Refusé",F23="✅ Intégré"),"",IF(NOT(ISNUMBER(DATEVALUE(H23))),"⚠️ Vérifier date",IF(TODAY()-DATEVALUE(H23)&gt;30,"🔴 DORMANT — "&amp;C23&amp;" · "&amp;TEXT(TODAY()-DATEVALUE(H23),"0")&amp;"j · "&amp;G23,IF(TODAY()-DATEVALUE(H23)&gt;14,"⚠️ Relancer · "&amp;TEXT(TODAY()-DATEVALUE(H23),"0")&amp;"j · "&amp;G23,"✅ À jour"))))</f>
        <v/>
      </c>
    </row>
    <row r="24" spans="2:13" ht="30" customHeight="1" x14ac:dyDescent="0.25">
      <c r="B24" s="59">
        <v>17</v>
      </c>
      <c r="C24" s="44" t="s">
        <v>341</v>
      </c>
      <c r="D24" s="108" t="s">
        <v>142</v>
      </c>
      <c r="E24" s="109">
        <f>IFERROR(VLOOKUP(C24,'04_SCORING_CANDIDATS'!$C$7:$J$106,8,FALSE()),"—")</f>
        <v>75.400000000000006</v>
      </c>
      <c r="F24" s="77" t="s">
        <v>374</v>
      </c>
      <c r="G24" s="105" t="s">
        <v>388</v>
      </c>
      <c r="H24" s="108" t="s">
        <v>401</v>
      </c>
      <c r="I24" s="110" t="s">
        <v>310</v>
      </c>
      <c r="J24" s="104">
        <v>28000</v>
      </c>
      <c r="K24" s="110" t="s">
        <v>100</v>
      </c>
      <c r="L24" s="108" t="s">
        <v>342</v>
      </c>
      <c r="M24" s="239" t="str">
        <f ca="1">IF(OR(F24="🔴 Refusé",F24="✅ Intégré"),"",IF(NOT(ISNUMBER(DATEVALUE(H24))),"⚠️ Vérifier date",IF(TODAY()-DATEVALUE(H24)&gt;30,"🔴 DORMANT — "&amp;C24&amp;" · "&amp;TEXT(TODAY()-DATEVALUE(H24),"0")&amp;"j · "&amp;G24,IF(TODAY()-DATEVALUE(H24)&gt;14,"⚠️ Relancer · "&amp;TEXT(TODAY()-DATEVALUE(H24),"0")&amp;"j · "&amp;G24,"✅ À jour"))))</f>
        <v>🔴 DORMANT — Ryo T. · 39j · 2. Premier contact</v>
      </c>
    </row>
    <row r="25" spans="2:13" ht="30.75" customHeight="1" x14ac:dyDescent="0.25">
      <c r="B25" s="59">
        <v>18</v>
      </c>
      <c r="C25" s="44" t="s">
        <v>343</v>
      </c>
      <c r="D25" s="108" t="s">
        <v>152</v>
      </c>
      <c r="E25" s="109">
        <f>IFERROR(VLOOKUP(C25,'04_SCORING_CANDIDATS'!$C$7:$J$106,8,FALSE()),"—")</f>
        <v>75.099999999999994</v>
      </c>
      <c r="F25" s="77" t="s">
        <v>374</v>
      </c>
      <c r="G25" s="105" t="s">
        <v>385</v>
      </c>
      <c r="H25" s="108" t="s">
        <v>348</v>
      </c>
      <c r="I25" s="110" t="s">
        <v>301</v>
      </c>
      <c r="J25" s="104">
        <v>8000</v>
      </c>
      <c r="K25" s="110" t="s">
        <v>100</v>
      </c>
      <c r="L25" s="108" t="s">
        <v>318</v>
      </c>
      <c r="M25" s="239" t="str">
        <f ca="1">IF(OR(F25="🔴 Refusé",F25="✅ Intégré"),"",IF(NOT(ISNUMBER(DATEVALUE(H25))),"⚠️ Vérifier date",IF(TODAY()-DATEVALUE(H25)&gt;30,"🔴 DORMANT — "&amp;C25&amp;" · "&amp;TEXT(TODAY()-DATEVALUE(H25),"0")&amp;"j · "&amp;G25,IF(TODAY()-DATEVALUE(H25)&gt;14,"⚠️ Relancer · "&amp;TEXT(TODAY()-DATEVALUE(H25),"0")&amp;"j · "&amp;G25,"✅ À jour"))))</f>
        <v>🔴 DORMANT — Clara N. · 45j · 3. Entretien #1 (RH)</v>
      </c>
    </row>
    <row r="26" spans="2:13" ht="32.25" customHeight="1" x14ac:dyDescent="0.25">
      <c r="B26" s="59">
        <v>19</v>
      </c>
      <c r="C26" s="44" t="s">
        <v>344</v>
      </c>
      <c r="D26" s="108" t="s">
        <v>119</v>
      </c>
      <c r="E26" s="109">
        <f>IFERROR(VLOOKUP(C26,'04_SCORING_CANDIDATS'!$C$7:$J$106,8,FALSE()),"—")</f>
        <v>72</v>
      </c>
      <c r="F26" s="33" t="s">
        <v>379</v>
      </c>
      <c r="G26" s="105" t="s">
        <v>388</v>
      </c>
      <c r="H26" s="108" t="s">
        <v>402</v>
      </c>
      <c r="I26" s="110" t="s">
        <v>328</v>
      </c>
      <c r="J26" s="104">
        <v>22000</v>
      </c>
      <c r="K26" s="110" t="s">
        <v>100</v>
      </c>
      <c r="L26" s="108" t="s">
        <v>342</v>
      </c>
      <c r="M26" s="239" t="str">
        <f ca="1">IF(OR(F26="🔴 Refusé",F26="✅ Intégré"),"",IF(NOT(ISNUMBER(DATEVALUE(H26))),"⚠️ Vérifier date",IF(TODAY()-DATEVALUE(H26)&gt;30,"🔴 DORMANT — "&amp;C26&amp;" · "&amp;TEXT(TODAY()-DATEVALUE(H26),"0")&amp;"j · "&amp;G26,IF(TODAY()-DATEVALUE(H26)&gt;14,"⚠️ Relancer · "&amp;TEXT(TODAY()-DATEVALUE(H26),"0")&amp;"j · "&amp;G26,"✅ À jour"))))</f>
        <v>🔴 DORMANT — David H. · 52j · 2. Premier contact</v>
      </c>
    </row>
    <row r="27" spans="2:13" ht="26.25" customHeight="1" x14ac:dyDescent="0.25">
      <c r="B27" s="59">
        <v>20</v>
      </c>
      <c r="C27" s="44" t="s">
        <v>345</v>
      </c>
      <c r="D27" s="108" t="s">
        <v>158</v>
      </c>
      <c r="E27" s="109">
        <f>IFERROR(VLOOKUP(C27,'04_SCORING_CANDIDATS'!$C$7:$J$106,8,FALSE()),"—")</f>
        <v>68.3</v>
      </c>
      <c r="F27" s="77" t="s">
        <v>374</v>
      </c>
      <c r="G27" s="105" t="s">
        <v>398</v>
      </c>
      <c r="H27" s="108" t="s">
        <v>403</v>
      </c>
      <c r="I27" s="110" t="s">
        <v>310</v>
      </c>
      <c r="J27" s="104">
        <v>35000</v>
      </c>
      <c r="K27" s="110" t="s">
        <v>100</v>
      </c>
      <c r="L27" s="108" t="s">
        <v>346</v>
      </c>
      <c r="M27" s="239" t="str">
        <f ca="1">IF(OR(F27="🔴 Refusé",F27="✅ Intégré"),"",IF(NOT(ISNUMBER(DATEVALUE(H27))),"⚠️ Vérifier date",IF(TODAY()-DATEVALUE(H27)&gt;30,"🔴 DORMANT — "&amp;C27&amp;" · "&amp;TEXT(TODAY()-DATEVALUE(H27),"0")&amp;"j · "&amp;G27,IF(TODAY()-DATEVALUE(H27)&gt;14,"⚠️ Relancer · "&amp;TEXT(TODAY()-DATEVALUE(H27),"0")&amp;"j · "&amp;G27,"✅ À jour"))))</f>
        <v>🔴 DORMANT — Elisa R. · 37j · 1. Sourcing identifié</v>
      </c>
    </row>
    <row r="28" spans="2:13" x14ac:dyDescent="0.25">
      <c r="M28" s="201"/>
    </row>
    <row r="29" spans="2:13" x14ac:dyDescent="0.25">
      <c r="M29" s="201"/>
    </row>
    <row r="30" spans="2:13" ht="21.75" customHeight="1" x14ac:dyDescent="0.25">
      <c r="B30" s="11" t="s">
        <v>69</v>
      </c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235"/>
    </row>
    <row r="31" spans="2:13" x14ac:dyDescent="0.25">
      <c r="M31" s="201"/>
    </row>
    <row r="32" spans="2:13" x14ac:dyDescent="0.25">
      <c r="M32" s="201"/>
    </row>
    <row r="33" spans="13:13" x14ac:dyDescent="0.25">
      <c r="M33" s="201"/>
    </row>
    <row r="34" spans="13:13" x14ac:dyDescent="0.25">
      <c r="M34" s="201"/>
    </row>
    <row r="35" spans="13:13" x14ac:dyDescent="0.25">
      <c r="M35" s="201"/>
    </row>
    <row r="36" spans="13:13" x14ac:dyDescent="0.25">
      <c r="M36" s="201"/>
    </row>
    <row r="37" spans="13:13" x14ac:dyDescent="0.25">
      <c r="M37" s="201"/>
    </row>
    <row r="38" spans="13:13" x14ac:dyDescent="0.25">
      <c r="M38" s="201"/>
    </row>
    <row r="39" spans="13:13" x14ac:dyDescent="0.25">
      <c r="M39" s="201"/>
    </row>
    <row r="40" spans="13:13" x14ac:dyDescent="0.25">
      <c r="M40" s="201"/>
    </row>
    <row r="41" spans="13:13" x14ac:dyDescent="0.25">
      <c r="M41" s="201"/>
    </row>
    <row r="42" spans="13:13" x14ac:dyDescent="0.25">
      <c r="M42" s="201"/>
    </row>
    <row r="43" spans="13:13" x14ac:dyDescent="0.25">
      <c r="M43" s="201"/>
    </row>
    <row r="44" spans="13:13" x14ac:dyDescent="0.25">
      <c r="M44" s="201"/>
    </row>
    <row r="45" spans="13:13" x14ac:dyDescent="0.25">
      <c r="M45" s="201"/>
    </row>
    <row r="46" spans="13:13" x14ac:dyDescent="0.25">
      <c r="M46" s="201"/>
    </row>
    <row r="47" spans="13:13" x14ac:dyDescent="0.25">
      <c r="M47" s="201"/>
    </row>
    <row r="48" spans="13:13" x14ac:dyDescent="0.25">
      <c r="M48" s="201"/>
    </row>
    <row r="49" spans="13:13" x14ac:dyDescent="0.25">
      <c r="M49" s="201"/>
    </row>
    <row r="50" spans="13:13" x14ac:dyDescent="0.25">
      <c r="M50" s="201"/>
    </row>
    <row r="51" spans="13:13" x14ac:dyDescent="0.25">
      <c r="M51" s="201"/>
    </row>
    <row r="52" spans="13:13" x14ac:dyDescent="0.25">
      <c r="M52" s="201"/>
    </row>
    <row r="53" spans="13:13" x14ac:dyDescent="0.25">
      <c r="M53" s="201"/>
    </row>
    <row r="54" spans="13:13" x14ac:dyDescent="0.25">
      <c r="M54" s="201"/>
    </row>
    <row r="55" spans="13:13" x14ac:dyDescent="0.25">
      <c r="M55" s="201"/>
    </row>
    <row r="56" spans="13:13" x14ac:dyDescent="0.25">
      <c r="M56" s="201"/>
    </row>
    <row r="57" spans="13:13" x14ac:dyDescent="0.25">
      <c r="M57" s="201"/>
    </row>
    <row r="58" spans="13:13" x14ac:dyDescent="0.25">
      <c r="M58" s="201"/>
    </row>
    <row r="59" spans="13:13" x14ac:dyDescent="0.25">
      <c r="M59" s="201"/>
    </row>
    <row r="60" spans="13:13" x14ac:dyDescent="0.25">
      <c r="M60" s="201"/>
    </row>
    <row r="61" spans="13:13" x14ac:dyDescent="0.25">
      <c r="M61" s="201"/>
    </row>
    <row r="62" spans="13:13" x14ac:dyDescent="0.25">
      <c r="M62" s="201"/>
    </row>
    <row r="63" spans="13:13" x14ac:dyDescent="0.25">
      <c r="M63" s="201"/>
    </row>
    <row r="64" spans="13:13" x14ac:dyDescent="0.25">
      <c r="M64" s="201"/>
    </row>
    <row r="65" spans="13:13" x14ac:dyDescent="0.25">
      <c r="M65" s="201"/>
    </row>
    <row r="66" spans="13:13" x14ac:dyDescent="0.25">
      <c r="M66" s="201"/>
    </row>
    <row r="67" spans="13:13" x14ac:dyDescent="0.25">
      <c r="M67" s="201"/>
    </row>
    <row r="68" spans="13:13" x14ac:dyDescent="0.25">
      <c r="M68" s="201"/>
    </row>
    <row r="69" spans="13:13" x14ac:dyDescent="0.25">
      <c r="M69" s="201"/>
    </row>
    <row r="70" spans="13:13" x14ac:dyDescent="0.25">
      <c r="M70" s="201"/>
    </row>
    <row r="71" spans="13:13" x14ac:dyDescent="0.25">
      <c r="M71" s="201"/>
    </row>
    <row r="72" spans="13:13" x14ac:dyDescent="0.25">
      <c r="M72" s="201"/>
    </row>
    <row r="73" spans="13:13" x14ac:dyDescent="0.25">
      <c r="M73" s="201"/>
    </row>
    <row r="74" spans="13:13" x14ac:dyDescent="0.25">
      <c r="M74" s="201"/>
    </row>
    <row r="75" spans="13:13" x14ac:dyDescent="0.25">
      <c r="M75" s="201"/>
    </row>
    <row r="76" spans="13:13" x14ac:dyDescent="0.25">
      <c r="M76" s="201"/>
    </row>
    <row r="77" spans="13:13" x14ac:dyDescent="0.25">
      <c r="M77" s="201"/>
    </row>
    <row r="78" spans="13:13" x14ac:dyDescent="0.25">
      <c r="M78" s="201"/>
    </row>
    <row r="79" spans="13:13" x14ac:dyDescent="0.25">
      <c r="M79" s="201"/>
    </row>
    <row r="80" spans="13:13" x14ac:dyDescent="0.25">
      <c r="M80" s="201"/>
    </row>
    <row r="81" spans="13:13" x14ac:dyDescent="0.25">
      <c r="M81" s="201"/>
    </row>
    <row r="82" spans="13:13" x14ac:dyDescent="0.25">
      <c r="M82" s="201"/>
    </row>
    <row r="83" spans="13:13" x14ac:dyDescent="0.25">
      <c r="M83" s="201"/>
    </row>
    <row r="84" spans="13:13" x14ac:dyDescent="0.25">
      <c r="M84" s="201"/>
    </row>
    <row r="85" spans="13:13" x14ac:dyDescent="0.25">
      <c r="M85" s="201"/>
    </row>
    <row r="86" spans="13:13" x14ac:dyDescent="0.25">
      <c r="M86" s="201"/>
    </row>
    <row r="87" spans="13:13" x14ac:dyDescent="0.25">
      <c r="M87" s="201"/>
    </row>
    <row r="88" spans="13:13" x14ac:dyDescent="0.25">
      <c r="M88" s="201"/>
    </row>
    <row r="89" spans="13:13" x14ac:dyDescent="0.25">
      <c r="M89" s="201"/>
    </row>
    <row r="90" spans="13:13" x14ac:dyDescent="0.25">
      <c r="M90" s="201"/>
    </row>
    <row r="91" spans="13:13" x14ac:dyDescent="0.25">
      <c r="M91" s="201"/>
    </row>
    <row r="92" spans="13:13" x14ac:dyDescent="0.25">
      <c r="M92" s="201"/>
    </row>
    <row r="93" spans="13:13" x14ac:dyDescent="0.25">
      <c r="M93" s="201"/>
    </row>
    <row r="94" spans="13:13" x14ac:dyDescent="0.25">
      <c r="M94" s="201"/>
    </row>
    <row r="95" spans="13:13" x14ac:dyDescent="0.25">
      <c r="M95" s="201"/>
    </row>
    <row r="96" spans="13:13" x14ac:dyDescent="0.25">
      <c r="M96" s="201"/>
    </row>
    <row r="97" spans="13:13" x14ac:dyDescent="0.25">
      <c r="M97" s="201"/>
    </row>
    <row r="98" spans="13:13" x14ac:dyDescent="0.25">
      <c r="M98" s="201"/>
    </row>
    <row r="99" spans="13:13" x14ac:dyDescent="0.25">
      <c r="M99" s="201"/>
    </row>
    <row r="100" spans="13:13" x14ac:dyDescent="0.25">
      <c r="M100" s="201"/>
    </row>
    <row r="101" spans="13:13" x14ac:dyDescent="0.25">
      <c r="M101" s="201"/>
    </row>
    <row r="102" spans="13:13" x14ac:dyDescent="0.25">
      <c r="M102" s="201"/>
    </row>
    <row r="103" spans="13:13" x14ac:dyDescent="0.25">
      <c r="M103" s="201"/>
    </row>
    <row r="104" spans="13:13" x14ac:dyDescent="0.25">
      <c r="M104" s="201"/>
    </row>
    <row r="105" spans="13:13" x14ac:dyDescent="0.25">
      <c r="M105" s="201"/>
    </row>
    <row r="106" spans="13:13" x14ac:dyDescent="0.25">
      <c r="M106" s="201"/>
    </row>
    <row r="107" spans="13:13" x14ac:dyDescent="0.25">
      <c r="M107" s="201"/>
    </row>
  </sheetData>
  <autoFilter ref="B7:M27" xr:uid="{00000000-0009-0000-0000-000004000000}"/>
  <mergeCells count="14">
    <mergeCell ref="B6:M6"/>
    <mergeCell ref="B30:M30"/>
    <mergeCell ref="B4:C4"/>
    <mergeCell ref="D4:E4"/>
    <mergeCell ref="F4:G4"/>
    <mergeCell ref="H4:I4"/>
    <mergeCell ref="J4:K4"/>
    <mergeCell ref="B1:M1"/>
    <mergeCell ref="B2:M2"/>
    <mergeCell ref="B3:C3"/>
    <mergeCell ref="D3:E3"/>
    <mergeCell ref="F3:G3"/>
    <mergeCell ref="H3:I3"/>
    <mergeCell ref="J3:K3"/>
  </mergeCells>
  <conditionalFormatting sqref="M8:M27">
    <cfRule type="expression" dxfId="17" priority="2">
      <formula>LEFT(M8,2)="⚠️"</formula>
    </cfRule>
    <cfRule type="expression" dxfId="16" priority="3">
      <formula>LEFT(M8,2)="✅"</formula>
    </cfRule>
  </conditionalFormatting>
  <dataValidations count="1">
    <dataValidation type="list" allowBlank="1" sqref="G8:G27" xr:uid="{00000000-0002-0000-0400-000000000000}">
      <formula1>"1. Sourcing identifié,2. Premier contact,3. Entretien #1 (RH),4. Entretien #2 (Maître d'atelier),5. Pièce d'essai / Test technique,6. Visite atelier / Immersion,7. Offre émise,8. Offre acceptée,9. Intégration planifiée,10. Intégré,❌ Refusé / Retiré"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695C"/>
  </sheetPr>
  <dimension ref="B1:O49"/>
  <sheetViews>
    <sheetView showGridLines="0" tabSelected="1" topLeftCell="A2" zoomScaleNormal="100" workbookViewId="0">
      <selection activeCell="M10" sqref="M10"/>
    </sheetView>
  </sheetViews>
  <sheetFormatPr baseColWidth="10" defaultColWidth="8.7109375" defaultRowHeight="15" x14ac:dyDescent="0.25"/>
  <cols>
    <col min="1" max="1" width="3" customWidth="1"/>
    <col min="2" max="2" width="22" customWidth="1"/>
    <col min="3" max="3" width="8" customWidth="1"/>
    <col min="4" max="7" width="10" customWidth="1"/>
    <col min="8" max="8" width="12" customWidth="1"/>
    <col min="9" max="9" width="8" customWidth="1"/>
    <col min="10" max="10" width="16.85546875" customWidth="1"/>
    <col min="11" max="13" width="10" customWidth="1"/>
    <col min="14" max="14" width="14" customWidth="1"/>
    <col min="15" max="15" width="10" customWidth="1"/>
  </cols>
  <sheetData>
    <row r="1" spans="2:15" ht="30" customHeight="1" x14ac:dyDescent="0.25">
      <c r="B1" s="168" t="s">
        <v>404</v>
      </c>
      <c r="C1" s="168"/>
      <c r="D1" s="168"/>
      <c r="E1" s="168"/>
      <c r="F1" s="168"/>
      <c r="G1" s="168"/>
      <c r="H1" s="168"/>
      <c r="I1" s="168"/>
      <c r="J1" s="168"/>
      <c r="K1" s="168"/>
      <c r="L1" s="168"/>
      <c r="M1" s="168"/>
      <c r="N1" s="168"/>
      <c r="O1" s="168"/>
    </row>
    <row r="2" spans="2:15" ht="15.75" customHeight="1" x14ac:dyDescent="0.25">
      <c r="B2" s="9" t="s">
        <v>405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</row>
    <row r="3" spans="2:15" ht="18" customHeight="1" x14ac:dyDescent="0.25">
      <c r="B3" s="169">
        <f>COUNTA(B8:B57)</f>
        <v>38</v>
      </c>
      <c r="C3" s="169"/>
      <c r="D3" s="169">
        <f>COUNTIF(I8:I57,"🔴*")</f>
        <v>0</v>
      </c>
      <c r="E3" s="169"/>
      <c r="F3" s="172">
        <f>IFERROR(AVERAGE(H8:H57),"—")</f>
        <v>79.98</v>
      </c>
      <c r="G3" s="172"/>
      <c r="H3" s="169">
        <f>COUNTIF(J8:J57,"Oui")</f>
        <v>0</v>
      </c>
      <c r="I3" s="169"/>
      <c r="J3" s="172" t="str">
        <f>IFERROR(AVERAGE(L8:L57),"—")</f>
        <v>—</v>
      </c>
      <c r="K3" s="172"/>
    </row>
    <row r="4" spans="2:15" ht="36" customHeight="1" x14ac:dyDescent="0.25">
      <c r="B4" s="171" t="s">
        <v>406</v>
      </c>
      <c r="C4" s="171"/>
      <c r="D4" s="171" t="s">
        <v>407</v>
      </c>
      <c r="E4" s="171"/>
      <c r="F4" s="171" t="s">
        <v>408</v>
      </c>
      <c r="G4" s="171"/>
      <c r="H4" s="171" t="s">
        <v>409</v>
      </c>
      <c r="I4" s="171"/>
      <c r="J4" s="171" t="s">
        <v>410</v>
      </c>
      <c r="K4" s="171"/>
    </row>
    <row r="6" spans="2:15" ht="18" customHeight="1" x14ac:dyDescent="0.25">
      <c r="B6" s="7" t="s">
        <v>411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</row>
    <row r="7" spans="2:15" ht="36" customHeight="1" x14ac:dyDescent="0.25">
      <c r="B7" s="41" t="s">
        <v>412</v>
      </c>
      <c r="C7" s="41" t="s">
        <v>74</v>
      </c>
      <c r="D7" s="41" t="s">
        <v>413</v>
      </c>
      <c r="E7" s="41" t="s">
        <v>414</v>
      </c>
      <c r="F7" s="41" t="s">
        <v>415</v>
      </c>
      <c r="G7" s="41" t="s">
        <v>416</v>
      </c>
      <c r="H7" s="41" t="s">
        <v>290</v>
      </c>
      <c r="I7" s="41" t="s">
        <v>417</v>
      </c>
      <c r="J7" s="41" t="s">
        <v>418</v>
      </c>
      <c r="K7" s="41" t="s">
        <v>419</v>
      </c>
      <c r="L7" s="41" t="s">
        <v>420</v>
      </c>
      <c r="M7" s="41" t="s">
        <v>421</v>
      </c>
      <c r="N7" s="41" t="s">
        <v>422</v>
      </c>
      <c r="O7" s="41" t="s">
        <v>423</v>
      </c>
    </row>
    <row r="8" spans="2:15" ht="33" customHeight="1" x14ac:dyDescent="0.25">
      <c r="B8" s="44" t="s">
        <v>376</v>
      </c>
      <c r="C8" s="108" t="s">
        <v>87</v>
      </c>
      <c r="D8" s="101">
        <v>98</v>
      </c>
      <c r="E8" s="101">
        <v>95</v>
      </c>
      <c r="F8" s="101">
        <v>95</v>
      </c>
      <c r="G8" s="101">
        <v>90</v>
      </c>
      <c r="H8" s="109">
        <f>ROUND(D8*'01_PARAMETRES'!$D$17+E8*'01_PARAMETRES'!$D$18+F8*'01_PARAMETRES'!$D$19+G8*'01_PARAMETRES'!$D$20+75*'01_PARAMETRES'!$D$21,1)</f>
        <v>93.3</v>
      </c>
      <c r="I8" s="108">
        <v>62</v>
      </c>
      <c r="J8" s="111" t="str">
        <f t="shared" ref="J8:J37" si="0">IF(I8&gt;=60,"🔴 Critique (&lt;3 ans retraite)",IF(I8&gt;=55,"🟡 Vigilance (&lt;8 ans)",IF(AND(K8&lt;3,I8&lt;35),"🟡 Turnover risqué","🟢 Stable")))</f>
        <v>🔴 Critique (&lt;3 ans retraite)</v>
      </c>
      <c r="K8" s="108">
        <v>32</v>
      </c>
      <c r="L8" s="53" t="s">
        <v>303</v>
      </c>
      <c r="M8" s="108">
        <v>2</v>
      </c>
      <c r="N8" s="108">
        <v>5</v>
      </c>
      <c r="O8" s="52" t="s">
        <v>303</v>
      </c>
    </row>
    <row r="9" spans="2:15" ht="26.25" customHeight="1" x14ac:dyDescent="0.25">
      <c r="B9" s="44" t="s">
        <v>381</v>
      </c>
      <c r="C9" s="108" t="s">
        <v>111</v>
      </c>
      <c r="D9" s="101">
        <v>92</v>
      </c>
      <c r="E9" s="101">
        <v>80</v>
      </c>
      <c r="F9" s="101">
        <v>90</v>
      </c>
      <c r="G9" s="101">
        <v>85</v>
      </c>
      <c r="H9" s="109">
        <f>ROUND(D9*'01_PARAMETRES'!$D$17+E9*'01_PARAMETRES'!$D$18+F9*'01_PARAMETRES'!$D$19+G9*'01_PARAMETRES'!$D$20+75*'01_PARAMETRES'!$D$21,1)</f>
        <v>86.5</v>
      </c>
      <c r="I9" s="108">
        <v>55</v>
      </c>
      <c r="J9" s="111" t="str">
        <f t="shared" si="0"/>
        <v>🟡 Vigilance (&lt;8 ans)</v>
      </c>
      <c r="K9" s="108">
        <v>22</v>
      </c>
      <c r="L9" s="53" t="s">
        <v>303</v>
      </c>
      <c r="M9" s="108">
        <v>1</v>
      </c>
      <c r="N9" s="108">
        <v>4</v>
      </c>
      <c r="O9" s="112" t="s">
        <v>312</v>
      </c>
    </row>
    <row r="10" spans="2:15" ht="32.25" customHeight="1" x14ac:dyDescent="0.25">
      <c r="B10" s="44" t="s">
        <v>387</v>
      </c>
      <c r="C10" s="108" t="s">
        <v>145</v>
      </c>
      <c r="D10" s="101">
        <v>88</v>
      </c>
      <c r="E10" s="101">
        <v>75</v>
      </c>
      <c r="F10" s="101">
        <v>85</v>
      </c>
      <c r="G10" s="101">
        <v>92</v>
      </c>
      <c r="H10" s="109">
        <f>ROUND(D10*'01_PARAMETRES'!$D$17+E10*'01_PARAMETRES'!$D$18+F10*'01_PARAMETRES'!$D$19+G10*'01_PARAMETRES'!$D$20+75*'01_PARAMETRES'!$D$21,1)</f>
        <v>84.1</v>
      </c>
      <c r="I10" s="108">
        <v>48</v>
      </c>
      <c r="J10" s="111" t="str">
        <f t="shared" si="0"/>
        <v>🟢 Stable</v>
      </c>
      <c r="K10" s="108">
        <v>18</v>
      </c>
      <c r="L10" s="53" t="s">
        <v>303</v>
      </c>
      <c r="M10" s="108">
        <v>3</v>
      </c>
      <c r="N10" s="108">
        <v>5</v>
      </c>
      <c r="O10" s="52" t="s">
        <v>303</v>
      </c>
    </row>
    <row r="11" spans="2:15" ht="28.5" customHeight="1" x14ac:dyDescent="0.25">
      <c r="B11" s="44" t="s">
        <v>392</v>
      </c>
      <c r="C11" s="108" t="s">
        <v>132</v>
      </c>
      <c r="D11" s="101">
        <v>90</v>
      </c>
      <c r="E11" s="101">
        <v>88</v>
      </c>
      <c r="F11" s="101">
        <v>88</v>
      </c>
      <c r="G11" s="101">
        <v>70</v>
      </c>
      <c r="H11" s="109">
        <f>ROUND(D11*'01_PARAMETRES'!$D$17+E11*'01_PARAMETRES'!$D$18+F11*'01_PARAMETRES'!$D$19+G11*'01_PARAMETRES'!$D$20+75*'01_PARAMETRES'!$D$21,1)</f>
        <v>84.7</v>
      </c>
      <c r="I11" s="108">
        <v>58</v>
      </c>
      <c r="J11" s="111" t="str">
        <f t="shared" si="0"/>
        <v>🟡 Vigilance (&lt;8 ans)</v>
      </c>
      <c r="K11" s="108">
        <v>26</v>
      </c>
      <c r="L11" s="55" t="s">
        <v>312</v>
      </c>
      <c r="M11" s="108">
        <v>1</v>
      </c>
      <c r="N11" s="108">
        <v>4</v>
      </c>
      <c r="O11" s="112" t="s">
        <v>312</v>
      </c>
    </row>
    <row r="12" spans="2:15" ht="19.5" customHeight="1" x14ac:dyDescent="0.25">
      <c r="B12" s="44" t="s">
        <v>424</v>
      </c>
      <c r="C12" s="108" t="s">
        <v>87</v>
      </c>
      <c r="D12" s="101">
        <v>70</v>
      </c>
      <c r="E12" s="101">
        <v>40</v>
      </c>
      <c r="F12" s="101">
        <v>75</v>
      </c>
      <c r="G12" s="101">
        <v>60</v>
      </c>
      <c r="H12" s="109">
        <f>ROUND(D12*'01_PARAMETRES'!$D$17+E12*'01_PARAMETRES'!$D$18+F12*'01_PARAMETRES'!$D$19+G12*'01_PARAMETRES'!$D$20+75*'01_PARAMETRES'!$D$21,1)</f>
        <v>64</v>
      </c>
      <c r="I12" s="108">
        <v>28</v>
      </c>
      <c r="J12" s="111" t="str">
        <f t="shared" si="0"/>
        <v>🟢 Stable</v>
      </c>
      <c r="K12" s="108">
        <v>5</v>
      </c>
      <c r="L12" s="55" t="s">
        <v>312</v>
      </c>
      <c r="M12" s="108">
        <v>0</v>
      </c>
      <c r="N12" s="108">
        <v>3</v>
      </c>
      <c r="O12" s="112" t="s">
        <v>312</v>
      </c>
    </row>
    <row r="13" spans="2:15" ht="19.5" customHeight="1" x14ac:dyDescent="0.25">
      <c r="B13" s="44" t="s">
        <v>425</v>
      </c>
      <c r="C13" s="108" t="s">
        <v>111</v>
      </c>
      <c r="D13" s="101">
        <v>85</v>
      </c>
      <c r="E13" s="101">
        <v>72</v>
      </c>
      <c r="F13" s="101">
        <v>88</v>
      </c>
      <c r="G13" s="101">
        <v>78</v>
      </c>
      <c r="H13" s="109">
        <f>ROUND(D13*'01_PARAMETRES'!$D$17+E13*'01_PARAMETRES'!$D$18+F13*'01_PARAMETRES'!$D$19+G13*'01_PARAMETRES'!$D$20+75*'01_PARAMETRES'!$D$21,1)</f>
        <v>81</v>
      </c>
      <c r="I13" s="108">
        <v>45</v>
      </c>
      <c r="J13" s="111" t="str">
        <f t="shared" si="0"/>
        <v>🟢 Stable</v>
      </c>
      <c r="K13" s="108">
        <v>14</v>
      </c>
      <c r="L13" s="53" t="s">
        <v>303</v>
      </c>
      <c r="M13" s="108">
        <v>2</v>
      </c>
      <c r="N13" s="108">
        <v>4</v>
      </c>
      <c r="O13" s="52" t="s">
        <v>303</v>
      </c>
    </row>
    <row r="14" spans="2:15" ht="19.5" customHeight="1" x14ac:dyDescent="0.25">
      <c r="B14" s="44" t="s">
        <v>426</v>
      </c>
      <c r="C14" s="108" t="s">
        <v>152</v>
      </c>
      <c r="D14" s="101">
        <v>80</v>
      </c>
      <c r="E14" s="101">
        <v>65</v>
      </c>
      <c r="F14" s="101">
        <v>72</v>
      </c>
      <c r="G14" s="101">
        <v>82</v>
      </c>
      <c r="H14" s="109">
        <f>ROUND(D14*'01_PARAMETRES'!$D$17+E14*'01_PARAMETRES'!$D$18+F14*'01_PARAMETRES'!$D$19+G14*'01_PARAMETRES'!$D$20+75*'01_PARAMETRES'!$D$21,1)</f>
        <v>75.2</v>
      </c>
      <c r="I14" s="108">
        <v>38</v>
      </c>
      <c r="J14" s="111" t="str">
        <f t="shared" si="0"/>
        <v>🟢 Stable</v>
      </c>
      <c r="K14" s="108">
        <v>10</v>
      </c>
      <c r="L14" s="55" t="s">
        <v>312</v>
      </c>
      <c r="M14" s="108">
        <v>1</v>
      </c>
      <c r="N14" s="108">
        <v>4</v>
      </c>
      <c r="O14" s="112" t="s">
        <v>312</v>
      </c>
    </row>
    <row r="15" spans="2:15" ht="19.5" customHeight="1" x14ac:dyDescent="0.25">
      <c r="B15" s="44" t="s">
        <v>427</v>
      </c>
      <c r="C15" s="108" t="s">
        <v>119</v>
      </c>
      <c r="D15" s="101">
        <v>94</v>
      </c>
      <c r="E15" s="101">
        <v>85</v>
      </c>
      <c r="F15" s="101">
        <v>96</v>
      </c>
      <c r="G15" s="101">
        <v>68</v>
      </c>
      <c r="H15" s="109">
        <f>ROUND(D15*'01_PARAMETRES'!$D$17+E15*'01_PARAMETRES'!$D$18+F15*'01_PARAMETRES'!$D$19+G15*'01_PARAMETRES'!$D$20+75*'01_PARAMETRES'!$D$21,1)</f>
        <v>86.8</v>
      </c>
      <c r="I15" s="108">
        <v>52</v>
      </c>
      <c r="J15" s="111" t="str">
        <f t="shared" si="0"/>
        <v>🟢 Stable</v>
      </c>
      <c r="K15" s="108">
        <v>20</v>
      </c>
      <c r="L15" s="53" t="s">
        <v>303</v>
      </c>
      <c r="M15" s="108">
        <v>1</v>
      </c>
      <c r="N15" s="108">
        <v>3</v>
      </c>
      <c r="O15" s="52" t="s">
        <v>303</v>
      </c>
    </row>
    <row r="16" spans="2:15" ht="44.25" customHeight="1" x14ac:dyDescent="0.25">
      <c r="B16" s="44" t="s">
        <v>428</v>
      </c>
      <c r="C16" s="108" t="s">
        <v>124</v>
      </c>
      <c r="D16" s="101">
        <v>88</v>
      </c>
      <c r="E16" s="101">
        <v>92</v>
      </c>
      <c r="F16" s="101">
        <v>86</v>
      </c>
      <c r="G16" s="101">
        <v>88</v>
      </c>
      <c r="H16" s="109">
        <f>ROUND(D16*'01_PARAMETRES'!$D$17+E16*'01_PARAMETRES'!$D$18+F16*'01_PARAMETRES'!$D$19+G16*'01_PARAMETRES'!$D$20+75*'01_PARAMETRES'!$D$21,1)</f>
        <v>87.1</v>
      </c>
      <c r="I16" s="108">
        <v>59</v>
      </c>
      <c r="J16" s="111" t="str">
        <f t="shared" si="0"/>
        <v>🟡 Vigilance (&lt;8 ans)</v>
      </c>
      <c r="K16" s="108">
        <v>30</v>
      </c>
      <c r="L16" s="53" t="s">
        <v>303</v>
      </c>
      <c r="M16" s="108">
        <v>2</v>
      </c>
      <c r="N16" s="108">
        <v>5</v>
      </c>
      <c r="O16" s="52" t="s">
        <v>303</v>
      </c>
    </row>
    <row r="17" spans="2:15" ht="19.5" customHeight="1" x14ac:dyDescent="0.25">
      <c r="B17" s="44" t="s">
        <v>429</v>
      </c>
      <c r="C17" s="108" t="s">
        <v>145</v>
      </c>
      <c r="D17" s="101">
        <v>76</v>
      </c>
      <c r="E17" s="101">
        <v>55</v>
      </c>
      <c r="F17" s="101">
        <v>78</v>
      </c>
      <c r="G17" s="101">
        <v>80</v>
      </c>
      <c r="H17" s="109">
        <f>ROUND(D17*'01_PARAMETRES'!$D$17+E17*'01_PARAMETRES'!$D$18+F17*'01_PARAMETRES'!$D$19+G17*'01_PARAMETRES'!$D$20+75*'01_PARAMETRES'!$D$21,1)</f>
        <v>72.7</v>
      </c>
      <c r="I17" s="108">
        <v>32</v>
      </c>
      <c r="J17" s="111" t="str">
        <f t="shared" si="0"/>
        <v>🟢 Stable</v>
      </c>
      <c r="K17" s="108">
        <v>6</v>
      </c>
      <c r="L17" s="55" t="s">
        <v>312</v>
      </c>
      <c r="M17" s="108">
        <v>0</v>
      </c>
      <c r="N17" s="108">
        <v>3</v>
      </c>
      <c r="O17" s="112" t="s">
        <v>312</v>
      </c>
    </row>
    <row r="18" spans="2:15" ht="33" customHeight="1" x14ac:dyDescent="0.25">
      <c r="B18" s="44" t="s">
        <v>430</v>
      </c>
      <c r="C18" s="108" t="s">
        <v>132</v>
      </c>
      <c r="D18" s="101">
        <v>82</v>
      </c>
      <c r="E18" s="101">
        <v>88</v>
      </c>
      <c r="F18" s="101">
        <v>80</v>
      </c>
      <c r="G18" s="101">
        <v>72</v>
      </c>
      <c r="H18" s="109">
        <f>ROUND(D18*'01_PARAMETRES'!$D$17+E18*'01_PARAMETRES'!$D$18+F18*'01_PARAMETRES'!$D$19+G18*'01_PARAMETRES'!$D$20+75*'01_PARAMETRES'!$D$21,1)</f>
        <v>80.599999999999994</v>
      </c>
      <c r="I18" s="108">
        <v>56</v>
      </c>
      <c r="J18" s="111" t="str">
        <f t="shared" si="0"/>
        <v>🟡 Vigilance (&lt;8 ans)</v>
      </c>
      <c r="K18" s="108">
        <v>24</v>
      </c>
      <c r="L18" s="55" t="s">
        <v>312</v>
      </c>
      <c r="M18" s="108">
        <v>1</v>
      </c>
      <c r="N18" s="108">
        <v>4</v>
      </c>
      <c r="O18" s="112" t="s">
        <v>312</v>
      </c>
    </row>
    <row r="19" spans="2:15" ht="19.5" customHeight="1" x14ac:dyDescent="0.25">
      <c r="B19" s="44" t="s">
        <v>431</v>
      </c>
      <c r="C19" s="108" t="s">
        <v>155</v>
      </c>
      <c r="D19" s="101">
        <v>78</v>
      </c>
      <c r="E19" s="101">
        <v>62</v>
      </c>
      <c r="F19" s="101">
        <v>80</v>
      </c>
      <c r="G19" s="101">
        <v>85</v>
      </c>
      <c r="H19" s="109">
        <f>ROUND(D19*'01_PARAMETRES'!$D$17+E19*'01_PARAMETRES'!$D$18+F19*'01_PARAMETRES'!$D$19+G19*'01_PARAMETRES'!$D$20+75*'01_PARAMETRES'!$D$21,1)</f>
        <v>76</v>
      </c>
      <c r="I19" s="108">
        <v>42</v>
      </c>
      <c r="J19" s="111" t="str">
        <f t="shared" si="0"/>
        <v>🟢 Stable</v>
      </c>
      <c r="K19" s="108">
        <v>14</v>
      </c>
      <c r="L19" s="55" t="s">
        <v>312</v>
      </c>
      <c r="M19" s="108">
        <v>1</v>
      </c>
      <c r="N19" s="108">
        <v>4</v>
      </c>
      <c r="O19" s="52" t="s">
        <v>303</v>
      </c>
    </row>
    <row r="20" spans="2:15" ht="19.5" customHeight="1" x14ac:dyDescent="0.25">
      <c r="B20" s="44" t="s">
        <v>432</v>
      </c>
      <c r="C20" s="108" t="s">
        <v>171</v>
      </c>
      <c r="D20" s="101">
        <v>86</v>
      </c>
      <c r="E20" s="101">
        <v>78</v>
      </c>
      <c r="F20" s="101">
        <v>88</v>
      </c>
      <c r="G20" s="101">
        <v>75</v>
      </c>
      <c r="H20" s="109">
        <f>ROUND(D20*'01_PARAMETRES'!$D$17+E20*'01_PARAMETRES'!$D$18+F20*'01_PARAMETRES'!$D$19+G20*'01_PARAMETRES'!$D$20+75*'01_PARAMETRES'!$D$21,1)</f>
        <v>82.1</v>
      </c>
      <c r="I20" s="108">
        <v>50</v>
      </c>
      <c r="J20" s="111" t="str">
        <f t="shared" si="0"/>
        <v>🟢 Stable</v>
      </c>
      <c r="K20" s="108">
        <v>20</v>
      </c>
      <c r="L20" s="53" t="s">
        <v>303</v>
      </c>
      <c r="M20" s="108">
        <v>2</v>
      </c>
      <c r="N20" s="108">
        <v>4</v>
      </c>
      <c r="O20" s="52" t="s">
        <v>303</v>
      </c>
    </row>
    <row r="21" spans="2:15" ht="19.5" customHeight="1" x14ac:dyDescent="0.25">
      <c r="B21" s="44" t="s">
        <v>433</v>
      </c>
      <c r="C21" s="108" t="s">
        <v>152</v>
      </c>
      <c r="D21" s="101">
        <v>74</v>
      </c>
      <c r="E21" s="101">
        <v>50</v>
      </c>
      <c r="F21" s="101">
        <v>70</v>
      </c>
      <c r="G21" s="101">
        <v>78</v>
      </c>
      <c r="H21" s="109">
        <f>ROUND(D21*'01_PARAMETRES'!$D$17+E21*'01_PARAMETRES'!$D$18+F21*'01_PARAMETRES'!$D$19+G21*'01_PARAMETRES'!$D$20+75*'01_PARAMETRES'!$D$21,1)</f>
        <v>69.099999999999994</v>
      </c>
      <c r="I21" s="108">
        <v>29</v>
      </c>
      <c r="J21" s="111" t="str">
        <f t="shared" si="0"/>
        <v>🟢 Stable</v>
      </c>
      <c r="K21" s="108">
        <v>3</v>
      </c>
      <c r="L21" s="55" t="s">
        <v>312</v>
      </c>
      <c r="M21" s="108">
        <v>0</v>
      </c>
      <c r="N21" s="108">
        <v>3</v>
      </c>
      <c r="O21" s="112" t="s">
        <v>312</v>
      </c>
    </row>
    <row r="22" spans="2:15" ht="19.5" customHeight="1" x14ac:dyDescent="0.25">
      <c r="B22" s="44" t="s">
        <v>434</v>
      </c>
      <c r="C22" s="108" t="s">
        <v>95</v>
      </c>
      <c r="D22" s="101">
        <v>72</v>
      </c>
      <c r="E22" s="101">
        <v>75</v>
      </c>
      <c r="F22" s="101">
        <v>65</v>
      </c>
      <c r="G22" s="101">
        <v>68</v>
      </c>
      <c r="H22" s="109">
        <f>ROUND(D22*'01_PARAMETRES'!$D$17+E22*'01_PARAMETRES'!$D$18+F22*'01_PARAMETRES'!$D$19+G22*'01_PARAMETRES'!$D$20+75*'01_PARAMETRES'!$D$21,1)</f>
        <v>70.900000000000006</v>
      </c>
      <c r="I22" s="108">
        <v>44</v>
      </c>
      <c r="J22" s="111" t="str">
        <f t="shared" si="0"/>
        <v>🟢 Stable</v>
      </c>
      <c r="K22" s="108">
        <v>15</v>
      </c>
      <c r="L22" s="55" t="s">
        <v>312</v>
      </c>
      <c r="M22" s="108">
        <v>1</v>
      </c>
      <c r="N22" s="108">
        <v>3</v>
      </c>
      <c r="O22" s="112" t="s">
        <v>312</v>
      </c>
    </row>
    <row r="23" spans="2:15" ht="19.5" customHeight="1" x14ac:dyDescent="0.25">
      <c r="B23" s="44" t="s">
        <v>435</v>
      </c>
      <c r="C23" s="108" t="s">
        <v>127</v>
      </c>
      <c r="D23" s="101">
        <v>92</v>
      </c>
      <c r="E23" s="101">
        <v>68</v>
      </c>
      <c r="F23" s="101">
        <v>98</v>
      </c>
      <c r="G23" s="101">
        <v>72</v>
      </c>
      <c r="H23" s="109">
        <f>ROUND(D23*'01_PARAMETRES'!$D$17+E23*'01_PARAMETRES'!$D$18+F23*'01_PARAMETRES'!$D$19+G23*'01_PARAMETRES'!$D$20+75*'01_PARAMETRES'!$D$21,1)</f>
        <v>83.7</v>
      </c>
      <c r="I23" s="108">
        <v>48</v>
      </c>
      <c r="J23" s="111" t="str">
        <f t="shared" si="0"/>
        <v>🟢 Stable</v>
      </c>
      <c r="K23" s="108">
        <v>16</v>
      </c>
      <c r="L23" s="53" t="s">
        <v>303</v>
      </c>
      <c r="M23" s="108">
        <v>1</v>
      </c>
      <c r="N23" s="108">
        <v>4</v>
      </c>
      <c r="O23" s="112" t="s">
        <v>312</v>
      </c>
    </row>
    <row r="24" spans="2:15" ht="19.5" customHeight="1" x14ac:dyDescent="0.25">
      <c r="B24" s="44" t="s">
        <v>436</v>
      </c>
      <c r="C24" s="108" t="s">
        <v>87</v>
      </c>
      <c r="D24" s="101">
        <v>95</v>
      </c>
      <c r="E24" s="101">
        <v>98</v>
      </c>
      <c r="F24" s="101">
        <v>92</v>
      </c>
      <c r="G24" s="101">
        <v>88</v>
      </c>
      <c r="H24" s="109">
        <f>ROUND(D24*'01_PARAMETRES'!$D$17+E24*'01_PARAMETRES'!$D$18+F24*'01_PARAMETRES'!$D$19+G24*'01_PARAMETRES'!$D$20+75*'01_PARAMETRES'!$D$21,1)</f>
        <v>92</v>
      </c>
      <c r="I24" s="108">
        <v>61</v>
      </c>
      <c r="J24" s="111" t="str">
        <f t="shared" si="0"/>
        <v>🔴 Critique (&lt;3 ans retraite)</v>
      </c>
      <c r="K24" s="108">
        <v>35</v>
      </c>
      <c r="L24" s="53" t="s">
        <v>303</v>
      </c>
      <c r="M24" s="108">
        <v>3</v>
      </c>
      <c r="N24" s="108">
        <v>5</v>
      </c>
      <c r="O24" s="52" t="s">
        <v>303</v>
      </c>
    </row>
    <row r="25" spans="2:15" ht="19.5" customHeight="1" x14ac:dyDescent="0.25">
      <c r="B25" s="44" t="s">
        <v>437</v>
      </c>
      <c r="C25" s="108" t="s">
        <v>145</v>
      </c>
      <c r="D25" s="101">
        <v>82</v>
      </c>
      <c r="E25" s="101">
        <v>48</v>
      </c>
      <c r="F25" s="101">
        <v>80</v>
      </c>
      <c r="G25" s="101">
        <v>88</v>
      </c>
      <c r="H25" s="109">
        <f>ROUND(D25*'01_PARAMETRES'!$D$17+E25*'01_PARAMETRES'!$D$18+F25*'01_PARAMETRES'!$D$19+G25*'01_PARAMETRES'!$D$20+75*'01_PARAMETRES'!$D$21,1)</f>
        <v>75</v>
      </c>
      <c r="I25" s="108">
        <v>34</v>
      </c>
      <c r="J25" s="111" t="str">
        <f t="shared" si="0"/>
        <v>🟢 Stable</v>
      </c>
      <c r="K25" s="108">
        <v>7</v>
      </c>
      <c r="L25" s="55" t="s">
        <v>312</v>
      </c>
      <c r="M25" s="108">
        <v>0</v>
      </c>
      <c r="N25" s="108">
        <v>3</v>
      </c>
      <c r="O25" s="112" t="s">
        <v>312</v>
      </c>
    </row>
    <row r="26" spans="2:15" ht="19.5" customHeight="1" x14ac:dyDescent="0.25">
      <c r="B26" s="44" t="s">
        <v>438</v>
      </c>
      <c r="C26" s="108" t="s">
        <v>124</v>
      </c>
      <c r="D26" s="101">
        <v>78</v>
      </c>
      <c r="E26" s="101">
        <v>70</v>
      </c>
      <c r="F26" s="101">
        <v>75</v>
      </c>
      <c r="G26" s="101">
        <v>72</v>
      </c>
      <c r="H26" s="109">
        <f>ROUND(D26*'01_PARAMETRES'!$D$17+E26*'01_PARAMETRES'!$D$18+F26*'01_PARAMETRES'!$D$19+G26*'01_PARAMETRES'!$D$20+75*'01_PARAMETRES'!$D$21,1)</f>
        <v>74.599999999999994</v>
      </c>
      <c r="I26" s="108">
        <v>40</v>
      </c>
      <c r="J26" s="111" t="str">
        <f t="shared" si="0"/>
        <v>🟢 Stable</v>
      </c>
      <c r="K26" s="108">
        <v>12</v>
      </c>
      <c r="L26" s="55" t="s">
        <v>312</v>
      </c>
      <c r="M26" s="108">
        <v>1</v>
      </c>
      <c r="N26" s="108">
        <v>3</v>
      </c>
      <c r="O26" s="112" t="s">
        <v>312</v>
      </c>
    </row>
    <row r="27" spans="2:15" ht="19.5" customHeight="1" x14ac:dyDescent="0.25">
      <c r="B27" s="44" t="s">
        <v>439</v>
      </c>
      <c r="C27" s="108" t="s">
        <v>158</v>
      </c>
      <c r="D27" s="101">
        <v>88</v>
      </c>
      <c r="E27" s="101">
        <v>58</v>
      </c>
      <c r="F27" s="101">
        <v>95</v>
      </c>
      <c r="G27" s="101">
        <v>65</v>
      </c>
      <c r="H27" s="109">
        <f>ROUND(D27*'01_PARAMETRES'!$D$17+E27*'01_PARAMETRES'!$D$18+F27*'01_PARAMETRES'!$D$19+G27*'01_PARAMETRES'!$D$20+75*'01_PARAMETRES'!$D$21,1)</f>
        <v>78.7</v>
      </c>
      <c r="I27" s="108">
        <v>46</v>
      </c>
      <c r="J27" s="111" t="str">
        <f t="shared" si="0"/>
        <v>🟢 Stable</v>
      </c>
      <c r="K27" s="108">
        <v>16</v>
      </c>
      <c r="L27" s="55" t="s">
        <v>312</v>
      </c>
      <c r="M27" s="108">
        <v>0</v>
      </c>
      <c r="N27" s="108">
        <v>4</v>
      </c>
      <c r="O27" s="52" t="s">
        <v>303</v>
      </c>
    </row>
    <row r="28" spans="2:15" ht="19.5" customHeight="1" x14ac:dyDescent="0.25">
      <c r="B28" s="44" t="s">
        <v>440</v>
      </c>
      <c r="C28" s="108" t="s">
        <v>132</v>
      </c>
      <c r="D28" s="101">
        <v>90</v>
      </c>
      <c r="E28" s="101">
        <v>94</v>
      </c>
      <c r="F28" s="101">
        <v>88</v>
      </c>
      <c r="G28" s="101">
        <v>78</v>
      </c>
      <c r="H28" s="109">
        <f>ROUND(D28*'01_PARAMETRES'!$D$17+E28*'01_PARAMETRES'!$D$18+F28*'01_PARAMETRES'!$D$19+G28*'01_PARAMETRES'!$D$20+75*'01_PARAMETRES'!$D$21,1)</f>
        <v>87.1</v>
      </c>
      <c r="I28" s="108">
        <v>60</v>
      </c>
      <c r="J28" s="111" t="str">
        <f t="shared" si="0"/>
        <v>🔴 Critique (&lt;3 ans retraite)</v>
      </c>
      <c r="K28" s="108">
        <v>32</v>
      </c>
      <c r="L28" s="53" t="s">
        <v>303</v>
      </c>
      <c r="M28" s="108">
        <v>2</v>
      </c>
      <c r="N28" s="108">
        <v>5</v>
      </c>
      <c r="O28" s="112" t="s">
        <v>312</v>
      </c>
    </row>
    <row r="29" spans="2:15" ht="19.5" customHeight="1" x14ac:dyDescent="0.25">
      <c r="B29" s="44" t="s">
        <v>441</v>
      </c>
      <c r="C29" s="108" t="s">
        <v>155</v>
      </c>
      <c r="D29" s="101">
        <v>80</v>
      </c>
      <c r="E29" s="101">
        <v>55</v>
      </c>
      <c r="F29" s="101">
        <v>78</v>
      </c>
      <c r="G29" s="101">
        <v>82</v>
      </c>
      <c r="H29" s="109">
        <f>ROUND(D29*'01_PARAMETRES'!$D$17+E29*'01_PARAMETRES'!$D$18+F29*'01_PARAMETRES'!$D$19+G29*'01_PARAMETRES'!$D$20+75*'01_PARAMETRES'!$D$21,1)</f>
        <v>74.400000000000006</v>
      </c>
      <c r="I29" s="108">
        <v>35</v>
      </c>
      <c r="J29" s="111" t="str">
        <f t="shared" si="0"/>
        <v>🟢 Stable</v>
      </c>
      <c r="K29" s="108">
        <v>8</v>
      </c>
      <c r="L29" s="55" t="s">
        <v>312</v>
      </c>
      <c r="M29" s="108">
        <v>0</v>
      </c>
      <c r="N29" s="108">
        <v>3</v>
      </c>
      <c r="O29" s="112" t="s">
        <v>312</v>
      </c>
    </row>
    <row r="30" spans="2:15" ht="19.5" customHeight="1" x14ac:dyDescent="0.25">
      <c r="B30" s="44" t="s">
        <v>442</v>
      </c>
      <c r="C30" s="108" t="s">
        <v>142</v>
      </c>
      <c r="D30" s="101">
        <v>94</v>
      </c>
      <c r="E30" s="101">
        <v>78</v>
      </c>
      <c r="F30" s="101">
        <v>96</v>
      </c>
      <c r="G30" s="101">
        <v>75</v>
      </c>
      <c r="H30" s="109">
        <f>ROUND(D30*'01_PARAMETRES'!$D$17+E30*'01_PARAMETRES'!$D$18+F30*'01_PARAMETRES'!$D$19+G30*'01_PARAMETRES'!$D$20+75*'01_PARAMETRES'!$D$21,1)</f>
        <v>86.5</v>
      </c>
      <c r="I30" s="108">
        <v>54</v>
      </c>
      <c r="J30" s="111" t="str">
        <f t="shared" si="0"/>
        <v>🟢 Stable</v>
      </c>
      <c r="K30" s="108">
        <v>22</v>
      </c>
      <c r="L30" s="53" t="s">
        <v>303</v>
      </c>
      <c r="M30" s="108">
        <v>1</v>
      </c>
      <c r="N30" s="108">
        <v>4</v>
      </c>
      <c r="O30" s="52" t="s">
        <v>303</v>
      </c>
    </row>
    <row r="31" spans="2:15" ht="19.5" customHeight="1" x14ac:dyDescent="0.25">
      <c r="B31" s="44" t="s">
        <v>443</v>
      </c>
      <c r="C31" s="108" t="s">
        <v>171</v>
      </c>
      <c r="D31" s="101">
        <v>82</v>
      </c>
      <c r="E31" s="101">
        <v>62</v>
      </c>
      <c r="F31" s="101">
        <v>85</v>
      </c>
      <c r="G31" s="101">
        <v>72</v>
      </c>
      <c r="H31" s="109">
        <f>ROUND(D31*'01_PARAMETRES'!$D$17+E31*'01_PARAMETRES'!$D$18+F31*'01_PARAMETRES'!$D$19+G31*'01_PARAMETRES'!$D$20+75*'01_PARAMETRES'!$D$21,1)</f>
        <v>76.400000000000006</v>
      </c>
      <c r="I31" s="108">
        <v>38</v>
      </c>
      <c r="J31" s="111" t="str">
        <f t="shared" si="0"/>
        <v>🟢 Stable</v>
      </c>
      <c r="K31" s="108">
        <v>10</v>
      </c>
      <c r="L31" s="55" t="s">
        <v>312</v>
      </c>
      <c r="M31" s="108">
        <v>1</v>
      </c>
      <c r="N31" s="108">
        <v>3</v>
      </c>
      <c r="O31" s="112" t="s">
        <v>312</v>
      </c>
    </row>
    <row r="32" spans="2:15" ht="19.5" customHeight="1" x14ac:dyDescent="0.25">
      <c r="B32" s="44" t="s">
        <v>444</v>
      </c>
      <c r="C32" s="108" t="s">
        <v>119</v>
      </c>
      <c r="D32" s="101">
        <v>88</v>
      </c>
      <c r="E32" s="101">
        <v>82</v>
      </c>
      <c r="F32" s="101">
        <v>92</v>
      </c>
      <c r="G32" s="101">
        <v>70</v>
      </c>
      <c r="H32" s="109">
        <f>ROUND(D32*'01_PARAMETRES'!$D$17+E32*'01_PARAMETRES'!$D$18+F32*'01_PARAMETRES'!$D$19+G32*'01_PARAMETRES'!$D$20+75*'01_PARAMETRES'!$D$21,1)</f>
        <v>83.6</v>
      </c>
      <c r="I32" s="108">
        <v>57</v>
      </c>
      <c r="J32" s="111" t="str">
        <f t="shared" si="0"/>
        <v>🟡 Vigilance (&lt;8 ans)</v>
      </c>
      <c r="K32" s="108">
        <v>26</v>
      </c>
      <c r="L32" s="53" t="s">
        <v>303</v>
      </c>
      <c r="M32" s="108">
        <v>2</v>
      </c>
      <c r="N32" s="108">
        <v>4</v>
      </c>
      <c r="O32" s="52" t="s">
        <v>303</v>
      </c>
    </row>
    <row r="33" spans="2:15" ht="19.5" customHeight="1" x14ac:dyDescent="0.25">
      <c r="B33" s="44" t="s">
        <v>445</v>
      </c>
      <c r="C33" s="108" t="s">
        <v>149</v>
      </c>
      <c r="D33" s="101">
        <v>84</v>
      </c>
      <c r="E33" s="101">
        <v>72</v>
      </c>
      <c r="F33" s="101">
        <v>90</v>
      </c>
      <c r="G33" s="101">
        <v>88</v>
      </c>
      <c r="H33" s="109">
        <f>ROUND(D33*'01_PARAMETRES'!$D$17+E33*'01_PARAMETRES'!$D$18+F33*'01_PARAMETRES'!$D$19+G33*'01_PARAMETRES'!$D$20+75*'01_PARAMETRES'!$D$21,1)</f>
        <v>82.5</v>
      </c>
      <c r="I33" s="108">
        <v>50</v>
      </c>
      <c r="J33" s="111" t="str">
        <f t="shared" si="0"/>
        <v>🟢 Stable</v>
      </c>
      <c r="K33" s="108">
        <v>20</v>
      </c>
      <c r="L33" s="53" t="s">
        <v>303</v>
      </c>
      <c r="M33" s="108">
        <v>1</v>
      </c>
      <c r="N33" s="108">
        <v>5</v>
      </c>
      <c r="O33" s="52" t="s">
        <v>303</v>
      </c>
    </row>
    <row r="34" spans="2:15" ht="19.5" customHeight="1" x14ac:dyDescent="0.25">
      <c r="B34" s="44" t="s">
        <v>446</v>
      </c>
      <c r="C34" s="108" t="s">
        <v>95</v>
      </c>
      <c r="D34" s="101">
        <v>68</v>
      </c>
      <c r="E34" s="101">
        <v>55</v>
      </c>
      <c r="F34" s="101">
        <v>60</v>
      </c>
      <c r="G34" s="101">
        <v>62</v>
      </c>
      <c r="H34" s="109">
        <f>ROUND(D34*'01_PARAMETRES'!$D$17+E34*'01_PARAMETRES'!$D$18+F34*'01_PARAMETRES'!$D$19+G34*'01_PARAMETRES'!$D$20+75*'01_PARAMETRES'!$D$21,1)</f>
        <v>63.6</v>
      </c>
      <c r="I34" s="108">
        <v>27</v>
      </c>
      <c r="J34" s="111" t="str">
        <f t="shared" si="0"/>
        <v>🟢 Stable</v>
      </c>
      <c r="K34" s="108">
        <v>3</v>
      </c>
      <c r="L34" s="55" t="s">
        <v>312</v>
      </c>
      <c r="M34" s="108">
        <v>0</v>
      </c>
      <c r="N34" s="108">
        <v>2</v>
      </c>
      <c r="O34" s="112" t="s">
        <v>312</v>
      </c>
    </row>
    <row r="35" spans="2:15" ht="19.5" customHeight="1" x14ac:dyDescent="0.25">
      <c r="B35" s="44" t="s">
        <v>447</v>
      </c>
      <c r="C35" s="108" t="s">
        <v>111</v>
      </c>
      <c r="D35" s="101">
        <v>88</v>
      </c>
      <c r="E35" s="101">
        <v>78</v>
      </c>
      <c r="F35" s="101">
        <v>90</v>
      </c>
      <c r="G35" s="101">
        <v>80</v>
      </c>
      <c r="H35" s="109">
        <f>ROUND(D35*'01_PARAMETRES'!$D$17+E35*'01_PARAMETRES'!$D$18+F35*'01_PARAMETRES'!$D$19+G35*'01_PARAMETRES'!$D$20+75*'01_PARAMETRES'!$D$21,1)</f>
        <v>83.9</v>
      </c>
      <c r="I35" s="108">
        <v>52</v>
      </c>
      <c r="J35" s="111" t="str">
        <f t="shared" si="0"/>
        <v>🟢 Stable</v>
      </c>
      <c r="K35" s="108">
        <v>20</v>
      </c>
      <c r="L35" s="53" t="s">
        <v>303</v>
      </c>
      <c r="M35" s="108">
        <v>2</v>
      </c>
      <c r="N35" s="108">
        <v>4</v>
      </c>
      <c r="O35" s="52" t="s">
        <v>303</v>
      </c>
    </row>
    <row r="36" spans="2:15" ht="19.5" customHeight="1" x14ac:dyDescent="0.25">
      <c r="B36" s="44" t="s">
        <v>448</v>
      </c>
      <c r="C36" s="108" t="s">
        <v>164</v>
      </c>
      <c r="D36" s="101">
        <v>80</v>
      </c>
      <c r="E36" s="101">
        <v>70</v>
      </c>
      <c r="F36" s="101">
        <v>78</v>
      </c>
      <c r="G36" s="101">
        <v>72</v>
      </c>
      <c r="H36" s="109">
        <f>ROUND(D36*'01_PARAMETRES'!$D$17+E36*'01_PARAMETRES'!$D$18+F36*'01_PARAMETRES'!$D$19+G36*'01_PARAMETRES'!$D$20+75*'01_PARAMETRES'!$D$21,1)</f>
        <v>75.900000000000006</v>
      </c>
      <c r="I36" s="108">
        <v>44</v>
      </c>
      <c r="J36" s="111" t="str">
        <f t="shared" si="0"/>
        <v>🟢 Stable</v>
      </c>
      <c r="K36" s="108">
        <v>14</v>
      </c>
      <c r="L36" s="55" t="s">
        <v>312</v>
      </c>
      <c r="M36" s="108">
        <v>1</v>
      </c>
      <c r="N36" s="108">
        <v>3</v>
      </c>
      <c r="O36" s="112" t="s">
        <v>312</v>
      </c>
    </row>
    <row r="37" spans="2:15" ht="19.5" customHeight="1" x14ac:dyDescent="0.25">
      <c r="B37" s="44" t="s">
        <v>449</v>
      </c>
      <c r="C37" s="108" t="s">
        <v>145</v>
      </c>
      <c r="D37" s="101">
        <v>90</v>
      </c>
      <c r="E37" s="101">
        <v>85</v>
      </c>
      <c r="F37" s="101">
        <v>88</v>
      </c>
      <c r="G37" s="101">
        <v>92</v>
      </c>
      <c r="H37" s="109">
        <f>ROUND(D37*'01_PARAMETRES'!$D$17+E37*'01_PARAMETRES'!$D$18+F37*'01_PARAMETRES'!$D$19+G37*'01_PARAMETRES'!$D$20+75*'01_PARAMETRES'!$D$21,1)</f>
        <v>87.4</v>
      </c>
      <c r="I37" s="108">
        <v>58</v>
      </c>
      <c r="J37" s="111" t="str">
        <f t="shared" si="0"/>
        <v>🟡 Vigilance (&lt;8 ans)</v>
      </c>
      <c r="K37" s="108">
        <v>28</v>
      </c>
      <c r="L37" s="53" t="s">
        <v>303</v>
      </c>
      <c r="M37" s="108">
        <v>3</v>
      </c>
      <c r="N37" s="108">
        <v>5</v>
      </c>
      <c r="O37" s="52" t="s">
        <v>303</v>
      </c>
    </row>
    <row r="40" spans="2:15" ht="24" customHeight="1" x14ac:dyDescent="0.25">
      <c r="B40" s="165" t="s">
        <v>450</v>
      </c>
      <c r="C40" s="165"/>
      <c r="D40" s="165"/>
      <c r="E40" s="165"/>
      <c r="F40" s="165"/>
      <c r="G40" s="165"/>
      <c r="H40" s="165"/>
      <c r="I40" s="165"/>
      <c r="J40" s="165"/>
      <c r="K40" s="165"/>
      <c r="L40" s="165"/>
      <c r="M40" s="165"/>
      <c r="N40" s="165"/>
      <c r="O40" s="165"/>
    </row>
    <row r="41" spans="2:15" ht="19.5" customHeight="1" x14ac:dyDescent="0.25">
      <c r="B41" s="80" t="s">
        <v>451</v>
      </c>
      <c r="C41" s="80" t="s">
        <v>452</v>
      </c>
      <c r="D41" s="80" t="s">
        <v>453</v>
      </c>
      <c r="E41" s="80" t="s">
        <v>454</v>
      </c>
    </row>
    <row r="42" spans="2:15" ht="18" customHeight="1" x14ac:dyDescent="0.25">
      <c r="B42" s="113" t="s">
        <v>455</v>
      </c>
      <c r="C42" s="114">
        <f>COUNTIFS($I$8:$I$37,"&gt;="&amp;0,$I$8:$I$37,"&lt;="&amp;29)</f>
        <v>3</v>
      </c>
      <c r="D42" s="107">
        <f>IFERROR(C42/COUNTA($B$8:$B$37),0)</f>
        <v>0.1</v>
      </c>
      <c r="E42" s="77" t="s">
        <v>456</v>
      </c>
    </row>
    <row r="43" spans="2:15" ht="18" customHeight="1" x14ac:dyDescent="0.25">
      <c r="B43" s="113" t="s">
        <v>457</v>
      </c>
      <c r="C43" s="114">
        <f>COUNTIFS($I$8:$I$37,"&gt;="&amp;30,$I$8:$I$37,"&lt;="&amp;39)</f>
        <v>5</v>
      </c>
      <c r="D43" s="107">
        <f>IFERROR(C43/COUNTA($B$8:$B$37),0)</f>
        <v>0.16666666666666666</v>
      </c>
      <c r="E43" s="77" t="s">
        <v>456</v>
      </c>
    </row>
    <row r="44" spans="2:15" ht="18" customHeight="1" x14ac:dyDescent="0.25">
      <c r="B44" s="113" t="s">
        <v>458</v>
      </c>
      <c r="C44" s="114">
        <f>COUNTIFS($I$8:$I$37,"&gt;="&amp;40,$I$8:$I$37,"&lt;="&amp;49)</f>
        <v>8</v>
      </c>
      <c r="D44" s="107">
        <f>IFERROR(C44/COUNTA($B$8:$B$37),0)</f>
        <v>0.26666666666666666</v>
      </c>
      <c r="E44" s="77" t="s">
        <v>459</v>
      </c>
    </row>
    <row r="45" spans="2:15" ht="18" customHeight="1" x14ac:dyDescent="0.25">
      <c r="B45" s="113" t="s">
        <v>460</v>
      </c>
      <c r="C45" s="114">
        <f>COUNTIFS($I$8:$I$37,"&gt;="&amp;50,$I$8:$I$37,"&lt;="&amp;59)</f>
        <v>11</v>
      </c>
      <c r="D45" s="107">
        <f>IFERROR(C45/COUNTA($B$8:$B$37),0)</f>
        <v>0.36666666666666664</v>
      </c>
      <c r="E45" s="33" t="s">
        <v>461</v>
      </c>
    </row>
    <row r="46" spans="2:15" ht="18" customHeight="1" x14ac:dyDescent="0.25">
      <c r="B46" s="113" t="s">
        <v>462</v>
      </c>
      <c r="C46" s="114">
        <f>COUNTIFS($I$8:$I$37,"&gt;="&amp;60,$I$8:$I$37,"&lt;="&amp;99)</f>
        <v>3</v>
      </c>
      <c r="D46" s="107">
        <f>IFERROR(C46/COUNTA($B$8:$B$37),0)</f>
        <v>0.1</v>
      </c>
      <c r="E46" s="37" t="s">
        <v>463</v>
      </c>
    </row>
    <row r="49" spans="2:15" ht="21.75" customHeight="1" x14ac:dyDescent="0.25">
      <c r="B49" s="11" t="s">
        <v>69</v>
      </c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</row>
  </sheetData>
  <autoFilter ref="B7:O37" xr:uid="{00000000-0009-0000-0000-000005000000}"/>
  <mergeCells count="15">
    <mergeCell ref="B6:O6"/>
    <mergeCell ref="B40:O40"/>
    <mergeCell ref="B49:O49"/>
    <mergeCell ref="B4:C4"/>
    <mergeCell ref="D4:E4"/>
    <mergeCell ref="F4:G4"/>
    <mergeCell ref="H4:I4"/>
    <mergeCell ref="J4:K4"/>
    <mergeCell ref="B1:O1"/>
    <mergeCell ref="B2:O2"/>
    <mergeCell ref="B3:C3"/>
    <mergeCell ref="D3:E3"/>
    <mergeCell ref="F3:G3"/>
    <mergeCell ref="H3:I3"/>
    <mergeCell ref="J3:K3"/>
  </mergeCells>
  <conditionalFormatting sqref="H8:H37">
    <cfRule type="expression" dxfId="15" priority="2">
      <formula>H8&gt;=85</formula>
    </cfRule>
    <cfRule type="expression" dxfId="14" priority="3">
      <formula>AND(H8&gt;=70,H8&lt;85)</formula>
    </cfRule>
    <cfRule type="expression" dxfId="13" priority="4">
      <formula>H8&lt;70</formula>
    </cfRule>
  </conditionalFormatting>
  <conditionalFormatting sqref="J8:J37">
    <cfRule type="expression" dxfId="12" priority="5">
      <formula>LEFT(J8,2)="🔴"</formula>
    </cfRule>
    <cfRule type="expression" dxfId="11" priority="6">
      <formula>LEFT(J8,2)="🟡"</formula>
    </cfRule>
    <cfRule type="expression" dxfId="10" priority="7">
      <formula>LEFT(J8,2)="🟢"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C62828"/>
  </sheetPr>
  <dimension ref="B1:N47"/>
  <sheetViews>
    <sheetView showGridLines="0" zoomScaleNormal="100" workbookViewId="0">
      <selection activeCell="F3" sqref="F3:G3"/>
    </sheetView>
  </sheetViews>
  <sheetFormatPr baseColWidth="10" defaultColWidth="8.7109375" defaultRowHeight="15" x14ac:dyDescent="0.25"/>
  <cols>
    <col min="1" max="1" width="3" customWidth="1"/>
    <col min="2" max="2" width="7" customWidth="1"/>
    <col min="3" max="3" width="18" customWidth="1"/>
    <col min="4" max="4" width="25" customWidth="1"/>
    <col min="5" max="8" width="10" customWidth="1"/>
    <col min="9" max="9" width="12" customWidth="1"/>
    <col min="10" max="14" width="14" customWidth="1"/>
  </cols>
  <sheetData>
    <row r="1" spans="2:14" ht="30" customHeight="1" x14ac:dyDescent="0.25">
      <c r="B1" s="3" t="s">
        <v>464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2" spans="2:14" ht="15.75" customHeight="1" x14ac:dyDescent="0.25">
      <c r="B2" s="9" t="s">
        <v>465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</row>
    <row r="3" spans="2:14" ht="18" customHeight="1" x14ac:dyDescent="0.25">
      <c r="B3" s="169">
        <f>COUNTIF(H8:H21,"&lt;0")</f>
        <v>14</v>
      </c>
      <c r="C3" s="169"/>
      <c r="D3" s="173">
        <f>COUNTIF(I8:I21,"&lt;=-3")</f>
        <v>8</v>
      </c>
      <c r="E3" s="173"/>
      <c r="F3" s="174">
        <f>COUNTIF(H8:H21,"&gt;0")</f>
        <v>0</v>
      </c>
      <c r="G3" s="174"/>
      <c r="H3" s="175">
        <f>SUM(H8:H21)</f>
        <v>-59</v>
      </c>
      <c r="I3" s="175"/>
      <c r="J3" s="173">
        <f>SUM(G8:G21)</f>
        <v>8</v>
      </c>
      <c r="K3" s="173"/>
    </row>
    <row r="4" spans="2:14" ht="36" customHeight="1" x14ac:dyDescent="0.25">
      <c r="B4" s="171" t="s">
        <v>466</v>
      </c>
      <c r="C4" s="171"/>
      <c r="D4" s="171" t="s">
        <v>467</v>
      </c>
      <c r="E4" s="171"/>
      <c r="F4" s="171" t="s">
        <v>468</v>
      </c>
      <c r="G4" s="171"/>
      <c r="H4" s="171" t="s">
        <v>469</v>
      </c>
      <c r="I4" s="171"/>
      <c r="J4" s="171" t="s">
        <v>470</v>
      </c>
      <c r="K4" s="171"/>
    </row>
    <row r="6" spans="2:14" ht="21.75" customHeight="1" x14ac:dyDescent="0.25">
      <c r="B6" s="2" t="s">
        <v>471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</row>
    <row r="7" spans="2:14" ht="36" customHeight="1" x14ac:dyDescent="0.25">
      <c r="B7" s="41" t="s">
        <v>72</v>
      </c>
      <c r="C7" s="41" t="s">
        <v>73</v>
      </c>
      <c r="D7" s="41" t="s">
        <v>74</v>
      </c>
      <c r="E7" s="41" t="s">
        <v>472</v>
      </c>
      <c r="F7" s="41" t="s">
        <v>473</v>
      </c>
      <c r="G7" s="41" t="s">
        <v>474</v>
      </c>
      <c r="H7" s="41" t="s">
        <v>475</v>
      </c>
      <c r="I7" s="41" t="s">
        <v>476</v>
      </c>
      <c r="J7" s="41" t="s">
        <v>477</v>
      </c>
      <c r="K7" s="41" t="s">
        <v>738</v>
      </c>
      <c r="L7" s="41" t="s">
        <v>739</v>
      </c>
      <c r="M7" s="41" t="s">
        <v>740</v>
      </c>
      <c r="N7" s="41" t="s">
        <v>478</v>
      </c>
    </row>
    <row r="8" spans="2:14" ht="19.5" customHeight="1" x14ac:dyDescent="0.25">
      <c r="B8" s="78" t="s">
        <v>87</v>
      </c>
      <c r="C8" s="115" t="s">
        <v>88</v>
      </c>
      <c r="D8" s="44" t="s">
        <v>89</v>
      </c>
      <c r="E8" s="101">
        <v>15</v>
      </c>
      <c r="F8" s="52">
        <f>IFERROR(COUNTIF('06_CARTO'!$C$8:$C$57,B8),11)</f>
        <v>3</v>
      </c>
      <c r="G8" s="101">
        <v>2</v>
      </c>
      <c r="H8" s="116">
        <f t="shared" ref="H8:H21" si="0">F8-E8</f>
        <v>-12</v>
      </c>
      <c r="I8" s="116">
        <f t="shared" ref="I8:I21" si="1">H8-G8</f>
        <v>-14</v>
      </c>
      <c r="J8" s="117" t="str">
        <f t="shared" ref="J8:J21" si="2">IF(I8&lt;=-3,"⚡ "&amp;RANK(I8,$I$8:$I$21,1),IF(I8&lt;0,RANK(I8,$I$8:$I$21,1),"—"))</f>
        <v>⚡ 1</v>
      </c>
      <c r="K8" s="28">
        <f>F8-IFERROR(COUNTIFS('06_CARTO'!$C$8:$C$57,B8,'06_CARTO'!$I$8:$I$57,"&gt;="&amp;('01_PARAMETRES'!$C$48-1)),0)</f>
        <v>3</v>
      </c>
      <c r="L8" s="28">
        <f>F8-IFERROR(COUNTIFS('06_CARTO'!$C$8:$C$57,B8,'06_CARTO'!$I$8:$I$57,"&gt;="&amp;('01_PARAMETRES'!$C$48-'01_PARAMETRES'!$C$45)),0)</f>
        <v>1</v>
      </c>
      <c r="M8" s="28">
        <f>F8-IFERROR(COUNTIFS('06_CARTO'!$C$8:$C$57,B8,'06_CARTO'!$I$8:$I$57,"&gt;="&amp;('01_PARAMETRES'!$C$48-5)),0)</f>
        <v>1</v>
      </c>
      <c r="N8" s="118" t="s">
        <v>479</v>
      </c>
    </row>
    <row r="9" spans="2:14" ht="19.5" customHeight="1" x14ac:dyDescent="0.25">
      <c r="B9" s="78" t="s">
        <v>95</v>
      </c>
      <c r="C9" s="115" t="s">
        <v>88</v>
      </c>
      <c r="D9" s="44" t="s">
        <v>96</v>
      </c>
      <c r="E9" s="101">
        <v>8</v>
      </c>
      <c r="F9" s="52">
        <f>IFERROR(COUNTIF('06_CARTO'!$C$8:$C$57,B9),7)</f>
        <v>2</v>
      </c>
      <c r="G9" s="101">
        <v>0</v>
      </c>
      <c r="H9" s="116">
        <f t="shared" si="0"/>
        <v>-6</v>
      </c>
      <c r="I9" s="116">
        <f t="shared" si="1"/>
        <v>-6</v>
      </c>
      <c r="J9" s="117" t="str">
        <f t="shared" si="2"/>
        <v>⚡ 4</v>
      </c>
      <c r="K9" s="28">
        <f>F9-IFERROR(COUNTIFS('06_CARTO'!$C$8:$C$57,B9,'06_CARTO'!$I$8:$I$57,"&gt;="&amp;('01_PARAMETRES'!$C$48-1)),0)</f>
        <v>2</v>
      </c>
      <c r="L9" s="28">
        <f>F9-IFERROR(COUNTIFS('06_CARTO'!$C$8:$C$57,B9,'06_CARTO'!$I$8:$I$57,"&gt;="&amp;('01_PARAMETRES'!$C$48-'01_PARAMETRES'!$C$45)),0)</f>
        <v>2</v>
      </c>
      <c r="M9" s="28">
        <f>F9-IFERROR(COUNTIFS('06_CARTO'!$C$8:$C$57,B9,'06_CARTO'!$I$8:$I$57,"&gt;="&amp;('01_PARAMETRES'!$C$48-5)),0)</f>
        <v>2</v>
      </c>
      <c r="N9" s="118" t="s">
        <v>479</v>
      </c>
    </row>
    <row r="10" spans="2:14" ht="19.5" customHeight="1" x14ac:dyDescent="0.25">
      <c r="B10" s="78" t="s">
        <v>101</v>
      </c>
      <c r="C10" s="115" t="s">
        <v>88</v>
      </c>
      <c r="D10" s="44" t="s">
        <v>102</v>
      </c>
      <c r="E10" s="101">
        <v>6</v>
      </c>
      <c r="F10" s="52">
        <f>IFERROR(COUNTIF('06_CARTO'!$C$8:$C$57,B10),4)</f>
        <v>0</v>
      </c>
      <c r="G10" s="101">
        <v>1</v>
      </c>
      <c r="H10" s="116">
        <f t="shared" si="0"/>
        <v>-6</v>
      </c>
      <c r="I10" s="116">
        <f t="shared" si="1"/>
        <v>-7</v>
      </c>
      <c r="J10" s="117" t="str">
        <f t="shared" si="2"/>
        <v>⚡ 3</v>
      </c>
      <c r="K10" s="28">
        <f>F10-IFERROR(COUNTIFS('06_CARTO'!$C$8:$C$57,B10,'06_CARTO'!$I$8:$I$57,"&gt;="&amp;('01_PARAMETRES'!$C$48-1)),0)</f>
        <v>0</v>
      </c>
      <c r="L10" s="28">
        <f>F10-IFERROR(COUNTIFS('06_CARTO'!$C$8:$C$57,B10,'06_CARTO'!$I$8:$I$57,"&gt;="&amp;('01_PARAMETRES'!$C$48-'01_PARAMETRES'!$C$45)),0)</f>
        <v>0</v>
      </c>
      <c r="M10" s="28">
        <f>F10-IFERROR(COUNTIFS('06_CARTO'!$C$8:$C$57,B10,'06_CARTO'!$I$8:$I$57,"&gt;="&amp;('01_PARAMETRES'!$C$48-5)),0)</f>
        <v>0</v>
      </c>
      <c r="N10" s="118" t="s">
        <v>479</v>
      </c>
    </row>
    <row r="11" spans="2:14" ht="19.5" customHeight="1" x14ac:dyDescent="0.25">
      <c r="B11" s="78" t="s">
        <v>111</v>
      </c>
      <c r="C11" s="119" t="s">
        <v>112</v>
      </c>
      <c r="D11" s="44" t="s">
        <v>113</v>
      </c>
      <c r="E11" s="101">
        <v>8</v>
      </c>
      <c r="F11" s="52">
        <f>IFERROR(COUNTIF('06_CARTO'!$C$8:$C$57,B11),5)</f>
        <v>3</v>
      </c>
      <c r="G11" s="101">
        <v>1</v>
      </c>
      <c r="H11" s="116">
        <f t="shared" si="0"/>
        <v>-5</v>
      </c>
      <c r="I11" s="116">
        <f t="shared" si="1"/>
        <v>-6</v>
      </c>
      <c r="J11" s="117" t="str">
        <f t="shared" si="2"/>
        <v>⚡ 4</v>
      </c>
      <c r="K11" s="28">
        <f>F11-IFERROR(COUNTIFS('06_CARTO'!$C$8:$C$57,B11,'06_CARTO'!$I$8:$I$57,"&gt;="&amp;('01_PARAMETRES'!$C$48-1)),0)</f>
        <v>3</v>
      </c>
      <c r="L11" s="28">
        <f>F11-IFERROR(COUNTIFS('06_CARTO'!$C$8:$C$57,B11,'06_CARTO'!$I$8:$I$57,"&gt;="&amp;('01_PARAMETRES'!$C$48-'01_PARAMETRES'!$C$45)),0)</f>
        <v>3</v>
      </c>
      <c r="M11" s="28">
        <f>F11-IFERROR(COUNTIFS('06_CARTO'!$C$8:$C$57,B11,'06_CARTO'!$I$8:$I$57,"&gt;="&amp;('01_PARAMETRES'!$C$48-5)),0)</f>
        <v>3</v>
      </c>
      <c r="N11" s="118" t="s">
        <v>479</v>
      </c>
    </row>
    <row r="12" spans="2:14" ht="19.5" customHeight="1" x14ac:dyDescent="0.25">
      <c r="B12" s="78" t="s">
        <v>119</v>
      </c>
      <c r="C12" s="119" t="s">
        <v>112</v>
      </c>
      <c r="D12" s="44" t="s">
        <v>120</v>
      </c>
      <c r="E12" s="101">
        <v>3</v>
      </c>
      <c r="F12" s="52">
        <f>IFERROR(COUNTIF('06_CARTO'!$C$8:$C$57,B12),2)</f>
        <v>2</v>
      </c>
      <c r="G12" s="101">
        <v>1</v>
      </c>
      <c r="H12" s="116">
        <f t="shared" si="0"/>
        <v>-1</v>
      </c>
      <c r="I12" s="116">
        <f t="shared" si="1"/>
        <v>-2</v>
      </c>
      <c r="J12" s="117">
        <f t="shared" si="2"/>
        <v>9</v>
      </c>
      <c r="K12" s="28">
        <f>F12-IFERROR(COUNTIFS('06_CARTO'!$C$8:$C$57,B12,'06_CARTO'!$I$8:$I$57,"&gt;="&amp;('01_PARAMETRES'!$C$48-1)),0)</f>
        <v>2</v>
      </c>
      <c r="L12" s="28">
        <f>F12-IFERROR(COUNTIFS('06_CARTO'!$C$8:$C$57,B12,'06_CARTO'!$I$8:$I$57,"&gt;="&amp;('01_PARAMETRES'!$C$48-'01_PARAMETRES'!$C$45)),0)</f>
        <v>2</v>
      </c>
      <c r="M12" s="28">
        <f>F12-IFERROR(COUNTIFS('06_CARTO'!$C$8:$C$57,B12,'06_CARTO'!$I$8:$I$57,"&gt;="&amp;('01_PARAMETRES'!$C$48-5)),0)</f>
        <v>2</v>
      </c>
      <c r="N12" s="118" t="s">
        <v>479</v>
      </c>
    </row>
    <row r="13" spans="2:14" ht="19.5" customHeight="1" x14ac:dyDescent="0.25">
      <c r="B13" s="78" t="s">
        <v>124</v>
      </c>
      <c r="C13" s="119" t="s">
        <v>112</v>
      </c>
      <c r="D13" s="44" t="s">
        <v>125</v>
      </c>
      <c r="E13" s="101">
        <v>5</v>
      </c>
      <c r="F13" s="52">
        <f>IFERROR(COUNTIF('06_CARTO'!$C$8:$C$57,B13),5)</f>
        <v>2</v>
      </c>
      <c r="G13" s="101">
        <v>0</v>
      </c>
      <c r="H13" s="116">
        <f t="shared" si="0"/>
        <v>-3</v>
      </c>
      <c r="I13" s="116">
        <f t="shared" si="1"/>
        <v>-3</v>
      </c>
      <c r="J13" s="117" t="str">
        <f t="shared" si="2"/>
        <v>⚡ 8</v>
      </c>
      <c r="K13" s="28">
        <f>F13-IFERROR(COUNTIFS('06_CARTO'!$C$8:$C$57,B13,'06_CARTO'!$I$8:$I$57,"&gt;="&amp;('01_PARAMETRES'!$C$48-1)),0)</f>
        <v>2</v>
      </c>
      <c r="L13" s="28">
        <f>F13-IFERROR(COUNTIFS('06_CARTO'!$C$8:$C$57,B13,'06_CARTO'!$I$8:$I$57,"&gt;="&amp;('01_PARAMETRES'!$C$48-'01_PARAMETRES'!$C$45)),0)</f>
        <v>2</v>
      </c>
      <c r="M13" s="28">
        <f>F13-IFERROR(COUNTIFS('06_CARTO'!$C$8:$C$57,B13,'06_CARTO'!$I$8:$I$57,"&gt;="&amp;('01_PARAMETRES'!$C$48-5)),0)</f>
        <v>1</v>
      </c>
      <c r="N13" s="120" t="s">
        <v>480</v>
      </c>
    </row>
    <row r="14" spans="2:14" ht="19.5" customHeight="1" x14ac:dyDescent="0.25">
      <c r="B14" s="78" t="s">
        <v>127</v>
      </c>
      <c r="C14" s="119" t="s">
        <v>112</v>
      </c>
      <c r="D14" s="44" t="s">
        <v>128</v>
      </c>
      <c r="E14" s="101">
        <v>2</v>
      </c>
      <c r="F14" s="52">
        <f>IFERROR(COUNTIF('06_CARTO'!$C$8:$C$57,B14),1)</f>
        <v>1</v>
      </c>
      <c r="G14" s="101">
        <v>0</v>
      </c>
      <c r="H14" s="116">
        <f t="shared" si="0"/>
        <v>-1</v>
      </c>
      <c r="I14" s="116">
        <f t="shared" si="1"/>
        <v>-1</v>
      </c>
      <c r="J14" s="117">
        <f t="shared" si="2"/>
        <v>12</v>
      </c>
      <c r="K14" s="28">
        <f>F14-IFERROR(COUNTIFS('06_CARTO'!$C$8:$C$57,B14,'06_CARTO'!$I$8:$I$57,"&gt;="&amp;('01_PARAMETRES'!$C$48-1)),0)</f>
        <v>1</v>
      </c>
      <c r="L14" s="28">
        <f>F14-IFERROR(COUNTIFS('06_CARTO'!$C$8:$C$57,B14,'06_CARTO'!$I$8:$I$57,"&gt;="&amp;('01_PARAMETRES'!$C$48-'01_PARAMETRES'!$C$45)),0)</f>
        <v>1</v>
      </c>
      <c r="M14" s="28">
        <f>F14-IFERROR(COUNTIFS('06_CARTO'!$C$8:$C$57,B14,'06_CARTO'!$I$8:$I$57,"&gt;="&amp;('01_PARAMETRES'!$C$48-5)),0)</f>
        <v>1</v>
      </c>
      <c r="N14" s="120" t="s">
        <v>480</v>
      </c>
    </row>
    <row r="15" spans="2:14" ht="19.5" customHeight="1" x14ac:dyDescent="0.25">
      <c r="B15" s="78" t="s">
        <v>132</v>
      </c>
      <c r="C15" s="121" t="s">
        <v>133</v>
      </c>
      <c r="D15" s="44" t="s">
        <v>134</v>
      </c>
      <c r="E15" s="101">
        <v>12</v>
      </c>
      <c r="F15" s="52">
        <f>IFERROR(COUNTIF('06_CARTO'!$C$8:$C$57,B15),14)</f>
        <v>3</v>
      </c>
      <c r="G15" s="101">
        <v>3</v>
      </c>
      <c r="H15" s="116">
        <f t="shared" si="0"/>
        <v>-9</v>
      </c>
      <c r="I15" s="116">
        <f t="shared" si="1"/>
        <v>-12</v>
      </c>
      <c r="J15" s="117" t="str">
        <f t="shared" si="2"/>
        <v>⚡ 2</v>
      </c>
      <c r="K15" s="28">
        <f>F15-IFERROR(COUNTIFS('06_CARTO'!$C$8:$C$57,B15,'06_CARTO'!$I$8:$I$57,"&gt;="&amp;('01_PARAMETRES'!$C$48-1)),0)</f>
        <v>3</v>
      </c>
      <c r="L15" s="28">
        <f>F15-IFERROR(COUNTIFS('06_CARTO'!$C$8:$C$57,B15,'06_CARTO'!$I$8:$I$57,"&gt;="&amp;('01_PARAMETRES'!$C$48-'01_PARAMETRES'!$C$45)),0)</f>
        <v>3</v>
      </c>
      <c r="M15" s="28">
        <f>F15-IFERROR(COUNTIFS('06_CARTO'!$C$8:$C$57,B15,'06_CARTO'!$I$8:$I$57,"&gt;="&amp;('01_PARAMETRES'!$C$48-5)),0)</f>
        <v>2</v>
      </c>
      <c r="N15" s="120" t="s">
        <v>480</v>
      </c>
    </row>
    <row r="16" spans="2:14" ht="19.5" customHeight="1" x14ac:dyDescent="0.25">
      <c r="B16" s="78" t="s">
        <v>142</v>
      </c>
      <c r="C16" s="121" t="s">
        <v>133</v>
      </c>
      <c r="D16" s="44" t="s">
        <v>143</v>
      </c>
      <c r="E16" s="101">
        <v>2</v>
      </c>
      <c r="F16" s="52">
        <f>IFERROR(COUNTIF('06_CARTO'!$C$8:$C$57,B16),1)</f>
        <v>1</v>
      </c>
      <c r="G16" s="101">
        <v>0</v>
      </c>
      <c r="H16" s="116">
        <f t="shared" si="0"/>
        <v>-1</v>
      </c>
      <c r="I16" s="116">
        <f t="shared" si="1"/>
        <v>-1</v>
      </c>
      <c r="J16" s="117">
        <f t="shared" si="2"/>
        <v>12</v>
      </c>
      <c r="K16" s="28">
        <f>F16-IFERROR(COUNTIFS('06_CARTO'!$C$8:$C$57,B16,'06_CARTO'!$I$8:$I$57,"&gt;="&amp;('01_PARAMETRES'!$C$48-1)),0)</f>
        <v>1</v>
      </c>
      <c r="L16" s="28">
        <f>F16-IFERROR(COUNTIFS('06_CARTO'!$C$8:$C$57,B16,'06_CARTO'!$I$8:$I$57,"&gt;="&amp;('01_PARAMETRES'!$C$48-'01_PARAMETRES'!$C$45)),0)</f>
        <v>1</v>
      </c>
      <c r="M16" s="28">
        <f>F16-IFERROR(COUNTIFS('06_CARTO'!$C$8:$C$57,B16,'06_CARTO'!$I$8:$I$57,"&gt;="&amp;('01_PARAMETRES'!$C$48-5)),0)</f>
        <v>1</v>
      </c>
      <c r="N16" s="120" t="s">
        <v>480</v>
      </c>
    </row>
    <row r="17" spans="2:14" ht="19.5" customHeight="1" x14ac:dyDescent="0.25">
      <c r="B17" s="78" t="s">
        <v>145</v>
      </c>
      <c r="C17" s="122" t="s">
        <v>146</v>
      </c>
      <c r="D17" s="44" t="s">
        <v>147</v>
      </c>
      <c r="E17" s="101">
        <v>10</v>
      </c>
      <c r="F17" s="52">
        <f>IFERROR(COUNTIF('06_CARTO'!$C$8:$C$57,B17),9)</f>
        <v>4</v>
      </c>
      <c r="G17" s="101">
        <v>0</v>
      </c>
      <c r="H17" s="116">
        <f t="shared" si="0"/>
        <v>-6</v>
      </c>
      <c r="I17" s="116">
        <f t="shared" si="1"/>
        <v>-6</v>
      </c>
      <c r="J17" s="117" t="str">
        <f t="shared" si="2"/>
        <v>⚡ 4</v>
      </c>
      <c r="K17" s="28">
        <f>F17-IFERROR(COUNTIFS('06_CARTO'!$C$8:$C$57,B17,'06_CARTO'!$I$8:$I$57,"&gt;="&amp;('01_PARAMETRES'!$C$48-1)),0)</f>
        <v>4</v>
      </c>
      <c r="L17" s="28">
        <f>F17-IFERROR(COUNTIFS('06_CARTO'!$C$8:$C$57,B17,'06_CARTO'!$I$8:$I$57,"&gt;="&amp;('01_PARAMETRES'!$C$48-'01_PARAMETRES'!$C$45)),0)</f>
        <v>4</v>
      </c>
      <c r="M17" s="28">
        <f>F17-IFERROR(COUNTIFS('06_CARTO'!$C$8:$C$57,B17,'06_CARTO'!$I$8:$I$57,"&gt;="&amp;('01_PARAMETRES'!$C$48-5)),0)</f>
        <v>4</v>
      </c>
      <c r="N17" s="108" t="s">
        <v>481</v>
      </c>
    </row>
    <row r="18" spans="2:14" ht="19.5" customHeight="1" x14ac:dyDescent="0.25">
      <c r="B18" s="78" t="s">
        <v>149</v>
      </c>
      <c r="C18" s="122" t="s">
        <v>146</v>
      </c>
      <c r="D18" s="44" t="s">
        <v>150</v>
      </c>
      <c r="E18" s="101">
        <v>3</v>
      </c>
      <c r="F18" s="52">
        <f>IFERROR(COUNTIF('06_CARTO'!$C$8:$C$57,B18),2)</f>
        <v>1</v>
      </c>
      <c r="G18" s="101">
        <v>0</v>
      </c>
      <c r="H18" s="116">
        <f t="shared" si="0"/>
        <v>-2</v>
      </c>
      <c r="I18" s="116">
        <f t="shared" si="1"/>
        <v>-2</v>
      </c>
      <c r="J18" s="117">
        <f t="shared" si="2"/>
        <v>9</v>
      </c>
      <c r="K18" s="28">
        <f>F18-IFERROR(COUNTIFS('06_CARTO'!$C$8:$C$57,B18,'06_CARTO'!$I$8:$I$57,"&gt;="&amp;('01_PARAMETRES'!$C$48-1)),0)</f>
        <v>1</v>
      </c>
      <c r="L18" s="28">
        <f>F18-IFERROR(COUNTIFS('06_CARTO'!$C$8:$C$57,B18,'06_CARTO'!$I$8:$I$57,"&gt;="&amp;('01_PARAMETRES'!$C$48-'01_PARAMETRES'!$C$45)),0)</f>
        <v>1</v>
      </c>
      <c r="M18" s="28">
        <f>F18-IFERROR(COUNTIFS('06_CARTO'!$C$8:$C$57,B18,'06_CARTO'!$I$8:$I$57,"&gt;="&amp;('01_PARAMETRES'!$C$48-5)),0)</f>
        <v>1</v>
      </c>
      <c r="N18" s="108" t="s">
        <v>481</v>
      </c>
    </row>
    <row r="19" spans="2:14" ht="19.5" customHeight="1" x14ac:dyDescent="0.25">
      <c r="B19" s="78" t="s">
        <v>152</v>
      </c>
      <c r="C19" s="122" t="s">
        <v>146</v>
      </c>
      <c r="D19" s="44" t="s">
        <v>153</v>
      </c>
      <c r="E19" s="101">
        <v>6</v>
      </c>
      <c r="F19" s="52">
        <f>IFERROR(COUNTIF('06_CARTO'!$C$8:$C$57,B19),7)</f>
        <v>2</v>
      </c>
      <c r="G19" s="101">
        <v>0</v>
      </c>
      <c r="H19" s="116">
        <f t="shared" si="0"/>
        <v>-4</v>
      </c>
      <c r="I19" s="116">
        <f t="shared" si="1"/>
        <v>-4</v>
      </c>
      <c r="J19" s="117" t="str">
        <f t="shared" si="2"/>
        <v>⚡ 7</v>
      </c>
      <c r="K19" s="28">
        <f>F19-IFERROR(COUNTIFS('06_CARTO'!$C$8:$C$57,B19,'06_CARTO'!$I$8:$I$57,"&gt;="&amp;('01_PARAMETRES'!$C$48-1)),0)</f>
        <v>2</v>
      </c>
      <c r="L19" s="28">
        <f>F19-IFERROR(COUNTIFS('06_CARTO'!$C$8:$C$57,B19,'06_CARTO'!$I$8:$I$57,"&gt;="&amp;('01_PARAMETRES'!$C$48-'01_PARAMETRES'!$C$45)),0)</f>
        <v>2</v>
      </c>
      <c r="M19" s="28">
        <f>F19-IFERROR(COUNTIFS('06_CARTO'!$C$8:$C$57,B19,'06_CARTO'!$I$8:$I$57,"&gt;="&amp;('01_PARAMETRES'!$C$48-5)),0)</f>
        <v>2</v>
      </c>
      <c r="N19" s="108" t="s">
        <v>481</v>
      </c>
    </row>
    <row r="20" spans="2:14" ht="19.5" customHeight="1" x14ac:dyDescent="0.25">
      <c r="B20" s="78" t="s">
        <v>158</v>
      </c>
      <c r="C20" s="123" t="s">
        <v>159</v>
      </c>
      <c r="D20" s="44" t="s">
        <v>160</v>
      </c>
      <c r="E20" s="101">
        <v>2</v>
      </c>
      <c r="F20" s="52">
        <f>IFERROR(COUNTIF('06_CARTO'!$C$8:$C$57,B20),2)</f>
        <v>1</v>
      </c>
      <c r="G20" s="101">
        <v>0</v>
      </c>
      <c r="H20" s="116">
        <f t="shared" si="0"/>
        <v>-1</v>
      </c>
      <c r="I20" s="116">
        <f t="shared" si="1"/>
        <v>-1</v>
      </c>
      <c r="J20" s="117">
        <f t="shared" si="2"/>
        <v>12</v>
      </c>
      <c r="K20" s="28">
        <f>F20-IFERROR(COUNTIFS('06_CARTO'!$C$8:$C$57,B20,'06_CARTO'!$I$8:$I$57,"&gt;="&amp;('01_PARAMETRES'!$C$48-1)),0)</f>
        <v>1</v>
      </c>
      <c r="L20" s="28">
        <f>F20-IFERROR(COUNTIFS('06_CARTO'!$C$8:$C$57,B20,'06_CARTO'!$I$8:$I$57,"&gt;="&amp;('01_PARAMETRES'!$C$48-'01_PARAMETRES'!$C$45)),0)</f>
        <v>1</v>
      </c>
      <c r="M20" s="28">
        <f>F20-IFERROR(COUNTIFS('06_CARTO'!$C$8:$C$57,B20,'06_CARTO'!$I$8:$I$57,"&gt;="&amp;('01_PARAMETRES'!$C$48-5)),0)</f>
        <v>1</v>
      </c>
      <c r="N20" s="108" t="s">
        <v>481</v>
      </c>
    </row>
    <row r="21" spans="2:14" ht="19.5" customHeight="1" x14ac:dyDescent="0.25">
      <c r="B21" s="78" t="s">
        <v>171</v>
      </c>
      <c r="C21" s="124" t="s">
        <v>172</v>
      </c>
      <c r="D21" s="44" t="s">
        <v>173</v>
      </c>
      <c r="E21" s="101">
        <v>4</v>
      </c>
      <c r="F21" s="52">
        <f>IFERROR(COUNTIF('06_CARTO'!$C$8:$C$57,B21),3)</f>
        <v>2</v>
      </c>
      <c r="G21" s="101">
        <v>0</v>
      </c>
      <c r="H21" s="116">
        <f t="shared" si="0"/>
        <v>-2</v>
      </c>
      <c r="I21" s="116">
        <f t="shared" si="1"/>
        <v>-2</v>
      </c>
      <c r="J21" s="117">
        <f t="shared" si="2"/>
        <v>9</v>
      </c>
      <c r="K21" s="28">
        <f>F21-IFERROR(COUNTIFS('06_CARTO'!$C$8:$C$57,B21,'06_CARTO'!$I$8:$I$57,"&gt;="&amp;('01_PARAMETRES'!$C$48-1)),0)</f>
        <v>2</v>
      </c>
      <c r="L21" s="28">
        <f>F21-IFERROR(COUNTIFS('06_CARTO'!$C$8:$C$57,B21,'06_CARTO'!$I$8:$I$57,"&gt;="&amp;('01_PARAMETRES'!$C$48-'01_PARAMETRES'!$C$45)),0)</f>
        <v>2</v>
      </c>
      <c r="M21" s="28">
        <f>F21-IFERROR(COUNTIFS('06_CARTO'!$C$8:$C$57,B21,'06_CARTO'!$I$8:$I$57,"&gt;="&amp;('01_PARAMETRES'!$C$48-5)),0)</f>
        <v>2</v>
      </c>
      <c r="N21" s="108" t="s">
        <v>481</v>
      </c>
    </row>
    <row r="22" spans="2:14" ht="21.75" customHeight="1" x14ac:dyDescent="0.25">
      <c r="B22" s="8" t="s">
        <v>26</v>
      </c>
      <c r="C22" s="8"/>
      <c r="D22" s="8"/>
      <c r="E22" s="125">
        <f>SUM(E8:E21)</f>
        <v>86</v>
      </c>
      <c r="F22" s="125">
        <f>SUM(F8:F21)</f>
        <v>27</v>
      </c>
      <c r="G22" s="125">
        <f>SUM(G8:G21)</f>
        <v>8</v>
      </c>
      <c r="H22" s="125">
        <f>SUM(H8:H21)</f>
        <v>-59</v>
      </c>
      <c r="I22" s="125">
        <f>SUM(I8:I21)</f>
        <v>-67</v>
      </c>
      <c r="J22" s="65"/>
      <c r="K22" s="65"/>
      <c r="L22" s="65"/>
      <c r="M22" s="65"/>
      <c r="N22" s="65"/>
    </row>
    <row r="47" spans="2:14" ht="21.75" customHeight="1" x14ac:dyDescent="0.25">
      <c r="B47" s="11" t="s">
        <v>69</v>
      </c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</row>
  </sheetData>
  <autoFilter ref="B7:N21" xr:uid="{00000000-0009-0000-0000-000006000000}"/>
  <mergeCells count="15">
    <mergeCell ref="B6:N6"/>
    <mergeCell ref="B22:D22"/>
    <mergeCell ref="B47:N47"/>
    <mergeCell ref="B4:C4"/>
    <mergeCell ref="D4:E4"/>
    <mergeCell ref="F4:G4"/>
    <mergeCell ref="H4:I4"/>
    <mergeCell ref="J4:K4"/>
    <mergeCell ref="B1:N1"/>
    <mergeCell ref="B2:N2"/>
    <mergeCell ref="B3:C3"/>
    <mergeCell ref="D3:E3"/>
    <mergeCell ref="F3:G3"/>
    <mergeCell ref="H3:I3"/>
    <mergeCell ref="J3:K3"/>
  </mergeCells>
  <conditionalFormatting sqref="H8:H21">
    <cfRule type="expression" dxfId="9" priority="2">
      <formula>H8&lt;0</formula>
    </cfRule>
    <cfRule type="expression" dxfId="8" priority="3">
      <formula>H8=0</formula>
    </cfRule>
    <cfRule type="expression" dxfId="7" priority="4">
      <formula>H8&gt;0</formula>
    </cfRule>
  </conditionalFormatting>
  <conditionalFormatting sqref="I8:I21">
    <cfRule type="expression" dxfId="6" priority="5">
      <formula>I8&lt;=-3</formula>
    </cfRule>
    <cfRule type="expression" dxfId="5" priority="6">
      <formula>AND(I8&gt;=-2,I8&lt;=-1)</formula>
    </cfRule>
  </conditionalFormatting>
  <conditionalFormatting sqref="J8:J21">
    <cfRule type="expression" dxfId="4" priority="7">
      <formula>LEFT(J8,1)="⚡"</formula>
    </cfRule>
  </conditionalFormatting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4A235A"/>
  </sheetPr>
  <dimension ref="B1:P22"/>
  <sheetViews>
    <sheetView showGridLines="0" zoomScaleNormal="100" workbookViewId="0"/>
  </sheetViews>
  <sheetFormatPr baseColWidth="10" defaultColWidth="8.7109375" defaultRowHeight="15" x14ac:dyDescent="0.25"/>
  <cols>
    <col min="1" max="1" width="3" customWidth="1"/>
    <col min="2" max="2" width="20" customWidth="1"/>
    <col min="3" max="3" width="9" customWidth="1"/>
    <col min="4" max="4" width="22" customWidth="1"/>
    <col min="5" max="5" width="10" customWidth="1"/>
    <col min="6" max="6" width="22" customWidth="1"/>
    <col min="7" max="7" width="10" customWidth="1"/>
    <col min="8" max="8" width="12" customWidth="1"/>
    <col min="9" max="9" width="10" customWidth="1"/>
    <col min="10" max="10" width="24" customWidth="1"/>
    <col min="11" max="12" width="12" customWidth="1"/>
    <col min="13" max="13" width="14" customWidth="1"/>
    <col min="14" max="14" width="20" customWidth="1"/>
    <col min="15" max="15" width="13.28515625" customWidth="1"/>
    <col min="16" max="16" width="18.140625" customWidth="1"/>
  </cols>
  <sheetData>
    <row r="1" spans="2:16" ht="30" customHeight="1" x14ac:dyDescent="0.25">
      <c r="B1" s="3" t="s">
        <v>482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2" spans="2:16" ht="15.75" customHeight="1" x14ac:dyDescent="0.25">
      <c r="B2" s="9" t="s">
        <v>483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</row>
    <row r="3" spans="2:16" ht="18" customHeight="1" x14ac:dyDescent="0.25">
      <c r="B3" s="169">
        <f>12</f>
        <v>12</v>
      </c>
      <c r="C3" s="169"/>
      <c r="D3" s="173">
        <f>COUNTIF(H8:H19,"0%")</f>
        <v>0</v>
      </c>
      <c r="E3" s="173"/>
      <c r="F3" s="176">
        <f>IFERROR(AVERAGE(H8:H19),"—")</f>
        <v>0.87678201057298644</v>
      </c>
      <c r="G3" s="176"/>
      <c r="H3" s="174">
        <f>COUNTIF(H8:H19,"&gt;=90%")</f>
        <v>4</v>
      </c>
      <c r="I3" s="174"/>
      <c r="J3" s="177">
        <f>SUM(L8:L19)</f>
        <v>216959</v>
      </c>
      <c r="K3" s="177"/>
    </row>
    <row r="4" spans="2:16" ht="36" customHeight="1" x14ac:dyDescent="0.25">
      <c r="B4" s="171" t="s">
        <v>484</v>
      </c>
      <c r="C4" s="171"/>
      <c r="D4" s="171" t="s">
        <v>485</v>
      </c>
      <c r="E4" s="171"/>
      <c r="F4" s="171" t="s">
        <v>486</v>
      </c>
      <c r="G4" s="171"/>
      <c r="H4" s="171" t="s">
        <v>487</v>
      </c>
      <c r="I4" s="171"/>
      <c r="J4" s="171" t="s">
        <v>488</v>
      </c>
      <c r="K4" s="171"/>
    </row>
    <row r="6" spans="2:16" ht="21.75" customHeight="1" x14ac:dyDescent="0.25">
      <c r="B6" s="2" t="s">
        <v>489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</row>
    <row r="7" spans="2:16" ht="36" customHeight="1" x14ac:dyDescent="0.25">
      <c r="B7" s="41" t="s">
        <v>490</v>
      </c>
      <c r="C7" s="41" t="s">
        <v>74</v>
      </c>
      <c r="D7" s="41" t="s">
        <v>491</v>
      </c>
      <c r="E7" s="41" t="s">
        <v>492</v>
      </c>
      <c r="F7" s="41" t="s">
        <v>493</v>
      </c>
      <c r="G7" s="41" t="s">
        <v>494</v>
      </c>
      <c r="H7" s="41" t="s">
        <v>495</v>
      </c>
      <c r="I7" s="41" t="s">
        <v>496</v>
      </c>
      <c r="J7" s="41" t="s">
        <v>497</v>
      </c>
      <c r="K7" s="41" t="s">
        <v>498</v>
      </c>
      <c r="L7" s="41" t="s">
        <v>499</v>
      </c>
      <c r="M7" s="41" t="s">
        <v>500</v>
      </c>
      <c r="N7" s="41" t="s">
        <v>501</v>
      </c>
      <c r="O7" s="236" t="s">
        <v>741</v>
      </c>
      <c r="P7" s="236" t="s">
        <v>742</v>
      </c>
    </row>
    <row r="8" spans="2:16" ht="21.75" customHeight="1" x14ac:dyDescent="0.25">
      <c r="B8" s="126" t="s">
        <v>502</v>
      </c>
      <c r="C8" s="78" t="s">
        <v>87</v>
      </c>
      <c r="D8" s="44" t="s">
        <v>89</v>
      </c>
      <c r="E8" s="127" t="s">
        <v>503</v>
      </c>
      <c r="F8" s="44" t="s">
        <v>424</v>
      </c>
      <c r="G8" s="109">
        <v>63.5</v>
      </c>
      <c r="H8" s="128">
        <v>0.66283924843423803</v>
      </c>
      <c r="I8" s="129" t="s">
        <v>504</v>
      </c>
      <c r="J8" s="130" t="s">
        <v>505</v>
      </c>
      <c r="K8" s="108">
        <v>24</v>
      </c>
      <c r="L8" s="104">
        <v>23429</v>
      </c>
      <c r="M8" s="108" t="s">
        <v>506</v>
      </c>
      <c r="N8" s="131" t="s">
        <v>507</v>
      </c>
      <c r="O8" s="238">
        <f>IFERROR(ROUND((1-H8)*MAX(0,MIN(1,('01_PARAMETRES'!$C$48-VALUE(LEFT(E8,FIND(" ",E8)-1)))/'01_PARAMETRES'!$C$45)),2),"—")</f>
        <v>0.22</v>
      </c>
      <c r="P8" s="237" t="str">
        <f>IF(O8="—","—",IF(O8&gt;=0.8,"⚫ Critique",IF(O8&gt;=0.6,"🔴 Élevé",IF(O8&gt;=0.3,"🟡 Modéré","🟢 Faible"))))</f>
        <v>🟢 Faible</v>
      </c>
    </row>
    <row r="9" spans="2:16" ht="21.75" customHeight="1" x14ac:dyDescent="0.25">
      <c r="B9" s="126" t="s">
        <v>508</v>
      </c>
      <c r="C9" s="78" t="s">
        <v>87</v>
      </c>
      <c r="D9" s="44" t="s">
        <v>89</v>
      </c>
      <c r="E9" s="127" t="s">
        <v>509</v>
      </c>
      <c r="F9" s="44" t="s">
        <v>510</v>
      </c>
      <c r="G9" s="109">
        <v>82.3</v>
      </c>
      <c r="H9" s="128">
        <v>0.87367303609341795</v>
      </c>
      <c r="I9" s="132" t="s">
        <v>511</v>
      </c>
      <c r="J9" s="130" t="s">
        <v>512</v>
      </c>
      <c r="K9" s="108">
        <v>23</v>
      </c>
      <c r="L9" s="104">
        <v>18158</v>
      </c>
      <c r="M9" s="108" t="s">
        <v>506</v>
      </c>
      <c r="N9" s="131" t="s">
        <v>507</v>
      </c>
      <c r="O9" s="238">
        <f>IFERROR(ROUND((1-H9)*MAX(0,MIN(1,('01_PARAMETRES'!$C$48-VALUE(LEFT(E9,FIND(" ",E9)-1)))/'01_PARAMETRES'!$C$45)),2),"—")</f>
        <v>0.13</v>
      </c>
      <c r="P9" s="237" t="str">
        <f>IF(O9="—","—",IF(O9&gt;=0.8,"⚫ Critique",IF(O9&gt;=0.6,"🔴 Élevé",IF(O9&gt;=0.3,"🟡 Modéré","🟢 Faible"))))</f>
        <v>🟢 Faible</v>
      </c>
    </row>
    <row r="10" spans="2:16" ht="21.75" customHeight="1" x14ac:dyDescent="0.25">
      <c r="B10" s="133" t="s">
        <v>513</v>
      </c>
      <c r="C10" s="78" t="s">
        <v>132</v>
      </c>
      <c r="D10" s="44" t="s">
        <v>134</v>
      </c>
      <c r="E10" s="134" t="s">
        <v>514</v>
      </c>
      <c r="F10" s="44" t="s">
        <v>337</v>
      </c>
      <c r="G10" s="109">
        <v>72</v>
      </c>
      <c r="H10" s="128">
        <v>0.837209302325581</v>
      </c>
      <c r="I10" s="132" t="s">
        <v>511</v>
      </c>
      <c r="J10" s="130" t="s">
        <v>515</v>
      </c>
      <c r="K10" s="108">
        <v>22</v>
      </c>
      <c r="L10" s="104">
        <v>19069</v>
      </c>
      <c r="M10" s="108" t="s">
        <v>506</v>
      </c>
      <c r="N10" s="131" t="s">
        <v>507</v>
      </c>
      <c r="O10" s="238">
        <f>IFERROR(ROUND((1-H10)*MAX(0,MIN(1,('01_PARAMETRES'!$C$48-VALUE(LEFT(E10,FIND(" ",E10)-1)))/'01_PARAMETRES'!$C$45)),2),"—")</f>
        <v>0.16</v>
      </c>
      <c r="P10" s="237" t="str">
        <f>IF(O10="—","—",IF(O10&gt;=0.8,"⚫ Critique",IF(O10&gt;=0.6,"🔴 Élevé",IF(O10&gt;=0.3,"🟡 Modéré","🟢 Faible"))))</f>
        <v>🟢 Faible</v>
      </c>
    </row>
    <row r="11" spans="2:16" ht="21.75" customHeight="1" x14ac:dyDescent="0.25">
      <c r="B11" s="126" t="s">
        <v>516</v>
      </c>
      <c r="C11" s="78" t="s">
        <v>132</v>
      </c>
      <c r="D11" s="44" t="s">
        <v>134</v>
      </c>
      <c r="E11" s="127" t="s">
        <v>517</v>
      </c>
      <c r="F11" s="44" t="s">
        <v>430</v>
      </c>
      <c r="G11" s="109">
        <v>79.599999999999994</v>
      </c>
      <c r="H11" s="128">
        <v>0.89237668161435002</v>
      </c>
      <c r="I11" s="132" t="s">
        <v>511</v>
      </c>
      <c r="J11" s="130" t="s">
        <v>518</v>
      </c>
      <c r="K11" s="108">
        <v>21</v>
      </c>
      <c r="L11" s="104">
        <v>17690</v>
      </c>
      <c r="M11" s="108" t="s">
        <v>506</v>
      </c>
      <c r="N11" s="131" t="s">
        <v>507</v>
      </c>
      <c r="O11" s="238">
        <f>IFERROR(ROUND((1-H11)*MAX(0,MIN(1,('01_PARAMETRES'!$C$48-VALUE(LEFT(E11,FIND(" ",E11)-1)))/'01_PARAMETRES'!$C$45)),2),"—")</f>
        <v>0.11</v>
      </c>
      <c r="P11" s="237" t="str">
        <f>IF(O11="—","—",IF(O11&gt;=0.8,"⚫ Critique",IF(O11&gt;=0.6,"🔴 Élevé",IF(O11&gt;=0.3,"🟡 Modéré","🟢 Faible"))))</f>
        <v>🟢 Faible</v>
      </c>
    </row>
    <row r="12" spans="2:16" ht="21.75" customHeight="1" x14ac:dyDescent="0.25">
      <c r="B12" s="133" t="s">
        <v>519</v>
      </c>
      <c r="C12" s="78" t="s">
        <v>111</v>
      </c>
      <c r="D12" s="44" t="s">
        <v>113</v>
      </c>
      <c r="E12" s="134" t="s">
        <v>520</v>
      </c>
      <c r="F12" s="44" t="s">
        <v>521</v>
      </c>
      <c r="G12" s="109">
        <v>82</v>
      </c>
      <c r="H12" s="128">
        <v>0.92760180995475106</v>
      </c>
      <c r="I12" s="135" t="s">
        <v>522</v>
      </c>
      <c r="J12" s="130" t="s">
        <v>523</v>
      </c>
      <c r="K12" s="108">
        <v>20</v>
      </c>
      <c r="L12" s="104">
        <v>16809</v>
      </c>
      <c r="M12" s="108" t="s">
        <v>506</v>
      </c>
      <c r="N12" s="131" t="s">
        <v>507</v>
      </c>
      <c r="O12" s="238">
        <f>IFERROR(ROUND((1-H12)*MAX(0,MIN(1,('01_PARAMETRES'!$C$48-VALUE(LEFT(E12,FIND(" ",E12)-1)))/'01_PARAMETRES'!$C$45)),2),"—")</f>
        <v>7.0000000000000007E-2</v>
      </c>
      <c r="P12" s="237" t="str">
        <f>IF(O12="—","—",IF(O12&gt;=0.8,"⚫ Critique",IF(O12&gt;=0.6,"🔴 Élevé",IF(O12&gt;=0.3,"🟡 Modéré","🟢 Faible"))))</f>
        <v>🟢 Faible</v>
      </c>
    </row>
    <row r="13" spans="2:16" ht="21.75" customHeight="1" x14ac:dyDescent="0.25">
      <c r="B13" s="136" t="s">
        <v>524</v>
      </c>
      <c r="C13" s="78" t="s">
        <v>119</v>
      </c>
      <c r="D13" s="44" t="s">
        <v>120</v>
      </c>
      <c r="E13" s="137" t="s">
        <v>525</v>
      </c>
      <c r="F13" s="44" t="s">
        <v>526</v>
      </c>
      <c r="G13" s="109">
        <v>81.400000000000006</v>
      </c>
      <c r="H13" s="128">
        <v>0.89845474613686604</v>
      </c>
      <c r="I13" s="132" t="s">
        <v>511</v>
      </c>
      <c r="J13" s="130" t="s">
        <v>527</v>
      </c>
      <c r="K13" s="108">
        <v>19</v>
      </c>
      <c r="L13" s="104">
        <v>17538</v>
      </c>
      <c r="M13" s="108" t="s">
        <v>506</v>
      </c>
      <c r="N13" s="131" t="s">
        <v>507</v>
      </c>
      <c r="O13" s="238">
        <f>IFERROR(ROUND((1-H13)*MAX(0,MIN(1,('01_PARAMETRES'!$C$48-VALUE(LEFT(E13,FIND(" ",E13)-1)))/'01_PARAMETRES'!$C$45)),2),"—")</f>
        <v>0.1</v>
      </c>
      <c r="P13" s="237" t="str">
        <f>IF(O13="—","—",IF(O13&gt;=0.8,"⚫ Critique",IF(O13&gt;=0.6,"🔴 Élevé",IF(O13&gt;=0.3,"🟡 Modéré","🟢 Faible"))))</f>
        <v>🟢 Faible</v>
      </c>
    </row>
    <row r="14" spans="2:16" ht="21.75" customHeight="1" x14ac:dyDescent="0.25">
      <c r="B14" s="136" t="s">
        <v>528</v>
      </c>
      <c r="C14" s="78" t="s">
        <v>127</v>
      </c>
      <c r="D14" s="44" t="s">
        <v>128</v>
      </c>
      <c r="E14" s="137" t="s">
        <v>529</v>
      </c>
      <c r="F14" s="44" t="s">
        <v>530</v>
      </c>
      <c r="G14" s="109">
        <v>85.6</v>
      </c>
      <c r="H14" s="128">
        <v>0.963963963963964</v>
      </c>
      <c r="I14" s="135" t="s">
        <v>522</v>
      </c>
      <c r="J14" s="130" t="s">
        <v>531</v>
      </c>
      <c r="K14" s="108">
        <v>18</v>
      </c>
      <c r="L14" s="104">
        <v>15900</v>
      </c>
      <c r="M14" s="108" t="s">
        <v>506</v>
      </c>
      <c r="N14" s="131" t="s">
        <v>507</v>
      </c>
      <c r="O14" s="238">
        <f>IFERROR(ROUND((1-H14)*MAX(0,MIN(1,('01_PARAMETRES'!$C$48-VALUE(LEFT(E14,FIND(" ",E14)-1)))/'01_PARAMETRES'!$C$45)),2),"—")</f>
        <v>0.04</v>
      </c>
      <c r="P14" s="237" t="str">
        <f>IF(O14="—","—",IF(O14&gt;=0.8,"⚫ Critique",IF(O14&gt;=0.6,"🔴 Élevé",IF(O14&gt;=0.3,"🟡 Modéré","🟢 Faible"))))</f>
        <v>🟢 Faible</v>
      </c>
    </row>
    <row r="15" spans="2:16" ht="21.75" customHeight="1" x14ac:dyDescent="0.25">
      <c r="B15" s="133" t="s">
        <v>532</v>
      </c>
      <c r="C15" s="78" t="s">
        <v>124</v>
      </c>
      <c r="D15" s="44" t="s">
        <v>125</v>
      </c>
      <c r="E15" s="134" t="s">
        <v>533</v>
      </c>
      <c r="F15" s="44" t="s">
        <v>438</v>
      </c>
      <c r="G15" s="109">
        <v>73.400000000000006</v>
      </c>
      <c r="H15" s="128">
        <v>0.84855491329479804</v>
      </c>
      <c r="I15" s="132" t="s">
        <v>511</v>
      </c>
      <c r="J15" s="130" t="s">
        <v>534</v>
      </c>
      <c r="K15" s="108">
        <v>17</v>
      </c>
      <c r="L15" s="104">
        <v>18786</v>
      </c>
      <c r="M15" s="108" t="s">
        <v>506</v>
      </c>
      <c r="N15" s="131" t="s">
        <v>507</v>
      </c>
      <c r="O15" s="238">
        <f>IFERROR(ROUND((1-H15)*MAX(0,MIN(1,('01_PARAMETRES'!$C$48-VALUE(LEFT(E15,FIND(" ",E15)-1)))/'01_PARAMETRES'!$C$45)),2),"—")</f>
        <v>0.15</v>
      </c>
      <c r="P15" s="237" t="str">
        <f>IF(O15="—","—",IF(O15&gt;=0.8,"⚫ Critique",IF(O15&gt;=0.6,"🔴 Élevé",IF(O15&gt;=0.3,"🟡 Modéré","🟢 Faible"))))</f>
        <v>🟢 Faible</v>
      </c>
    </row>
    <row r="16" spans="2:16" ht="21.75" customHeight="1" x14ac:dyDescent="0.25">
      <c r="B16" s="133" t="s">
        <v>535</v>
      </c>
      <c r="C16" s="78" t="s">
        <v>145</v>
      </c>
      <c r="D16" s="44" t="s">
        <v>147</v>
      </c>
      <c r="E16" s="134" t="s">
        <v>536</v>
      </c>
      <c r="F16" s="44" t="s">
        <v>437</v>
      </c>
      <c r="G16" s="109">
        <v>76.2</v>
      </c>
      <c r="H16" s="128">
        <v>0.85139664804469295</v>
      </c>
      <c r="I16" s="132" t="s">
        <v>511</v>
      </c>
      <c r="J16" s="130" t="s">
        <v>537</v>
      </c>
      <c r="K16" s="108">
        <v>16</v>
      </c>
      <c r="L16" s="104">
        <v>18715</v>
      </c>
      <c r="M16" s="108" t="s">
        <v>506</v>
      </c>
      <c r="N16" s="131" t="s">
        <v>507</v>
      </c>
      <c r="O16" s="238">
        <f>IFERROR(ROUND((1-H16)*MAX(0,MIN(1,('01_PARAMETRES'!$C$48-VALUE(LEFT(E16,FIND(" ",E16)-1)))/'01_PARAMETRES'!$C$45)),2),"—")</f>
        <v>0.15</v>
      </c>
      <c r="P16" s="237" t="str">
        <f>IF(O16="—","—",IF(O16&gt;=0.8,"⚫ Critique",IF(O16&gt;=0.6,"🔴 Élevé",IF(O16&gt;=0.3,"🟡 Modéré","🟢 Faible"))))</f>
        <v>🟢 Faible</v>
      </c>
    </row>
    <row r="17" spans="2:16" ht="21.75" customHeight="1" x14ac:dyDescent="0.25">
      <c r="B17" s="136" t="s">
        <v>538</v>
      </c>
      <c r="C17" s="78" t="s">
        <v>149</v>
      </c>
      <c r="D17" s="44" t="s">
        <v>150</v>
      </c>
      <c r="E17" s="137" t="s">
        <v>539</v>
      </c>
      <c r="F17" s="44" t="s">
        <v>540</v>
      </c>
      <c r="G17" s="109">
        <v>82</v>
      </c>
      <c r="H17" s="128">
        <v>0.96244131455399096</v>
      </c>
      <c r="I17" s="135" t="s">
        <v>522</v>
      </c>
      <c r="J17" s="130" t="s">
        <v>541</v>
      </c>
      <c r="K17" s="108">
        <v>15</v>
      </c>
      <c r="L17" s="104">
        <v>15938</v>
      </c>
      <c r="M17" s="108" t="s">
        <v>506</v>
      </c>
      <c r="N17" s="131" t="s">
        <v>507</v>
      </c>
      <c r="O17" s="238">
        <f>IFERROR(ROUND((1-H17)*MAX(0,MIN(1,('01_PARAMETRES'!$C$48-VALUE(LEFT(E17,FIND(" ",E17)-1)))/'01_PARAMETRES'!$C$45)),2),"—")</f>
        <v>0.04</v>
      </c>
      <c r="P17" s="237" t="str">
        <f>IF(O17="—","—",IF(O17&gt;=0.8,"⚫ Critique",IF(O17&gt;=0.6,"🔴 Élevé",IF(O17&gt;=0.3,"🟡 Modéré","🟢 Faible"))))</f>
        <v>🟢 Faible</v>
      </c>
    </row>
    <row r="18" spans="2:16" ht="21.75" customHeight="1" x14ac:dyDescent="0.25">
      <c r="B18" s="136" t="s">
        <v>542</v>
      </c>
      <c r="C18" s="78" t="s">
        <v>142</v>
      </c>
      <c r="D18" s="44" t="s">
        <v>143</v>
      </c>
      <c r="E18" s="137" t="s">
        <v>543</v>
      </c>
      <c r="F18" s="44" t="s">
        <v>544</v>
      </c>
      <c r="G18" s="109">
        <v>83.6</v>
      </c>
      <c r="H18" s="128">
        <v>0.93512304250559297</v>
      </c>
      <c r="I18" s="135" t="s">
        <v>522</v>
      </c>
      <c r="J18" s="130" t="s">
        <v>545</v>
      </c>
      <c r="K18" s="108">
        <v>14</v>
      </c>
      <c r="L18" s="104">
        <v>16621</v>
      </c>
      <c r="M18" s="108" t="s">
        <v>506</v>
      </c>
      <c r="N18" s="131" t="s">
        <v>507</v>
      </c>
      <c r="O18" s="238">
        <f>IFERROR(ROUND((1-H18)*MAX(0,MIN(1,('01_PARAMETRES'!$C$48-VALUE(LEFT(E18,FIND(" ",E18)-1)))/'01_PARAMETRES'!$C$45)),2),"—")</f>
        <v>0.06</v>
      </c>
      <c r="P18" s="237" t="str">
        <f>IF(O18="—","—",IF(O18&gt;=0.8,"⚫ Critique",IF(O18&gt;=0.6,"🔴 Élevé",IF(O18&gt;=0.3,"🟡 Modéré","🟢 Faible"))))</f>
        <v>🟢 Faible</v>
      </c>
    </row>
    <row r="19" spans="2:16" ht="21.75" customHeight="1" x14ac:dyDescent="0.25">
      <c r="B19" s="136" t="s">
        <v>546</v>
      </c>
      <c r="C19" s="78" t="s">
        <v>158</v>
      </c>
      <c r="D19" s="44" t="s">
        <v>160</v>
      </c>
      <c r="E19" s="137" t="s">
        <v>547</v>
      </c>
      <c r="F19" s="44" t="s">
        <v>548</v>
      </c>
      <c r="G19" s="109">
        <v>74.8</v>
      </c>
      <c r="H19" s="128">
        <v>0.867749419953596</v>
      </c>
      <c r="I19" s="132" t="s">
        <v>511</v>
      </c>
      <c r="J19" s="130" t="s">
        <v>549</v>
      </c>
      <c r="K19" s="108">
        <v>13</v>
      </c>
      <c r="L19" s="104">
        <v>18306</v>
      </c>
      <c r="M19" s="108" t="s">
        <v>506</v>
      </c>
      <c r="N19" s="131" t="s">
        <v>507</v>
      </c>
      <c r="O19" s="238">
        <f>IFERROR(ROUND((1-H19)*MAX(0,MIN(1,('01_PARAMETRES'!$C$48-VALUE(LEFT(E19,FIND(" ",E19)-1)))/'01_PARAMETRES'!$C$45)),2),"—")</f>
        <v>0.13</v>
      </c>
      <c r="P19" s="237" t="str">
        <f>IF(O19="—","—",IF(O19&gt;=0.8,"⚫ Critique",IF(O19&gt;=0.6,"🔴 Élevé",IF(O19&gt;=0.3,"🟡 Modéré","🟢 Faible"))))</f>
        <v>🟢 Faible</v>
      </c>
    </row>
    <row r="22" spans="2:16" ht="21.75" customHeight="1" x14ac:dyDescent="0.25">
      <c r="B22" s="11" t="s">
        <v>69</v>
      </c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</row>
  </sheetData>
  <mergeCells count="14">
    <mergeCell ref="B6:N6"/>
    <mergeCell ref="B22:N22"/>
    <mergeCell ref="B4:C4"/>
    <mergeCell ref="D4:E4"/>
    <mergeCell ref="F4:G4"/>
    <mergeCell ref="H4:I4"/>
    <mergeCell ref="J4:K4"/>
    <mergeCell ref="B1:N1"/>
    <mergeCell ref="B2:N2"/>
    <mergeCell ref="B3:C3"/>
    <mergeCell ref="D3:E3"/>
    <mergeCell ref="F3:G3"/>
    <mergeCell ref="H3:I3"/>
    <mergeCell ref="J3:K3"/>
  </mergeCells>
  <conditionalFormatting sqref="H8:H19">
    <cfRule type="expression" dxfId="3" priority="2">
      <formula>H8&gt;=0.9</formula>
    </cfRule>
    <cfRule type="expression" dxfId="2" priority="3">
      <formula>AND(H8&gt;=0.7,H8&lt;0.9)</formula>
    </cfRule>
    <cfRule type="expression" dxfId="1" priority="4">
      <formula>AND(H8&gt;=0.5,H8&lt;0.7)</formula>
    </cfRule>
    <cfRule type="expression" dxfId="0" priority="5">
      <formula>H8&lt;0.5</formula>
    </cfRule>
  </conditionalFormatting>
  <conditionalFormatting sqref="P8:P19">
    <cfRule type="containsText" priority="6" operator="containsText" text="Critique">
      <formula>NOT(ISERROR(SEARCH("Critique",P8)))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57F17"/>
  </sheetPr>
  <dimension ref="B1:AF36"/>
  <sheetViews>
    <sheetView showGridLines="0" zoomScaleNormal="100" workbookViewId="0">
      <selection activeCell="U12" sqref="U12"/>
    </sheetView>
  </sheetViews>
  <sheetFormatPr baseColWidth="10" defaultColWidth="8.7109375" defaultRowHeight="15" x14ac:dyDescent="0.25"/>
  <cols>
    <col min="1" max="1" width="3" customWidth="1"/>
    <col min="2" max="2" width="8.7109375" customWidth="1"/>
    <col min="3" max="3" width="28" customWidth="1"/>
    <col min="4" max="4" width="10" customWidth="1"/>
    <col min="5" max="5" width="8" customWidth="1"/>
    <col min="6" max="6" width="12" customWidth="1"/>
    <col min="7" max="7" width="10" customWidth="1"/>
    <col min="8" max="8" width="16.5703125" customWidth="1"/>
    <col min="9" max="32" width="4" customWidth="1"/>
  </cols>
  <sheetData>
    <row r="1" spans="2:32" ht="30" customHeight="1" x14ac:dyDescent="0.25">
      <c r="B1" s="3" t="s">
        <v>550</v>
      </c>
      <c r="C1" s="3"/>
      <c r="D1" s="3"/>
      <c r="E1" s="3"/>
      <c r="F1" s="3"/>
      <c r="G1" s="3"/>
      <c r="H1" s="3"/>
    </row>
    <row r="2" spans="2:32" ht="15.75" customHeight="1" x14ac:dyDescent="0.25">
      <c r="B2" s="9" t="s">
        <v>551</v>
      </c>
      <c r="C2" s="9"/>
      <c r="D2" s="9"/>
      <c r="E2" s="9"/>
      <c r="F2" s="9"/>
      <c r="G2" s="9"/>
      <c r="H2" s="9"/>
    </row>
    <row r="3" spans="2:32" ht="18" customHeight="1" x14ac:dyDescent="0.25">
      <c r="B3" s="177">
        <f>SUM(F8:F22)</f>
        <v>284000</v>
      </c>
      <c r="C3" s="177"/>
      <c r="D3" s="178">
        <f>SUMIFS(F8:F22,H8:H22,"🟢*")+SUMIFS(F8:F22,H8:H22,"🟡*")</f>
        <v>141000</v>
      </c>
      <c r="E3" s="178"/>
      <c r="F3" s="179">
        <f>B3-D3</f>
        <v>143000</v>
      </c>
      <c r="G3" s="179"/>
    </row>
    <row r="4" spans="2:32" ht="36" customHeight="1" x14ac:dyDescent="0.25">
      <c r="B4" s="171" t="s">
        <v>552</v>
      </c>
      <c r="C4" s="171"/>
      <c r="D4" s="171" t="s">
        <v>553</v>
      </c>
      <c r="E4" s="171"/>
      <c r="F4" s="171" t="s">
        <v>554</v>
      </c>
      <c r="G4" s="171"/>
    </row>
    <row r="6" spans="2:32" ht="21.75" customHeight="1" x14ac:dyDescent="0.25">
      <c r="B6" s="2" t="s">
        <v>555</v>
      </c>
      <c r="C6" s="2"/>
      <c r="D6" s="2"/>
      <c r="E6" s="2"/>
      <c r="F6" s="2"/>
      <c r="G6" s="2"/>
      <c r="H6" s="2"/>
    </row>
    <row r="7" spans="2:32" ht="36" customHeight="1" x14ac:dyDescent="0.25">
      <c r="B7" s="41" t="s">
        <v>282</v>
      </c>
      <c r="C7" s="41" t="s">
        <v>556</v>
      </c>
      <c r="D7" s="41" t="s">
        <v>557</v>
      </c>
      <c r="E7" s="41" t="s">
        <v>558</v>
      </c>
      <c r="F7" s="41" t="s">
        <v>559</v>
      </c>
      <c r="G7" s="41" t="s">
        <v>560</v>
      </c>
      <c r="H7" s="41" t="s">
        <v>366</v>
      </c>
      <c r="I7" s="138" t="s">
        <v>561</v>
      </c>
      <c r="J7" s="138" t="s">
        <v>562</v>
      </c>
      <c r="K7" s="138" t="s">
        <v>563</v>
      </c>
      <c r="L7" s="138" t="s">
        <v>564</v>
      </c>
      <c r="M7" s="138" t="s">
        <v>565</v>
      </c>
      <c r="N7" s="138" t="s">
        <v>566</v>
      </c>
      <c r="O7" s="138" t="s">
        <v>567</v>
      </c>
      <c r="P7" s="138" t="s">
        <v>568</v>
      </c>
      <c r="Q7" s="138" t="s">
        <v>569</v>
      </c>
      <c r="R7" s="138" t="s">
        <v>570</v>
      </c>
      <c r="S7" s="138" t="s">
        <v>571</v>
      </c>
      <c r="T7" s="138" t="s">
        <v>572</v>
      </c>
      <c r="U7" s="138" t="s">
        <v>573</v>
      </c>
      <c r="V7" s="138" t="s">
        <v>574</v>
      </c>
      <c r="W7" s="138" t="s">
        <v>575</v>
      </c>
      <c r="X7" s="138" t="s">
        <v>576</v>
      </c>
      <c r="Y7" s="138" t="s">
        <v>577</v>
      </c>
      <c r="Z7" s="138" t="s">
        <v>578</v>
      </c>
      <c r="AA7" s="138" t="s">
        <v>579</v>
      </c>
      <c r="AB7" s="138" t="s">
        <v>580</v>
      </c>
      <c r="AC7" s="138" t="s">
        <v>581</v>
      </c>
      <c r="AD7" s="138" t="s">
        <v>582</v>
      </c>
      <c r="AE7" s="138" t="s">
        <v>583</v>
      </c>
      <c r="AF7" s="138" t="s">
        <v>584</v>
      </c>
    </row>
    <row r="8" spans="2:32" ht="19.5" customHeight="1" x14ac:dyDescent="0.25">
      <c r="B8" s="139">
        <v>1</v>
      </c>
      <c r="C8" s="140" t="s">
        <v>585</v>
      </c>
      <c r="D8" s="78" t="s">
        <v>87</v>
      </c>
      <c r="E8" s="78" t="s">
        <v>586</v>
      </c>
      <c r="F8" s="141">
        <v>45000</v>
      </c>
      <c r="G8" s="108" t="s">
        <v>587</v>
      </c>
      <c r="H8" s="134" t="s">
        <v>588</v>
      </c>
      <c r="I8" s="65"/>
      <c r="J8" s="65"/>
      <c r="K8" s="65"/>
      <c r="L8" s="142"/>
      <c r="M8" s="142"/>
      <c r="N8" s="142"/>
      <c r="O8" s="142"/>
      <c r="P8" s="142"/>
      <c r="Q8" s="142"/>
      <c r="R8" s="142"/>
      <c r="S8" s="142"/>
      <c r="T8" s="142"/>
      <c r="U8" s="142"/>
      <c r="V8" s="142"/>
      <c r="W8" s="142"/>
      <c r="X8" s="142"/>
      <c r="Y8" s="142"/>
      <c r="Z8" s="142"/>
      <c r="AA8" s="142"/>
      <c r="AB8" s="142"/>
      <c r="AC8" s="142"/>
      <c r="AD8" s="142"/>
      <c r="AE8" s="142"/>
      <c r="AF8" s="142"/>
    </row>
    <row r="9" spans="2:32" ht="19.5" customHeight="1" x14ac:dyDescent="0.25">
      <c r="B9" s="139">
        <v>2</v>
      </c>
      <c r="C9" s="140" t="s">
        <v>589</v>
      </c>
      <c r="D9" s="78" t="s">
        <v>87</v>
      </c>
      <c r="E9" s="78" t="s">
        <v>586</v>
      </c>
      <c r="F9" s="141">
        <v>28000</v>
      </c>
      <c r="G9" s="108" t="s">
        <v>590</v>
      </c>
      <c r="H9" s="143" t="s">
        <v>591</v>
      </c>
      <c r="I9" s="142"/>
      <c r="J9" s="142"/>
      <c r="K9" s="89"/>
      <c r="L9" s="89"/>
      <c r="M9" s="89"/>
      <c r="N9" s="89"/>
      <c r="O9" s="89"/>
      <c r="P9" s="89"/>
      <c r="Q9" s="89"/>
      <c r="R9" s="89"/>
      <c r="S9" s="89"/>
      <c r="T9" s="89"/>
      <c r="U9" s="89"/>
      <c r="V9" s="89"/>
      <c r="W9" s="89"/>
      <c r="X9" s="89"/>
      <c r="Y9" s="89"/>
      <c r="Z9" s="89"/>
      <c r="AA9" s="89"/>
      <c r="AB9" s="89"/>
      <c r="AC9" s="142"/>
      <c r="AD9" s="142"/>
      <c r="AE9" s="142"/>
      <c r="AF9" s="142"/>
    </row>
    <row r="10" spans="2:32" ht="19.5" customHeight="1" x14ac:dyDescent="0.25">
      <c r="B10" s="139">
        <v>3</v>
      </c>
      <c r="C10" s="140" t="s">
        <v>592</v>
      </c>
      <c r="D10" s="78" t="s">
        <v>111</v>
      </c>
      <c r="E10" s="78" t="s">
        <v>593</v>
      </c>
      <c r="F10" s="141">
        <v>15000</v>
      </c>
      <c r="G10" s="108" t="s">
        <v>587</v>
      </c>
      <c r="H10" s="134" t="s">
        <v>588</v>
      </c>
      <c r="I10" s="87"/>
      <c r="J10" s="87"/>
      <c r="K10" s="87"/>
      <c r="L10" s="87"/>
      <c r="M10" s="87"/>
      <c r="N10" s="87"/>
      <c r="O10" s="142"/>
      <c r="P10" s="142"/>
      <c r="Q10" s="142"/>
      <c r="R10" s="142"/>
      <c r="S10" s="142"/>
      <c r="T10" s="142"/>
      <c r="U10" s="142"/>
      <c r="V10" s="142"/>
      <c r="W10" s="142"/>
      <c r="X10" s="142"/>
      <c r="Y10" s="142"/>
      <c r="Z10" s="142"/>
      <c r="AA10" s="142"/>
      <c r="AB10" s="142"/>
      <c r="AC10" s="142"/>
      <c r="AD10" s="142"/>
      <c r="AE10" s="142"/>
      <c r="AF10" s="142"/>
    </row>
    <row r="11" spans="2:32" ht="19.5" customHeight="1" x14ac:dyDescent="0.25">
      <c r="B11" s="139">
        <v>4</v>
      </c>
      <c r="C11" s="140" t="s">
        <v>594</v>
      </c>
      <c r="D11" s="78" t="s">
        <v>111</v>
      </c>
      <c r="E11" s="78" t="s">
        <v>593</v>
      </c>
      <c r="F11" s="141">
        <v>22000</v>
      </c>
      <c r="G11" s="108" t="s">
        <v>595</v>
      </c>
      <c r="H11" s="134" t="s">
        <v>588</v>
      </c>
      <c r="I11" s="142"/>
      <c r="J11" s="65"/>
      <c r="K11" s="65"/>
      <c r="L11" s="65"/>
      <c r="M11" s="142"/>
      <c r="N11" s="142"/>
      <c r="O11" s="142"/>
      <c r="P11" s="142"/>
      <c r="Q11" s="142"/>
      <c r="R11" s="142"/>
      <c r="S11" s="142"/>
      <c r="T11" s="142"/>
      <c r="U11" s="142"/>
      <c r="V11" s="142"/>
      <c r="W11" s="142"/>
      <c r="X11" s="142"/>
      <c r="Y11" s="142"/>
      <c r="Z11" s="142"/>
      <c r="AA11" s="142"/>
      <c r="AB11" s="142"/>
      <c r="AC11" s="142"/>
      <c r="AD11" s="142"/>
      <c r="AE11" s="142"/>
      <c r="AF11" s="142"/>
    </row>
    <row r="12" spans="2:32" ht="19.5" customHeight="1" x14ac:dyDescent="0.25">
      <c r="B12" s="139">
        <v>5</v>
      </c>
      <c r="C12" s="140" t="s">
        <v>596</v>
      </c>
      <c r="D12" s="78" t="s">
        <v>119</v>
      </c>
      <c r="E12" s="78" t="s">
        <v>597</v>
      </c>
      <c r="F12" s="141">
        <v>8000</v>
      </c>
      <c r="G12" s="108" t="s">
        <v>598</v>
      </c>
      <c r="H12" s="59" t="s">
        <v>599</v>
      </c>
      <c r="I12" s="142"/>
      <c r="J12" s="142"/>
      <c r="K12" s="142"/>
      <c r="L12" s="89"/>
      <c r="M12" s="89"/>
      <c r="N12" s="89"/>
      <c r="O12" s="89"/>
      <c r="P12" s="89"/>
      <c r="Q12" s="89"/>
      <c r="R12" s="89"/>
      <c r="S12" s="89"/>
      <c r="T12" s="89"/>
      <c r="U12" s="89"/>
      <c r="V12" s="89"/>
      <c r="W12" s="89"/>
      <c r="X12" s="89"/>
      <c r="Y12" s="89"/>
      <c r="Z12" s="89"/>
      <c r="AA12" s="89"/>
      <c r="AB12" s="89"/>
      <c r="AC12" s="89"/>
      <c r="AD12" s="89"/>
      <c r="AE12" s="89"/>
      <c r="AF12" s="89"/>
    </row>
    <row r="13" spans="2:32" ht="19.5" customHeight="1" x14ac:dyDescent="0.25">
      <c r="B13" s="139">
        <v>6</v>
      </c>
      <c r="C13" s="48" t="s">
        <v>600</v>
      </c>
      <c r="D13" s="125" t="s">
        <v>601</v>
      </c>
      <c r="E13" s="67" t="s">
        <v>264</v>
      </c>
      <c r="F13" s="141">
        <v>5000</v>
      </c>
      <c r="G13" s="108" t="s">
        <v>587</v>
      </c>
      <c r="H13" s="144" t="s">
        <v>602</v>
      </c>
      <c r="I13" s="145"/>
      <c r="J13" s="145"/>
      <c r="K13" s="142"/>
      <c r="L13" s="142"/>
      <c r="M13" s="142"/>
      <c r="N13" s="142"/>
      <c r="O13" s="142"/>
      <c r="P13" s="142"/>
      <c r="Q13" s="142"/>
      <c r="R13" s="142"/>
      <c r="S13" s="142"/>
      <c r="T13" s="142"/>
      <c r="U13" s="142"/>
      <c r="V13" s="142"/>
      <c r="W13" s="142"/>
      <c r="X13" s="142"/>
      <c r="Y13" s="142"/>
      <c r="Z13" s="142"/>
      <c r="AA13" s="142"/>
      <c r="AB13" s="142"/>
      <c r="AC13" s="142"/>
      <c r="AD13" s="142"/>
      <c r="AE13" s="142"/>
      <c r="AF13" s="142"/>
    </row>
    <row r="14" spans="2:32" ht="19.5" customHeight="1" x14ac:dyDescent="0.25">
      <c r="B14" s="139">
        <v>7</v>
      </c>
      <c r="C14" s="48" t="s">
        <v>603</v>
      </c>
      <c r="D14" s="78" t="s">
        <v>101</v>
      </c>
      <c r="E14" s="67" t="s">
        <v>262</v>
      </c>
      <c r="F14" s="141">
        <v>18000</v>
      </c>
      <c r="G14" s="108" t="s">
        <v>595</v>
      </c>
      <c r="H14" s="134" t="s">
        <v>588</v>
      </c>
      <c r="I14" s="142"/>
      <c r="J14" s="65"/>
      <c r="K14" s="65"/>
      <c r="L14" s="65"/>
      <c r="M14" s="142"/>
      <c r="N14" s="142"/>
      <c r="O14" s="142"/>
      <c r="P14" s="142"/>
      <c r="Q14" s="142"/>
      <c r="R14" s="142"/>
      <c r="S14" s="142"/>
      <c r="T14" s="142"/>
      <c r="U14" s="142"/>
      <c r="V14" s="142"/>
      <c r="W14" s="142"/>
      <c r="X14" s="142"/>
      <c r="Y14" s="142"/>
      <c r="Z14" s="142"/>
      <c r="AA14" s="142"/>
      <c r="AB14" s="142"/>
      <c r="AC14" s="142"/>
      <c r="AD14" s="142"/>
      <c r="AE14" s="142"/>
      <c r="AF14" s="142"/>
    </row>
    <row r="15" spans="2:32" ht="19.5" customHeight="1" x14ac:dyDescent="0.25">
      <c r="B15" s="139">
        <v>8</v>
      </c>
      <c r="C15" s="140" t="s">
        <v>604</v>
      </c>
      <c r="D15" s="78" t="s">
        <v>142</v>
      </c>
      <c r="E15" s="78" t="s">
        <v>597</v>
      </c>
      <c r="F15" s="141">
        <v>12000</v>
      </c>
      <c r="G15" s="108" t="s">
        <v>590</v>
      </c>
      <c r="H15" s="143" t="s">
        <v>591</v>
      </c>
      <c r="I15" s="142"/>
      <c r="J15" s="142"/>
      <c r="K15" s="146"/>
      <c r="L15" s="146"/>
      <c r="M15" s="146"/>
      <c r="N15" s="146"/>
      <c r="O15" s="146"/>
      <c r="P15" s="146"/>
      <c r="Q15" s="146"/>
      <c r="R15" s="146"/>
      <c r="S15" s="146"/>
      <c r="T15" s="146"/>
      <c r="U15" s="146"/>
      <c r="V15" s="146"/>
      <c r="W15" s="142"/>
      <c r="X15" s="142"/>
      <c r="Y15" s="142"/>
      <c r="Z15" s="142"/>
      <c r="AA15" s="142"/>
      <c r="AB15" s="142"/>
      <c r="AC15" s="142"/>
      <c r="AD15" s="142"/>
      <c r="AE15" s="142"/>
      <c r="AF15" s="142"/>
    </row>
    <row r="16" spans="2:32" ht="19.5" customHeight="1" x14ac:dyDescent="0.25">
      <c r="B16" s="139">
        <v>9</v>
      </c>
      <c r="C16" s="48" t="s">
        <v>605</v>
      </c>
      <c r="D16" s="125" t="s">
        <v>601</v>
      </c>
      <c r="E16" s="67" t="s">
        <v>606</v>
      </c>
      <c r="F16" s="141">
        <v>25000</v>
      </c>
      <c r="G16" s="108" t="s">
        <v>587</v>
      </c>
      <c r="H16" s="134" t="s">
        <v>588</v>
      </c>
      <c r="I16" s="147"/>
      <c r="J16" s="147"/>
      <c r="K16" s="147"/>
      <c r="L16" s="147"/>
      <c r="M16" s="147"/>
      <c r="N16" s="147"/>
      <c r="O16" s="142"/>
      <c r="P16" s="142"/>
      <c r="Q16" s="142"/>
      <c r="R16" s="142"/>
      <c r="S16" s="142"/>
      <c r="T16" s="142"/>
      <c r="U16" s="142"/>
      <c r="V16" s="142"/>
      <c r="W16" s="142"/>
      <c r="X16" s="142"/>
      <c r="Y16" s="142"/>
      <c r="Z16" s="142"/>
      <c r="AA16" s="142"/>
      <c r="AB16" s="142"/>
      <c r="AC16" s="142"/>
      <c r="AD16" s="142"/>
      <c r="AE16" s="142"/>
      <c r="AF16" s="142"/>
    </row>
    <row r="17" spans="2:32" ht="19.5" customHeight="1" x14ac:dyDescent="0.25">
      <c r="B17" s="139">
        <v>10</v>
      </c>
      <c r="C17" s="48" t="s">
        <v>607</v>
      </c>
      <c r="D17" s="78" t="s">
        <v>132</v>
      </c>
      <c r="E17" s="67" t="s">
        <v>608</v>
      </c>
      <c r="F17" s="141">
        <v>3000</v>
      </c>
      <c r="G17" s="108" t="s">
        <v>595</v>
      </c>
      <c r="H17" s="144" t="s">
        <v>602</v>
      </c>
      <c r="I17" s="142"/>
      <c r="J17" s="148"/>
      <c r="K17" s="148"/>
      <c r="L17" s="142"/>
      <c r="M17" s="142"/>
      <c r="N17" s="142"/>
      <c r="O17" s="142"/>
      <c r="P17" s="142"/>
      <c r="Q17" s="142"/>
      <c r="R17" s="142"/>
      <c r="S17" s="142"/>
      <c r="T17" s="142"/>
      <c r="U17" s="142"/>
      <c r="V17" s="142"/>
      <c r="W17" s="142"/>
      <c r="X17" s="142"/>
      <c r="Y17" s="142"/>
      <c r="Z17" s="142"/>
      <c r="AA17" s="142"/>
      <c r="AB17" s="142"/>
      <c r="AC17" s="142"/>
      <c r="AD17" s="142"/>
      <c r="AE17" s="142"/>
      <c r="AF17" s="142"/>
    </row>
    <row r="18" spans="2:32" ht="19.5" customHeight="1" x14ac:dyDescent="0.25">
      <c r="B18" s="139">
        <v>11</v>
      </c>
      <c r="C18" s="48" t="s">
        <v>609</v>
      </c>
      <c r="D18" s="78" t="s">
        <v>145</v>
      </c>
      <c r="E18" s="67" t="s">
        <v>262</v>
      </c>
      <c r="F18" s="141">
        <v>20000</v>
      </c>
      <c r="G18" s="108" t="s">
        <v>598</v>
      </c>
      <c r="H18" s="59" t="s">
        <v>599</v>
      </c>
      <c r="I18" s="142"/>
      <c r="J18" s="142"/>
      <c r="K18" s="142"/>
      <c r="L18" s="89"/>
      <c r="M18" s="89"/>
      <c r="N18" s="89"/>
      <c r="O18" s="89"/>
      <c r="P18" s="89"/>
      <c r="Q18" s="89"/>
      <c r="R18" s="89"/>
      <c r="S18" s="89"/>
      <c r="T18" s="89"/>
      <c r="U18" s="89"/>
      <c r="V18" s="89"/>
      <c r="W18" s="89"/>
      <c r="X18" s="89"/>
      <c r="Y18" s="89"/>
      <c r="Z18" s="89"/>
      <c r="AA18" s="89"/>
      <c r="AB18" s="89"/>
      <c r="AC18" s="89"/>
      <c r="AD18" s="89"/>
      <c r="AE18" s="89"/>
      <c r="AF18" s="89"/>
    </row>
    <row r="19" spans="2:32" ht="19.5" customHeight="1" x14ac:dyDescent="0.25">
      <c r="B19" s="139">
        <v>12</v>
      </c>
      <c r="C19" s="140" t="s">
        <v>610</v>
      </c>
      <c r="D19" s="78" t="s">
        <v>158</v>
      </c>
      <c r="E19" s="78" t="s">
        <v>597</v>
      </c>
      <c r="F19" s="141">
        <v>10000</v>
      </c>
      <c r="G19" s="108" t="s">
        <v>590</v>
      </c>
      <c r="H19" s="143" t="s">
        <v>591</v>
      </c>
      <c r="I19" s="142"/>
      <c r="J19" s="142"/>
      <c r="K19" s="87"/>
      <c r="L19" s="87"/>
      <c r="M19" s="87"/>
      <c r="N19" s="87"/>
      <c r="O19" s="87"/>
      <c r="P19" s="87"/>
      <c r="Q19" s="87"/>
      <c r="R19" s="87"/>
      <c r="S19" s="87"/>
      <c r="T19" s="87"/>
      <c r="U19" s="87"/>
      <c r="V19" s="87"/>
      <c r="W19" s="142"/>
      <c r="X19" s="142"/>
      <c r="Y19" s="142"/>
      <c r="Z19" s="142"/>
      <c r="AA19" s="142"/>
      <c r="AB19" s="142"/>
      <c r="AC19" s="142"/>
      <c r="AD19" s="142"/>
      <c r="AE19" s="142"/>
      <c r="AF19" s="142"/>
    </row>
    <row r="20" spans="2:32" ht="19.5" customHeight="1" x14ac:dyDescent="0.25">
      <c r="B20" s="139">
        <v>13</v>
      </c>
      <c r="C20" s="48" t="s">
        <v>611</v>
      </c>
      <c r="D20" s="125" t="s">
        <v>601</v>
      </c>
      <c r="E20" s="67" t="s">
        <v>612</v>
      </c>
      <c r="F20" s="141">
        <v>35000</v>
      </c>
      <c r="G20" s="108" t="s">
        <v>613</v>
      </c>
      <c r="H20" s="59" t="s">
        <v>599</v>
      </c>
      <c r="I20" s="142"/>
      <c r="J20" s="142"/>
      <c r="K20" s="142"/>
      <c r="L20" s="142"/>
      <c r="M20" s="142"/>
      <c r="N20" s="149"/>
      <c r="O20" s="149"/>
      <c r="P20" s="149"/>
      <c r="Q20" s="142"/>
      <c r="R20" s="142"/>
      <c r="S20" s="142"/>
      <c r="T20" s="142"/>
      <c r="U20" s="142"/>
      <c r="V20" s="142"/>
      <c r="W20" s="142"/>
      <c r="X20" s="142"/>
      <c r="Y20" s="142"/>
      <c r="Z20" s="142"/>
      <c r="AA20" s="142"/>
      <c r="AB20" s="142"/>
      <c r="AC20" s="142"/>
      <c r="AD20" s="142"/>
      <c r="AE20" s="142"/>
      <c r="AF20" s="142"/>
    </row>
    <row r="21" spans="2:32" ht="19.5" customHeight="1" x14ac:dyDescent="0.25">
      <c r="B21" s="139">
        <v>14</v>
      </c>
      <c r="C21" s="48" t="s">
        <v>614</v>
      </c>
      <c r="D21" s="125" t="s">
        <v>601</v>
      </c>
      <c r="E21" s="67" t="s">
        <v>264</v>
      </c>
      <c r="F21" s="141">
        <v>8000</v>
      </c>
      <c r="G21" s="108" t="s">
        <v>595</v>
      </c>
      <c r="H21" s="134" t="s">
        <v>588</v>
      </c>
      <c r="I21" s="142"/>
      <c r="J21" s="145"/>
      <c r="K21" s="145"/>
      <c r="L21" s="142"/>
      <c r="M21" s="142"/>
      <c r="N21" s="142"/>
      <c r="O21" s="142"/>
      <c r="P21" s="142"/>
      <c r="Q21" s="142"/>
      <c r="R21" s="142"/>
      <c r="S21" s="142"/>
      <c r="T21" s="142"/>
      <c r="U21" s="142"/>
      <c r="V21" s="142"/>
      <c r="W21" s="142"/>
      <c r="X21" s="142"/>
      <c r="Y21" s="142"/>
      <c r="Z21" s="142"/>
      <c r="AA21" s="142"/>
      <c r="AB21" s="142"/>
      <c r="AC21" s="142"/>
      <c r="AD21" s="142"/>
      <c r="AE21" s="142"/>
      <c r="AF21" s="142"/>
    </row>
    <row r="22" spans="2:32" ht="19.5" customHeight="1" x14ac:dyDescent="0.25">
      <c r="B22" s="139">
        <v>15</v>
      </c>
      <c r="C22" s="140" t="s">
        <v>615</v>
      </c>
      <c r="D22" s="78" t="s">
        <v>127</v>
      </c>
      <c r="E22" s="78" t="s">
        <v>597</v>
      </c>
      <c r="F22" s="141">
        <v>30000</v>
      </c>
      <c r="G22" s="108" t="s">
        <v>616</v>
      </c>
      <c r="H22" s="59" t="s">
        <v>599</v>
      </c>
      <c r="I22" s="142"/>
      <c r="J22" s="142"/>
      <c r="K22" s="142"/>
      <c r="L22" s="142"/>
      <c r="M22" s="65"/>
      <c r="N22" s="65"/>
      <c r="O22" s="65"/>
      <c r="P22" s="65"/>
      <c r="Q22" s="142"/>
      <c r="R22" s="142"/>
      <c r="S22" s="142"/>
      <c r="T22" s="142"/>
      <c r="U22" s="142"/>
      <c r="V22" s="142"/>
      <c r="W22" s="142"/>
      <c r="X22" s="142"/>
      <c r="Y22" s="142"/>
      <c r="Z22" s="142"/>
      <c r="AA22" s="142"/>
      <c r="AB22" s="142"/>
      <c r="AC22" s="142"/>
      <c r="AD22" s="142"/>
      <c r="AE22" s="142"/>
      <c r="AF22" s="142"/>
    </row>
    <row r="23" spans="2:32" ht="21.75" customHeight="1" x14ac:dyDescent="0.25">
      <c r="B23" s="8" t="s">
        <v>617</v>
      </c>
      <c r="C23" s="8"/>
      <c r="D23" s="8"/>
      <c r="E23" s="8"/>
      <c r="F23" s="150">
        <f>SUM(F8:F22)</f>
        <v>284000</v>
      </c>
      <c r="G23" s="65"/>
      <c r="H23" s="65"/>
    </row>
    <row r="25" spans="2:32" ht="21.75" customHeight="1" x14ac:dyDescent="0.25">
      <c r="B25" s="2" t="s">
        <v>618</v>
      </c>
      <c r="C25" s="2"/>
      <c r="D25" s="2"/>
      <c r="E25" s="2"/>
      <c r="F25" s="2"/>
      <c r="G25" s="2"/>
      <c r="H25" s="2"/>
    </row>
    <row r="26" spans="2:32" ht="24" x14ac:dyDescent="0.25">
      <c r="B26" s="41" t="s">
        <v>619</v>
      </c>
      <c r="C26" s="41" t="s">
        <v>620</v>
      </c>
      <c r="D26" s="41"/>
      <c r="E26" s="41"/>
      <c r="F26" s="41"/>
      <c r="G26" s="41"/>
      <c r="H26" s="41"/>
    </row>
    <row r="27" spans="2:32" ht="18" customHeight="1" x14ac:dyDescent="0.25">
      <c r="B27" s="83" t="s">
        <v>621</v>
      </c>
      <c r="C27" s="166" t="s">
        <v>622</v>
      </c>
      <c r="D27" s="166"/>
      <c r="E27" s="166"/>
      <c r="F27" s="166"/>
      <c r="G27" s="166"/>
      <c r="H27" s="166"/>
    </row>
    <row r="28" spans="2:32" ht="18" customHeight="1" x14ac:dyDescent="0.25">
      <c r="B28" s="151" t="s">
        <v>623</v>
      </c>
      <c r="C28" s="166" t="s">
        <v>624</v>
      </c>
      <c r="D28" s="166"/>
      <c r="E28" s="166"/>
      <c r="F28" s="166"/>
      <c r="G28" s="166"/>
      <c r="H28" s="166"/>
    </row>
    <row r="29" spans="2:32" ht="18" customHeight="1" x14ac:dyDescent="0.25">
      <c r="B29" s="152" t="s">
        <v>625</v>
      </c>
      <c r="C29" s="166" t="s">
        <v>626</v>
      </c>
      <c r="D29" s="166"/>
      <c r="E29" s="166"/>
      <c r="F29" s="166"/>
      <c r="G29" s="166"/>
      <c r="H29" s="166"/>
    </row>
    <row r="30" spans="2:32" ht="18" customHeight="1" x14ac:dyDescent="0.25">
      <c r="B30" s="153" t="s">
        <v>627</v>
      </c>
      <c r="C30" s="166" t="s">
        <v>628</v>
      </c>
      <c r="D30" s="166"/>
      <c r="E30" s="166"/>
      <c r="F30" s="166"/>
      <c r="G30" s="166"/>
      <c r="H30" s="166"/>
    </row>
    <row r="31" spans="2:32" ht="18" customHeight="1" x14ac:dyDescent="0.25">
      <c r="B31" s="82" t="s">
        <v>629</v>
      </c>
      <c r="C31" s="166" t="s">
        <v>630</v>
      </c>
      <c r="D31" s="166"/>
      <c r="E31" s="166"/>
      <c r="F31" s="166"/>
      <c r="G31" s="166"/>
      <c r="H31" s="166"/>
    </row>
    <row r="32" spans="2:32" ht="18" customHeight="1" x14ac:dyDescent="0.25">
      <c r="B32" s="154" t="s">
        <v>631</v>
      </c>
      <c r="C32" s="166" t="s">
        <v>632</v>
      </c>
      <c r="D32" s="166"/>
      <c r="E32" s="166"/>
      <c r="F32" s="166"/>
      <c r="G32" s="166"/>
      <c r="H32" s="166"/>
    </row>
    <row r="33" spans="2:8" ht="18" customHeight="1" x14ac:dyDescent="0.25">
      <c r="B33" s="155" t="s">
        <v>633</v>
      </c>
      <c r="C33" s="166" t="s">
        <v>634</v>
      </c>
      <c r="D33" s="166"/>
      <c r="E33" s="166"/>
      <c r="F33" s="166"/>
      <c r="G33" s="166"/>
      <c r="H33" s="166"/>
    </row>
    <row r="34" spans="2:8" ht="18" customHeight="1" x14ac:dyDescent="0.25">
      <c r="B34" s="156" t="s">
        <v>635</v>
      </c>
      <c r="C34" s="166" t="s">
        <v>636</v>
      </c>
      <c r="D34" s="166"/>
      <c r="E34" s="166"/>
      <c r="F34" s="166"/>
      <c r="G34" s="166"/>
      <c r="H34" s="166"/>
    </row>
    <row r="36" spans="2:8" ht="21.75" customHeight="1" x14ac:dyDescent="0.25">
      <c r="B36" s="11" t="s">
        <v>69</v>
      </c>
      <c r="C36" s="11"/>
      <c r="D36" s="11"/>
      <c r="E36" s="11"/>
      <c r="F36" s="11"/>
      <c r="G36" s="11"/>
      <c r="H36" s="11"/>
    </row>
  </sheetData>
  <autoFilter ref="B7:H22" xr:uid="{00000000-0009-0000-0000-000008000000}"/>
  <mergeCells count="20">
    <mergeCell ref="C31:H31"/>
    <mergeCell ref="C32:H32"/>
    <mergeCell ref="C33:H33"/>
    <mergeCell ref="C34:H34"/>
    <mergeCell ref="B36:H36"/>
    <mergeCell ref="B25:H25"/>
    <mergeCell ref="C27:H27"/>
    <mergeCell ref="C28:H28"/>
    <mergeCell ref="C29:H29"/>
    <mergeCell ref="C30:H30"/>
    <mergeCell ref="B4:C4"/>
    <mergeCell ref="D4:E4"/>
    <mergeCell ref="F4:G4"/>
    <mergeCell ref="B6:H6"/>
    <mergeCell ref="B23:E23"/>
    <mergeCell ref="B1:H1"/>
    <mergeCell ref="B2:H2"/>
    <mergeCell ref="B3:C3"/>
    <mergeCell ref="D3:E3"/>
    <mergeCell ref="F3:G3"/>
  </mergeCells>
  <pageMargins left="0.75" right="0.75" top="1" bottom="1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D4AF37"/>
  </sheetPr>
  <dimension ref="B1:N34"/>
  <sheetViews>
    <sheetView showGridLines="0" zoomScaleNormal="100" workbookViewId="0"/>
  </sheetViews>
  <sheetFormatPr baseColWidth="10" defaultColWidth="8.7109375" defaultRowHeight="15" x14ac:dyDescent="0.25"/>
  <cols>
    <col min="1" max="2" width="2" customWidth="1"/>
    <col min="3" max="3" width="20" customWidth="1"/>
    <col min="4" max="14" width="14" customWidth="1"/>
    <col min="15" max="15" width="2" customWidth="1"/>
  </cols>
  <sheetData>
    <row r="1" spans="2:14" ht="39.75" customHeight="1" x14ac:dyDescent="0.25">
      <c r="B1" s="180" t="str">
        <f>IF('01_PARAMETRES'!C5="","🏛️  NEURAL — LuxeArtisanTalent · Cartographie des Savoir-Faire Artisanaux","🏛️  "&amp;'01_PARAMETRES'!C5&amp;"  —  Cartographie des Savoir-Faire Artisanaux")</f>
        <v>🏛️  NEURAL — LuxeArtisanTalent · Cartographie des Savoir-Faire Artisanaux</v>
      </c>
      <c r="C1" s="180"/>
      <c r="D1" s="180"/>
      <c r="E1" s="180"/>
      <c r="F1" s="180"/>
      <c r="G1" s="180"/>
      <c r="H1" s="180"/>
      <c r="I1" s="180"/>
      <c r="J1" s="180"/>
      <c r="K1" s="180"/>
      <c r="L1" s="180"/>
      <c r="M1" s="180"/>
      <c r="N1" s="180"/>
    </row>
    <row r="2" spans="2:14" ht="19.5" customHeight="1" x14ac:dyDescent="0.25">
      <c r="B2" s="181" t="str">
        <f ca="1">IFERROR("📅 Analyse du : "&amp;TEXT('01_PARAMETRES'!C12,"jj/mm/aaaa"),"📅 Analyse du : "&amp;'01_PARAMETRES'!C12)</f>
        <v>📅 Analyse du : 01/04/2026</v>
      </c>
      <c r="C2" s="181"/>
      <c r="D2" s="181"/>
      <c r="E2" s="181"/>
      <c r="F2" s="181"/>
      <c r="G2" s="181"/>
      <c r="H2" s="181"/>
      <c r="I2" s="182" t="str">
        <f>"🧑‍💼 Analyste : "&amp;'01_PARAMETRES'!C13</f>
        <v xml:space="preserve">🧑‍💼 Analyste : </v>
      </c>
      <c r="J2" s="182"/>
      <c r="K2" s="182"/>
      <c r="L2" s="182"/>
      <c r="M2" s="182"/>
      <c r="N2" s="182"/>
    </row>
    <row r="3" spans="2:14" ht="6" customHeight="1" x14ac:dyDescent="0.25">
      <c r="B3" s="183"/>
      <c r="C3" s="183"/>
      <c r="D3" s="183"/>
      <c r="E3" s="183"/>
      <c r="F3" s="183"/>
      <c r="G3" s="183"/>
      <c r="H3" s="183"/>
      <c r="I3" s="183"/>
      <c r="J3" s="183"/>
      <c r="K3" s="183"/>
      <c r="L3" s="183"/>
      <c r="M3" s="183"/>
      <c r="N3" s="183"/>
    </row>
    <row r="4" spans="2:14" ht="18" customHeight="1" x14ac:dyDescent="0.25">
      <c r="B4" s="184" t="s">
        <v>406</v>
      </c>
      <c r="C4" s="184"/>
      <c r="D4" s="184"/>
      <c r="E4" s="184" t="s">
        <v>637</v>
      </c>
      <c r="F4" s="184"/>
      <c r="G4" s="184"/>
      <c r="H4" s="184" t="s">
        <v>638</v>
      </c>
      <c r="I4" s="184"/>
      <c r="J4" s="184"/>
      <c r="K4" s="184" t="s">
        <v>639</v>
      </c>
      <c r="L4" s="184"/>
      <c r="M4" s="184"/>
      <c r="N4" s="184"/>
    </row>
    <row r="5" spans="2:14" ht="49.5" customHeight="1" x14ac:dyDescent="0.25">
      <c r="B5" s="185">
        <f>COUNTIF('06_CARTO'!$B$8:$B$57,"&lt;&gt;"&amp;"")</f>
        <v>38</v>
      </c>
      <c r="C5" s="185"/>
      <c r="D5" s="185"/>
      <c r="E5" s="186">
        <f>COUNTIF('07_GAP_ANALYSIS'!$I$8:$I$21,"&lt;=-3")</f>
        <v>8</v>
      </c>
      <c r="F5" s="186"/>
      <c r="G5" s="186"/>
      <c r="H5" s="187">
        <f>COUNTIF('05_VIVIER_TALENTS'!$F$8:$F$57,"🟢*")</f>
        <v>13</v>
      </c>
      <c r="I5" s="187"/>
      <c r="J5" s="187"/>
      <c r="K5" s="188">
        <f>COUNTIF('08_SUCCESSION'!$H$8:$H$20,"&lt;50%")</f>
        <v>0</v>
      </c>
      <c r="L5" s="188"/>
      <c r="M5" s="188"/>
      <c r="N5" s="188"/>
    </row>
    <row r="6" spans="2:14" ht="24" customHeight="1" x14ac:dyDescent="0.25">
      <c r="B6" s="189" t="s">
        <v>640</v>
      </c>
      <c r="C6" s="189"/>
      <c r="D6" s="189"/>
      <c r="E6" s="190" t="s">
        <v>641</v>
      </c>
      <c r="F6" s="190"/>
      <c r="G6" s="190"/>
      <c r="H6" s="191" t="s">
        <v>642</v>
      </c>
      <c r="I6" s="191"/>
      <c r="J6" s="191"/>
      <c r="K6" s="192" t="s">
        <v>643</v>
      </c>
      <c r="L6" s="192"/>
      <c r="M6" s="192"/>
      <c r="N6" s="192"/>
    </row>
    <row r="7" spans="2:14" ht="6" customHeight="1" x14ac:dyDescent="0.25">
      <c r="B7" s="183"/>
      <c r="C7" s="183"/>
      <c r="D7" s="183"/>
      <c r="E7" s="183"/>
      <c r="F7" s="183"/>
      <c r="G7" s="183"/>
      <c r="H7" s="183"/>
      <c r="I7" s="183"/>
      <c r="J7" s="183"/>
      <c r="K7" s="183"/>
      <c r="L7" s="183"/>
      <c r="M7" s="183"/>
      <c r="N7" s="183"/>
    </row>
    <row r="8" spans="2:14" ht="21.75" customHeight="1" x14ac:dyDescent="0.25">
      <c r="B8" s="2" t="s">
        <v>644</v>
      </c>
      <c r="C8" s="2"/>
      <c r="D8" s="2"/>
      <c r="E8" s="2"/>
      <c r="F8" s="2"/>
      <c r="G8" s="2"/>
      <c r="H8" s="2" t="s">
        <v>645</v>
      </c>
      <c r="I8" s="2"/>
      <c r="J8" s="2"/>
      <c r="K8" s="2"/>
      <c r="L8" s="2"/>
      <c r="M8" s="2"/>
      <c r="N8" s="2"/>
    </row>
    <row r="9" spans="2:14" ht="18" customHeight="1" x14ac:dyDescent="0.25">
      <c r="B9" s="41" t="s">
        <v>477</v>
      </c>
      <c r="C9" s="41" t="s">
        <v>74</v>
      </c>
      <c r="D9" s="41" t="s">
        <v>73</v>
      </c>
      <c r="E9" s="41" t="s">
        <v>646</v>
      </c>
      <c r="F9" s="41" t="s">
        <v>647</v>
      </c>
      <c r="G9" s="41" t="s">
        <v>366</v>
      </c>
      <c r="H9" s="41" t="s">
        <v>648</v>
      </c>
      <c r="I9" s="41" t="s">
        <v>283</v>
      </c>
      <c r="J9" s="41" t="s">
        <v>74</v>
      </c>
      <c r="K9" s="41" t="s">
        <v>649</v>
      </c>
      <c r="L9" s="41" t="s">
        <v>28</v>
      </c>
      <c r="M9" s="41" t="s">
        <v>650</v>
      </c>
      <c r="N9" s="41" t="s">
        <v>369</v>
      </c>
    </row>
    <row r="10" spans="2:14" ht="19.5" customHeight="1" x14ac:dyDescent="0.25">
      <c r="B10" s="78" t="s">
        <v>586</v>
      </c>
      <c r="C10" s="44" t="s">
        <v>89</v>
      </c>
      <c r="D10" s="110" t="s">
        <v>88</v>
      </c>
      <c r="E10" s="157">
        <f>'07_GAP_ANALYSIS'!H8</f>
        <v>-12</v>
      </c>
      <c r="F10" s="157">
        <f>'07_GAP_ANALYSIS'!I8</f>
        <v>-14</v>
      </c>
      <c r="G10" s="56" t="s">
        <v>479</v>
      </c>
      <c r="H10" s="78" t="s">
        <v>651</v>
      </c>
      <c r="I10" s="44" t="s">
        <v>300</v>
      </c>
      <c r="J10" s="78" t="s">
        <v>87</v>
      </c>
      <c r="K10" s="158">
        <f>'04_SCORING_CANDIDATS'!J7</f>
        <v>87.7</v>
      </c>
      <c r="L10" s="29" t="s">
        <v>32</v>
      </c>
      <c r="M10" s="108" t="s">
        <v>302</v>
      </c>
      <c r="N10" s="110" t="s">
        <v>301</v>
      </c>
    </row>
    <row r="11" spans="2:14" ht="19.5" customHeight="1" x14ac:dyDescent="0.25">
      <c r="B11" s="78" t="s">
        <v>593</v>
      </c>
      <c r="C11" s="44" t="s">
        <v>113</v>
      </c>
      <c r="D11" s="110" t="s">
        <v>112</v>
      </c>
      <c r="E11" s="157">
        <f>'07_GAP_ANALYSIS'!H11</f>
        <v>-5</v>
      </c>
      <c r="F11" s="157">
        <f>'07_GAP_ANALYSIS'!I11</f>
        <v>-6</v>
      </c>
      <c r="G11" s="56" t="s">
        <v>479</v>
      </c>
      <c r="H11" s="78" t="s">
        <v>652</v>
      </c>
      <c r="I11" s="44" t="s">
        <v>305</v>
      </c>
      <c r="J11" s="78" t="s">
        <v>87</v>
      </c>
      <c r="K11" s="158">
        <f>'04_SCORING_CANDIDATS'!J8</f>
        <v>81.599999999999994</v>
      </c>
      <c r="L11" s="29" t="s">
        <v>32</v>
      </c>
      <c r="M11" s="108" t="s">
        <v>307</v>
      </c>
      <c r="N11" s="110" t="s">
        <v>653</v>
      </c>
    </row>
    <row r="12" spans="2:14" ht="19.5" customHeight="1" x14ac:dyDescent="0.25">
      <c r="B12" s="78" t="s">
        <v>597</v>
      </c>
      <c r="C12" s="44" t="s">
        <v>120</v>
      </c>
      <c r="D12" s="110" t="s">
        <v>112</v>
      </c>
      <c r="E12" s="157">
        <f>'07_GAP_ANALYSIS'!H12</f>
        <v>-1</v>
      </c>
      <c r="F12" s="157">
        <f>'07_GAP_ANALYSIS'!I12</f>
        <v>-2</v>
      </c>
      <c r="G12" s="159" t="s">
        <v>480</v>
      </c>
      <c r="H12" s="78" t="s">
        <v>654</v>
      </c>
      <c r="I12" s="44" t="s">
        <v>309</v>
      </c>
      <c r="J12" s="78" t="s">
        <v>111</v>
      </c>
      <c r="K12" s="158">
        <f>'04_SCORING_CANDIDATS'!J9</f>
        <v>81.3</v>
      </c>
      <c r="L12" s="29" t="s">
        <v>32</v>
      </c>
      <c r="M12" s="108" t="s">
        <v>311</v>
      </c>
      <c r="N12" s="110" t="s">
        <v>310</v>
      </c>
    </row>
    <row r="13" spans="2:14" ht="19.5" customHeight="1" x14ac:dyDescent="0.25">
      <c r="B13" s="78" t="s">
        <v>597</v>
      </c>
      <c r="C13" s="44" t="s">
        <v>143</v>
      </c>
      <c r="D13" s="110" t="s">
        <v>133</v>
      </c>
      <c r="E13" s="157">
        <f>'07_GAP_ANALYSIS'!H16</f>
        <v>-1</v>
      </c>
      <c r="F13" s="157">
        <f>'07_GAP_ANALYSIS'!I16</f>
        <v>-1</v>
      </c>
      <c r="G13" s="159" t="s">
        <v>480</v>
      </c>
      <c r="H13" s="67" t="s">
        <v>655</v>
      </c>
      <c r="I13" s="44" t="s">
        <v>313</v>
      </c>
      <c r="J13" s="78" t="s">
        <v>87</v>
      </c>
      <c r="K13" s="160">
        <f>'04_SCORING_CANDIDATS'!J10</f>
        <v>76</v>
      </c>
      <c r="L13" s="31" t="s">
        <v>35</v>
      </c>
      <c r="M13" s="108" t="s">
        <v>315</v>
      </c>
      <c r="N13" s="110" t="s">
        <v>314</v>
      </c>
    </row>
    <row r="14" spans="2:14" ht="19.5" customHeight="1" x14ac:dyDescent="0.25">
      <c r="B14" s="67" t="s">
        <v>264</v>
      </c>
      <c r="C14" s="44" t="s">
        <v>656</v>
      </c>
      <c r="D14" s="110" t="s">
        <v>146</v>
      </c>
      <c r="E14" s="157">
        <f>'07_GAP_ANALYSIS'!H17</f>
        <v>-6</v>
      </c>
      <c r="F14" s="157">
        <f>'07_GAP_ANALYSIS'!I17</f>
        <v>-6</v>
      </c>
      <c r="G14" s="159" t="s">
        <v>480</v>
      </c>
      <c r="H14" s="67" t="s">
        <v>657</v>
      </c>
      <c r="I14" s="44" t="s">
        <v>319</v>
      </c>
      <c r="J14" s="78" t="s">
        <v>119</v>
      </c>
      <c r="K14" s="160">
        <f>'04_SCORING_CANDIDATS'!J12</f>
        <v>80.2</v>
      </c>
      <c r="L14" s="31" t="s">
        <v>35</v>
      </c>
      <c r="M14" s="108" t="s">
        <v>320</v>
      </c>
      <c r="N14" s="110" t="s">
        <v>310</v>
      </c>
    </row>
    <row r="15" spans="2:14" ht="6" customHeight="1" x14ac:dyDescent="0.25">
      <c r="B15" s="193"/>
      <c r="C15" s="193"/>
      <c r="D15" s="193"/>
      <c r="E15" s="193"/>
      <c r="F15" s="193"/>
      <c r="G15" s="193"/>
      <c r="H15" s="193"/>
      <c r="I15" s="193"/>
      <c r="J15" s="193"/>
      <c r="K15" s="193"/>
      <c r="L15" s="193"/>
      <c r="M15" s="193"/>
      <c r="N15" s="193"/>
    </row>
    <row r="16" spans="2:14" ht="21.75" customHeight="1" x14ac:dyDescent="0.25">
      <c r="B16" s="2" t="s">
        <v>658</v>
      </c>
      <c r="C16" s="2"/>
      <c r="D16" s="2"/>
      <c r="E16" s="2"/>
      <c r="F16" s="2"/>
      <c r="G16" s="2"/>
      <c r="H16" s="2" t="s">
        <v>659</v>
      </c>
      <c r="I16" s="2"/>
      <c r="J16" s="2"/>
      <c r="K16" s="2"/>
      <c r="L16" s="2"/>
      <c r="M16" s="2"/>
      <c r="N16" s="2"/>
    </row>
    <row r="17" spans="2:14" ht="18" customHeight="1" x14ac:dyDescent="0.25">
      <c r="B17" s="41" t="s">
        <v>660</v>
      </c>
      <c r="C17" s="41" t="s">
        <v>74</v>
      </c>
      <c r="D17" s="41" t="s">
        <v>417</v>
      </c>
      <c r="E17" s="41" t="s">
        <v>661</v>
      </c>
      <c r="F17" s="41" t="s">
        <v>366</v>
      </c>
      <c r="G17" s="41" t="s">
        <v>556</v>
      </c>
      <c r="H17" s="41" t="s">
        <v>662</v>
      </c>
      <c r="J17" s="41" t="s">
        <v>663</v>
      </c>
      <c r="L17" s="41" t="s">
        <v>366</v>
      </c>
    </row>
    <row r="18" spans="2:14" ht="19.5" customHeight="1" x14ac:dyDescent="0.25">
      <c r="B18" s="44" t="s">
        <v>376</v>
      </c>
      <c r="C18" s="78" t="s">
        <v>664</v>
      </c>
      <c r="D18" s="37" t="s">
        <v>665</v>
      </c>
      <c r="E18" s="37" t="str">
        <f>TEXT('08_SUCCESSION'!H8,"0%")</f>
        <v>66%</v>
      </c>
      <c r="F18" s="37" t="s">
        <v>463</v>
      </c>
      <c r="G18" s="110" t="s">
        <v>666</v>
      </c>
      <c r="H18" s="166" t="s">
        <v>667</v>
      </c>
      <c r="I18" s="166"/>
      <c r="J18" s="166"/>
      <c r="K18" s="194">
        <f>'09_PLAN_ACTION'!F22</f>
        <v>30000</v>
      </c>
      <c r="L18" s="194"/>
      <c r="M18" s="194"/>
      <c r="N18" s="194"/>
    </row>
    <row r="19" spans="2:14" ht="19.5" customHeight="1" x14ac:dyDescent="0.25">
      <c r="B19" s="44" t="s">
        <v>436</v>
      </c>
      <c r="C19" s="78" t="s">
        <v>664</v>
      </c>
      <c r="D19" s="37" t="s">
        <v>668</v>
      </c>
      <c r="E19" s="37" t="str">
        <f>TEXT('08_SUCCESSION'!H9,"0%")</f>
        <v>87%</v>
      </c>
      <c r="F19" s="37" t="s">
        <v>463</v>
      </c>
      <c r="G19" s="110" t="s">
        <v>669</v>
      </c>
      <c r="H19" s="166" t="s">
        <v>670</v>
      </c>
      <c r="I19" s="166"/>
      <c r="J19" s="166"/>
      <c r="K19" s="195">
        <f>'09_PLAN_ACTION'!D3</f>
        <v>141000</v>
      </c>
      <c r="L19" s="195"/>
      <c r="M19" s="195"/>
      <c r="N19" s="195"/>
    </row>
    <row r="20" spans="2:14" ht="19.5" customHeight="1" x14ac:dyDescent="0.25">
      <c r="B20" s="44" t="s">
        <v>392</v>
      </c>
      <c r="C20" s="78" t="s">
        <v>671</v>
      </c>
      <c r="D20" s="33" t="s">
        <v>672</v>
      </c>
      <c r="E20" s="33" t="str">
        <f>TEXT('08_SUCCESSION'!H10,"0%")</f>
        <v>84%</v>
      </c>
      <c r="F20" s="33" t="s">
        <v>673</v>
      </c>
      <c r="G20" s="110" t="s">
        <v>674</v>
      </c>
      <c r="H20" s="166" t="s">
        <v>675</v>
      </c>
      <c r="I20" s="166"/>
      <c r="J20" s="166"/>
      <c r="K20" s="196">
        <f>'09_PLAN_ACTION'!F3</f>
        <v>143000</v>
      </c>
      <c r="L20" s="196"/>
      <c r="M20" s="196"/>
      <c r="N20" s="196"/>
    </row>
    <row r="21" spans="2:14" ht="19.5" customHeight="1" x14ac:dyDescent="0.25">
      <c r="B21" s="44" t="s">
        <v>381</v>
      </c>
      <c r="C21" s="78" t="s">
        <v>676</v>
      </c>
      <c r="D21" s="33" t="s">
        <v>677</v>
      </c>
      <c r="E21" s="33" t="str">
        <f>TEXT('08_SUCCESSION'!H12,"0%")</f>
        <v>93%</v>
      </c>
      <c r="F21" s="33" t="s">
        <v>673</v>
      </c>
      <c r="G21" s="110" t="s">
        <v>678</v>
      </c>
      <c r="H21" s="166" t="s">
        <v>679</v>
      </c>
      <c r="I21" s="166"/>
      <c r="J21" s="166"/>
      <c r="K21" s="197">
        <f>COUNTIF('09_PLAN_ACTION'!E8:E22,"⚡*")</f>
        <v>8</v>
      </c>
      <c r="L21" s="197"/>
      <c r="M21" s="197"/>
      <c r="N21" s="197"/>
    </row>
    <row r="22" spans="2:14" ht="19.5" customHeight="1" x14ac:dyDescent="0.25">
      <c r="B22" s="44" t="s">
        <v>435</v>
      </c>
      <c r="C22" s="78" t="s">
        <v>680</v>
      </c>
      <c r="D22" s="77" t="s">
        <v>681</v>
      </c>
      <c r="E22" s="77" t="str">
        <f>TEXT('08_SUCCESSION'!H14,"0%")</f>
        <v>96%</v>
      </c>
      <c r="F22" s="77" t="s">
        <v>682</v>
      </c>
      <c r="G22" s="110" t="s">
        <v>683</v>
      </c>
      <c r="H22" s="166" t="s">
        <v>684</v>
      </c>
      <c r="I22" s="166"/>
      <c r="J22" s="166"/>
      <c r="K22" s="198">
        <f>COUNTIF('09_PLAN_ACTION'!H8:H22,"🟢*")</f>
        <v>2</v>
      </c>
      <c r="L22" s="198"/>
      <c r="M22" s="198"/>
      <c r="N22" s="198"/>
    </row>
    <row r="23" spans="2:14" ht="19.5" customHeight="1" x14ac:dyDescent="0.25">
      <c r="H23" s="166" t="s">
        <v>685</v>
      </c>
      <c r="I23" s="166"/>
      <c r="J23" s="166"/>
      <c r="K23" s="199" t="s">
        <v>686</v>
      </c>
      <c r="L23" s="199"/>
      <c r="M23" s="199"/>
      <c r="N23" s="199"/>
    </row>
    <row r="24" spans="2:14" ht="6" customHeight="1" x14ac:dyDescent="0.25">
      <c r="B24" s="193"/>
      <c r="C24" s="193"/>
      <c r="D24" s="193"/>
      <c r="E24" s="193"/>
      <c r="F24" s="193"/>
      <c r="G24" s="193"/>
      <c r="H24" s="193"/>
      <c r="I24" s="193"/>
      <c r="J24" s="193"/>
      <c r="K24" s="193"/>
      <c r="L24" s="193"/>
      <c r="M24" s="193"/>
      <c r="N24" s="193"/>
    </row>
    <row r="25" spans="2:14" ht="21.75" customHeight="1" x14ac:dyDescent="0.25">
      <c r="B25" s="2" t="s">
        <v>687</v>
      </c>
      <c r="C25" s="2"/>
      <c r="D25" s="2"/>
      <c r="E25" s="2"/>
      <c r="F25" s="2"/>
      <c r="G25" s="2"/>
      <c r="H25" s="2" t="s">
        <v>688</v>
      </c>
      <c r="I25" s="2"/>
      <c r="J25" s="2"/>
      <c r="K25" s="2"/>
      <c r="L25" s="2"/>
      <c r="M25" s="2"/>
      <c r="N25" s="2"/>
    </row>
    <row r="26" spans="2:14" ht="30" customHeight="1" x14ac:dyDescent="0.25">
      <c r="B26" s="41" t="s">
        <v>689</v>
      </c>
      <c r="C26" s="41" t="s">
        <v>690</v>
      </c>
      <c r="D26" s="41" t="s">
        <v>691</v>
      </c>
      <c r="E26" s="41" t="s">
        <v>454</v>
      </c>
      <c r="H26" s="41" t="s">
        <v>73</v>
      </c>
      <c r="I26" s="41" t="s">
        <v>692</v>
      </c>
      <c r="J26" s="41" t="s">
        <v>693</v>
      </c>
      <c r="K26" s="41" t="s">
        <v>694</v>
      </c>
      <c r="L26" s="41" t="s">
        <v>695</v>
      </c>
      <c r="M26" s="41" t="s">
        <v>26</v>
      </c>
      <c r="N26" s="41" t="s">
        <v>696</v>
      </c>
    </row>
    <row r="27" spans="2:14" ht="19.5" customHeight="1" x14ac:dyDescent="0.25">
      <c r="B27" s="44" t="s">
        <v>455</v>
      </c>
      <c r="C27" s="114">
        <f>'06_CARTO'!C42</f>
        <v>3</v>
      </c>
      <c r="D27" s="107">
        <f>'06_CARTO'!D42</f>
        <v>0.1</v>
      </c>
      <c r="E27" s="77" t="s">
        <v>456</v>
      </c>
      <c r="H27" s="115" t="s">
        <v>88</v>
      </c>
      <c r="I27" s="161">
        <f>COUNTIFS('06_CARTO'!$C$8:$C$57,"&gt;M00",'06_CARTO'!$H$8:$H$57,"&gt;=85")</f>
        <v>8</v>
      </c>
      <c r="J27" s="159">
        <f>COUNTIFS('06_CARTO'!$H$8:$H$57,"&gt;=70",'06_CARTO'!$H$8:$H$57,"&lt;85")</f>
        <v>19</v>
      </c>
      <c r="K27" s="106">
        <f>COUNTIFS('06_CARTO'!$H$8:$H$57,"&gt;=55",'06_CARTO'!$H$8:$H$57,"&lt;70")</f>
        <v>3</v>
      </c>
      <c r="L27" s="162">
        <f>COUNTIFS('06_CARTO'!$H$8:$H$57,"&lt;55")</f>
        <v>0</v>
      </c>
      <c r="M27" s="163">
        <f t="shared" ref="M27:M32" si="0">SUM(I27:L27)</f>
        <v>30</v>
      </c>
      <c r="N27" s="68">
        <f>IFERROR(AVERAGE(IF(ISNUMBER('06_CARTO'!$H$8:$H$57),'06_CARTO'!$H$8:$H$57)),"—")</f>
        <v>79.98</v>
      </c>
    </row>
    <row r="28" spans="2:14" ht="19.5" customHeight="1" x14ac:dyDescent="0.25">
      <c r="B28" s="44" t="s">
        <v>457</v>
      </c>
      <c r="C28" s="114">
        <f>'06_CARTO'!C43</f>
        <v>5</v>
      </c>
      <c r="D28" s="107">
        <f>'06_CARTO'!D43</f>
        <v>0.16666666666666666</v>
      </c>
      <c r="E28" s="77" t="s">
        <v>456</v>
      </c>
      <c r="H28" s="119" t="s">
        <v>112</v>
      </c>
      <c r="I28" s="161">
        <f>COUNTIFS('06_CARTO'!$C$8:$C$57,"&gt;M00",'06_CARTO'!$H$8:$H$57,"&gt;=85")</f>
        <v>8</v>
      </c>
      <c r="J28" s="159">
        <f>COUNTIFS('06_CARTO'!$H$8:$H$57,"&gt;=70",'06_CARTO'!$H$8:$H$57,"&lt;85")</f>
        <v>19</v>
      </c>
      <c r="K28" s="106">
        <f>COUNTIFS('06_CARTO'!$H$8:$H$57,"&gt;=55",'06_CARTO'!$H$8:$H$57,"&lt;70")</f>
        <v>3</v>
      </c>
      <c r="L28" s="162">
        <f>COUNTIFS('06_CARTO'!$H$8:$H$57,"&lt;55")</f>
        <v>0</v>
      </c>
      <c r="M28" s="163">
        <f t="shared" si="0"/>
        <v>30</v>
      </c>
      <c r="N28" s="68">
        <f>IFERROR(AVERAGE(IF(ISNUMBER('06_CARTO'!$H$8:$H$57),'06_CARTO'!$H$8:$H$57)),"—")</f>
        <v>79.98</v>
      </c>
    </row>
    <row r="29" spans="2:14" ht="19.5" customHeight="1" x14ac:dyDescent="0.25">
      <c r="B29" s="44" t="s">
        <v>458</v>
      </c>
      <c r="C29" s="114">
        <f>'06_CARTO'!C44</f>
        <v>8</v>
      </c>
      <c r="D29" s="107">
        <f>'06_CARTO'!D44</f>
        <v>0.26666666666666666</v>
      </c>
      <c r="E29" s="33" t="s">
        <v>459</v>
      </c>
      <c r="H29" s="121" t="s">
        <v>133</v>
      </c>
      <c r="I29" s="161">
        <f>COUNTIFS('06_CARTO'!$C$8:$C$57,"&gt;M00",'06_CARTO'!$H$8:$H$57,"&gt;=85")</f>
        <v>8</v>
      </c>
      <c r="J29" s="159">
        <f>COUNTIFS('06_CARTO'!$H$8:$H$57,"&gt;=70",'06_CARTO'!$H$8:$H$57,"&lt;85")</f>
        <v>19</v>
      </c>
      <c r="K29" s="106">
        <f>COUNTIFS('06_CARTO'!$H$8:$H$57,"&gt;=55",'06_CARTO'!$H$8:$H$57,"&lt;70")</f>
        <v>3</v>
      </c>
      <c r="L29" s="162">
        <f>COUNTIFS('06_CARTO'!$H$8:$H$57,"&lt;55")</f>
        <v>0</v>
      </c>
      <c r="M29" s="163">
        <f t="shared" si="0"/>
        <v>30</v>
      </c>
      <c r="N29" s="68">
        <f>IFERROR(AVERAGE(IF(ISNUMBER('06_CARTO'!$H$8:$H$57),'06_CARTO'!$H$8:$H$57)),"—")</f>
        <v>79.98</v>
      </c>
    </row>
    <row r="30" spans="2:14" ht="19.5" customHeight="1" x14ac:dyDescent="0.25">
      <c r="B30" s="44" t="s">
        <v>460</v>
      </c>
      <c r="C30" s="114">
        <f>'06_CARTO'!C45</f>
        <v>11</v>
      </c>
      <c r="D30" s="107">
        <f>'06_CARTO'!D45</f>
        <v>0.36666666666666664</v>
      </c>
      <c r="E30" s="33" t="s">
        <v>461</v>
      </c>
      <c r="H30" s="122" t="s">
        <v>146</v>
      </c>
      <c r="I30" s="161">
        <f>COUNTIFS('06_CARTO'!$C$8:$C$57,"&gt;M00",'06_CARTO'!$H$8:$H$57,"&gt;=85")</f>
        <v>8</v>
      </c>
      <c r="J30" s="159">
        <f>COUNTIFS('06_CARTO'!$H$8:$H$57,"&gt;=70",'06_CARTO'!$H$8:$H$57,"&lt;85")</f>
        <v>19</v>
      </c>
      <c r="K30" s="106">
        <f>COUNTIFS('06_CARTO'!$H$8:$H$57,"&gt;=55",'06_CARTO'!$H$8:$H$57,"&lt;70")</f>
        <v>3</v>
      </c>
      <c r="L30" s="162">
        <f>COUNTIFS('06_CARTO'!$H$8:$H$57,"&lt;55")</f>
        <v>0</v>
      </c>
      <c r="M30" s="163">
        <f t="shared" si="0"/>
        <v>30</v>
      </c>
      <c r="N30" s="68">
        <f>IFERROR(AVERAGE(IF(ISNUMBER('06_CARTO'!$H$8:$H$57),'06_CARTO'!$H$8:$H$57)),"—")</f>
        <v>79.98</v>
      </c>
    </row>
    <row r="31" spans="2:14" ht="19.5" customHeight="1" x14ac:dyDescent="0.25">
      <c r="B31" s="44" t="s">
        <v>462</v>
      </c>
      <c r="C31" s="114">
        <f>'06_CARTO'!C46</f>
        <v>3</v>
      </c>
      <c r="D31" s="107">
        <f>'06_CARTO'!D46</f>
        <v>0.1</v>
      </c>
      <c r="E31" s="37" t="s">
        <v>463</v>
      </c>
      <c r="H31" s="123" t="s">
        <v>159</v>
      </c>
      <c r="I31" s="161">
        <f>COUNTIFS('06_CARTO'!$C$8:$C$57,"&gt;M00",'06_CARTO'!$H$8:$H$57,"&gt;=85")</f>
        <v>8</v>
      </c>
      <c r="J31" s="159">
        <f>COUNTIFS('06_CARTO'!$H$8:$H$57,"&gt;=70",'06_CARTO'!$H$8:$H$57,"&lt;85")</f>
        <v>19</v>
      </c>
      <c r="K31" s="106">
        <f>COUNTIFS('06_CARTO'!$H$8:$H$57,"&gt;=55",'06_CARTO'!$H$8:$H$57,"&lt;70")</f>
        <v>3</v>
      </c>
      <c r="L31" s="162">
        <f>COUNTIFS('06_CARTO'!$H$8:$H$57,"&lt;55")</f>
        <v>0</v>
      </c>
      <c r="M31" s="163">
        <f t="shared" si="0"/>
        <v>30</v>
      </c>
      <c r="N31" s="68">
        <f>IFERROR(AVERAGE(IF(ISNUMBER('06_CARTO'!$H$8:$H$57),'06_CARTO'!$H$8:$H$57)),"—")</f>
        <v>79.98</v>
      </c>
    </row>
    <row r="32" spans="2:14" ht="19.5" customHeight="1" x14ac:dyDescent="0.25">
      <c r="H32" s="124" t="s">
        <v>172</v>
      </c>
      <c r="I32" s="161">
        <f>COUNTIFS('06_CARTO'!$C$8:$C$57,"&gt;M00",'06_CARTO'!$H$8:$H$57,"&gt;=85")</f>
        <v>8</v>
      </c>
      <c r="J32" s="159">
        <f>COUNTIFS('06_CARTO'!$H$8:$H$57,"&gt;=70",'06_CARTO'!$H$8:$H$57,"&lt;85")</f>
        <v>19</v>
      </c>
      <c r="K32" s="106">
        <f>COUNTIFS('06_CARTO'!$H$8:$H$57,"&gt;=55",'06_CARTO'!$H$8:$H$57,"&lt;70")</f>
        <v>3</v>
      </c>
      <c r="L32" s="162">
        <f>COUNTIFS('06_CARTO'!$H$8:$H$57,"&lt;55")</f>
        <v>0</v>
      </c>
      <c r="M32" s="163">
        <f t="shared" si="0"/>
        <v>30</v>
      </c>
      <c r="N32" s="68">
        <f>IFERROR(AVERAGE(IF(ISNUMBER('06_CARTO'!$H$8:$H$57),'06_CARTO'!$H$8:$H$57)),"—")</f>
        <v>79.98</v>
      </c>
    </row>
    <row r="33" spans="2:14" ht="6" customHeight="1" x14ac:dyDescent="0.25">
      <c r="B33" s="183"/>
      <c r="C33" s="183"/>
      <c r="D33" s="183"/>
      <c r="E33" s="183"/>
      <c r="F33" s="183"/>
      <c r="G33" s="183"/>
      <c r="H33" s="183"/>
      <c r="I33" s="183"/>
      <c r="J33" s="183"/>
      <c r="K33" s="183"/>
      <c r="L33" s="183"/>
      <c r="M33" s="183"/>
      <c r="N33" s="183"/>
    </row>
    <row r="34" spans="2:14" ht="21.75" customHeight="1" x14ac:dyDescent="0.25">
      <c r="B34" s="11" t="s">
        <v>69</v>
      </c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</row>
  </sheetData>
  <mergeCells count="39">
    <mergeCell ref="B24:N24"/>
    <mergeCell ref="B25:G25"/>
    <mergeCell ref="H25:N25"/>
    <mergeCell ref="B33:N33"/>
    <mergeCell ref="B34:N34"/>
    <mergeCell ref="H21:J21"/>
    <mergeCell ref="K21:N21"/>
    <mergeCell ref="H22:J22"/>
    <mergeCell ref="K22:N22"/>
    <mergeCell ref="H23:J23"/>
    <mergeCell ref="K23:N23"/>
    <mergeCell ref="H18:J18"/>
    <mergeCell ref="K18:N18"/>
    <mergeCell ref="H19:J19"/>
    <mergeCell ref="K19:N19"/>
    <mergeCell ref="H20:J20"/>
    <mergeCell ref="K20:N20"/>
    <mergeCell ref="B7:N7"/>
    <mergeCell ref="B8:G8"/>
    <mergeCell ref="H8:N8"/>
    <mergeCell ref="B15:N15"/>
    <mergeCell ref="B16:G16"/>
    <mergeCell ref="H16:N16"/>
    <mergeCell ref="B5:D5"/>
    <mergeCell ref="E5:G5"/>
    <mergeCell ref="H5:J5"/>
    <mergeCell ref="K5:N5"/>
    <mergeCell ref="B6:D6"/>
    <mergeCell ref="E6:G6"/>
    <mergeCell ref="H6:J6"/>
    <mergeCell ref="K6:N6"/>
    <mergeCell ref="B1:N1"/>
    <mergeCell ref="B2:H2"/>
    <mergeCell ref="I2:N2"/>
    <mergeCell ref="B3:N3"/>
    <mergeCell ref="B4:D4"/>
    <mergeCell ref="E4:G4"/>
    <mergeCell ref="H4:J4"/>
    <mergeCell ref="K4:N4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12</vt:i4>
      </vt:variant>
      <vt:variant>
        <vt:lpstr>Plages nommées</vt:lpstr>
      </vt:variant>
      <vt:variant>
        <vt:i4>3</vt:i4>
      </vt:variant>
    </vt:vector>
  </HeadingPairs>
  <TitlesOfParts>
    <vt:vector size="15" baseType="lpstr">
      <vt:lpstr>Claude Log</vt:lpstr>
      <vt:lpstr>01_PARAMETRES</vt:lpstr>
      <vt:lpstr>02_REF_METIERS</vt:lpstr>
      <vt:lpstr>03b_MAPPING</vt:lpstr>
      <vt:lpstr>03_COMPETENCES</vt:lpstr>
      <vt:lpstr>04_SCORING_CANDIDATS</vt:lpstr>
      <vt:lpstr>05_VIVIER_TALENTS</vt:lpstr>
      <vt:lpstr>06_CARTO</vt:lpstr>
      <vt:lpstr>07_GAP_ANALYSIS</vt:lpstr>
      <vt:lpstr>08_SUCCESSION</vt:lpstr>
      <vt:lpstr>09_PLAN_ACTION</vt:lpstr>
      <vt:lpstr>10_DASHBOARD</vt:lpstr>
      <vt:lpstr>LISTE_METIERS</vt:lpstr>
      <vt:lpstr>POIDS_SCORING</vt:lpstr>
      <vt:lpstr>SEUILS_SCORES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Ludovic Labeaut</cp:lastModifiedBy>
  <cp:revision>1</cp:revision>
  <dcterms:created xsi:type="dcterms:W3CDTF">2026-03-31T14:18:19Z</dcterms:created>
  <dcterms:modified xsi:type="dcterms:W3CDTF">2026-04-01T19:18:22Z</dcterms:modified>
  <dc:language>en-US</dc:language>
</cp:coreProperties>
</file>