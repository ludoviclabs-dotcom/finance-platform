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5" activeTab="12" autoFilterDateGrouping="1"/>
  </bookViews>
  <sheets>
    <sheet name="Couverture" sheetId="1" state="visible" r:id="rId1"/>
    <sheet name="Sommaire" sheetId="2" state="visible" r:id="rId2"/>
    <sheet name="Liaison_Donnees" sheetId="3" state="visible" r:id="rId3"/>
    <sheet name="VSME_Reporting" sheetId="4" state="visible" r:id="rId4"/>
    <sheet name="Materialite" sheetId="5" state="visible" r:id="rId5"/>
    <sheet name="Synthese_ESG" sheetId="6" state="visible" r:id="rId6"/>
    <sheet name="Controles_QC_ESG" sheetId="7" state="visible" r:id="rId7"/>
    <sheet name="ESRS_S1" sheetId="8" state="visible" r:id="rId8"/>
    <sheet name="ESRS_S2" sheetId="9" state="visible" r:id="rId9"/>
    <sheet name="ESRS_S3" sheetId="10" state="visible" r:id="rId10"/>
    <sheet name="ESRS_S4" sheetId="11" state="visible" r:id="rId11"/>
    <sheet name="ESRS_G1" sheetId="12" state="visible" r:id="rId12"/>
    <sheet name="Claude Log" sheetId="13" state="visible" r:id="rId13"/>
    <sheet name="ESRS_Simplifie" sheetId="14" state="visible" r:id="rId14"/>
    <sheet name="_Manifest" sheetId="15" state="visible" r:id="rId15"/>
  </sheets>
  <definedNames>
    <definedName name="CC_VSME_BP1_Raison_Sociale">'VSME_Reporting'!$E$7</definedName>
    <definedName name="CC_VSME_BP2_Secteur_NAF">'VSME_Reporting'!$E$8</definedName>
    <definedName name="CC_VSME_BP3_ETP">'VSME_Reporting'!$E$9</definedName>
    <definedName name="CC_VSME_BP4_CA_Net">'VSME_Reporting'!$E$10</definedName>
    <definedName name="CC_VSME_BP5_Annee">'VSME_Reporting'!$E$11</definedName>
    <definedName name="CC_VSME_BP6_Pays">'VSME_Reporting'!$E$12</definedName>
    <definedName name="CC_VSME_BP7_Perimetre">'VSME_Reporting'!$E$13</definedName>
    <definedName name="CC_VSME_E1_Scope1">'VSME_Reporting'!$E$17</definedName>
    <definedName name="CC_VSME_E2_Scope2_LB">'VSME_Reporting'!$E$18</definedName>
    <definedName name="CC_VSME_E3_Scope2_MB">'VSME_Reporting'!$E$19</definedName>
    <definedName name="CC_VSME_E4_Scope3">'VSME_Reporting'!$E$20</definedName>
    <definedName name="CC_VSME_E5_Total_GES">'VSME_Reporting'!$E$21</definedName>
    <definedName name="CC_VSME_E6_Intensite_CA">'VSME_Reporting'!$E$22</definedName>
    <definedName name="CC_VSME_E7_Energie_MWh">'VSME_Reporting'!$E$23</definedName>
    <definedName name="CC_VSME_E8_Part_ENR">'VSME_Reporting'!$E$24</definedName>
    <definedName name="CC_VSME_E9_Eau_m3">'VSME_Reporting'!$E$25</definedName>
    <definedName name="CC_VSME_E10_Dechets_t">'VSME_Reporting'!$E$26</definedName>
    <definedName name="CC_VSME_E11_Valorisation_Pct">'VSME_Reporting'!$E$27</definedName>
    <definedName name="CC_VSME_E12_Plan_GES">'VSME_Reporting'!$E$28</definedName>
    <definedName name="CC_VSME_S1_Effectif">'VSME_Reporting'!$E$32</definedName>
    <definedName name="CC_VSME_S2_Pct_CDI">'VSME_Reporting'!$E$33</definedName>
    <definedName name="CC_VSME_S3_Rotation_Pct">'VSME_Reporting'!$E$34</definedName>
    <definedName name="CC_VSME_S4_LTIR">'VSME_Reporting'!$E$35</definedName>
    <definedName name="CC_VSME_S5_Formation_h_ETP">'VSME_Reporting'!$E$36</definedName>
    <definedName name="CC_VSME_S6_Ecart_Salaire_HF">'VSME_Reporting'!$E$37</definedName>
    <definedName name="CC_VSME_S7_Pct_Femmes_Mgmt">'VSME_Reporting'!$E$38</definedName>
    <definedName name="CC_VSME_S8_Diversite">'VSME_Reporting'!$E$39</definedName>
    <definedName name="CC_VSME_S9_Dialogue_Social">'VSME_Reporting'!$E$40</definedName>
    <definedName name="CC_VSME_S10_Litiges">'VSME_Reporting'!$E$41</definedName>
    <definedName name="CC_VSME_G1_Anti_Corruption">'VSME_Reporting'!$E$45</definedName>
    <definedName name="CC_VSME_G2_Formation_Ethique">'VSME_Reporting'!$E$46</definedName>
    <definedName name="CC_VSME_G3_Whistleblowing">'VSME_Reporting'!$E$47</definedName>
    <definedName name="CC_VSME_G4_Pct_CA_Independants">'VSME_Reporting'!$E$48</definedName>
    <definedName name="CC_VSME_G5_Protection_Donnees">'VSME_Reporting'!$E$49</definedName>
    <definedName name="CC_MAT_E1_Score_Impact">'Materialite'!$F$10</definedName>
    <definedName name="CC_MAT_E2_Score_Impact">'Materialite'!$F$11</definedName>
    <definedName name="CC_MAT_E3_Score_Impact">'Materialite'!$F$12</definedName>
    <definedName name="CC_MAT_E4_Score_Impact">'Materialite'!$F$13</definedName>
    <definedName name="CC_MAT_E5_Score_Impact">'Materialite'!$F$14</definedName>
    <definedName name="CC_MAT_S1_Score_Impact">'Materialite'!$F$15</definedName>
    <definedName name="CC_MAT_S2_Score_Impact">'Materialite'!$F$16</definedName>
    <definedName name="CC_MAT_S3_Score_Impact">'Materialite'!$F$17</definedName>
    <definedName name="CC_MAT_S4_Score_Impact">'Materialite'!$F$18</definedName>
    <definedName name="CC_MAT_G1_Score_Impact">'Materialite'!$F$19</definedName>
    <definedName name="CC_ESG_Score_Global">'Synthese_ESG'!$D$10</definedName>
    <definedName name="CC_ESG_Score_E">'Synthese_ESG'!$D$6</definedName>
    <definedName name="CC_ESG_Score_S">'Synthese_ESG'!$D$7</definedName>
    <definedName name="CC_ESG_Score_G">'Synthese_ESG'!$D$8</definedName>
    <definedName name="CC_ESG_Enjeux_Materiels">'Synthese_ESG'!$D$16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\-mm\-dd\ h:mm:ss"/>
    <numFmt numFmtId="166" formatCode="0.0\%"/>
  </numFmts>
  <fonts count="45">
    <font>
      <name val="Calibri"/>
      <charset val="1"/>
      <family val="2"/>
      <color theme="1"/>
      <sz val="11"/>
    </font>
    <font>
      <name val="Arial"/>
      <charset val="1"/>
      <b val="1"/>
      <color rgb="FF1B5E20"/>
      <sz val="24"/>
    </font>
    <font>
      <name val="Arial"/>
      <charset val="1"/>
      <color rgb="FF757575"/>
      <sz val="9"/>
    </font>
    <font>
      <name val="Arial"/>
      <charset val="1"/>
      <b val="1"/>
      <color rgb="FF1B5E20"/>
      <sz val="11"/>
    </font>
    <font>
      <name val="Arial"/>
      <charset val="1"/>
      <color rgb="FF212121"/>
      <sz val="10"/>
    </font>
    <font>
      <name val="Arial"/>
      <charset val="1"/>
      <color rgb="FF0000FF"/>
      <sz val="10"/>
    </font>
    <font>
      <name val="Arial"/>
      <charset val="1"/>
      <color rgb="FF0D47A1"/>
      <sz val="10"/>
      <u val="single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0"/>
    </font>
    <font>
      <name val="Arial"/>
      <charset val="1"/>
      <b val="1"/>
      <color rgb="FF1B5E20"/>
      <sz val="10"/>
    </font>
    <font>
      <name val="Arial"/>
      <charset val="1"/>
      <b val="1"/>
      <color rgb="FF00695C"/>
      <sz val="10"/>
    </font>
    <font>
      <name val="Arial"/>
      <charset val="1"/>
      <i val="1"/>
      <color rgb="FF212121"/>
      <sz val="10"/>
    </font>
    <font>
      <name val="Arial"/>
      <charset val="1"/>
      <i val="1"/>
      <color rgb="FF006600"/>
      <sz val="10"/>
    </font>
    <font>
      <name val="Arial"/>
      <charset val="1"/>
      <b val="1"/>
      <color rgb="FF212121"/>
      <sz val="11"/>
    </font>
    <font>
      <name val="Arial"/>
      <charset val="1"/>
      <b val="1"/>
      <color rgb="FF1B5E20"/>
      <sz val="12"/>
    </font>
    <font>
      <name val="Arial"/>
      <charset val="1"/>
      <b val="1"/>
      <color rgb="FF1B5E20"/>
      <sz val="16"/>
    </font>
    <font>
      <name val="Arial"/>
      <charset val="1"/>
      <b val="1"/>
      <color rgb="FFE65100"/>
      <sz val="10"/>
    </font>
    <font>
      <name val="Arial"/>
      <charset val="1"/>
      <b val="1"/>
      <color rgb="FFE65100"/>
      <sz val="11"/>
    </font>
    <font>
      <name val="Arial"/>
      <charset val="1"/>
      <b val="1"/>
      <color rgb="FFE65100"/>
      <sz val="12"/>
    </font>
    <font>
      <name val="Arial"/>
      <charset val="1"/>
      <b val="1"/>
      <color rgb="FF0D47A1"/>
      <sz val="10"/>
    </font>
    <font>
      <name val="Arial"/>
      <charset val="1"/>
      <b val="1"/>
      <color rgb="FF0D47A1"/>
      <sz val="12"/>
    </font>
    <font>
      <name val="Arial"/>
      <charset val="1"/>
      <b val="1"/>
      <color rgb="FF4A148C"/>
      <sz val="10"/>
    </font>
    <font>
      <name val="Arial"/>
      <charset val="1"/>
      <b val="1"/>
      <color rgb="FF4A148C"/>
      <sz val="12"/>
    </font>
    <font>
      <name val="Arial"/>
      <charset val="1"/>
      <b val="1"/>
      <color rgb="FF006600"/>
      <sz val="11"/>
    </font>
    <font>
      <name val="Arial"/>
      <charset val="1"/>
      <b val="1"/>
      <color rgb="FFB71C1C"/>
      <sz val="11"/>
    </font>
    <font>
      <name val="Arial"/>
      <charset val="1"/>
      <b val="1"/>
      <color rgb="FF0D47A1"/>
      <sz val="14"/>
    </font>
    <font>
      <name val="Arial"/>
      <charset val="1"/>
      <b val="1"/>
      <color rgb="FF4A148C"/>
      <sz val="14"/>
    </font>
    <font>
      <name val="Arial"/>
      <charset val="1"/>
      <b val="1"/>
      <color rgb="FF00695C"/>
      <sz val="12"/>
    </font>
    <font>
      <name val="Arial"/>
      <family val="2"/>
      <b val="1"/>
      <color theme="0"/>
      <sz val="16"/>
    </font>
    <font>
      <name val="Arial"/>
      <family val="2"/>
      <i val="1"/>
      <color rgb="FF757575"/>
      <sz val="9"/>
    </font>
    <font>
      <name val="Arial"/>
      <family val="2"/>
      <color theme="0"/>
      <sz val="10"/>
      <u val="single"/>
    </font>
    <font>
      <name val="Arial"/>
      <family val="2"/>
      <b val="1"/>
      <color theme="0"/>
      <sz val="10"/>
      <u val="single"/>
    </font>
    <font>
      <name val="Arial"/>
      <family val="2"/>
      <color rgb="FF212121"/>
      <sz val="11"/>
    </font>
    <font>
      <name val="Arial"/>
      <family val="2"/>
      <i val="1"/>
      <color rgb="FF212121"/>
      <sz val="11"/>
    </font>
    <font>
      <name val="Arial"/>
      <family val="2"/>
      <b val="1"/>
      <color rgb="FF1B5E20"/>
      <sz val="10"/>
    </font>
    <font>
      <name val="Arial"/>
      <family val="2"/>
      <color rgb="FF212121"/>
      <sz val="10"/>
    </font>
    <font>
      <name val="Arial"/>
      <family val="2"/>
      <i val="1"/>
      <color rgb="FF212121"/>
      <sz val="10"/>
    </font>
    <font>
      <name val="Arial"/>
      <family val="2"/>
      <b val="1"/>
      <color rgb="FF00695C"/>
      <sz val="11"/>
    </font>
    <font>
      <name val="Arial"/>
      <family val="2"/>
      <i val="1"/>
      <color rgb="FF757575"/>
      <sz val="10"/>
    </font>
    <font>
      <name val="Arial"/>
      <family val="2"/>
      <b val="1"/>
      <color rgb="FF757575"/>
      <sz val="9"/>
    </font>
    <font>
      <name val="Arial"/>
      <family val="2"/>
      <b val="1"/>
      <i val="1"/>
      <color rgb="FF757575"/>
      <sz val="9"/>
    </font>
    <font>
      <name val="Arial"/>
      <family val="2"/>
      <color rgb="FF757575"/>
      <sz val="9"/>
    </font>
    <font>
      <name val="Arial"/>
      <family val="2"/>
      <b val="1"/>
      <color rgb="FF757575"/>
      <sz val="10"/>
    </font>
    <font>
      <name val="Arial"/>
      <family val="2"/>
      <b val="1"/>
      <i val="1"/>
      <color rgb="FF757575"/>
      <sz val="10"/>
    </font>
    <font>
      <name val="Calibri"/>
      <family val="2"/>
      <b val="1"/>
      <color theme="1"/>
      <sz val="11"/>
    </font>
  </fonts>
  <fills count="21">
    <fill>
      <patternFill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1B5E20"/>
        <bgColor rgb="FF006600"/>
      </patternFill>
    </fill>
    <fill>
      <patternFill patternType="solid">
        <fgColor rgb="FFE8F5E9"/>
        <bgColor rgb="FFE0F2F1"/>
      </patternFill>
    </fill>
    <fill>
      <patternFill patternType="solid">
        <fgColor rgb="FF00695C"/>
        <bgColor rgb="FF008080"/>
      </patternFill>
    </fill>
    <fill>
      <patternFill patternType="solid">
        <fgColor rgb="FFE0F2F1"/>
        <bgColor rgb="FFE3F2FD"/>
      </patternFill>
    </fill>
    <fill>
      <patternFill patternType="solid">
        <fgColor rgb="FFF5F5F5"/>
        <bgColor rgb="FFE8F5E9"/>
      </patternFill>
    </fill>
    <fill>
      <patternFill patternType="solid">
        <fgColor rgb="FFE65100"/>
        <bgColor rgb="FFB71C1C"/>
      </patternFill>
    </fill>
    <fill>
      <patternFill patternType="solid">
        <fgColor rgb="FFE3F2FD"/>
        <bgColor rgb="FFE0F2F1"/>
      </patternFill>
    </fill>
    <fill>
      <patternFill patternType="solid">
        <fgColor rgb="FFF3E5F5"/>
        <bgColor rgb="FFF5F5F5"/>
      </patternFill>
    </fill>
    <fill>
      <patternFill patternType="solid">
        <fgColor rgb="FFFFF3E0"/>
        <bgColor rgb="FFF5F5F5"/>
      </patternFill>
    </fill>
    <fill>
      <patternFill patternType="solid">
        <fgColor rgb="FFC8E6C9"/>
        <bgColor rgb="FFD0D0D0"/>
      </patternFill>
    </fill>
    <fill>
      <patternFill patternType="solid">
        <fgColor rgb="FF0D47A1"/>
        <bgColor rgb="FF333399"/>
      </patternFill>
    </fill>
    <fill>
      <patternFill patternType="solid">
        <fgColor rgb="FF4A148C"/>
        <bgColor rgb="FF333399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49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medium">
        <color indexed="64"/>
      </left>
      <right style="thin">
        <color rgb="FFD0D0D0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D0D0D0"/>
      </bottom>
      <diagonal/>
    </border>
    <border>
      <left style="medium">
        <color indexed="64"/>
      </left>
      <right style="medium">
        <color indexed="64"/>
      </right>
      <top style="thin">
        <color rgb="FFD0D0D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medium">
        <color indexed="64"/>
      </left>
      <right style="thin">
        <color rgb="FFD0D0D0"/>
      </right>
      <top style="medium">
        <color indexed="64"/>
      </top>
      <bottom style="medium">
        <color indexed="64"/>
      </bottom>
      <diagonal/>
    </border>
    <border>
      <left style="thin">
        <color rgb="FFD0D0D0"/>
      </left>
      <right style="thin">
        <color rgb="FFD0D0D0"/>
      </right>
      <top style="medium">
        <color indexed="64"/>
      </top>
      <bottom style="medium">
        <color indexed="64"/>
      </bottom>
      <diagonal/>
    </border>
    <border>
      <left style="thin">
        <color rgb="FFD0D0D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rgb="FFD0D0D0"/>
      </right>
      <top style="dotted">
        <color indexed="64"/>
      </top>
      <bottom style="dotted">
        <color indexed="64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medium">
        <color indexed="64"/>
      </top>
      <bottom/>
      <diagonal/>
    </border>
    <border>
      <left/>
      <right style="thin">
        <color rgb="FFD0D0D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2" borderId="1" pivotButton="0" quotePrefix="0" xfId="0"/>
    <xf numFmtId="0" fontId="2" fillId="0" borderId="1" pivotButton="0" quotePrefix="0" xfId="0"/>
    <xf numFmtId="0" fontId="11" fillId="7" borderId="1" pivotButton="0" quotePrefix="0" xfId="0"/>
    <xf numFmtId="0" fontId="0" fillId="0" borderId="1" pivotButton="0" quotePrefix="0" xfId="0"/>
    <xf numFmtId="0" fontId="12" fillId="7" borderId="1" pivotButton="0" quotePrefix="0" xfId="0"/>
    <xf numFmtId="0" fontId="11" fillId="0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2" borderId="1" applyAlignment="1" pivotButton="0" quotePrefix="0" xfId="0">
      <alignment horizontal="center" vertical="center" wrapText="1"/>
    </xf>
    <xf numFmtId="164" fontId="11" fillId="7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9" fillId="4" borderId="1" pivotButton="0" quotePrefix="0" xfId="0"/>
    <xf numFmtId="164" fontId="14" fillId="0" borderId="1" pivotButton="0" quotePrefix="0" xfId="0"/>
    <xf numFmtId="0" fontId="19" fillId="9" borderId="1" pivotButton="0" quotePrefix="0" xfId="0"/>
    <xf numFmtId="164" fontId="20" fillId="0" borderId="1" pivotButton="0" quotePrefix="0" xfId="0"/>
    <xf numFmtId="0" fontId="21" fillId="10" borderId="1" pivotButton="0" quotePrefix="0" xfId="0"/>
    <xf numFmtId="164" fontId="22" fillId="0" borderId="1" pivotButton="0" quotePrefix="0" xfId="0"/>
    <xf numFmtId="0" fontId="14" fillId="12" borderId="1" pivotButton="0" quotePrefix="0" xfId="0"/>
    <xf numFmtId="164" fontId="15" fillId="0" borderId="1" pivotButton="0" quotePrefix="0" xfId="0"/>
    <xf numFmtId="0" fontId="11" fillId="1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11" fillId="0" borderId="0" pivotButton="0" quotePrefix="0" xfId="0"/>
    <xf numFmtId="0" fontId="8" fillId="13" borderId="1" applyAlignment="1" pivotButton="0" quotePrefix="0" xfId="0">
      <alignment horizontal="center" vertical="center" wrapText="1"/>
    </xf>
    <xf numFmtId="0" fontId="25" fillId="0" borderId="1" pivotButton="0" quotePrefix="0" xfId="0"/>
    <xf numFmtId="0" fontId="20" fillId="0" borderId="0" pivotButton="0" quotePrefix="0" xfId="0"/>
    <xf numFmtId="164" fontId="25" fillId="0" borderId="1" pivotButton="0" quotePrefix="0" xfId="0"/>
    <xf numFmtId="0" fontId="8" fillId="1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11" pivotButton="0" quotePrefix="0" xfId="0"/>
    <xf numFmtId="0" fontId="4" fillId="0" borderId="13" pivotButton="0" quotePrefix="0" xfId="0"/>
    <xf numFmtId="0" fontId="5" fillId="2" borderId="4" applyAlignment="1" pivotButton="0" quotePrefix="0" xfId="0">
      <alignment horizontal="center"/>
    </xf>
    <xf numFmtId="0" fontId="5" fillId="2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5" fillId="2" borderId="15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165" fontId="4" fillId="0" borderId="8" applyAlignment="1" pivotButton="0" quotePrefix="0" xfId="0">
      <alignment horizontal="center"/>
    </xf>
    <xf numFmtId="0" fontId="31" fillId="15" borderId="0" applyAlignment="1" pivotButton="0" quotePrefix="0" xfId="0">
      <alignment horizontal="center"/>
    </xf>
    <xf numFmtId="0" fontId="31" fillId="15" borderId="0" pivotButton="0" quotePrefix="0" xfId="0"/>
    <xf numFmtId="0" fontId="34" fillId="0" borderId="30" applyAlignment="1" pivotButton="0" quotePrefix="0" xfId="0">
      <alignment horizontal="center" vertical="center"/>
    </xf>
    <xf numFmtId="0" fontId="35" fillId="0" borderId="26" applyAlignment="1" pivotButton="0" quotePrefix="0" xfId="0">
      <alignment horizontal="center" vertical="center"/>
    </xf>
    <xf numFmtId="166" fontId="34" fillId="0" borderId="26" applyAlignment="1" pivotButton="0" quotePrefix="0" xfId="0">
      <alignment horizontal="center" vertical="center"/>
    </xf>
    <xf numFmtId="0" fontId="36" fillId="0" borderId="27" applyAlignment="1" pivotButton="0" quotePrefix="0" xfId="0">
      <alignment horizontal="center" vertical="center"/>
    </xf>
    <xf numFmtId="0" fontId="11" fillId="0" borderId="23" pivotButton="0" quotePrefix="0" xfId="0"/>
    <xf numFmtId="0" fontId="33" fillId="0" borderId="27" applyAlignment="1" pivotButton="0" quotePrefix="0" xfId="0">
      <alignment horizontal="center"/>
    </xf>
    <xf numFmtId="164" fontId="37" fillId="0" borderId="33" applyAlignment="1" pivotButton="0" quotePrefix="0" xfId="0">
      <alignment horizontal="center"/>
    </xf>
    <xf numFmtId="0" fontId="37" fillId="0" borderId="30" applyAlignment="1" pivotButton="0" quotePrefix="0" xfId="0">
      <alignment horizontal="center"/>
    </xf>
    <xf numFmtId="0" fontId="32" fillId="0" borderId="33" applyAlignment="1" pivotButton="0" quotePrefix="0" xfId="0">
      <alignment horizontal="center"/>
    </xf>
    <xf numFmtId="0" fontId="40" fillId="17" borderId="17" applyAlignment="1" pivotButton="0" quotePrefix="0" xfId="0">
      <alignment vertical="center"/>
    </xf>
    <xf numFmtId="0" fontId="40" fillId="17" borderId="0" applyAlignment="1" pivotButton="0" quotePrefix="0" xfId="0">
      <alignment vertical="center"/>
    </xf>
    <xf numFmtId="0" fontId="27" fillId="6" borderId="2" pivotButton="0" quotePrefix="0" xfId="0"/>
    <xf numFmtId="0" fontId="11" fillId="0" borderId="27" pivotButton="0" quotePrefix="0" xfId="0"/>
    <xf numFmtId="0" fontId="11" fillId="0" borderId="33" pivotButton="0" quotePrefix="0" xfId="0"/>
    <xf numFmtId="0" fontId="11" fillId="0" borderId="41" pivotButton="0" quotePrefix="0" xfId="0"/>
    <xf numFmtId="0" fontId="18" fillId="0" borderId="42" pivotButton="0" quotePrefix="0" xfId="0"/>
    <xf numFmtId="0" fontId="11" fillId="0" borderId="38" pivotButton="0" quotePrefix="0" xfId="0"/>
    <xf numFmtId="0" fontId="13" fillId="0" borderId="2" pivotButton="0" quotePrefix="0" xfId="0"/>
    <xf numFmtId="0" fontId="4" fillId="0" borderId="2" pivotButton="0" quotePrefix="0" xfId="0"/>
    <xf numFmtId="0" fontId="2" fillId="0" borderId="30" pivotButton="0" quotePrefix="0" xfId="0"/>
    <xf numFmtId="0" fontId="2" fillId="0" borderId="26" pivotButton="0" quotePrefix="0" xfId="0"/>
    <xf numFmtId="0" fontId="2" fillId="0" borderId="27" pivotButton="0" quotePrefix="0" xfId="0"/>
    <xf numFmtId="0" fontId="11" fillId="0" borderId="43" pivotButton="0" quotePrefix="0" xfId="0"/>
    <xf numFmtId="0" fontId="11" fillId="0" borderId="25" pivotButton="0" quotePrefix="0" xfId="0"/>
    <xf numFmtId="0" fontId="11" fillId="0" borderId="2" pivotButton="0" quotePrefix="0" xfId="0"/>
    <xf numFmtId="0" fontId="11" fillId="0" borderId="30" pivotButton="0" quotePrefix="0" xfId="0"/>
    <xf numFmtId="0" fontId="23" fillId="0" borderId="31" pivotButton="0" quotePrefix="0" xfId="0"/>
    <xf numFmtId="0" fontId="24" fillId="0" borderId="32" pivotButton="0" quotePrefix="0" xfId="0"/>
    <xf numFmtId="0" fontId="17" fillId="0" borderId="2" pivotButton="0" quotePrefix="0" xfId="0"/>
    <xf numFmtId="0" fontId="4" fillId="16" borderId="0" pivotButton="0" quotePrefix="0" xfId="0"/>
    <xf numFmtId="0" fontId="4" fillId="18" borderId="0" pivotButton="0" quotePrefix="0" xfId="0"/>
    <xf numFmtId="0" fontId="4" fillId="19" borderId="0" pivotButton="0" quotePrefix="0" xfId="0"/>
    <xf numFmtId="0" fontId="25" fillId="0" borderId="22" pivotButton="0" quotePrefix="0" xfId="0"/>
    <xf numFmtId="164" fontId="25" fillId="0" borderId="34" pivotButton="0" quotePrefix="0" xfId="0"/>
    <xf numFmtId="0" fontId="4" fillId="0" borderId="43" pivotButton="0" quotePrefix="0" xfId="0"/>
    <xf numFmtId="0" fontId="30" fillId="15" borderId="0" applyAlignment="1" pivotButton="0" quotePrefix="0" xfId="0">
      <alignment horizontal="center"/>
    </xf>
    <xf numFmtId="0" fontId="26" fillId="0" borderId="31" pivotButton="0" quotePrefix="0" xfId="0"/>
    <xf numFmtId="164" fontId="26" fillId="0" borderId="32" pivotButton="0" quotePrefix="0" xfId="0"/>
    <xf numFmtId="0" fontId="4" fillId="0" borderId="13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0" fontId="27" fillId="0" borderId="9" applyAlignment="1" pivotButton="0" quotePrefix="0" xfId="0">
      <alignment horizontal="center"/>
    </xf>
    <xf numFmtId="0" fontId="27" fillId="0" borderId="12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38" fillId="17" borderId="19" applyAlignment="1" pivotButton="0" quotePrefix="0" xfId="0">
      <alignment horizontal="center"/>
    </xf>
    <xf numFmtId="0" fontId="38" fillId="17" borderId="20" applyAlignment="1" pivotButton="0" quotePrefix="0" xfId="0">
      <alignment horizontal="center"/>
    </xf>
    <xf numFmtId="0" fontId="38" fillId="17" borderId="21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 wrapText="1"/>
    </xf>
    <xf numFmtId="0" fontId="7" fillId="5" borderId="24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24" applyAlignment="1" pivotButton="0" quotePrefix="0" xfId="0">
      <alignment horizontal="left" vertical="center" wrapText="1"/>
    </xf>
    <xf numFmtId="0" fontId="40" fillId="17" borderId="19" applyAlignment="1" pivotButton="0" quotePrefix="0" xfId="0">
      <alignment vertical="center"/>
    </xf>
    <xf numFmtId="0" fontId="40" fillId="17" borderId="20" applyAlignment="1" pivotButton="0" quotePrefix="0" xfId="0">
      <alignment vertical="center"/>
    </xf>
    <xf numFmtId="0" fontId="40" fillId="17" borderId="21" applyAlignment="1" pivotButton="0" quotePrefix="0" xfId="0">
      <alignment vertical="center"/>
    </xf>
    <xf numFmtId="0" fontId="10" fillId="0" borderId="19" applyAlignment="1" pivotButton="0" quotePrefix="0" xfId="0">
      <alignment horizontal="center"/>
    </xf>
    <xf numFmtId="0" fontId="10" fillId="0" borderId="20" applyAlignment="1" pivotButton="0" quotePrefix="0" xfId="0">
      <alignment horizontal="center"/>
    </xf>
    <xf numFmtId="0" fontId="10" fillId="0" borderId="21" applyAlignment="1" pivotButton="0" quotePrefix="0" xfId="0">
      <alignment horizontal="center"/>
    </xf>
    <xf numFmtId="0" fontId="41" fillId="0" borderId="19" applyAlignment="1" pivotButton="0" quotePrefix="0" xfId="0">
      <alignment horizontal="center"/>
    </xf>
    <xf numFmtId="0" fontId="41" fillId="0" borderId="21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31" fillId="15" borderId="0" applyAlignment="1" pivotButton="0" quotePrefix="0" xfId="0">
      <alignment horizontal="center"/>
    </xf>
    <xf numFmtId="0" fontId="1" fillId="16" borderId="3" applyAlignment="1" pivotButton="0" quotePrefix="0" xfId="0">
      <alignment horizontal="center" vertical="center"/>
    </xf>
    <xf numFmtId="0" fontId="1" fillId="16" borderId="17" applyAlignment="1" pivotButton="0" quotePrefix="0" xfId="0">
      <alignment horizontal="center" vertical="center"/>
    </xf>
    <xf numFmtId="0" fontId="1" fillId="16" borderId="4" applyAlignment="1" pivotButton="0" quotePrefix="0" xfId="0">
      <alignment horizontal="center" vertical="center"/>
    </xf>
    <xf numFmtId="0" fontId="1" fillId="16" borderId="5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1" fillId="16" borderId="6" applyAlignment="1" pivotButton="0" quotePrefix="0" xfId="0">
      <alignment horizontal="center" vertical="center"/>
    </xf>
    <xf numFmtId="0" fontId="1" fillId="16" borderId="7" applyAlignment="1" pivotButton="0" quotePrefix="0" xfId="0">
      <alignment horizontal="center" vertical="center"/>
    </xf>
    <xf numFmtId="0" fontId="1" fillId="16" borderId="18" applyAlignment="1" pivotButton="0" quotePrefix="0" xfId="0">
      <alignment horizontal="center" vertical="center"/>
    </xf>
    <xf numFmtId="0" fontId="1" fillId="16" borderId="8" applyAlignment="1" pivotButton="0" quotePrefix="0" xfId="0">
      <alignment horizontal="center" vertical="center"/>
    </xf>
    <xf numFmtId="0" fontId="40" fillId="0" borderId="19" applyAlignment="1" pivotButton="0" quotePrefix="0" xfId="0">
      <alignment horizontal="center"/>
    </xf>
    <xf numFmtId="0" fontId="40" fillId="0" borderId="20" applyAlignment="1" pivotButton="0" quotePrefix="0" xfId="0">
      <alignment horizontal="center"/>
    </xf>
    <xf numFmtId="0" fontId="28" fillId="15" borderId="0" applyAlignment="1" pivotButton="0" quotePrefix="0" xfId="0">
      <alignment horizontal="center"/>
    </xf>
    <xf numFmtId="0" fontId="40" fillId="0" borderId="21" applyAlignment="1" pivotButton="0" quotePrefix="0" xfId="0">
      <alignment horizontal="center"/>
    </xf>
    <xf numFmtId="0" fontId="3" fillId="0" borderId="19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9" fillId="0" borderId="19" applyAlignment="1" pivotButton="0" quotePrefix="0" xfId="0">
      <alignment horizontal="center"/>
    </xf>
    <xf numFmtId="0" fontId="39" fillId="0" borderId="20" applyAlignment="1" pivotButton="0" quotePrefix="0" xfId="0">
      <alignment horizontal="center"/>
    </xf>
    <xf numFmtId="0" fontId="39" fillId="0" borderId="21" applyAlignment="1" pivotButton="0" quotePrefix="0" xfId="0">
      <alignment horizontal="center"/>
    </xf>
    <xf numFmtId="0" fontId="9" fillId="4" borderId="1" applyAlignment="1" pivotButton="0" quotePrefix="0" xfId="0">
      <alignment horizontal="left" vertical="center" wrapText="1"/>
    </xf>
    <xf numFmtId="0" fontId="7" fillId="3" borderId="24" applyAlignment="1" pivotButton="0" quotePrefix="0" xfId="0">
      <alignment horizontal="left" vertical="center" wrapText="1"/>
    </xf>
    <xf numFmtId="0" fontId="40" fillId="17" borderId="19" applyAlignment="1" pivotButton="0" quotePrefix="0" xfId="0">
      <alignment horizontal="center"/>
    </xf>
    <xf numFmtId="0" fontId="40" fillId="17" borderId="20" applyAlignment="1" pivotButton="0" quotePrefix="0" xfId="0">
      <alignment horizontal="center"/>
    </xf>
    <xf numFmtId="0" fontId="40" fillId="17" borderId="21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0" borderId="21" applyAlignment="1" pivotButton="0" quotePrefix="0" xfId="0">
      <alignment horizontal="center"/>
    </xf>
    <xf numFmtId="0" fontId="10" fillId="6" borderId="1" pivotButton="0" quotePrefix="0" xfId="0"/>
    <xf numFmtId="0" fontId="7" fillId="5" borderId="35" applyAlignment="1" pivotButton="0" quotePrefix="0" xfId="0">
      <alignment horizontal="center" vertical="center" wrapText="1"/>
    </xf>
    <xf numFmtId="0" fontId="7" fillId="5" borderId="36" applyAlignment="1" pivotButton="0" quotePrefix="0" xfId="0">
      <alignment horizontal="center" vertical="center" wrapText="1"/>
    </xf>
    <xf numFmtId="0" fontId="7" fillId="5" borderId="37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/>
    </xf>
    <xf numFmtId="0" fontId="14" fillId="0" borderId="9" applyAlignment="1" pivotButton="0" quotePrefix="0" xfId="0">
      <alignment horizontal="center"/>
    </xf>
    <xf numFmtId="0" fontId="14" fillId="0" borderId="16" applyAlignment="1" pivotButton="0" quotePrefix="0" xfId="0">
      <alignment horizontal="center"/>
    </xf>
    <xf numFmtId="0" fontId="14" fillId="0" borderId="12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3" fillId="0" borderId="17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7" fillId="3" borderId="1" applyAlignment="1" pivotButton="0" quotePrefix="0" xfId="0">
      <alignment horizontal="left" vertical="center" wrapText="1"/>
    </xf>
    <xf numFmtId="0" fontId="7" fillId="3" borderId="35" applyAlignment="1" pivotButton="0" quotePrefix="0" xfId="0">
      <alignment horizontal="center" vertical="center" wrapText="1"/>
    </xf>
    <xf numFmtId="0" fontId="7" fillId="3" borderId="36" applyAlignment="1" pivotButton="0" quotePrefix="0" xfId="0">
      <alignment horizontal="center" vertical="center" wrapText="1"/>
    </xf>
    <xf numFmtId="0" fontId="7" fillId="3" borderId="37" applyAlignment="1" pivotButton="0" quotePrefix="0" xfId="0">
      <alignment horizontal="center" vertical="center" wrapText="1"/>
    </xf>
    <xf numFmtId="0" fontId="29" fillId="0" borderId="19" applyAlignment="1" pivotButton="0" quotePrefix="0" xfId="0">
      <alignment horizontal="center"/>
    </xf>
    <xf numFmtId="0" fontId="29" fillId="0" borderId="20" applyAlignment="1" pivotButton="0" quotePrefix="0" xfId="0">
      <alignment horizontal="center"/>
    </xf>
    <xf numFmtId="0" fontId="29" fillId="0" borderId="21" applyAlignment="1" pivotButton="0" quotePrefix="0" xfId="0">
      <alignment horizontal="center"/>
    </xf>
    <xf numFmtId="0" fontId="42" fillId="0" borderId="19" applyAlignment="1" pivotButton="0" quotePrefix="0" xfId="0">
      <alignment horizontal="center"/>
    </xf>
    <xf numFmtId="0" fontId="42" fillId="0" borderId="20" applyAlignment="1" pivotButton="0" quotePrefix="0" xfId="0">
      <alignment horizontal="center"/>
    </xf>
    <xf numFmtId="0" fontId="42" fillId="0" borderId="21" applyAlignment="1" pivotButton="0" quotePrefix="0" xfId="0">
      <alignment horizontal="center"/>
    </xf>
    <xf numFmtId="0" fontId="17" fillId="11" borderId="0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39" applyAlignment="1" pivotButton="0" quotePrefix="0" xfId="0">
      <alignment horizontal="center"/>
    </xf>
    <xf numFmtId="0" fontId="4" fillId="0" borderId="40" applyAlignment="1" pivotButton="0" quotePrefix="0" xfId="0">
      <alignment horizontal="center"/>
    </xf>
    <xf numFmtId="0" fontId="7" fillId="8" borderId="35" applyAlignment="1" pivotButton="0" quotePrefix="0" xfId="0">
      <alignment horizontal="left" vertical="center" wrapText="1"/>
    </xf>
    <xf numFmtId="0" fontId="7" fillId="8" borderId="36" applyAlignment="1" pivotButton="0" quotePrefix="0" xfId="0">
      <alignment horizontal="left" vertical="center" wrapText="1"/>
    </xf>
    <xf numFmtId="0" fontId="7" fillId="8" borderId="37" applyAlignment="1" pivotButton="0" quotePrefix="0" xfId="0">
      <alignment horizontal="left" vertical="center" wrapText="1"/>
    </xf>
    <xf numFmtId="0" fontId="40" fillId="17" borderId="17" applyAlignment="1" pivotButton="0" quotePrefix="0" xfId="0">
      <alignment horizontal="center"/>
    </xf>
    <xf numFmtId="0" fontId="16" fillId="0" borderId="19" applyAlignment="1" pivotButton="0" quotePrefix="0" xfId="0">
      <alignment horizontal="left"/>
    </xf>
    <xf numFmtId="0" fontId="16" fillId="0" borderId="21" applyAlignment="1" pivotButton="0" quotePrefix="0" xfId="0">
      <alignment horizontal="left"/>
    </xf>
    <xf numFmtId="0" fontId="2" fillId="0" borderId="19" applyAlignment="1" pivotButton="0" quotePrefix="0" xfId="0">
      <alignment horizontal="left"/>
    </xf>
    <xf numFmtId="0" fontId="2" fillId="0" borderId="21" applyAlignment="1" pivotButton="0" quotePrefix="0" xfId="0">
      <alignment horizontal="left"/>
    </xf>
    <xf numFmtId="0" fontId="7" fillId="3" borderId="35" applyAlignment="1" pivotButton="0" quotePrefix="0" xfId="0">
      <alignment horizontal="left" vertical="center" wrapText="1"/>
    </xf>
    <xf numFmtId="0" fontId="7" fillId="3" borderId="36" applyAlignment="1" pivotButton="0" quotePrefix="0" xfId="0">
      <alignment horizontal="left" vertical="center" wrapText="1"/>
    </xf>
    <xf numFmtId="0" fontId="7" fillId="3" borderId="3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29" fillId="0" borderId="17" applyAlignment="1" pivotButton="0" quotePrefix="0" xfId="0">
      <alignment horizontal="center"/>
    </xf>
    <xf numFmtId="0" fontId="43" fillId="0" borderId="19" applyAlignment="1" pivotButton="0" quotePrefix="0" xfId="0">
      <alignment horizontal="center"/>
    </xf>
    <xf numFmtId="0" fontId="43" fillId="0" borderId="20" applyAlignment="1" pivotButton="0" quotePrefix="0" xfId="0">
      <alignment horizontal="center"/>
    </xf>
    <xf numFmtId="0" fontId="43" fillId="0" borderId="21" applyAlignment="1" pivotButton="0" quotePrefix="0" xfId="0">
      <alignment horizontal="center"/>
    </xf>
    <xf numFmtId="0" fontId="10" fillId="6" borderId="17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/>
    </xf>
    <xf numFmtId="0" fontId="20" fillId="0" borderId="8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7" fillId="13" borderId="1" applyAlignment="1" pivotButton="0" quotePrefix="0" xfId="0">
      <alignment horizontal="center" vertical="center" wrapText="1"/>
    </xf>
    <xf numFmtId="0" fontId="7" fillId="13" borderId="24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22" fillId="0" borderId="19" applyAlignment="1" pivotButton="0" quotePrefix="0" xfId="0">
      <alignment horizontal="center"/>
    </xf>
    <xf numFmtId="0" fontId="22" fillId="0" borderId="21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7" fillId="14" borderId="24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left"/>
    </xf>
    <xf numFmtId="0" fontId="21" fillId="0" borderId="21" applyAlignment="1" pivotButton="0" quotePrefix="0" xfId="0">
      <alignment horizontal="left"/>
    </xf>
    <xf numFmtId="14" fontId="0" fillId="0" borderId="0" pivotButton="0" quotePrefix="0" xfId="0"/>
    <xf numFmtId="0" fontId="44" fillId="20" borderId="0" pivotButton="0" quotePrefix="0" xfId="0"/>
    <xf numFmtId="0" fontId="1" fillId="16" borderId="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20" pivotButton="0" quotePrefix="0" xfId="0"/>
    <xf numFmtId="0" fontId="40" fillId="0" borderId="2" applyAlignment="1" pivotButton="0" quotePrefix="0" xfId="0">
      <alignment horizontal="center"/>
    </xf>
    <xf numFmtId="0" fontId="0" fillId="0" borderId="21" pivotButton="0" quotePrefix="0" xfId="0"/>
    <xf numFmtId="0" fontId="3" fillId="0" borderId="2" applyAlignment="1" pivotButton="0" quotePrefix="0" xfId="0">
      <alignment horizontal="center"/>
    </xf>
    <xf numFmtId="165" fontId="4" fillId="0" borderId="8" applyAlignment="1" pivotButton="0" quotePrefix="0" xfId="0">
      <alignment horizontal="center"/>
    </xf>
    <xf numFmtId="0" fontId="41" fillId="0" borderId="2" applyAlignment="1" pivotButton="0" quotePrefix="0" xfId="0">
      <alignment horizontal="center"/>
    </xf>
    <xf numFmtId="0" fontId="0" fillId="0" borderId="44" pivotButton="0" quotePrefix="0" xfId="0"/>
    <xf numFmtId="0" fontId="0" fillId="0" borderId="22" pivotButton="0" quotePrefix="0" xfId="0"/>
    <xf numFmtId="0" fontId="40" fillId="17" borderId="2" applyAlignment="1" pivotButton="0" quotePrefix="0" xfId="0">
      <alignment horizontal="center"/>
    </xf>
    <xf numFmtId="0" fontId="0" fillId="0" borderId="45" pivotButton="0" quotePrefix="0" xfId="0"/>
    <xf numFmtId="0" fontId="0" fillId="0" borderId="23" pivotButton="0" quotePrefix="0" xfId="0"/>
    <xf numFmtId="0" fontId="39" fillId="0" borderId="2" applyAlignment="1" pivotButton="0" quotePrefix="0" xfId="0">
      <alignment horizontal="center"/>
    </xf>
    <xf numFmtId="0" fontId="0" fillId="0" borderId="47" pivotButton="0" quotePrefix="0" xfId="0"/>
    <xf numFmtId="0" fontId="2" fillId="0" borderId="2" applyAlignment="1" pivotButton="0" quotePrefix="0" xfId="0">
      <alignment horizontal="center"/>
    </xf>
    <xf numFmtId="0" fontId="29" fillId="0" borderId="2" applyAlignment="1" pivotButton="0" quotePrefix="0" xfId="0">
      <alignment horizontal="center"/>
    </xf>
    <xf numFmtId="0" fontId="13" fillId="0" borderId="30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0" fillId="0" borderId="16" pivotButton="0" quotePrefix="0" xfId="0"/>
    <xf numFmtId="0" fontId="0" fillId="0" borderId="12" pivotButton="0" quotePrefix="0" xfId="0"/>
    <xf numFmtId="0" fontId="14" fillId="0" borderId="26" applyAlignment="1" pivotButton="0" quotePrefix="0" xfId="0">
      <alignment horizontal="center"/>
    </xf>
    <xf numFmtId="166" fontId="3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/>
    </xf>
    <xf numFmtId="0" fontId="0" fillId="0" borderId="28" pivotButton="0" quotePrefix="0" xfId="0"/>
    <xf numFmtId="0" fontId="0" fillId="0" borderId="29" pivotButton="0" quotePrefix="0" xfId="0"/>
    <xf numFmtId="0" fontId="16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164" fontId="11" fillId="7" borderId="1" pivotButton="0" quotePrefix="0" xfId="0"/>
    <xf numFmtId="0" fontId="4" fillId="0" borderId="38" applyAlignment="1" pivotButton="0" quotePrefix="0" xfId="0">
      <alignment horizontal="center"/>
    </xf>
    <xf numFmtId="0" fontId="0" fillId="0" borderId="39" pivotButton="0" quotePrefix="0" xfId="0"/>
    <xf numFmtId="0" fontId="0" fillId="0" borderId="40" pivotButton="0" quotePrefix="0" xfId="0"/>
    <xf numFmtId="0" fontId="4" fillId="0" borderId="41" applyAlignment="1" pivotButton="0" quotePrefix="0" xfId="0">
      <alignment horizontal="center"/>
    </xf>
    <xf numFmtId="0" fontId="42" fillId="0" borderId="2" applyAlignment="1" pivotButton="0" quotePrefix="0" xfId="0">
      <alignment horizontal="center"/>
    </xf>
    <xf numFmtId="164" fontId="14" fillId="0" borderId="1" pivotButton="0" quotePrefix="0" xfId="0"/>
    <xf numFmtId="164" fontId="20" fillId="0" borderId="1" pivotButton="0" quotePrefix="0" xfId="0"/>
    <xf numFmtId="164" fontId="22" fillId="0" borderId="1" pivotButton="0" quotePrefix="0" xfId="0"/>
    <xf numFmtId="164" fontId="15" fillId="0" borderId="1" pivotButton="0" quotePrefix="0" xfId="0"/>
    <xf numFmtId="0" fontId="43" fillId="0" borderId="2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33" applyAlignment="1" pivotButton="0" quotePrefix="0" xfId="0">
      <alignment horizontal="center"/>
    </xf>
    <xf numFmtId="0" fontId="0" fillId="0" borderId="15" pivotButton="0" quotePrefix="0" xfId="0"/>
    <xf numFmtId="0" fontId="20" fillId="0" borderId="48" applyAlignment="1" pivotButton="0" quotePrefix="0" xfId="0">
      <alignment horizontal="center"/>
    </xf>
    <xf numFmtId="164" fontId="25" fillId="0" borderId="34" pivotButton="0" quotePrefix="0" xfId="0"/>
    <xf numFmtId="164" fontId="25" fillId="0" borderId="1" pivotButton="0" quotePrefix="0" xfId="0"/>
    <xf numFmtId="0" fontId="21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22" fillId="0" borderId="2" applyAlignment="1" pivotButton="0" quotePrefix="0" xfId="0">
      <alignment horizontal="center"/>
    </xf>
    <xf numFmtId="164" fontId="26" fillId="0" borderId="32" pivotButton="0" quotePrefix="0" xfId="0"/>
    <xf numFmtId="0" fontId="40" fillId="17" borderId="2" applyAlignment="1" pivotButton="0" quotePrefix="0" xfId="0">
      <alignment vertical="center"/>
    </xf>
    <xf numFmtId="0" fontId="10" fillId="0" borderId="2" applyAlignment="1" pivotButton="0" quotePrefix="0" xfId="0">
      <alignment horizontal="center"/>
    </xf>
    <xf numFmtId="0" fontId="27" fillId="0" borderId="26" applyAlignment="1" pivotButton="0" quotePrefix="0" xfId="0">
      <alignment horizontal="center"/>
    </xf>
    <xf numFmtId="164" fontId="37" fillId="0" borderId="33" applyAlignment="1" pivotButton="0" quotePrefix="0" xfId="0">
      <alignment horizontal="center"/>
    </xf>
    <xf numFmtId="0" fontId="38" fillId="17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695C"/>
      <rgbColor rgb="FFE8F5E9"/>
      <rgbColor rgb="FF757575"/>
      <rgbColor rgb="FF9999FF"/>
      <rgbColor rgb="FF993366"/>
      <rgbColor rgb="FFFFF9C4"/>
      <rgbColor rgb="FFE0F2F1"/>
      <rgbColor rgb="FF4A148C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C8E6C9"/>
      <rgbColor rgb="FFFFF3E0"/>
      <rgbColor rgb="FFF5F5F5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E65100"/>
      <rgbColor rgb="FF616161"/>
      <rgbColor rgb="FF969696"/>
      <rgbColor rgb="FF0D47A1"/>
      <rgbColor rgb="FF339966"/>
      <rgbColor rgb="FF003300"/>
      <rgbColor rgb="FF1B5E20"/>
      <rgbColor rgb="FFB71C1C"/>
      <rgbColor rgb="FF993366"/>
      <rgbColor rgb="FF33339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5E20"/>
    <outlinePr summaryBelow="1" summaryRight="1"/>
    <pageSetUpPr/>
  </sheetPr>
  <dimension ref="B1:G29"/>
  <sheetViews>
    <sheetView showGridLines="0" zoomScaleNormal="100" workbookViewId="0">
      <selection activeCell="I20" sqref="I20"/>
    </sheetView>
  </sheetViews>
  <sheetFormatPr baseColWidth="10" defaultColWidth="8.7109375" defaultRowHeight="15"/>
  <cols>
    <col width="3" customWidth="1" min="1" max="1"/>
    <col width="35" customWidth="1" min="2" max="2"/>
    <col width="67.140625" customWidth="1" min="3" max="3"/>
    <col width="15" customWidth="1" min="4" max="4"/>
    <col width="3" customWidth="1" min="5" max="5"/>
  </cols>
  <sheetData>
    <row r="1">
      <c r="B1" s="209" t="inlineStr">
        <is>
          <t>🌍  CarbonCo</t>
        </is>
      </c>
      <c r="C1" s="210" t="n"/>
      <c r="D1" s="210" t="n"/>
      <c r="E1" s="210" t="n"/>
      <c r="F1" s="211" t="n"/>
    </row>
    <row r="2">
      <c r="B2" s="212" t="n"/>
      <c r="F2" s="213" t="n"/>
    </row>
    <row r="3" ht="28.5" customHeight="1" thickBot="1">
      <c r="B3" s="214" t="n"/>
      <c r="C3" s="215" t="n"/>
      <c r="D3" s="215" t="n"/>
      <c r="E3" s="215" t="n"/>
      <c r="F3" s="216" t="n"/>
    </row>
    <row r="4" ht="17.25" customHeight="1" thickBot="1">
      <c r="B4" s="127" t="inlineStr">
        <is>
          <t>Fichier ESG Social &amp; Gouvernance</t>
        </is>
      </c>
      <c r="C4" s="217" t="n"/>
      <c r="D4" s="217" t="n"/>
      <c r="E4" s="217" t="n"/>
      <c r="F4" s="217" t="n"/>
    </row>
    <row r="6" ht="19.5" customHeight="1" thickBot="1">
      <c r="B6" s="129" t="inlineStr">
        <is>
          <t>REPORTING ESG — VOLETS SOCIAL, GOUVERNANCE &amp; VSME</t>
        </is>
      </c>
    </row>
    <row r="7" ht="15" customHeight="1" thickBot="1">
      <c r="B7" s="218" t="inlineStr">
        <is>
          <t>Conforme ESRS S1-S4 / G1 (CSRD)  |  Norme VSME (EFRAG 2025)  |  Double Matérialité</t>
        </is>
      </c>
      <c r="C7" s="217" t="n"/>
      <c r="D7" s="217" t="n"/>
      <c r="E7" s="217" t="n"/>
      <c r="F7" s="217" t="n"/>
      <c r="G7" s="219" t="n"/>
    </row>
    <row r="8" ht="15.75" customHeight="1" thickBot="1"/>
    <row r="9" ht="15" customHeight="1" thickBot="1">
      <c r="B9" s="220" t="inlineStr">
        <is>
          <t>INFORMATIONS DE L'ENTREPRISE</t>
        </is>
      </c>
      <c r="C9" s="219" t="n"/>
    </row>
    <row r="10" ht="15" customHeight="1">
      <c r="B10" s="43" t="inlineStr">
        <is>
          <t>Raison sociale</t>
        </is>
      </c>
      <c r="C10" s="45" t="inlineStr">
        <is>
          <t>À compléter</t>
        </is>
      </c>
    </row>
    <row r="11" ht="15" customHeight="1">
      <c r="B11" s="40" t="inlineStr">
        <is>
          <t>SIREN / SIRET</t>
        </is>
      </c>
      <c r="C11" s="46" t="inlineStr">
        <is>
          <t>À compléter</t>
        </is>
      </c>
    </row>
    <row r="12" ht="15" customHeight="1">
      <c r="B12" s="42" t="inlineStr">
        <is>
          <t>Secteur d'activité</t>
        </is>
      </c>
      <c r="C12" s="46" t="inlineStr">
        <is>
          <t>À compléter</t>
        </is>
      </c>
    </row>
    <row r="13" ht="15" customHeight="1">
      <c r="B13" s="42" t="inlineStr">
        <is>
          <t>Exercice de reporting</t>
        </is>
      </c>
      <c r="C13" s="98" t="inlineStr">
        <is>
          <t>01/01/2025 — 31/12/2025</t>
        </is>
      </c>
    </row>
    <row r="14" ht="15" customHeight="1">
      <c r="B14" s="41" t="inlineStr">
        <is>
          <t>Année de reporting</t>
        </is>
      </c>
      <c r="C14" s="98" t="n">
        <v>2025</v>
      </c>
    </row>
    <row r="15" ht="15" customHeight="1">
      <c r="B15" s="42" t="inlineStr">
        <is>
          <t>Effectifs (ETP)</t>
        </is>
      </c>
      <c r="C15" s="48" t="inlineStr">
        <is>
          <t>À compléter</t>
        </is>
      </c>
    </row>
    <row r="16" ht="15" customHeight="1">
      <c r="B16" s="40" t="inlineStr">
        <is>
          <t>Chiffre d'affaires (M€)</t>
        </is>
      </c>
      <c r="C16" s="49" t="inlineStr">
        <is>
          <t>À compléter</t>
        </is>
      </c>
    </row>
    <row r="17" ht="15" customHeight="1">
      <c r="B17" s="41" t="inlineStr">
        <is>
          <t>Responsable ESG</t>
        </is>
      </c>
      <c r="C17" s="50" t="inlineStr">
        <is>
          <t>À compléter</t>
        </is>
      </c>
    </row>
    <row r="18" ht="15" customHeight="1">
      <c r="B18" s="41" t="inlineStr">
        <is>
          <t>Version du fichier</t>
        </is>
      </c>
      <c r="C18" s="195" t="inlineStr">
        <is>
          <t>v1.0</t>
        </is>
      </c>
    </row>
    <row r="19" ht="15" customHeight="1" thickBot="1">
      <c r="B19" s="44" t="inlineStr">
        <is>
          <t>Date de génération</t>
        </is>
      </c>
      <c r="C19" s="221" t="n">
        <v>46124</v>
      </c>
    </row>
    <row r="22" ht="15" customHeight="1">
      <c r="B22" s="133" t="inlineStr">
        <is>
          <t>✅  Conforme ESRS S1-S4 / G1 — Delegated Regulation (EU) 2023/2772</t>
        </is>
      </c>
    </row>
    <row r="23" ht="15" customHeight="1">
      <c r="B23" s="133" t="inlineStr">
        <is>
          <t>✅  Norme VSME volontaire — EFRAG / Commission européenne (juil. 2025)</t>
        </is>
      </c>
    </row>
    <row r="24" ht="15" customHeight="1">
      <c r="B24" s="133" t="inlineStr">
        <is>
          <t>✅  Double Matérialité — ESRS 1 §3 / EFRAG IG 1</t>
        </is>
      </c>
    </row>
    <row r="26" ht="15" customHeight="1">
      <c r="B26" s="117" t="inlineStr">
        <is>
          <t>📋  ACCÉDER AU SOMMAIRE  →</t>
        </is>
      </c>
    </row>
    <row r="27" ht="15" customHeight="1">
      <c r="B27" s="116" t="inlineStr">
        <is>
          <t>🔒  Document confidentiel — Usage interne uniquement</t>
        </is>
      </c>
    </row>
    <row r="28" ht="15.75" customHeight="1" thickBot="1"/>
    <row r="29" ht="15" customHeight="1" thickBot="1">
      <c r="B29" s="222" t="inlineStr">
        <is>
          <t>CarbonCo — ESG Social v1.0 — Exercice 2025 — Mise à jour 12/4/2026</t>
        </is>
      </c>
      <c r="C29" s="219" t="n"/>
    </row>
  </sheetData>
  <mergeCells count="11">
    <mergeCell ref="B4:F4"/>
    <mergeCell ref="B24:C24"/>
    <mergeCell ref="B29:C29"/>
    <mergeCell ref="B27:C27"/>
    <mergeCell ref="B23:C23"/>
    <mergeCell ref="B22:C22"/>
    <mergeCell ref="B26:C26"/>
    <mergeCell ref="B9:C9"/>
    <mergeCell ref="B1:F3"/>
    <mergeCell ref="B7:G7"/>
    <mergeCell ref="B6:G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B5E20"/>
    <outlinePr summaryBelow="1" summaryRight="1"/>
    <pageSetUpPr/>
  </sheetPr>
  <dimension ref="A1:F23"/>
  <sheetViews>
    <sheetView showGridLines="0" zoomScaleNormal="100" workbookViewId="0">
      <selection activeCell="A2" sqref="A2:F2"/>
    </sheetView>
  </sheetViews>
  <sheetFormatPr baseColWidth="10" defaultColWidth="8.7109375" defaultRowHeight="15"/>
  <cols>
    <col width="3" customWidth="1" min="1" max="1"/>
    <col width="4" customWidth="1" min="2" max="2"/>
    <col width="22" customWidth="1" min="3" max="3"/>
    <col width="40" customWidth="1" min="4" max="4"/>
    <col width="22.140625" customWidth="1" min="5" max="5"/>
    <col width="25.85546875" customWidth="1" min="6" max="6"/>
    <col width="3" customWidth="1" min="7" max="7"/>
  </cols>
  <sheetData>
    <row r="1" ht="17.25" customHeight="1" thickBot="1">
      <c r="A1" s="138" t="inlineStr">
        <is>
          <t>SOMMAIRE — FICHIER ESG SOCIAL &amp; GOUVERNANCE CarbonCo</t>
        </is>
      </c>
      <c r="B1" s="223" t="n"/>
      <c r="C1" s="223" t="n"/>
      <c r="D1" s="223" t="n"/>
      <c r="E1" s="223" t="n"/>
      <c r="F1" s="224" t="n"/>
    </row>
    <row r="2" ht="15" customHeight="1" thickBot="1">
      <c r="A2" s="225" t="inlineStr">
        <is>
          <t>Cliquez sur le nom d'un onglet pour y accéder directement</t>
        </is>
      </c>
      <c r="B2" s="217" t="n"/>
      <c r="C2" s="217" t="n"/>
      <c r="D2" s="217" t="n"/>
      <c r="E2" s="217" t="n"/>
      <c r="F2" s="219" t="n"/>
    </row>
    <row r="4" ht="15" customHeight="1">
      <c r="A4" s="3" t="n"/>
      <c r="B4" s="3" t="n"/>
      <c r="C4" s="3" t="inlineStr">
        <is>
          <t>Onglet</t>
        </is>
      </c>
      <c r="D4" s="3" t="inlineStr">
        <is>
          <t>Description</t>
        </is>
      </c>
      <c r="E4" s="3" t="inlineStr">
        <is>
          <t>Catégorie</t>
        </is>
      </c>
      <c r="F4" s="3" t="inlineStr">
        <is>
          <t>Statut</t>
        </is>
      </c>
    </row>
    <row r="5" ht="15" customHeight="1">
      <c r="B5" s="137" t="inlineStr">
        <is>
          <t>NAVIGATION &amp; CONFIGURATION</t>
        </is>
      </c>
      <c r="C5" s="226" t="n"/>
      <c r="D5" s="226" t="n"/>
      <c r="E5" s="226" t="n"/>
      <c r="F5" s="227" t="n"/>
    </row>
    <row r="6" ht="28.5" customHeight="1">
      <c r="B6" s="4" t="inlineStr">
        <is>
          <t>🏠</t>
        </is>
      </c>
      <c r="C6" s="5" t="inlineStr">
        <is>
          <t>Couverture</t>
        </is>
      </c>
      <c r="D6" s="4" t="inlineStr">
        <is>
          <t>Page de garde — Informations entreprise &amp; conformité</t>
        </is>
      </c>
      <c r="E6" s="4" t="inlineStr">
        <is>
          <t>Navigation</t>
        </is>
      </c>
      <c r="F6" s="4" t="inlineStr">
        <is>
          <t>—</t>
        </is>
      </c>
    </row>
    <row r="7" ht="34.5" customHeight="1">
      <c r="B7" s="4" t="inlineStr">
        <is>
          <t>📋</t>
        </is>
      </c>
      <c r="C7" s="5" t="inlineStr">
        <is>
          <t>Liaison_Donnees</t>
        </is>
      </c>
      <c r="D7" s="4" t="inlineStr">
        <is>
          <t>Import des données clés depuis le fichier Calcul Carbone v2</t>
        </is>
      </c>
      <c r="E7" s="4" t="inlineStr">
        <is>
          <t>Configuration</t>
        </is>
      </c>
      <c r="F7" s="4" t="inlineStr">
        <is>
          <t>⬜ À remplir</t>
        </is>
      </c>
    </row>
    <row r="8" ht="15" customHeight="1">
      <c r="B8" s="137" t="inlineStr">
        <is>
          <t>REPORTING VSME &amp; MATÉRIALITÉ</t>
        </is>
      </c>
      <c r="C8" s="226" t="n"/>
      <c r="D8" s="226" t="n"/>
      <c r="E8" s="226" t="n"/>
      <c r="F8" s="227" t="n"/>
    </row>
    <row r="9" ht="44.25" customHeight="1">
      <c r="B9" s="4" t="inlineStr">
        <is>
          <t>📗</t>
        </is>
      </c>
      <c r="C9" s="5" t="inlineStr">
        <is>
          <t>VSME_Reporting</t>
        </is>
      </c>
      <c r="D9" s="4" t="inlineStr">
        <is>
          <t>Reporting volontaire VSME conforme EFRAG — PME/ETI</t>
        </is>
      </c>
      <c r="E9" s="4" t="inlineStr">
        <is>
          <t>VSME</t>
        </is>
      </c>
      <c r="F9" s="4" t="inlineStr">
        <is>
          <t>⬜ À remplir</t>
        </is>
      </c>
    </row>
    <row r="10" ht="27" customHeight="1">
      <c r="B10" s="4" t="inlineStr">
        <is>
          <t>🎯</t>
        </is>
      </c>
      <c r="C10" s="5" t="inlineStr">
        <is>
          <t>Materialite</t>
        </is>
      </c>
      <c r="D10" s="4" t="inlineStr">
        <is>
          <t>Analyse de double matérialité — ESRS 1 §3</t>
        </is>
      </c>
      <c r="E10" s="4" t="inlineStr">
        <is>
          <t>Conformité</t>
        </is>
      </c>
      <c r="F10" s="4" t="inlineStr">
        <is>
          <t>⬜ À remplir</t>
        </is>
      </c>
    </row>
    <row r="11" ht="15" customHeight="1">
      <c r="B11" s="137" t="inlineStr">
        <is>
          <t>ESRS SOCIAL &amp; GOUVERNANCE</t>
        </is>
      </c>
      <c r="C11" s="226" t="n"/>
      <c r="D11" s="226" t="n"/>
      <c r="E11" s="226" t="n"/>
      <c r="F11" s="227" t="n"/>
    </row>
    <row r="12" ht="31.5" customHeight="1">
      <c r="B12" s="4" t="inlineStr">
        <is>
          <t>👥</t>
        </is>
      </c>
      <c r="C12" s="5" t="inlineStr">
        <is>
          <t>ESRS_S1</t>
        </is>
      </c>
      <c r="D12" s="4" t="inlineStr">
        <is>
          <t>Effectifs propres — conditions de travail, égalité, santé</t>
        </is>
      </c>
      <c r="E12" s="4" t="inlineStr">
        <is>
          <t>Social</t>
        </is>
      </c>
      <c r="F12" s="4" t="inlineStr">
        <is>
          <t>⬜ À remplir</t>
        </is>
      </c>
    </row>
    <row r="13" ht="21.75" customHeight="1">
      <c r="B13" s="4" t="inlineStr">
        <is>
          <t>🔗</t>
        </is>
      </c>
      <c r="C13" s="5" t="inlineStr">
        <is>
          <t>ESRS_S2</t>
        </is>
      </c>
      <c r="D13" s="4" t="inlineStr">
        <is>
          <t>Travailleurs chaîne de valeur — fournisseurs</t>
        </is>
      </c>
      <c r="E13" s="4" t="inlineStr">
        <is>
          <t>Social</t>
        </is>
      </c>
      <c r="F13" s="4" t="inlineStr">
        <is>
          <t>⬜ À remplir</t>
        </is>
      </c>
    </row>
    <row r="14" ht="27" customHeight="1">
      <c r="B14" s="4" t="inlineStr">
        <is>
          <t>🏘️</t>
        </is>
      </c>
      <c r="C14" s="5" t="inlineStr">
        <is>
          <t>ESRS_S3</t>
        </is>
      </c>
      <c r="D14" s="4" t="inlineStr">
        <is>
          <t>Communautés affectées — impacts locaux</t>
        </is>
      </c>
      <c r="E14" s="4" t="inlineStr">
        <is>
          <t>Social</t>
        </is>
      </c>
      <c r="F14" s="4" t="inlineStr">
        <is>
          <t>⬜ À remplir</t>
        </is>
      </c>
    </row>
    <row r="15" ht="25.5" customHeight="1">
      <c r="B15" s="4" t="inlineStr">
        <is>
          <t>🛒</t>
        </is>
      </c>
      <c r="C15" s="5" t="inlineStr">
        <is>
          <t>ESRS_S4</t>
        </is>
      </c>
      <c r="D15" s="4" t="inlineStr">
        <is>
          <t>Consommateurs et utilisateurs finaux</t>
        </is>
      </c>
      <c r="E15" s="4" t="inlineStr">
        <is>
          <t>Social</t>
        </is>
      </c>
      <c r="F15" s="4" t="inlineStr">
        <is>
          <t>⬜ À remplir</t>
        </is>
      </c>
    </row>
    <row r="16" ht="19.5" customHeight="1">
      <c r="B16" s="4" t="inlineStr">
        <is>
          <t>⚖️</t>
        </is>
      </c>
      <c r="C16" s="5" t="inlineStr">
        <is>
          <t>ESRS_G1</t>
        </is>
      </c>
      <c r="D16" s="4" t="inlineStr">
        <is>
          <t>Conduite des affaires — éthique, gouvernance</t>
        </is>
      </c>
      <c r="E16" s="4" t="inlineStr">
        <is>
          <t>Gouvernance</t>
        </is>
      </c>
      <c r="F16" s="4" t="inlineStr">
        <is>
          <t>⬜ À remplir</t>
        </is>
      </c>
    </row>
    <row r="17" ht="15" customHeight="1">
      <c r="B17" s="137" t="inlineStr">
        <is>
          <t>ESRS SIMPLIFIÉ (POST-OMNIBUS)</t>
        </is>
      </c>
      <c r="C17" s="226" t="n"/>
      <c r="D17" s="226" t="n"/>
      <c r="E17" s="226" t="n"/>
      <c r="F17" s="227" t="n"/>
    </row>
    <row r="18" ht="15" customHeight="1">
      <c r="B18" s="4" t="inlineStr">
        <is>
          <t>📐</t>
        </is>
      </c>
      <c r="C18" s="5" t="inlineStr">
        <is>
          <t>ESRS_Simplifie</t>
        </is>
      </c>
      <c r="D18" s="4" t="inlineStr">
        <is>
          <t>Mode ~300 data points — Acte délégué 2026</t>
        </is>
      </c>
      <c r="E18" s="4" t="inlineStr">
        <is>
          <t>Conformité</t>
        </is>
      </c>
      <c r="F18" s="4" t="inlineStr">
        <is>
          <t>⬜ À remplir</t>
        </is>
      </c>
    </row>
    <row r="19" ht="15" customHeight="1">
      <c r="B19" s="137" t="inlineStr">
        <is>
          <t>RÉSULTATS &amp; SYNTHÈSE</t>
        </is>
      </c>
      <c r="C19" s="226" t="n"/>
      <c r="D19" s="226" t="n"/>
      <c r="E19" s="226" t="n"/>
      <c r="F19" s="227" t="n"/>
    </row>
    <row r="20" ht="15" customHeight="1">
      <c r="B20" s="4" t="inlineStr">
        <is>
          <t>📊</t>
        </is>
      </c>
      <c r="C20" s="5" t="inlineStr">
        <is>
          <t>Synthese_ESG</t>
        </is>
      </c>
      <c r="D20" s="4" t="inlineStr">
        <is>
          <t>Score ESG consolidé E/S/G + radar + KPIs</t>
        </is>
      </c>
      <c r="E20" s="4" t="inlineStr">
        <is>
          <t>Résultats</t>
        </is>
      </c>
      <c r="F20" s="4" t="inlineStr">
        <is>
          <t>Auto</t>
        </is>
      </c>
    </row>
    <row r="21" ht="23.25" customHeight="1">
      <c r="B21" s="4" t="inlineStr">
        <is>
          <t>🔍</t>
        </is>
      </c>
      <c r="C21" s="5" t="inlineStr">
        <is>
          <t>Controles_QC_ESG</t>
        </is>
      </c>
      <c r="D21" s="4" t="inlineStr">
        <is>
          <t>Contrôles qualité automatiques — 15 vérifications</t>
        </is>
      </c>
      <c r="E21" s="4" t="inlineStr">
        <is>
          <t>Audit</t>
        </is>
      </c>
      <c r="F21" s="4" t="inlineStr">
        <is>
          <t>Auto</t>
        </is>
      </c>
    </row>
    <row r="22" ht="15.75" customHeight="1" thickBot="1"/>
    <row r="23" ht="15" customHeight="1" thickBot="1">
      <c r="B23" s="228" t="inlineStr">
        <is>
          <t>Dernière mise à jour : 12/4/2026   |   Exercice 2025</t>
        </is>
      </c>
      <c r="C23" s="217" t="n"/>
      <c r="D23" s="217" t="n"/>
      <c r="E23" s="217" t="n"/>
      <c r="F23" s="219" t="n"/>
    </row>
  </sheetData>
  <mergeCells count="8">
    <mergeCell ref="A2:F2"/>
    <mergeCell ref="A1:F1"/>
    <mergeCell ref="B11:F11"/>
    <mergeCell ref="B19:F19"/>
    <mergeCell ref="B5:F5"/>
    <mergeCell ref="B23:F23"/>
    <mergeCell ref="B8:F8"/>
    <mergeCell ref="B17:F17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95C"/>
    <outlinePr summaryBelow="1" summaryRight="1"/>
    <pageSetUpPr/>
  </sheetPr>
  <dimension ref="A1:K31"/>
  <sheetViews>
    <sheetView showGridLines="0" topLeftCell="A18" zoomScaleNormal="100" workbookViewId="0">
      <selection activeCell="E23" sqref="E23"/>
    </sheetView>
  </sheetViews>
  <sheetFormatPr baseColWidth="10" defaultColWidth="8.7109375" defaultRowHeight="15"/>
  <cols>
    <col width="3" customWidth="1" min="1" max="1"/>
    <col width="35" customWidth="1" min="2" max="2"/>
    <col width="20" customWidth="1" min="3" max="4"/>
    <col width="59.5703125" customWidth="1" min="5" max="5"/>
    <col width="3" customWidth="1" min="6" max="6"/>
    <col width="21.28515625" customWidth="1" min="10" max="10"/>
    <col width="20.140625" customWidth="1" min="11" max="11"/>
  </cols>
  <sheetData>
    <row r="1" ht="15" customHeight="1" thickBot="1">
      <c r="J1" s="54" t="inlineStr">
        <is>
          <t>🏠 Sommaire</t>
        </is>
      </c>
      <c r="K1" s="54" t="inlineStr">
        <is>
          <t>📄 Couverture</t>
        </is>
      </c>
    </row>
    <row r="2" ht="17.25" customHeight="1" thickBot="1">
      <c r="A2" s="146" t="inlineStr">
        <is>
          <t>LIAISON DONNÉES — Import depuis CarbonCo_Calcul_Carbone_v2.xlsx</t>
        </is>
      </c>
      <c r="B2" s="217" t="n"/>
      <c r="C2" s="217" t="n"/>
      <c r="D2" s="217" t="n"/>
      <c r="E2" s="229" t="n"/>
    </row>
    <row r="3" ht="15" customHeight="1" thickBot="1">
      <c r="A3" s="225" t="inlineStr">
        <is>
          <t>Saisir ici les valeurs clés de votre fichier Calcul Carbone. Ces cellules alimentent automatiquement tous les onglets de ce fichier.</t>
        </is>
      </c>
      <c r="B3" s="217" t="n"/>
      <c r="C3" s="217" t="n"/>
      <c r="D3" s="217" t="n"/>
      <c r="E3" s="219" t="n"/>
    </row>
    <row r="5" ht="23.25" customHeight="1">
      <c r="A5" s="6" t="n"/>
      <c r="B5" s="6" t="inlineStr">
        <is>
          <t>Donnée</t>
        </is>
      </c>
      <c r="C5" s="6" t="inlineStr">
        <is>
          <t>Valeur</t>
        </is>
      </c>
      <c r="D5" s="6" t="inlineStr">
        <is>
          <t>Unité</t>
        </is>
      </c>
      <c r="E5" s="6" t="inlineStr">
        <is>
          <t>Source (onglet Calcul Carbone v2)</t>
        </is>
      </c>
    </row>
    <row r="6" ht="15" customHeight="1">
      <c r="B6" s="145" t="inlineStr">
        <is>
          <t>DONNÉES ENTREPRISE</t>
        </is>
      </c>
      <c r="C6" s="226" t="n"/>
      <c r="D6" s="226" t="n"/>
      <c r="E6" s="227" t="n"/>
    </row>
    <row r="7" ht="15" customHeight="1">
      <c r="B7" s="7" t="inlineStr">
        <is>
          <t>Raison sociale</t>
        </is>
      </c>
      <c r="C7" s="8" t="n"/>
      <c r="D7" s="9" t="inlineStr">
        <is>
          <t>Texte</t>
        </is>
      </c>
      <c r="E7" s="9" t="inlineStr">
        <is>
          <t>Paramètres!B4</t>
        </is>
      </c>
    </row>
    <row r="8" ht="15" customHeight="1">
      <c r="B8" s="7" t="inlineStr">
        <is>
          <t>Année de reporting</t>
        </is>
      </c>
      <c r="C8" s="7" t="n">
        <v>2025</v>
      </c>
      <c r="D8" s="9" t="inlineStr">
        <is>
          <t>Année</t>
        </is>
      </c>
      <c r="E8" s="9" t="inlineStr">
        <is>
          <t>Paramètres!B7</t>
        </is>
      </c>
    </row>
    <row r="9" ht="15" customHeight="1">
      <c r="B9" s="7" t="inlineStr">
        <is>
          <t>Chiffre d'affaires net (€)</t>
        </is>
      </c>
      <c r="C9" s="8" t="n">
        <v>0</v>
      </c>
      <c r="D9" s="9" t="inlineStr">
        <is>
          <t>€</t>
        </is>
      </c>
      <c r="E9" s="9" t="inlineStr">
        <is>
          <t>Paramètres!B9</t>
        </is>
      </c>
    </row>
    <row r="10" ht="15" customHeight="1">
      <c r="B10" s="7" t="inlineStr">
        <is>
          <t>Effectifs (ETP)</t>
        </is>
      </c>
      <c r="C10" s="8" t="n">
        <v>0</v>
      </c>
      <c r="D10" s="9" t="inlineStr">
        <is>
          <t>ETP</t>
        </is>
      </c>
      <c r="E10" s="9" t="inlineStr">
        <is>
          <t>Paramètres!B11</t>
        </is>
      </c>
    </row>
    <row r="11" ht="15" customHeight="1">
      <c r="B11" s="7" t="inlineStr">
        <is>
          <t>Secteur d'activité / Code NAF</t>
        </is>
      </c>
      <c r="C11" s="8" t="n"/>
      <c r="D11" s="9" t="inlineStr">
        <is>
          <t>Texte / Code</t>
        </is>
      </c>
      <c r="E11" s="9" t="inlineStr">
        <is>
          <t>Paramètres!B6 / C6</t>
        </is>
      </c>
    </row>
    <row r="12" ht="15" customHeight="1">
      <c r="B12" s="7" t="inlineStr">
        <is>
          <t>Surface occupée (m²)</t>
        </is>
      </c>
      <c r="C12" s="8" t="n">
        <v>0</v>
      </c>
      <c r="D12" s="9" t="inlineStr">
        <is>
          <t>m²</t>
        </is>
      </c>
      <c r="E12" s="9" t="inlineStr">
        <is>
          <t>Paramètres!B12</t>
        </is>
      </c>
    </row>
    <row r="13" ht="15" customHeight="1">
      <c r="B13" s="7" t="inlineStr">
        <is>
          <t>CapEx total (€)</t>
        </is>
      </c>
      <c r="C13" s="8" t="n">
        <v>0</v>
      </c>
      <c r="D13" s="9" t="inlineStr">
        <is>
          <t>€</t>
        </is>
      </c>
      <c r="E13" s="9" t="inlineStr">
        <is>
          <t>Paramètres!B14</t>
        </is>
      </c>
    </row>
    <row r="14" ht="15" customHeight="1">
      <c r="B14" s="145" t="inlineStr">
        <is>
          <t>DONNÉES CARBONE (depuis Synthese_GES)</t>
        </is>
      </c>
      <c r="C14" s="226" t="n"/>
      <c r="D14" s="226" t="n"/>
      <c r="E14" s="227" t="n"/>
    </row>
    <row r="15" ht="15" customHeight="1">
      <c r="B15" s="7" t="inlineStr">
        <is>
          <t>Scope 1 total (tCO2e)</t>
        </is>
      </c>
      <c r="C15" s="8" t="n">
        <v>0</v>
      </c>
      <c r="D15" s="9" t="inlineStr">
        <is>
          <t>tCO2e</t>
        </is>
      </c>
      <c r="E15" s="9" t="inlineStr">
        <is>
          <t>Synthese_GES!C10</t>
        </is>
      </c>
    </row>
    <row r="16" ht="15" customHeight="1">
      <c r="B16" s="7" t="inlineStr">
        <is>
          <t>Scope 2 Location-based (tCO2e)</t>
        </is>
      </c>
      <c r="C16" s="8" t="n">
        <v>0</v>
      </c>
      <c r="D16" s="9" t="inlineStr">
        <is>
          <t>tCO2e</t>
        </is>
      </c>
      <c r="E16" s="9" t="inlineStr">
        <is>
          <t>Synthese_GES!C15</t>
        </is>
      </c>
    </row>
    <row r="17" ht="15" customHeight="1">
      <c r="B17" s="7" t="inlineStr">
        <is>
          <t>Scope 2 Market-based (tCO2e)</t>
        </is>
      </c>
      <c r="C17" s="8" t="n">
        <v>0</v>
      </c>
      <c r="D17" s="9" t="inlineStr">
        <is>
          <t>tCO2e</t>
        </is>
      </c>
      <c r="E17" s="9" t="inlineStr">
        <is>
          <t>Synthese_GES!C17</t>
        </is>
      </c>
    </row>
    <row r="18" ht="15" customHeight="1">
      <c r="B18" s="7" t="inlineStr">
        <is>
          <t>Scope 3 total (tCO2e)</t>
        </is>
      </c>
      <c r="C18" s="8" t="n">
        <v>0</v>
      </c>
      <c r="D18" s="9" t="inlineStr">
        <is>
          <t>tCO2e</t>
        </is>
      </c>
      <c r="E18" s="9" t="inlineStr">
        <is>
          <t>Synthese_GES!C35</t>
        </is>
      </c>
    </row>
    <row r="19" ht="15" customHeight="1">
      <c r="B19" s="7" t="inlineStr">
        <is>
          <t>Total S1+S2(LB)+S3 (tCO2e)</t>
        </is>
      </c>
      <c r="C19" s="10">
        <f>C15+C16+C18</f>
        <v/>
      </c>
      <c r="D19" s="9" t="inlineStr">
        <is>
          <t>tCO2e</t>
        </is>
      </c>
      <c r="E19" s="9" t="inlineStr">
        <is>
          <t>calcul auto</t>
        </is>
      </c>
    </row>
    <row r="20" ht="15" customHeight="1">
      <c r="B20" s="7" t="inlineStr">
        <is>
          <t>Intensité / CA (tCO2e/M€)</t>
        </is>
      </c>
      <c r="C20" s="10">
        <f>IF(C9&gt;0,C19/(C9/1000000),0)</f>
        <v/>
      </c>
      <c r="D20" s="9" t="inlineStr">
        <is>
          <t>tCO2e/M€</t>
        </is>
      </c>
      <c r="E20" s="9" t="inlineStr">
        <is>
          <t>calcul auto</t>
        </is>
      </c>
    </row>
    <row r="21" ht="15" customHeight="1">
      <c r="B21" s="145" t="inlineStr">
        <is>
          <t>DONNÉES ÉNERGIE</t>
        </is>
      </c>
      <c r="C21" s="226" t="n"/>
      <c r="D21" s="226" t="n"/>
      <c r="E21" s="227" t="n"/>
    </row>
    <row r="22" ht="15" customHeight="1">
      <c r="B22" s="7" t="inlineStr">
        <is>
          <t>Part énergie renouvelable (%)</t>
        </is>
      </c>
      <c r="C22" s="8" t="n">
        <v>0</v>
      </c>
      <c r="D22" s="9" t="inlineStr">
        <is>
          <t>%</t>
        </is>
      </c>
      <c r="E22" s="9" t="inlineStr">
        <is>
          <t>Energie!E20</t>
        </is>
      </c>
    </row>
    <row r="23" ht="15" customHeight="1">
      <c r="B23" s="7" t="inlineStr">
        <is>
          <t>Conso totale énergie (MWh)</t>
        </is>
      </c>
      <c r="C23" s="8" t="n">
        <v>0</v>
      </c>
      <c r="D23" s="9" t="inlineStr">
        <is>
          <t>MWh</t>
        </is>
      </c>
      <c r="E23" s="9" t="inlineStr">
        <is>
          <t>Energie!E19</t>
        </is>
      </c>
    </row>
    <row r="24" ht="15" customHeight="1">
      <c r="B24" s="145" t="inlineStr">
        <is>
          <t>DONNÉES TAXONOMIE / CBAM</t>
        </is>
      </c>
      <c r="C24" s="226" t="n"/>
      <c r="D24" s="226" t="n"/>
      <c r="E24" s="227" t="n"/>
    </row>
    <row r="25" ht="15" customHeight="1">
      <c r="B25" s="7" t="inlineStr">
        <is>
          <t>% CA aligné Taxonomie</t>
        </is>
      </c>
      <c r="C25" s="8" t="n">
        <v>0</v>
      </c>
      <c r="D25" s="9" t="inlineStr">
        <is>
          <t>%</t>
        </is>
      </c>
      <c r="E25" s="9" t="inlineStr">
        <is>
          <t>Taxonomie!E27</t>
        </is>
      </c>
    </row>
    <row r="26" ht="15" customHeight="1">
      <c r="B26" s="7" t="inlineStr">
        <is>
          <t>Coût CBAM estimé (€)</t>
        </is>
      </c>
      <c r="C26" s="8" t="n">
        <v>0</v>
      </c>
      <c r="D26" s="9" t="inlineStr">
        <is>
          <t>€</t>
        </is>
      </c>
      <c r="E26" s="9" t="inlineStr">
        <is>
          <t>CBAM!M24</t>
        </is>
      </c>
    </row>
    <row r="27" ht="15" customHeight="1">
      <c r="B27" s="145" t="inlineStr">
        <is>
          <t>TRAJECTOIRE SBTi</t>
        </is>
      </c>
      <c r="C27" s="226" t="n"/>
      <c r="D27" s="226" t="n"/>
      <c r="E27" s="227" t="n"/>
    </row>
    <row r="28" ht="15" customHeight="1">
      <c r="B28" s="7" t="inlineStr">
        <is>
          <t>Objectif réduction S1+2 (%/an)</t>
        </is>
      </c>
      <c r="C28" s="7" t="n">
        <v>4.2</v>
      </c>
      <c r="D28" s="9" t="inlineStr">
        <is>
          <t>%</t>
        </is>
      </c>
      <c r="E28" s="9" t="inlineStr">
        <is>
          <t>Trajectoire_SBTi!B8</t>
        </is>
      </c>
    </row>
    <row r="29" ht="15" customHeight="1">
      <c r="B29" s="7" t="inlineStr">
        <is>
          <t>Objectif réduction S3 (%/an)</t>
        </is>
      </c>
      <c r="C29" s="7" t="n">
        <v>2.5</v>
      </c>
      <c r="D29" s="9" t="inlineStr">
        <is>
          <t>%</t>
        </is>
      </c>
      <c r="E29" s="9" t="inlineStr">
        <is>
          <t>Trajectoire_SBTi!B9</t>
        </is>
      </c>
    </row>
    <row r="30" ht="15.75" customHeight="1" thickBot="1"/>
    <row r="31" ht="15" customHeight="1" thickBot="1">
      <c r="B31" s="230" t="inlineStr">
        <is>
          <t>⚠️ Saisir les valeurs depuis votre fichier Calcul Carbone v2. Les cellules jaunes (bleu) sont des saisies utilisateur. Les cellules grises sont calculées automatiquement.</t>
        </is>
      </c>
      <c r="C31" s="217" t="n"/>
      <c r="D31" s="217" t="n"/>
      <c r="E31" s="219" t="n"/>
      <c r="F31" s="1" t="n"/>
      <c r="G31" s="1" t="n"/>
      <c r="H31" s="1" t="n"/>
      <c r="I31" s="1" t="n"/>
    </row>
  </sheetData>
  <mergeCells count="8">
    <mergeCell ref="B31:E31"/>
    <mergeCell ref="B27:E27"/>
    <mergeCell ref="A2:E2"/>
    <mergeCell ref="B6:E6"/>
    <mergeCell ref="B21:E21"/>
    <mergeCell ref="B24:E24"/>
    <mergeCell ref="B14:E14"/>
    <mergeCell ref="A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1B5E20"/>
    <outlinePr summaryBelow="1" summaryRight="1"/>
    <pageSetUpPr/>
  </sheetPr>
  <dimension ref="A1:K56"/>
  <sheetViews>
    <sheetView showGridLines="0" topLeftCell="A35" zoomScaleNormal="100" workbookViewId="0">
      <selection activeCell="E24" sqref="E24"/>
    </sheetView>
  </sheetViews>
  <sheetFormatPr baseColWidth="10" defaultColWidth="8.7109375" defaultRowHeight="15"/>
  <cols>
    <col width="3" customWidth="1" min="1" max="1"/>
    <col width="6" customWidth="1" min="2" max="2"/>
    <col width="30" customWidth="1" min="3" max="3"/>
    <col width="22" customWidth="1" min="4" max="4"/>
    <col width="21.140625" customWidth="1" min="5" max="5"/>
    <col width="14" customWidth="1" min="6" max="6"/>
    <col width="54" customWidth="1" min="7" max="7"/>
    <col width="10.42578125" customWidth="1" min="8" max="8"/>
    <col width="15.28515625" customWidth="1" min="10" max="10"/>
    <col width="18.28515625" customWidth="1" min="11" max="11"/>
  </cols>
  <sheetData>
    <row r="1" ht="15" customHeight="1" thickBot="1">
      <c r="J1" s="54" t="inlineStr">
        <is>
          <t>🏠 Sommaire</t>
        </is>
      </c>
      <c r="K1" s="54" t="inlineStr">
        <is>
          <t>📄 Couverture</t>
        </is>
      </c>
    </row>
    <row r="2" ht="32.25" customHeight="1" thickBot="1">
      <c r="A2" s="158" t="inlineStr">
        <is>
          <t>REPORTING VSME VOLONTAIRE — Conforme EFRAG / Commission européenne (juil. 2025)</t>
        </is>
      </c>
      <c r="B2" s="217" t="n"/>
      <c r="C2" s="217" t="n"/>
      <c r="D2" s="217" t="n"/>
      <c r="E2" s="217" t="n"/>
      <c r="F2" s="217" t="n"/>
      <c r="G2" s="229" t="n"/>
    </row>
    <row r="3" ht="15" customHeight="1" thickBot="1">
      <c r="A3" s="231" t="inlineStr">
        <is>
          <t>Norme volontaire pour les entreprises &lt;1 000 salariés exclues de la CSRD (Omnibus déc. 2025). Ce rapport structure votre réponse aux demandes ESG de vos donneurs d'ordre.</t>
        </is>
      </c>
      <c r="B3" s="217" t="n"/>
      <c r="C3" s="217" t="n"/>
      <c r="D3" s="217" t="n"/>
      <c r="E3" s="217" t="n"/>
      <c r="F3" s="217" t="n"/>
      <c r="G3" s="219" t="n"/>
    </row>
    <row r="5" ht="17.25" customHeight="1">
      <c r="A5" s="157" t="inlineStr">
        <is>
          <t>A — PROFIL ENTREPRISE</t>
        </is>
      </c>
      <c r="B5" s="226" t="n"/>
      <c r="C5" s="226" t="n"/>
      <c r="D5" s="226" t="n"/>
      <c r="E5" s="226" t="n"/>
      <c r="F5" s="226" t="n"/>
      <c r="G5" s="227" t="n"/>
    </row>
    <row r="6" ht="15" customHeight="1">
      <c r="A6" s="3" t="n"/>
      <c r="B6" s="3" t="inlineStr">
        <is>
          <t>#</t>
        </is>
      </c>
      <c r="C6" s="3" t="inlineStr">
        <is>
          <t>Indicateur VSME</t>
        </is>
      </c>
      <c r="D6" s="3" t="inlineStr">
        <is>
          <t>Valeur</t>
        </is>
      </c>
      <c r="E6" s="3" t="inlineStr">
        <is>
          <t>Unité</t>
        </is>
      </c>
      <c r="F6" s="3" t="inlineStr">
        <is>
          <t>Statut</t>
        </is>
      </c>
      <c r="G6" s="3" t="inlineStr">
        <is>
          <t>Source</t>
        </is>
      </c>
    </row>
    <row r="7" ht="15" customHeight="1">
      <c r="B7" s="11" t="n"/>
      <c r="C7" s="7" t="inlineStr">
        <is>
          <t>BP-1</t>
        </is>
      </c>
      <c r="D7" s="7" t="inlineStr">
        <is>
          <t>Raison sociale</t>
        </is>
      </c>
      <c r="E7" s="12">
        <f>Liaison_Donnees!C7</f>
        <v/>
      </c>
      <c r="F7" s="9" t="inlineStr">
        <is>
          <t>Texte</t>
        </is>
      </c>
      <c r="G7" s="13">
        <f>IF(E7&lt;&gt;"","✓ OK","⬜ À remplir")</f>
        <v/>
      </c>
      <c r="H7" s="1" t="inlineStr">
        <is>
          <t>Liaison</t>
        </is>
      </c>
    </row>
    <row r="8" ht="15" customHeight="1">
      <c r="B8" s="11" t="n"/>
      <c r="C8" s="7" t="inlineStr">
        <is>
          <t>BP-2</t>
        </is>
      </c>
      <c r="D8" s="7" t="inlineStr">
        <is>
          <t>Secteur d'activité / NAF</t>
        </is>
      </c>
      <c r="E8" s="12">
        <f>Liaison_Donnees!C11</f>
        <v/>
      </c>
      <c r="F8" s="9" t="inlineStr">
        <is>
          <t>Code NAF</t>
        </is>
      </c>
      <c r="G8" s="13">
        <f>IF(E8&lt;&gt;"","✓ OK","⬜ À remplir")</f>
        <v/>
      </c>
      <c r="H8" s="1" t="inlineStr">
        <is>
          <t>Liaison</t>
        </is>
      </c>
    </row>
    <row r="9" ht="15" customHeight="1">
      <c r="B9" s="11" t="n"/>
      <c r="C9" s="7" t="inlineStr">
        <is>
          <t>BP-3</t>
        </is>
      </c>
      <c r="D9" s="7" t="inlineStr">
        <is>
          <t>Effectifs (ETP)</t>
        </is>
      </c>
      <c r="E9" s="12">
        <f>Liaison_Donnees!C10</f>
        <v/>
      </c>
      <c r="F9" s="9" t="inlineStr">
        <is>
          <t>ETP</t>
        </is>
      </c>
      <c r="G9" s="13">
        <f>IF(E9&lt;&gt;"","✓ OK","⬜ À remplir")</f>
        <v/>
      </c>
      <c r="H9" s="1" t="inlineStr">
        <is>
          <t>Liaison</t>
        </is>
      </c>
    </row>
    <row r="10" ht="15" customHeight="1">
      <c r="B10" s="11" t="n"/>
      <c r="C10" s="7" t="inlineStr">
        <is>
          <t>BP-4</t>
        </is>
      </c>
      <c r="D10" s="7" t="inlineStr">
        <is>
          <t>Chiffre d'affaires net (€)</t>
        </is>
      </c>
      <c r="E10" s="12">
        <f>Liaison_Donnees!C9</f>
        <v/>
      </c>
      <c r="F10" s="9" t="inlineStr">
        <is>
          <t>€</t>
        </is>
      </c>
      <c r="G10" s="13">
        <f>IF(E10&lt;&gt;"","✓ OK","⬜ À remplir")</f>
        <v/>
      </c>
      <c r="H10" s="1" t="inlineStr">
        <is>
          <t>Liaison</t>
        </is>
      </c>
    </row>
    <row r="11" ht="15" customHeight="1">
      <c r="B11" s="11" t="n"/>
      <c r="C11" s="7" t="inlineStr">
        <is>
          <t>BP-5</t>
        </is>
      </c>
      <c r="D11" s="7" t="inlineStr">
        <is>
          <t>Exercice de reporting</t>
        </is>
      </c>
      <c r="E11" s="12">
        <f>Liaison_Donnees!C8</f>
        <v/>
      </c>
      <c r="F11" s="9" t="inlineStr">
        <is>
          <t>Année</t>
        </is>
      </c>
      <c r="G11" s="13">
        <f>IF(E11&lt;&gt;"","✓ OK","⬜ À remplir")</f>
        <v/>
      </c>
      <c r="H11" s="1" t="inlineStr">
        <is>
          <t>Liaison</t>
        </is>
      </c>
    </row>
    <row r="12" ht="15" customHeight="1">
      <c r="B12" s="11" t="n"/>
      <c r="C12" s="7" t="inlineStr">
        <is>
          <t>BP-6</t>
        </is>
      </c>
      <c r="D12" s="7" t="inlineStr">
        <is>
          <t>Pays principal d'activité</t>
        </is>
      </c>
      <c r="E12" s="8" t="n"/>
      <c r="F12" s="9" t="inlineStr">
        <is>
          <t>Texte</t>
        </is>
      </c>
      <c r="G12" s="13">
        <f>IF(E12&lt;&gt;"","✓ OK","⬜ À remplir")</f>
        <v/>
      </c>
      <c r="H12" s="1" t="inlineStr">
        <is>
          <t>Saisie</t>
        </is>
      </c>
    </row>
    <row r="13" ht="15" customHeight="1">
      <c r="B13" s="11" t="n"/>
      <c r="C13" s="7" t="inlineStr">
        <is>
          <t>BP-7</t>
        </is>
      </c>
      <c r="D13" s="7" t="inlineStr">
        <is>
          <t>Périmètre (sites inclus)</t>
        </is>
      </c>
      <c r="E13" s="8" t="n"/>
      <c r="F13" s="9" t="inlineStr">
        <is>
          <t>Texte</t>
        </is>
      </c>
      <c r="G13" s="13">
        <f>IF(E13&lt;&gt;"","✓ OK","⬜ À remplir")</f>
        <v/>
      </c>
      <c r="H13" s="1" t="inlineStr">
        <is>
          <t>Saisie</t>
        </is>
      </c>
    </row>
    <row r="15" ht="17.25" customHeight="1">
      <c r="A15" s="157" t="inlineStr">
        <is>
          <t>B — ENVIRONNEMENT (E)</t>
        </is>
      </c>
      <c r="B15" s="226" t="n"/>
      <c r="C15" s="226" t="n"/>
      <c r="D15" s="226" t="n"/>
      <c r="E15" s="226" t="n"/>
      <c r="F15" s="226" t="n"/>
      <c r="G15" s="227" t="n"/>
    </row>
    <row r="16" ht="15" customHeight="1">
      <c r="A16" s="3" t="n"/>
      <c r="B16" s="3" t="inlineStr">
        <is>
          <t>#</t>
        </is>
      </c>
      <c r="C16" s="3" t="inlineStr">
        <is>
          <t>Indicateur VSME</t>
        </is>
      </c>
      <c r="D16" s="3" t="inlineStr">
        <is>
          <t>Valeur</t>
        </is>
      </c>
      <c r="E16" s="3" t="inlineStr">
        <is>
          <t>Unité</t>
        </is>
      </c>
      <c r="F16" s="3" t="inlineStr">
        <is>
          <t>Statut</t>
        </is>
      </c>
      <c r="G16" s="3" t="inlineStr">
        <is>
          <t>Source</t>
        </is>
      </c>
    </row>
    <row r="17" ht="15" customHeight="1">
      <c r="B17" s="11" t="n"/>
      <c r="C17" s="7" t="inlineStr">
        <is>
          <t>E-1</t>
        </is>
      </c>
      <c r="D17" s="7" t="inlineStr">
        <is>
          <t>Émissions GES Scope 1 (tCO2e)</t>
        </is>
      </c>
      <c r="E17" s="12">
        <f>Liaison_Donnees!C15</f>
        <v/>
      </c>
      <c r="F17" s="9" t="inlineStr">
        <is>
          <t>tCO2e</t>
        </is>
      </c>
      <c r="G17" s="13">
        <f>IF(E17&lt;&gt;"","✓ OK","⬜ À remplir")</f>
        <v/>
      </c>
    </row>
    <row r="18" ht="15" customHeight="1">
      <c r="B18" s="11" t="n"/>
      <c r="C18" s="7" t="inlineStr">
        <is>
          <t>E-2</t>
        </is>
      </c>
      <c r="D18" s="7" t="inlineStr">
        <is>
          <t>Émissions GES Scope 2 LB (tCO2e)</t>
        </is>
      </c>
      <c r="E18" s="12">
        <f>Liaison_Donnees!C16</f>
        <v/>
      </c>
      <c r="F18" s="9" t="inlineStr">
        <is>
          <t>tCO2e</t>
        </is>
      </c>
      <c r="G18" s="13">
        <f>IF(E18&lt;&gt;"","✓ OK","⬜ À remplir")</f>
        <v/>
      </c>
    </row>
    <row r="19" ht="15" customHeight="1">
      <c r="B19" s="11" t="n"/>
      <c r="C19" s="7" t="inlineStr">
        <is>
          <t>E-3</t>
        </is>
      </c>
      <c r="D19" s="7" t="inlineStr">
        <is>
          <t>Émissions GES Scope 2 MB (tCO2e)</t>
        </is>
      </c>
      <c r="E19" s="12">
        <f>Liaison_Donnees!C17</f>
        <v/>
      </c>
      <c r="F19" s="9" t="inlineStr">
        <is>
          <t>tCO2e</t>
        </is>
      </c>
      <c r="G19" s="13">
        <f>IF(E19&lt;&gt;"","✓ OK","⬜ À remplir")</f>
        <v/>
      </c>
    </row>
    <row r="20" ht="15" customHeight="1">
      <c r="B20" s="11" t="n"/>
      <c r="C20" s="7" t="inlineStr">
        <is>
          <t>E-4</t>
        </is>
      </c>
      <c r="D20" s="7" t="inlineStr">
        <is>
          <t>Émissions GES Scope 3 (tCO2e)</t>
        </is>
      </c>
      <c r="E20" s="12">
        <f>Liaison_Donnees!C18</f>
        <v/>
      </c>
      <c r="F20" s="9" t="inlineStr">
        <is>
          <t>tCO2e</t>
        </is>
      </c>
      <c r="G20" s="13">
        <f>IF(E20&lt;&gt;"","✓ OK","⬜ À remplir")</f>
        <v/>
      </c>
    </row>
    <row r="21" ht="15" customHeight="1">
      <c r="B21" s="11" t="n"/>
      <c r="C21" s="7" t="inlineStr">
        <is>
          <t>E-5</t>
        </is>
      </c>
      <c r="D21" s="7" t="inlineStr">
        <is>
          <t>Total GES (tCO2e)</t>
        </is>
      </c>
      <c r="E21" s="10">
        <f>Liaison_Donnees!C19</f>
        <v/>
      </c>
      <c r="F21" s="9" t="inlineStr">
        <is>
          <t>tCO2e</t>
        </is>
      </c>
      <c r="G21" s="13">
        <f>IF(E21&lt;&gt;"","✓ OK","⬜ À remplir")</f>
        <v/>
      </c>
    </row>
    <row r="22" ht="15" customHeight="1">
      <c r="B22" s="11" t="n"/>
      <c r="C22" s="7" t="inlineStr">
        <is>
          <t>E-6</t>
        </is>
      </c>
      <c r="D22" s="7" t="inlineStr">
        <is>
          <t>Intensité GES / CA (tCO2e/M€)</t>
        </is>
      </c>
      <c r="E22" s="10">
        <f>Liaison_Donnees!C20</f>
        <v/>
      </c>
      <c r="F22" s="9" t="inlineStr">
        <is>
          <t>tCO2e/M€</t>
        </is>
      </c>
      <c r="G22" s="13">
        <f>IF(E22&lt;&gt;"","✓ OK","⬜ À remplir")</f>
        <v/>
      </c>
    </row>
    <row r="23" ht="15" customHeight="1">
      <c r="B23" s="11" t="n"/>
      <c r="C23" s="7" t="inlineStr">
        <is>
          <t>E-7</t>
        </is>
      </c>
      <c r="D23" s="7" t="inlineStr">
        <is>
          <t>Consommation totale énergie (MWh)</t>
        </is>
      </c>
      <c r="E23" s="12">
        <f>Liaison_Donnees!C23</f>
        <v/>
      </c>
      <c r="F23" s="9" t="inlineStr">
        <is>
          <t>MWh</t>
        </is>
      </c>
      <c r="G23" s="13">
        <f>IF(E23&lt;&gt;"","✓ OK","⬜ À remplir")</f>
        <v/>
      </c>
    </row>
    <row r="24" ht="15" customHeight="1">
      <c r="B24" s="11" t="n"/>
      <c r="C24" s="7" t="inlineStr">
        <is>
          <t>E-8</t>
        </is>
      </c>
      <c r="D24" s="7" t="inlineStr">
        <is>
          <t>Part énergie renouvelable (%)</t>
        </is>
      </c>
      <c r="E24" s="12">
        <f>Liaison_Donnees!C22</f>
        <v/>
      </c>
      <c r="F24" s="9" t="inlineStr">
        <is>
          <t>%</t>
        </is>
      </c>
      <c r="G24" s="13">
        <f>IF(E24&lt;&gt;"","✓ OK","⬜ À remplir")</f>
        <v/>
      </c>
    </row>
    <row r="25" ht="15" customHeight="1">
      <c r="B25" s="11" t="n"/>
      <c r="C25" s="7" t="inlineStr">
        <is>
          <t>E-9</t>
        </is>
      </c>
      <c r="D25" s="7" t="inlineStr">
        <is>
          <t>Consommation eau totale (m³)</t>
        </is>
      </c>
      <c r="E25" s="8" t="n"/>
      <c r="F25" s="9" t="inlineStr">
        <is>
          <t>m³</t>
        </is>
      </c>
      <c r="G25" s="13">
        <f>IF(E25&lt;&gt;"","✓ OK","⬜ À remplir")</f>
        <v/>
      </c>
    </row>
    <row r="26" ht="15" customHeight="1">
      <c r="B26" s="11" t="n"/>
      <c r="C26" s="7" t="inlineStr">
        <is>
          <t>E-10</t>
        </is>
      </c>
      <c r="D26" s="7" t="inlineStr">
        <is>
          <t>Production de déchets (tonnes)</t>
        </is>
      </c>
      <c r="E26" s="8" t="n"/>
      <c r="F26" s="9" t="inlineStr">
        <is>
          <t>t</t>
        </is>
      </c>
      <c r="G26" s="13">
        <f>IF(E26&lt;&gt;"","✓ OK","⬜ À remplir")</f>
        <v/>
      </c>
    </row>
    <row r="27" ht="15" customHeight="1">
      <c r="B27" s="11" t="n"/>
      <c r="C27" s="7" t="inlineStr">
        <is>
          <t>E-11</t>
        </is>
      </c>
      <c r="D27" s="7" t="inlineStr">
        <is>
          <t>Taux valorisation déchets (%)</t>
        </is>
      </c>
      <c r="E27" s="8" t="n"/>
      <c r="F27" s="9" t="inlineStr">
        <is>
          <t>%</t>
        </is>
      </c>
      <c r="G27" s="13">
        <f>IF(E27&lt;&gt;"","✓ OK","⬜ À remplir")</f>
        <v/>
      </c>
    </row>
    <row r="28" ht="15" customHeight="1">
      <c r="B28" s="11" t="n"/>
      <c r="C28" s="7" t="inlineStr">
        <is>
          <t>E-12</t>
        </is>
      </c>
      <c r="D28" s="7" t="inlineStr">
        <is>
          <t>Plan de réduction GES adopté (O/N)</t>
        </is>
      </c>
      <c r="E28" s="8" t="n"/>
      <c r="F28" s="9" t="inlineStr">
        <is>
          <t>O/N</t>
        </is>
      </c>
      <c r="G28" s="13">
        <f>IF(E28&lt;&gt;"","✓ OK","⬜ À remplir")</f>
        <v/>
      </c>
    </row>
    <row r="30" ht="17.25" customHeight="1">
      <c r="A30" s="157" t="inlineStr">
        <is>
          <t>C — SOCIAL (S)</t>
        </is>
      </c>
      <c r="B30" s="226" t="n"/>
      <c r="C30" s="226" t="n"/>
      <c r="D30" s="226" t="n"/>
      <c r="E30" s="226" t="n"/>
      <c r="F30" s="226" t="n"/>
      <c r="G30" s="227" t="n"/>
    </row>
    <row r="31" ht="15" customHeight="1">
      <c r="A31" s="3" t="n"/>
      <c r="B31" s="3" t="inlineStr">
        <is>
          <t>#</t>
        </is>
      </c>
      <c r="C31" s="3" t="inlineStr">
        <is>
          <t>Indicateur VSME</t>
        </is>
      </c>
      <c r="D31" s="3" t="inlineStr">
        <is>
          <t>Valeur</t>
        </is>
      </c>
      <c r="E31" s="3" t="inlineStr">
        <is>
          <t>Unité</t>
        </is>
      </c>
      <c r="F31" s="3" t="inlineStr">
        <is>
          <t>Statut</t>
        </is>
      </c>
      <c r="G31" s="3" t="inlineStr">
        <is>
          <t>Source</t>
        </is>
      </c>
    </row>
    <row r="32" ht="15" customHeight="1">
      <c r="B32" s="11" t="n"/>
      <c r="C32" s="7" t="inlineStr">
        <is>
          <t>S-1</t>
        </is>
      </c>
      <c r="D32" s="7" t="inlineStr">
        <is>
          <t>Effectif total au 31/12</t>
        </is>
      </c>
      <c r="E32" s="8" t="n"/>
      <c r="F32" s="9" t="n"/>
      <c r="G32" s="13">
        <f>IF(E32&lt;&gt;"","✓ OK","⬜ À remplir")</f>
        <v/>
      </c>
    </row>
    <row r="33" ht="15" customHeight="1">
      <c r="B33" s="11" t="n"/>
      <c r="C33" s="7" t="inlineStr">
        <is>
          <t>S-2</t>
        </is>
      </c>
      <c r="D33" s="7" t="inlineStr">
        <is>
          <t>% CDI / Total</t>
        </is>
      </c>
      <c r="E33" s="8" t="n"/>
      <c r="F33" s="9" t="n"/>
      <c r="G33" s="13">
        <f>IF(E33&lt;&gt;"","✓ OK","⬜ À remplir")</f>
        <v/>
      </c>
    </row>
    <row r="34" ht="15" customHeight="1">
      <c r="B34" s="11" t="n"/>
      <c r="C34" s="7" t="inlineStr">
        <is>
          <t>S-3</t>
        </is>
      </c>
      <c r="D34" s="7" t="inlineStr">
        <is>
          <t>Taux de rotation du personnel (%)</t>
        </is>
      </c>
      <c r="E34" s="8" t="n"/>
      <c r="F34" s="9" t="n"/>
      <c r="G34" s="13">
        <f>IF(E34&lt;&gt;"","✓ OK","⬜ À remplir")</f>
        <v/>
      </c>
    </row>
    <row r="35" ht="15" customHeight="1">
      <c r="B35" s="11" t="n"/>
      <c r="C35" s="7" t="inlineStr">
        <is>
          <t>S-4</t>
        </is>
      </c>
      <c r="D35" s="7" t="inlineStr">
        <is>
          <t>Taux d'accidents du travail (LTIR)</t>
        </is>
      </c>
      <c r="E35" s="8" t="n"/>
      <c r="F35" s="9" t="n"/>
      <c r="G35" s="13">
        <f>IF(E35&lt;&gt;"","✓ OK","⬜ À remplir")</f>
        <v/>
      </c>
    </row>
    <row r="36" ht="15" customHeight="1">
      <c r="B36" s="11" t="n"/>
      <c r="C36" s="7" t="inlineStr">
        <is>
          <t>S-5</t>
        </is>
      </c>
      <c r="D36" s="7" t="inlineStr">
        <is>
          <t>Heures de formation / ETP</t>
        </is>
      </c>
      <c r="E36" s="8" t="n"/>
      <c r="F36" s="9" t="n"/>
      <c r="G36" s="13">
        <f>IF(E36&lt;&gt;"","✓ OK","⬜ À remplir")</f>
        <v/>
      </c>
    </row>
    <row r="37" ht="15" customHeight="1">
      <c r="B37" s="11" t="n"/>
      <c r="C37" s="7" t="inlineStr">
        <is>
          <t>S-6</t>
        </is>
      </c>
      <c r="D37" s="7" t="inlineStr">
        <is>
          <t>Écart de rémunération H/F (%)</t>
        </is>
      </c>
      <c r="E37" s="8" t="n"/>
      <c r="F37" s="9" t="n"/>
      <c r="G37" s="13">
        <f>IF(E37&lt;&gt;"","✓ OK","⬜ À remplir")</f>
        <v/>
      </c>
    </row>
    <row r="38" ht="15" customHeight="1">
      <c r="B38" s="11" t="n"/>
      <c r="C38" s="7" t="inlineStr">
        <is>
          <t>S-7</t>
        </is>
      </c>
      <c r="D38" s="7" t="inlineStr">
        <is>
          <t>% femmes dans l'encadrement</t>
        </is>
      </c>
      <c r="E38" s="8" t="n"/>
      <c r="F38" s="9" t="n"/>
      <c r="G38" s="13">
        <f>IF(E38&lt;&gt;"","✓ OK","⬜ À remplir")</f>
        <v/>
      </c>
    </row>
    <row r="39" ht="15" customHeight="1">
      <c r="B39" s="11" t="n"/>
      <c r="C39" s="7" t="inlineStr">
        <is>
          <t>S-8</t>
        </is>
      </c>
      <c r="D39" s="7" t="inlineStr">
        <is>
          <t>Politique diversité &amp; inclusion (O/N)</t>
        </is>
      </c>
      <c r="E39" s="8" t="n"/>
      <c r="F39" s="9" t="n"/>
      <c r="G39" s="13">
        <f>IF(E39&lt;&gt;"","✓ OK","⬜ À remplir")</f>
        <v/>
      </c>
    </row>
    <row r="40" ht="15" customHeight="1">
      <c r="B40" s="11" t="n"/>
      <c r="C40" s="7" t="inlineStr">
        <is>
          <t>S-9</t>
        </is>
      </c>
      <c r="D40" s="7" t="inlineStr">
        <is>
          <t>Mécanisme de dialogue social (O/N)</t>
        </is>
      </c>
      <c r="E40" s="8" t="n"/>
      <c r="F40" s="9" t="n"/>
      <c r="G40" s="13">
        <f>IF(E40&lt;&gt;"","✓ OK","⬜ À remplir")</f>
        <v/>
      </c>
    </row>
    <row r="41" ht="15" customHeight="1">
      <c r="B41" s="11" t="n"/>
      <c r="C41" s="7" t="inlineStr">
        <is>
          <t>S-10</t>
        </is>
      </c>
      <c r="D41" s="7" t="inlineStr">
        <is>
          <t>Nb de litiges sociaux en cours</t>
        </is>
      </c>
      <c r="E41" s="8" t="n"/>
      <c r="F41" s="9" t="n"/>
      <c r="G41" s="13">
        <f>IF(E41&lt;&gt;"","✓ OK","⬜ À remplir")</f>
        <v/>
      </c>
    </row>
    <row r="43" ht="17.25" customHeight="1">
      <c r="A43" s="157" t="inlineStr">
        <is>
          <t>D — GOUVERNANCE (G)</t>
        </is>
      </c>
      <c r="B43" s="226" t="n"/>
      <c r="C43" s="226" t="n"/>
      <c r="D43" s="226" t="n"/>
      <c r="E43" s="226" t="n"/>
      <c r="F43" s="226" t="n"/>
      <c r="G43" s="227" t="n"/>
    </row>
    <row r="44" ht="15" customHeight="1">
      <c r="A44" s="3" t="n"/>
      <c r="B44" s="3" t="inlineStr">
        <is>
          <t>#</t>
        </is>
      </c>
      <c r="C44" s="3" t="inlineStr">
        <is>
          <t>Indicateur VSME</t>
        </is>
      </c>
      <c r="D44" s="3" t="inlineStr">
        <is>
          <t>Valeur</t>
        </is>
      </c>
      <c r="E44" s="3" t="inlineStr">
        <is>
          <t>Unité</t>
        </is>
      </c>
      <c r="F44" s="3" t="inlineStr">
        <is>
          <t>Statut</t>
        </is>
      </c>
      <c r="G44" s="3" t="inlineStr">
        <is>
          <t>Source</t>
        </is>
      </c>
    </row>
    <row r="45" ht="15" customHeight="1">
      <c r="B45" s="11" t="n"/>
      <c r="C45" s="7" t="inlineStr">
        <is>
          <t>G-1</t>
        </is>
      </c>
      <c r="D45" s="7" t="inlineStr">
        <is>
          <t>Politique anti-corruption adoptée (O/N)</t>
        </is>
      </c>
      <c r="E45" s="8" t="n"/>
      <c r="F45" s="9" t="n"/>
      <c r="G45" s="13">
        <f>IF(E45&lt;&gt;"","✓ OK","⬜ À remplir")</f>
        <v/>
      </c>
    </row>
    <row r="46" ht="15" customHeight="1">
      <c r="B46" s="11" t="n"/>
      <c r="C46" s="7" t="inlineStr">
        <is>
          <t>G-2</t>
        </is>
      </c>
      <c r="D46" s="7" t="inlineStr">
        <is>
          <t>Formation éthique des affaires (O/N)</t>
        </is>
      </c>
      <c r="E46" s="8" t="n"/>
      <c r="F46" s="9" t="n"/>
      <c r="G46" s="13">
        <f>IF(E46&lt;&gt;"","✓ OK","⬜ À remplir")</f>
        <v/>
      </c>
    </row>
    <row r="47" ht="15" customHeight="1">
      <c r="B47" s="11" t="n"/>
      <c r="C47" s="7" t="inlineStr">
        <is>
          <t>G-3</t>
        </is>
      </c>
      <c r="D47" s="7" t="inlineStr">
        <is>
          <t>Canal de signalement (lanceurs d'alerte) (O/N)</t>
        </is>
      </c>
      <c r="E47" s="8" t="n"/>
      <c r="F47" s="9" t="n"/>
      <c r="G47" s="13">
        <f>IF(E47&lt;&gt;"","✓ OK","⬜ À remplir")</f>
        <v/>
      </c>
    </row>
    <row r="48" ht="15" customHeight="1">
      <c r="B48" s="11" t="n"/>
      <c r="C48" s="7" t="inlineStr">
        <is>
          <t>G-4</t>
        </is>
      </c>
      <c r="D48" s="7" t="inlineStr">
        <is>
          <t>% membres CA indépendants</t>
        </is>
      </c>
      <c r="E48" s="8" t="n"/>
      <c r="F48" s="9" t="n"/>
      <c r="G48" s="13">
        <f>IF(E48&lt;&gt;"","✓ OK","⬜ À remplir")</f>
        <v/>
      </c>
    </row>
    <row r="49" ht="15" customHeight="1">
      <c r="B49" s="11" t="n"/>
      <c r="C49" s="7" t="inlineStr">
        <is>
          <t>G-5</t>
        </is>
      </c>
      <c r="D49" s="7" t="inlineStr">
        <is>
          <t>Politique de protection des données (O/N)</t>
        </is>
      </c>
      <c r="E49" s="8" t="n"/>
      <c r="F49" s="9" t="n"/>
      <c r="G49" s="13">
        <f>IF(E49&lt;&gt;"","✓ OK","⬜ À remplir")</f>
        <v/>
      </c>
    </row>
    <row r="52" ht="17.25" customHeight="1" thickBot="1">
      <c r="A52" s="157" t="inlineStr">
        <is>
          <t>E — SCORE DE COMPLÉTUDE VSME</t>
        </is>
      </c>
      <c r="B52" s="226" t="n"/>
      <c r="C52" s="226" t="n"/>
      <c r="D52" s="226" t="n"/>
      <c r="E52" s="226" t="n"/>
      <c r="F52" s="226" t="n"/>
      <c r="G52" s="227" t="n"/>
    </row>
    <row r="53" ht="17.25" customHeight="1">
      <c r="B53" s="232" t="inlineStr">
        <is>
          <t>Indicateurs complétés</t>
        </is>
      </c>
      <c r="C53" s="210" t="n"/>
      <c r="D53" s="211" t="n"/>
      <c r="E53" s="55">
        <f>COUNTIF(G7:G51,"✓ OK")</f>
        <v/>
      </c>
    </row>
    <row r="54" ht="15" customHeight="1">
      <c r="B54" s="233" t="inlineStr">
        <is>
          <t>Total indicateurs VSME</t>
        </is>
      </c>
      <c r="C54" s="234" t="n"/>
      <c r="D54" s="235" t="n"/>
      <c r="E54" s="56">
        <f>COUNTA(C7:C51)-COUNTBLANK(C7:C51)</f>
        <v/>
      </c>
    </row>
    <row r="55" ht="19.5" customHeight="1">
      <c r="B55" s="236" t="inlineStr">
        <is>
          <t>Score de complétude (%)</t>
        </is>
      </c>
      <c r="C55" s="234" t="n"/>
      <c r="D55" s="235" t="n"/>
      <c r="E55" s="237">
        <f>IF(E54&gt;0,E53/E54*100,0)</f>
        <v/>
      </c>
    </row>
    <row r="56" ht="15" customHeight="1" thickBot="1">
      <c r="B56" s="238" t="inlineStr">
        <is>
          <t>Statut</t>
        </is>
      </c>
      <c r="C56" s="239" t="n"/>
      <c r="D56" s="240" t="n"/>
      <c r="E56" s="58">
        <f>IF(E55&gt;=80,"✅ Prêt pour envoi",IF(E55&gt;=50,"⚠️ Partiel — compléter","❌ Insuffisant"))</f>
        <v/>
      </c>
    </row>
  </sheetData>
  <mergeCells count="11">
    <mergeCell ref="A3:G3"/>
    <mergeCell ref="B56:D56"/>
    <mergeCell ref="A30:G30"/>
    <mergeCell ref="A2:G2"/>
    <mergeCell ref="A15:G15"/>
    <mergeCell ref="B53:D53"/>
    <mergeCell ref="A52:G52"/>
    <mergeCell ref="A43:G43"/>
    <mergeCell ref="B55:D55"/>
    <mergeCell ref="B54:D54"/>
    <mergeCell ref="A5:G5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E65100"/>
    <outlinePr summaryBelow="1" summaryRight="1"/>
    <pageSetUpPr/>
  </sheetPr>
  <dimension ref="A1:M33"/>
  <sheetViews>
    <sheetView showGridLines="0" zoomScaleNormal="100" workbookViewId="0">
      <selection activeCell="H41" sqref="H41"/>
    </sheetView>
  </sheetViews>
  <sheetFormatPr baseColWidth="10" defaultColWidth="8.7109375" defaultRowHeight="15"/>
  <cols>
    <col width="3" customWidth="1" min="1" max="1"/>
    <col width="6" customWidth="1" min="2" max="2"/>
    <col width="28" customWidth="1" min="3" max="3"/>
    <col width="29.85546875" customWidth="1" min="4" max="4"/>
    <col width="14" customWidth="1" min="5" max="5"/>
    <col width="16" customWidth="1" min="6" max="8"/>
    <col width="29.7109375" customWidth="1" min="9" max="9"/>
    <col width="17.28515625" customWidth="1" min="10" max="10"/>
    <col width="22" customWidth="1" min="11" max="11"/>
    <col width="13.5703125" customWidth="1" min="12" max="12"/>
    <col width="14" customWidth="1" min="13" max="13"/>
  </cols>
  <sheetData>
    <row r="1" ht="15" customHeight="1" thickBot="1">
      <c r="J1" s="54" t="inlineStr">
        <is>
          <t>🏠 Sommaire</t>
        </is>
      </c>
      <c r="K1" s="54" t="inlineStr">
        <is>
          <t>📄 Couverture</t>
        </is>
      </c>
    </row>
    <row r="2" ht="17.25" customHeight="1" thickBot="1">
      <c r="A2" s="174" t="inlineStr">
        <is>
          <t>ANALYSE DE DOUBLE MATÉRIALITÉ — ESRS 1 §3 / EFRAG IG 1</t>
        </is>
      </c>
      <c r="B2" s="217" t="n"/>
      <c r="C2" s="217" t="n"/>
      <c r="D2" s="217" t="n"/>
      <c r="E2" s="217" t="n"/>
      <c r="F2" s="217" t="n"/>
      <c r="G2" s="217" t="n"/>
      <c r="H2" s="217" t="n"/>
      <c r="I2" s="217" t="n"/>
      <c r="J2" s="217" t="n"/>
      <c r="K2" s="229" t="n"/>
    </row>
    <row r="3" ht="15" customHeight="1">
      <c r="A3" s="177" t="inlineStr">
        <is>
          <t>Évaluez chaque enjeu ESG sur deux dimensions : Impact (effets sur l'environnement/société) et Financier (risques/opportunités pour l'entreprise). Score 1 à 5. Matériel si ≥3 sur au moins un axe.</t>
        </is>
      </c>
      <c r="B3" s="210" t="n"/>
      <c r="C3" s="210" t="n"/>
      <c r="D3" s="210" t="n"/>
      <c r="E3" s="210" t="n"/>
      <c r="F3" s="210" t="n"/>
      <c r="G3" s="210" t="n"/>
      <c r="H3" s="210" t="n"/>
      <c r="I3" s="210" t="n"/>
      <c r="J3" s="210" t="n"/>
      <c r="K3" s="210" t="n"/>
    </row>
    <row r="4" ht="15.75" customHeight="1" thickBot="1"/>
    <row r="5" ht="15" customHeight="1" thickBot="1">
      <c r="B5" s="241" t="inlineStr">
        <is>
          <t>ÉCHELLE DE NOTATION</t>
        </is>
      </c>
      <c r="C5" s="219" t="n"/>
    </row>
    <row r="6" ht="15" customHeight="1" thickBot="1">
      <c r="B6" s="242" t="inlineStr">
        <is>
          <t>1 = Négligeable</t>
        </is>
      </c>
      <c r="C6" s="219" t="n"/>
    </row>
    <row r="7" ht="15" customHeight="1" thickBot="1">
      <c r="B7" s="242" t="inlineStr">
        <is>
          <t>2 = Faible</t>
        </is>
      </c>
      <c r="C7" s="219" t="n"/>
    </row>
    <row r="8" ht="15" customHeight="1" thickBot="1">
      <c r="B8" s="242" t="inlineStr">
        <is>
          <t>3 = Modéré</t>
        </is>
      </c>
      <c r="C8" s="219" t="n"/>
    </row>
    <row r="9" ht="15" customHeight="1" thickBot="1">
      <c r="B9" s="242" t="inlineStr">
        <is>
          <t>4 = Significatif</t>
        </is>
      </c>
      <c r="C9" s="219" t="n"/>
    </row>
    <row r="10" ht="15" customHeight="1" thickBot="1">
      <c r="B10" s="242" t="inlineStr">
        <is>
          <t>5 = Majeur</t>
        </is>
      </c>
      <c r="C10" s="219" t="n"/>
    </row>
    <row r="12" ht="23.25" customHeight="1">
      <c r="A12" s="14" t="n"/>
      <c r="B12" s="14" t="inlineStr">
        <is>
          <t>#</t>
        </is>
      </c>
      <c r="C12" s="14" t="inlineStr">
        <is>
          <t>Enjeu ESG</t>
        </is>
      </c>
      <c r="D12" s="14" t="inlineStr">
        <is>
          <t>Catégorie</t>
        </is>
      </c>
      <c r="E12" s="14" t="inlineStr">
        <is>
          <t>Norme ESRS</t>
        </is>
      </c>
      <c r="F12" s="14" t="inlineStr">
        <is>
          <t>Sévérité (1-5)</t>
        </is>
      </c>
      <c r="G12" s="14" t="inlineStr">
        <is>
          <t>Probabilité (1-5)</t>
        </is>
      </c>
      <c r="H12" s="14" t="inlineStr">
        <is>
          <t>Score Impact</t>
        </is>
      </c>
      <c r="I12" s="14" t="inlineStr">
        <is>
          <t>Risque fin. (1-5)</t>
        </is>
      </c>
      <c r="J12" s="14" t="inlineStr">
        <is>
          <t>Opport. fin. (1-5)</t>
        </is>
      </c>
      <c r="K12" s="14" t="inlineStr">
        <is>
          <t>Score Financier</t>
        </is>
      </c>
      <c r="L12" s="14" t="inlineStr">
        <is>
          <t>Score Fin.</t>
        </is>
      </c>
      <c r="M12" s="14" t="inlineStr">
        <is>
          <t>Matériel ?</t>
        </is>
      </c>
    </row>
    <row r="13" ht="15" customHeight="1">
      <c r="B13" s="11" t="n"/>
      <c r="C13" s="7" t="inlineStr">
        <is>
          <t>E1</t>
        </is>
      </c>
      <c r="D13" s="7" t="inlineStr">
        <is>
          <t>Changement climatique</t>
        </is>
      </c>
      <c r="E13" s="15" t="inlineStr">
        <is>
          <t>Environnement</t>
        </is>
      </c>
      <c r="F13" s="7" t="inlineStr">
        <is>
          <t>ESRS E1</t>
        </is>
      </c>
      <c r="G13" s="16" t="n"/>
      <c r="H13" s="16" t="n"/>
      <c r="I13" s="243">
        <f>IF(AND(G13&lt;&gt;"",H13&lt;&gt;""),G13*0.6+H13*0.4,"")</f>
        <v/>
      </c>
      <c r="J13" s="16" t="n"/>
      <c r="K13" s="16" t="n"/>
      <c r="L13" s="243">
        <f>IF(AND(J13&lt;&gt;"",K13&lt;&gt;""),J13*0.5+K13*0.5,"")</f>
        <v/>
      </c>
      <c r="M13" s="18">
        <f>IF(OR(I13&lt;&gt;"",L13&lt;&gt;""),IF(OR(I13&gt;=3,L13&gt;=3),"OUI","NON"),"")</f>
        <v/>
      </c>
    </row>
    <row r="14" ht="15" customHeight="1">
      <c r="B14" s="11" t="n"/>
      <c r="C14" s="7" t="inlineStr">
        <is>
          <t>E2</t>
        </is>
      </c>
      <c r="D14" s="7" t="inlineStr">
        <is>
          <t>Pollution</t>
        </is>
      </c>
      <c r="E14" s="15" t="inlineStr">
        <is>
          <t>Environnement</t>
        </is>
      </c>
      <c r="F14" s="7" t="inlineStr">
        <is>
          <t>ESRS E2</t>
        </is>
      </c>
      <c r="G14" s="16" t="n"/>
      <c r="H14" s="16" t="n"/>
      <c r="I14" s="243">
        <f>IF(AND(G14&lt;&gt;"",H14&lt;&gt;""),G14*0.6+H14*0.4,"")</f>
        <v/>
      </c>
      <c r="J14" s="16" t="n"/>
      <c r="K14" s="16" t="n"/>
      <c r="L14" s="243">
        <f>IF(AND(J14&lt;&gt;"",K14&lt;&gt;""),J14*0.5+K14*0.5,"")</f>
        <v/>
      </c>
      <c r="M14" s="18">
        <f>IF(OR(I14&lt;&gt;"",L14&lt;&gt;""),IF(OR(I14&gt;=3,L14&gt;=3),"OUI","NON"),"")</f>
        <v/>
      </c>
    </row>
    <row r="15" ht="15" customHeight="1">
      <c r="B15" s="11" t="n"/>
      <c r="C15" s="7" t="inlineStr">
        <is>
          <t>E3</t>
        </is>
      </c>
      <c r="D15" s="7" t="inlineStr">
        <is>
          <t>Eau et ressources marines</t>
        </is>
      </c>
      <c r="E15" s="15" t="inlineStr">
        <is>
          <t>Environnement</t>
        </is>
      </c>
      <c r="F15" s="7" t="inlineStr">
        <is>
          <t>ESRS E3</t>
        </is>
      </c>
      <c r="G15" s="16" t="n"/>
      <c r="H15" s="16" t="n"/>
      <c r="I15" s="243">
        <f>IF(AND(G15&lt;&gt;"",H15&lt;&gt;""),G15*0.6+H15*0.4,"")</f>
        <v/>
      </c>
      <c r="J15" s="16" t="n"/>
      <c r="K15" s="16" t="n"/>
      <c r="L15" s="243">
        <f>IF(AND(J15&lt;&gt;"",K15&lt;&gt;""),J15*0.5+K15*0.5,"")</f>
        <v/>
      </c>
      <c r="M15" s="18">
        <f>IF(OR(I15&lt;&gt;"",L15&lt;&gt;""),IF(OR(I15&gt;=3,L15&gt;=3),"OUI","NON"),"")</f>
        <v/>
      </c>
    </row>
    <row r="16" ht="15" customHeight="1">
      <c r="B16" s="11" t="n"/>
      <c r="C16" s="7" t="inlineStr">
        <is>
          <t>E4</t>
        </is>
      </c>
      <c r="D16" s="7" t="inlineStr">
        <is>
          <t>Biodiversité et écosystèmes</t>
        </is>
      </c>
      <c r="E16" s="15" t="inlineStr">
        <is>
          <t>Environnement</t>
        </is>
      </c>
      <c r="F16" s="7" t="inlineStr">
        <is>
          <t>ESRS E4</t>
        </is>
      </c>
      <c r="G16" s="16" t="n"/>
      <c r="H16" s="16" t="n"/>
      <c r="I16" s="243">
        <f>IF(AND(G16&lt;&gt;"",H16&lt;&gt;""),G16*0.6+H16*0.4,"")</f>
        <v/>
      </c>
      <c r="J16" s="16" t="n"/>
      <c r="K16" s="16" t="n"/>
      <c r="L16" s="243">
        <f>IF(AND(J16&lt;&gt;"",K16&lt;&gt;""),J16*0.5+K16*0.5,"")</f>
        <v/>
      </c>
      <c r="M16" s="18">
        <f>IF(OR(I16&lt;&gt;"",L16&lt;&gt;""),IF(OR(I16&gt;=3,L16&gt;=3),"OUI","NON"),"")</f>
        <v/>
      </c>
    </row>
    <row r="17" ht="15" customHeight="1">
      <c r="B17" s="11" t="n"/>
      <c r="C17" s="7" t="inlineStr">
        <is>
          <t>E5</t>
        </is>
      </c>
      <c r="D17" s="7" t="inlineStr">
        <is>
          <t>Économie circulaire</t>
        </is>
      </c>
      <c r="E17" s="15" t="inlineStr">
        <is>
          <t>Environnement</t>
        </is>
      </c>
      <c r="F17" s="7" t="inlineStr">
        <is>
          <t>ESRS E5</t>
        </is>
      </c>
      <c r="G17" s="16" t="n"/>
      <c r="H17" s="16" t="n"/>
      <c r="I17" s="243">
        <f>IF(AND(G17&lt;&gt;"",H17&lt;&gt;""),G17*0.6+H17*0.4,"")</f>
        <v/>
      </c>
      <c r="J17" s="16" t="n"/>
      <c r="K17" s="16" t="n"/>
      <c r="L17" s="243">
        <f>IF(AND(J17&lt;&gt;"",K17&lt;&gt;""),J17*0.5+K17*0.5,"")</f>
        <v/>
      </c>
      <c r="M17" s="18">
        <f>IF(OR(I17&lt;&gt;"",L17&lt;&gt;""),IF(OR(I17&gt;=3,L17&gt;=3),"OUI","NON"),"")</f>
        <v/>
      </c>
    </row>
    <row r="18" ht="15" customHeight="1">
      <c r="B18" s="11" t="n"/>
      <c r="C18" s="7" t="inlineStr">
        <is>
          <t>S1</t>
        </is>
      </c>
      <c r="D18" s="7" t="inlineStr">
        <is>
          <t>Effectifs propres</t>
        </is>
      </c>
      <c r="E18" s="19" t="inlineStr">
        <is>
          <t>Social</t>
        </is>
      </c>
      <c r="F18" s="7" t="inlineStr">
        <is>
          <t>ESRS S1</t>
        </is>
      </c>
      <c r="G18" s="16" t="n"/>
      <c r="H18" s="16" t="n"/>
      <c r="I18" s="243">
        <f>IF(AND(G18&lt;&gt;"",H18&lt;&gt;""),G18*0.6+H18*0.4,"")</f>
        <v/>
      </c>
      <c r="J18" s="16" t="n"/>
      <c r="K18" s="16" t="n"/>
      <c r="L18" s="243">
        <f>IF(AND(J18&lt;&gt;"",K18&lt;&gt;""),J18*0.5+K18*0.5,"")</f>
        <v/>
      </c>
      <c r="M18" s="18">
        <f>IF(OR(I18&lt;&gt;"",L18&lt;&gt;""),IF(OR(I18&gt;=3,L18&gt;=3),"OUI","NON"),"")</f>
        <v/>
      </c>
    </row>
    <row r="19" ht="15" customHeight="1">
      <c r="B19" s="11" t="n"/>
      <c r="C19" s="7" t="inlineStr">
        <is>
          <t>S2</t>
        </is>
      </c>
      <c r="D19" s="7" t="inlineStr">
        <is>
          <t>Travailleurs chaîne de valeur</t>
        </is>
      </c>
      <c r="E19" s="19" t="inlineStr">
        <is>
          <t>Social</t>
        </is>
      </c>
      <c r="F19" s="7" t="inlineStr">
        <is>
          <t>ESRS S2</t>
        </is>
      </c>
      <c r="G19" s="16" t="n"/>
      <c r="H19" s="16" t="n"/>
      <c r="I19" s="243">
        <f>IF(AND(G19&lt;&gt;"",H19&lt;&gt;""),G19*0.6+H19*0.4,"")</f>
        <v/>
      </c>
      <c r="J19" s="16" t="n"/>
      <c r="K19" s="16" t="n"/>
      <c r="L19" s="243">
        <f>IF(AND(J19&lt;&gt;"",K19&lt;&gt;""),J19*0.5+K19*0.5,"")</f>
        <v/>
      </c>
      <c r="M19" s="18">
        <f>IF(OR(I19&lt;&gt;"",L19&lt;&gt;""),IF(OR(I19&gt;=3,L19&gt;=3),"OUI","NON"),"")</f>
        <v/>
      </c>
    </row>
    <row r="20" ht="15" customHeight="1">
      <c r="B20" s="11" t="n"/>
      <c r="C20" s="7" t="inlineStr">
        <is>
          <t>S3</t>
        </is>
      </c>
      <c r="D20" s="7" t="inlineStr">
        <is>
          <t>Communautés affectées</t>
        </is>
      </c>
      <c r="E20" s="19" t="inlineStr">
        <is>
          <t>Social</t>
        </is>
      </c>
      <c r="F20" s="7" t="inlineStr">
        <is>
          <t>ESRS S3</t>
        </is>
      </c>
      <c r="G20" s="16" t="n"/>
      <c r="H20" s="16" t="n"/>
      <c r="I20" s="243">
        <f>IF(AND(G20&lt;&gt;"",H20&lt;&gt;""),G20*0.6+H20*0.4,"")</f>
        <v/>
      </c>
      <c r="J20" s="16" t="n"/>
      <c r="K20" s="16" t="n"/>
      <c r="L20" s="243">
        <f>IF(AND(J20&lt;&gt;"",K20&lt;&gt;""),J20*0.5+K20*0.5,"")</f>
        <v/>
      </c>
      <c r="M20" s="18">
        <f>IF(OR(I20&lt;&gt;"",L20&lt;&gt;""),IF(OR(I20&gt;=3,L20&gt;=3),"OUI","NON"),"")</f>
        <v/>
      </c>
    </row>
    <row r="21" ht="15" customHeight="1">
      <c r="B21" s="11" t="n"/>
      <c r="C21" s="7" t="inlineStr">
        <is>
          <t>S4</t>
        </is>
      </c>
      <c r="D21" s="7" t="inlineStr">
        <is>
          <t>Consommateurs / utilisateurs</t>
        </is>
      </c>
      <c r="E21" s="19" t="inlineStr">
        <is>
          <t>Social</t>
        </is>
      </c>
      <c r="F21" s="7" t="inlineStr">
        <is>
          <t>ESRS S4</t>
        </is>
      </c>
      <c r="G21" s="16" t="n"/>
      <c r="H21" s="16" t="n"/>
      <c r="I21" s="243">
        <f>IF(AND(G21&lt;&gt;"",H21&lt;&gt;""),G21*0.6+H21*0.4,"")</f>
        <v/>
      </c>
      <c r="J21" s="16" t="n"/>
      <c r="K21" s="16" t="n"/>
      <c r="L21" s="243">
        <f>IF(AND(J21&lt;&gt;"",K21&lt;&gt;""),J21*0.5+K21*0.5,"")</f>
        <v/>
      </c>
      <c r="M21" s="18">
        <f>IF(OR(I21&lt;&gt;"",L21&lt;&gt;""),IF(OR(I21&gt;=3,L21&gt;=3),"OUI","NON"),"")</f>
        <v/>
      </c>
    </row>
    <row r="22" ht="15" customHeight="1">
      <c r="B22" s="11" t="n"/>
      <c r="C22" s="7" t="inlineStr">
        <is>
          <t>G1</t>
        </is>
      </c>
      <c r="D22" s="7" t="inlineStr">
        <is>
          <t>Conduite des affaires</t>
        </is>
      </c>
      <c r="E22" s="20" t="inlineStr">
        <is>
          <t>Gouvernance</t>
        </is>
      </c>
      <c r="F22" s="7" t="inlineStr">
        <is>
          <t>ESRS G1</t>
        </is>
      </c>
      <c r="G22" s="16" t="n"/>
      <c r="H22" s="16" t="n"/>
      <c r="I22" s="243">
        <f>IF(AND(G22&lt;&gt;"",H22&lt;&gt;""),G22*0.6+H22*0.4,"")</f>
        <v/>
      </c>
      <c r="J22" s="16" t="n"/>
      <c r="K22" s="16" t="n"/>
      <c r="L22" s="243">
        <f>IF(AND(J22&lt;&gt;"",K22&lt;&gt;""),J22*0.5+K22*0.5,"")</f>
        <v/>
      </c>
      <c r="M22" s="18">
        <f>IF(OR(I22&lt;&gt;"",L22&lt;&gt;""),IF(OR(I22&gt;=3,L22&gt;=3),"OUI","NON"),"")</f>
        <v/>
      </c>
    </row>
    <row r="25" ht="15" customHeight="1" thickBot="1">
      <c r="B25" s="167" t="inlineStr">
        <is>
          <t>SYNTHÈSE MATÉRIALITÉ</t>
        </is>
      </c>
    </row>
    <row r="26" ht="15" customHeight="1">
      <c r="B26" s="244" t="inlineStr">
        <is>
          <t>Enjeux évalués</t>
        </is>
      </c>
      <c r="C26" s="245" t="n"/>
      <c r="D26" s="246" t="n"/>
      <c r="E26" s="71">
        <f>COUNTA(M13:M22)-COUNTBLANK(M13:M22)</f>
        <v/>
      </c>
    </row>
    <row r="27" ht="15" customHeight="1">
      <c r="B27" s="247" t="inlineStr">
        <is>
          <t>Enjeux matériels</t>
        </is>
      </c>
      <c r="D27" s="213" t="n"/>
      <c r="E27" s="70">
        <f>COUNTIF(M13:M22,"OUI")</f>
        <v/>
      </c>
    </row>
    <row r="28" ht="15" customHeight="1">
      <c r="B28" s="233" t="inlineStr">
        <is>
          <t>Enjeux non matériels</t>
        </is>
      </c>
      <c r="C28" s="234" t="n"/>
      <c r="D28" s="235" t="n"/>
      <c r="E28" s="69">
        <f>COUNTIF(M13:M22,"NON")</f>
        <v/>
      </c>
    </row>
    <row r="29" ht="15" customHeight="1">
      <c r="B29" s="233" t="inlineStr">
        <is>
          <t>Enjeux matériels E</t>
        </is>
      </c>
      <c r="C29" s="234" t="n"/>
      <c r="D29" s="235" t="n"/>
      <c r="E29" s="68">
        <f>COUNTIFS(E13:E22,"Environnement",M13:M22,"OUI")</f>
        <v/>
      </c>
    </row>
    <row r="30" ht="15" customHeight="1">
      <c r="B30" s="233" t="inlineStr">
        <is>
          <t>Enjeux matériels S</t>
        </is>
      </c>
      <c r="C30" s="234" t="n"/>
      <c r="D30" s="235" t="n"/>
      <c r="E30" s="68">
        <f>COUNTIFS(E13:E22,"Social",M13:M22,"OUI")</f>
        <v/>
      </c>
    </row>
    <row r="31" ht="15" customHeight="1" thickBot="1">
      <c r="B31" s="238" t="inlineStr">
        <is>
          <t>Enjeux matériels G</t>
        </is>
      </c>
      <c r="C31" s="239" t="n"/>
      <c r="D31" s="240" t="n"/>
      <c r="E31" s="67">
        <f>COUNTIFS(E13:E22,"Gouvernance",M13:M22,"OUI")</f>
        <v/>
      </c>
    </row>
    <row r="32" ht="15.75" customHeight="1" thickBot="1"/>
    <row r="33" ht="15" customHeight="1" thickBot="1">
      <c r="B33" s="248" t="inlineStr">
        <is>
          <t>⚠️ Seuls les enjeux marqués OUI déclenchent l'obligation de reporter selon la norme ESRS correspondante. Documentez la justification pour chaque enjeu non matériel.</t>
        </is>
      </c>
      <c r="C33" s="217" t="n"/>
      <c r="D33" s="217" t="n"/>
      <c r="E33" s="217" t="n"/>
      <c r="F33" s="217" t="n"/>
      <c r="G33" s="217" t="n"/>
      <c r="H33" s="217" t="n"/>
      <c r="I33" s="219" t="n"/>
    </row>
  </sheetData>
  <mergeCells count="16">
    <mergeCell ref="B8:C8"/>
    <mergeCell ref="B28:D28"/>
    <mergeCell ref="B6:C6"/>
    <mergeCell ref="B7:C7"/>
    <mergeCell ref="A3:K3"/>
    <mergeCell ref="B33:I33"/>
    <mergeCell ref="B31:D31"/>
    <mergeCell ref="B5:C5"/>
    <mergeCell ref="B10:C10"/>
    <mergeCell ref="A2:K2"/>
    <mergeCell ref="B27:D27"/>
    <mergeCell ref="B26:D26"/>
    <mergeCell ref="B9:C9"/>
    <mergeCell ref="B30:D30"/>
    <mergeCell ref="B29:D29"/>
    <mergeCell ref="B25:D25"/>
  </mergeCells>
  <dataValidations count="1">
    <dataValidation sqref="G13:H22 J13:K22" showDropDown="0" showInputMessage="0" showErrorMessage="0" allowBlank="1" errorTitle="Erreur de saisie" error="Saisir un entier entre 1 et 5" type="whole">
      <formula1>1</formula1>
      <formula2>5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1B5E20"/>
    <outlinePr summaryBelow="1" summaryRight="1"/>
    <pageSetUpPr/>
  </sheetPr>
  <dimension ref="A1:K27"/>
  <sheetViews>
    <sheetView showGridLines="0" zoomScaleNormal="100" workbookViewId="0">
      <selection activeCell="E23" sqref="E23"/>
    </sheetView>
  </sheetViews>
  <sheetFormatPr baseColWidth="10" defaultColWidth="8.7109375" defaultRowHeight="15"/>
  <cols>
    <col width="3" customWidth="1" min="1" max="1"/>
    <col width="25" customWidth="1" min="2" max="2"/>
    <col width="25.28515625" customWidth="1" min="3" max="3"/>
    <col width="26.7109375" customWidth="1" min="4" max="4"/>
    <col width="18" customWidth="1" min="5" max="6"/>
    <col width="9.85546875" customWidth="1" min="7" max="7"/>
    <col width="15.42578125" customWidth="1" min="10" max="10"/>
    <col width="19" customWidth="1" min="11" max="11"/>
  </cols>
  <sheetData>
    <row r="1" ht="15" customHeight="1" thickBot="1">
      <c r="J1" s="117" t="inlineStr">
        <is>
          <t>🏠 Sommaire</t>
        </is>
      </c>
      <c r="K1" s="117" t="inlineStr">
        <is>
          <t>📄 Couverture</t>
        </is>
      </c>
    </row>
    <row r="2" ht="17.25" customHeight="1" thickBot="1">
      <c r="A2" s="182" t="inlineStr">
        <is>
          <t>SYNTHÈSE ESG — Score consolidé Environnement / Social / Gouvernance</t>
        </is>
      </c>
      <c r="B2" s="217" t="n"/>
      <c r="C2" s="217" t="n"/>
      <c r="D2" s="217" t="n"/>
      <c r="E2" s="217" t="n"/>
      <c r="F2" s="229" t="n"/>
    </row>
    <row r="3" ht="15" customHeight="1">
      <c r="A3" s="186" t="inlineStr">
        <is>
          <t>Agrégation automatique des scores de complétude par pilier ESG. Pondération : E 40% / S 35% / G 25%.</t>
        </is>
      </c>
      <c r="B3" s="210" t="n"/>
      <c r="C3" s="210" t="n"/>
      <c r="D3" s="210" t="n"/>
      <c r="E3" s="210" t="n"/>
      <c r="F3" s="210" t="n"/>
    </row>
    <row r="5" ht="23.25" customHeight="1">
      <c r="A5" s="3" t="n"/>
      <c r="B5" s="3" t="inlineStr">
        <is>
          <t>Pilier ESG</t>
        </is>
      </c>
      <c r="C5" s="3" t="inlineStr">
        <is>
          <t>Score complétude (%)</t>
        </is>
      </c>
      <c r="D5" s="3" t="inlineStr">
        <is>
          <t>Nb data points</t>
        </is>
      </c>
      <c r="E5" s="3" t="inlineStr">
        <is>
          <t>Nb complétés</t>
        </is>
      </c>
      <c r="F5" s="3" t="inlineStr">
        <is>
          <t>Pondération</t>
        </is>
      </c>
    </row>
    <row r="6" ht="15" customHeight="1">
      <c r="B6" s="11" t="n"/>
      <c r="C6" s="21" t="inlineStr">
        <is>
          <t>🌍 Environnement (E)</t>
        </is>
      </c>
      <c r="D6" s="249">
        <f>IF(F6&gt;0,E6/F6*100,0)</f>
        <v/>
      </c>
      <c r="E6" s="7" t="n">
        <v>12</v>
      </c>
      <c r="F6" s="13">
        <f>COUNTIF(VSME_Reporting!G17:G28,"✓ OK")</f>
        <v/>
      </c>
      <c r="G6" s="7" t="inlineStr">
        <is>
          <t>40%</t>
        </is>
      </c>
    </row>
    <row r="7" ht="15" customHeight="1">
      <c r="B7" s="11" t="n"/>
      <c r="C7" s="23" t="inlineStr">
        <is>
          <t>👥 Social (S)</t>
        </is>
      </c>
      <c r="D7" s="250">
        <f>IF(F7&gt;0,E7/F7*100,0)</f>
        <v/>
      </c>
      <c r="E7" s="7" t="n">
        <v>74</v>
      </c>
      <c r="F7" s="13">
        <f>COUNTIF(ESRS_S1!G8:G55,"✓ OK")+COUNTIF(ESRS_S2!G8:G19,"✓ OK")+COUNTIF(ESRS_S3!G8:G17,"✓ OK")+COUNTIF(ESRS_S4!G8:G20,"✓ OK")</f>
        <v/>
      </c>
      <c r="G7" s="7" t="inlineStr">
        <is>
          <t>35%</t>
        </is>
      </c>
    </row>
    <row r="8" ht="15" customHeight="1">
      <c r="B8" s="11" t="n"/>
      <c r="C8" s="25" t="inlineStr">
        <is>
          <t>⚖️ Gouvernance (G)</t>
        </is>
      </c>
      <c r="D8" s="251">
        <f>IF(F8&gt;0,E8/F8*100,0)</f>
        <v/>
      </c>
      <c r="E8" s="7" t="n">
        <v>20</v>
      </c>
      <c r="F8" s="13">
        <f>COUNTIF(ESRS_G1!G8:G30,"✓ OK")</f>
        <v/>
      </c>
      <c r="G8" s="7" t="inlineStr">
        <is>
          <t>25%</t>
        </is>
      </c>
    </row>
    <row r="10" ht="19.5" customHeight="1">
      <c r="B10" s="11" t="n"/>
      <c r="C10" s="27" t="inlineStr">
        <is>
          <t>SCORE ESG GLOBAL</t>
        </is>
      </c>
      <c r="D10" s="252">
        <f>D6*0.4+D7*0.35+D8*0.25</f>
        <v/>
      </c>
      <c r="E10" s="29">
        <f>F6+F7+F8</f>
        <v/>
      </c>
      <c r="F10" s="29">
        <f>E6+E7+E8</f>
        <v/>
      </c>
    </row>
    <row r="11" ht="15.75" customHeight="1" thickBot="1"/>
    <row r="12" ht="15" customHeight="1" thickBot="1">
      <c r="C12" s="72" t="inlineStr">
        <is>
          <t>Statut ESG</t>
        </is>
      </c>
      <c r="D12" s="59">
        <f>IF(D10&gt;=75,"✅ Maturité ESG élevée",IF(D10&gt;=50,"⚠️ En progression","❌ Insuffisant — à compléter"))</f>
        <v/>
      </c>
    </row>
    <row r="13" ht="15.75" customHeight="1" thickBot="1"/>
    <row r="14" ht="15" customHeight="1" thickBot="1">
      <c r="C14" s="72" t="inlineStr">
        <is>
          <t>Équilibre E/S/G</t>
        </is>
      </c>
      <c r="D14" s="59">
        <f>IF(AND(D6&gt;=40,D7&gt;=40,D8&gt;=40),"✅ Équilibré",IF(OR(D6&lt;20,D7&lt;20,D8&lt;20),"❌ Déséquilibre majeur","⚠️ Déséquilibre à corriger"))</f>
        <v/>
      </c>
    </row>
    <row r="15" ht="15.75" customHeight="1" thickBot="1"/>
    <row r="16" ht="15" customHeight="1" thickBot="1">
      <c r="C16" s="73" t="inlineStr">
        <is>
          <t>Enjeux matériels identifiés</t>
        </is>
      </c>
      <c r="D16" s="80">
        <f>Materialite!E27</f>
        <v/>
      </c>
    </row>
    <row r="17" ht="15" customHeight="1">
      <c r="C17" s="74" t="inlineStr">
        <is>
          <t>dont Environnement</t>
        </is>
      </c>
      <c r="D17" s="77">
        <f>Materialite!E29</f>
        <v/>
      </c>
    </row>
    <row r="18" ht="15" customHeight="1">
      <c r="C18" s="75" t="inlineStr">
        <is>
          <t>dont Social</t>
        </is>
      </c>
      <c r="D18" s="78">
        <f>Materialite!E30</f>
        <v/>
      </c>
    </row>
    <row r="19" ht="15" customHeight="1" thickBot="1">
      <c r="C19" s="76" t="inlineStr">
        <is>
          <t>dont Gouvernance</t>
        </is>
      </c>
      <c r="D19" s="67">
        <f>Materialite!E31</f>
        <v/>
      </c>
    </row>
    <row r="21" ht="17.25" customHeight="1">
      <c r="A21" s="185" t="inlineStr">
        <is>
          <t>KPIs CARBONE (depuis fichier Calcul Carbone)</t>
        </is>
      </c>
      <c r="B21" s="226" t="n"/>
      <c r="C21" s="226" t="n"/>
      <c r="D21" s="226" t="n"/>
      <c r="E21" s="226" t="n"/>
      <c r="F21" s="227" t="n"/>
    </row>
    <row r="22" ht="15" customHeight="1">
      <c r="A22" s="3" t="n"/>
      <c r="B22" s="3" t="inlineStr">
        <is>
          <t>Indicateur</t>
        </is>
      </c>
      <c r="C22" s="30" t="inlineStr">
        <is>
          <t>Score ESRS Simplifié (%)</t>
        </is>
      </c>
      <c r="D22" s="31">
        <f>ESRS_Simplifie!E42</f>
        <v/>
      </c>
      <c r="E22" s="3" t="n"/>
      <c r="F22" s="3" t="n"/>
    </row>
    <row r="23" ht="15" customHeight="1">
      <c r="B23" s="11" t="n"/>
      <c r="C23" s="7" t="inlineStr">
        <is>
          <t>Total GES (tCO2e)</t>
        </is>
      </c>
      <c r="D23" s="12">
        <f>Liaison_Donnees!C19</f>
        <v/>
      </c>
      <c r="E23" s="9" t="inlineStr">
        <is>
          <t>tCO2e</t>
        </is>
      </c>
    </row>
    <row r="24" ht="15" customHeight="1">
      <c r="B24" s="11" t="n"/>
      <c r="C24" s="7" t="inlineStr">
        <is>
          <t>Intensité / CA (tCO2e/M€)</t>
        </is>
      </c>
      <c r="D24" s="12">
        <f>Liaison_Donnees!C20</f>
        <v/>
      </c>
      <c r="E24" s="9" t="inlineStr">
        <is>
          <t>tCO2e/M€</t>
        </is>
      </c>
    </row>
    <row r="25" ht="15" customHeight="1">
      <c r="B25" s="11" t="n"/>
      <c r="C25" s="7" t="inlineStr">
        <is>
          <t>Part ENR (%)</t>
        </is>
      </c>
      <c r="D25" s="12">
        <f>Liaison_Donnees!C22</f>
        <v/>
      </c>
      <c r="E25" s="9" t="inlineStr">
        <is>
          <t>%</t>
        </is>
      </c>
    </row>
    <row r="26" ht="15" customHeight="1">
      <c r="B26" s="11" t="n"/>
      <c r="C26" s="7" t="inlineStr">
        <is>
          <t>% CA aligné Taxonomie</t>
        </is>
      </c>
      <c r="D26" s="12">
        <f>Liaison_Donnees!C25</f>
        <v/>
      </c>
      <c r="E26" s="9" t="inlineStr">
        <is>
          <t>%</t>
        </is>
      </c>
    </row>
    <row r="27" ht="15" customHeight="1">
      <c r="B27" s="11" t="n"/>
      <c r="C27" s="7" t="inlineStr">
        <is>
          <t>Objectif SBTi S1+2 (%/an)</t>
        </is>
      </c>
      <c r="D27" s="12">
        <f>Liaison_Donnees!C27</f>
        <v/>
      </c>
      <c r="E27" s="9" t="inlineStr">
        <is>
          <t>%</t>
        </is>
      </c>
    </row>
  </sheetData>
  <mergeCells count="3">
    <mergeCell ref="A3:F3"/>
    <mergeCell ref="A2:F2"/>
    <mergeCell ref="A21:F2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B71C1C"/>
    <outlinePr summaryBelow="1" summaryRight="1"/>
    <pageSetUpPr/>
  </sheetPr>
  <dimension ref="A1:K23"/>
  <sheetViews>
    <sheetView showGridLines="0" zoomScaleNormal="100" workbookViewId="0">
      <selection activeCell="D12" sqref="D12"/>
    </sheetView>
  </sheetViews>
  <sheetFormatPr baseColWidth="10" defaultColWidth="8.7109375" defaultRowHeight="15"/>
  <cols>
    <col width="3" customWidth="1" min="1" max="1"/>
    <col width="14.28515625" customWidth="1" min="2" max="2"/>
    <col width="30" customWidth="1" min="3" max="3"/>
    <col width="35" customWidth="1" min="4" max="4"/>
    <col width="14" customWidth="1" min="5" max="5"/>
    <col width="20.7109375" customWidth="1" min="6" max="6"/>
    <col width="30" customWidth="1" min="7" max="7"/>
    <col width="3" customWidth="1" min="8" max="8"/>
    <col width="17.28515625" customWidth="1" min="10" max="10"/>
    <col width="19.7109375" customWidth="1" min="11" max="11"/>
  </cols>
  <sheetData>
    <row r="1" ht="15" customHeight="1">
      <c r="J1" s="117" t="inlineStr">
        <is>
          <t>🏠 Sommaire</t>
        </is>
      </c>
      <c r="K1" s="117" t="inlineStr">
        <is>
          <t>📄 Couverture</t>
        </is>
      </c>
    </row>
    <row r="2" ht="17.25" customHeight="1" thickBot="1">
      <c r="A2" s="107" t="inlineStr">
        <is>
          <t>CONTRÔLES QUALITÉ AUTOMATIQUES — AUDIT READINESS ESG</t>
        </is>
      </c>
      <c r="B2" s="223" t="n"/>
      <c r="C2" s="223" t="n"/>
      <c r="D2" s="223" t="n"/>
      <c r="E2" s="223" t="n"/>
      <c r="F2" s="223" t="n"/>
      <c r="G2" s="224" t="n"/>
    </row>
    <row r="3" ht="15" customHeight="1" thickBot="1">
      <c r="A3" s="253" t="inlineStr">
        <is>
          <t>15 contrôles automatiques pour préparer l'assurance limitée / raisonnable CSRD. ✓ = OK | ✗ = Erreur | ⚠ = Avertissement</t>
        </is>
      </c>
      <c r="B3" s="217" t="n"/>
      <c r="C3" s="217" t="n"/>
      <c r="D3" s="217" t="n"/>
      <c r="E3" s="217" t="n"/>
      <c r="F3" s="217" t="n"/>
      <c r="G3" s="219" t="n"/>
    </row>
    <row r="4" ht="15.75" customHeight="1" thickBot="1"/>
    <row r="5" ht="15" customHeight="1" thickBot="1">
      <c r="B5" s="190" t="inlineStr">
        <is>
          <t>SYNTHÈSE</t>
        </is>
      </c>
      <c r="C5" s="81">
        <f>COUNTIF(F9:F23,"✓ OK")</f>
        <v/>
      </c>
      <c r="D5" s="84" t="inlineStr">
        <is>
          <t>✓ OK</t>
        </is>
      </c>
      <c r="E5" s="83">
        <f>COUNTIF(F9:F23,"⚠ Alerte")</f>
        <v/>
      </c>
      <c r="F5" s="85" t="inlineStr">
        <is>
          <t>⚠ Alerte</t>
        </is>
      </c>
    </row>
    <row r="6" ht="15" customHeight="1" thickBot="1">
      <c r="C6" s="82">
        <f>COUNTIF(F9:F23,"✗ ERREUR")</f>
        <v/>
      </c>
      <c r="D6" s="86" t="inlineStr">
        <is>
          <t>✗ ERREUR</t>
        </is>
      </c>
    </row>
    <row r="8" ht="15" customHeight="1">
      <c r="A8" s="6" t="n"/>
      <c r="B8" s="6" t="inlineStr">
        <is>
          <t>ID</t>
        </is>
      </c>
      <c r="C8" s="6" t="inlineStr">
        <is>
          <t>Nom du contrôle</t>
        </is>
      </c>
      <c r="D8" s="6" t="inlineStr">
        <is>
          <t>Description / Règle</t>
        </is>
      </c>
      <c r="E8" s="6" t="inlineStr">
        <is>
          <t>Criticité</t>
        </is>
      </c>
      <c r="F8" s="6" t="inlineStr">
        <is>
          <t>Statut</t>
        </is>
      </c>
      <c r="G8" s="6" t="inlineStr">
        <is>
          <t>Action recommandée</t>
        </is>
      </c>
    </row>
    <row r="9" ht="15" customHeight="1">
      <c r="B9" s="11" t="n"/>
      <c r="C9" s="7" t="inlineStr">
        <is>
          <t>C-E01</t>
        </is>
      </c>
      <c r="D9" s="7" t="inlineStr">
        <is>
          <t>Liaison données renseignée</t>
        </is>
      </c>
      <c r="E9" s="9" t="inlineStr">
        <is>
          <t>Au moins CA et ETP saisis dans Liaison_Donnees</t>
        </is>
      </c>
      <c r="F9" s="7" t="inlineStr">
        <is>
          <t>Bloquant</t>
        </is>
      </c>
      <c r="G9" s="13">
        <f>IF(AND(Liaison_Donnees!C9&gt;0,Liaison_Donnees!C10&gt;0),"✓ OK","✗ ERREUR")</f>
        <v/>
      </c>
      <c r="H9" s="9" t="inlineStr">
        <is>
          <t>Compléter Liaison_Donnees : CA et ETP</t>
        </is>
      </c>
    </row>
    <row r="10" ht="15" customHeight="1">
      <c r="B10" s="11" t="n"/>
      <c r="C10" s="7" t="inlineStr">
        <is>
          <t>C-E02</t>
        </is>
      </c>
      <c r="D10" s="7" t="inlineStr">
        <is>
          <t>Score VSME &gt; 50%</t>
        </is>
      </c>
      <c r="E10" s="9" t="inlineStr">
        <is>
          <t>Au moins la moitié des indicateurs VSME renseignés</t>
        </is>
      </c>
      <c r="F10" s="7" t="inlineStr">
        <is>
          <t>Avertissement</t>
        </is>
      </c>
      <c r="G10" s="13">
        <f>IF(Synthese_ESG!D10&gt;=50,"✓ OK","⚠ Alerte")</f>
        <v/>
      </c>
      <c r="H10" s="9" t="inlineStr">
        <is>
          <t>Compléter les indicateurs VSME manquants</t>
        </is>
      </c>
    </row>
    <row r="11" ht="15" customHeight="1">
      <c r="B11" s="11" t="n"/>
      <c r="C11" s="7" t="inlineStr">
        <is>
          <t>C-E03</t>
        </is>
      </c>
      <c r="D11" s="7" t="inlineStr">
        <is>
          <t>Matérialité réalisée</t>
        </is>
      </c>
      <c r="E11" s="9" t="inlineStr">
        <is>
          <t>Au moins 5 enjeux évalués dans Materialite</t>
        </is>
      </c>
      <c r="F11" s="7" t="inlineStr">
        <is>
          <t>Bloquant</t>
        </is>
      </c>
      <c r="G11" s="13">
        <f>IF(Materialite!E26&gt;=5,"✓ OK","✗ ERREUR")</f>
        <v/>
      </c>
      <c r="H11" s="9" t="inlineStr">
        <is>
          <t>Évaluer au moins 5 enjeux dans Materialite</t>
        </is>
      </c>
    </row>
    <row r="12" ht="15" customHeight="1">
      <c r="B12" s="11" t="n"/>
      <c r="C12" s="7" t="inlineStr">
        <is>
          <t>C-E04</t>
        </is>
      </c>
      <c r="D12" s="7" t="inlineStr">
        <is>
          <t>Équilibre E/S/G</t>
        </is>
      </c>
      <c r="E12" s="9" t="inlineStr">
        <is>
          <t>Aucun pilier &lt; 20%</t>
        </is>
      </c>
      <c r="F12" s="7" t="inlineStr">
        <is>
          <t>Avertissement</t>
        </is>
      </c>
      <c r="G12" s="13">
        <f>IF(AND(Synthese_ESG!D6&gt;=20,Synthese_ESG!D7&gt;=20,Synthese_ESG!D8&gt;=20),"✓ OK","⚠ Alerte")</f>
        <v/>
      </c>
      <c r="H12" s="9" t="inlineStr">
        <is>
          <t>Compléter le pilier ESG le plus faible</t>
        </is>
      </c>
    </row>
    <row r="13" ht="15" customHeight="1">
      <c r="B13" s="11" t="n"/>
      <c r="C13" s="7" t="inlineStr">
        <is>
          <t>C-E05</t>
        </is>
      </c>
      <c r="D13" s="7" t="inlineStr">
        <is>
          <t>GES total renseigné</t>
        </is>
      </c>
      <c r="E13" s="9" t="inlineStr">
        <is>
          <t>Liaison_Donnees : total S1+S2+S3 &gt; 0</t>
        </is>
      </c>
      <c r="F13" s="7" t="inlineStr">
        <is>
          <t>Bloquant</t>
        </is>
      </c>
      <c r="G13" s="13">
        <f>IF(Liaison_Donnees!C19&gt;0,"✓ OK","✗ ERREUR")</f>
        <v/>
      </c>
      <c r="H13" s="9" t="inlineStr">
        <is>
          <t>Saisir les émissions GES dans Liaison_Donnees</t>
        </is>
      </c>
    </row>
    <row r="14" ht="15" customHeight="1">
      <c r="B14" s="11" t="n"/>
      <c r="C14" s="7" t="inlineStr">
        <is>
          <t>C-E06</t>
        </is>
      </c>
      <c r="D14" s="7" t="inlineStr">
        <is>
          <t>Social S1 : effectifs</t>
        </is>
      </c>
      <c r="E14" s="9" t="inlineStr">
        <is>
          <t>VSME S-1 (effectif total) renseigné</t>
        </is>
      </c>
      <c r="F14" s="7" t="inlineStr">
        <is>
          <t>Avertissement</t>
        </is>
      </c>
      <c r="G14" s="13">
        <f>IF(VSME_Reporting!E31&lt;&gt;"","✓ OK","⚠ Alerte")</f>
        <v/>
      </c>
      <c r="H14" s="9" t="inlineStr">
        <is>
          <t>Saisir l'effectif total dans VSME section C</t>
        </is>
      </c>
    </row>
    <row r="15" ht="15" customHeight="1">
      <c r="B15" s="11" t="n"/>
      <c r="C15" s="7" t="inlineStr">
        <is>
          <t>C-E07</t>
        </is>
      </c>
      <c r="D15" s="7" t="inlineStr">
        <is>
          <t>Social S1 : LTIR</t>
        </is>
      </c>
      <c r="E15" s="9" t="inlineStr">
        <is>
          <t>Taux d'accidents renseigné si ETP &gt; 250</t>
        </is>
      </c>
      <c r="F15" s="7" t="inlineStr">
        <is>
          <t>Avertissement</t>
        </is>
      </c>
      <c r="G15" s="13">
        <f>IF(OR(Liaison_Donnees!C10&lt;=250,VSME_Reporting!E34&lt;&gt;""),"✓ OK","⚠ Alerte")</f>
        <v/>
      </c>
      <c r="H15" s="9" t="inlineStr">
        <is>
          <t>Saisir le LTIR dans VSME section C</t>
        </is>
      </c>
    </row>
    <row r="16" ht="15" customHeight="1">
      <c r="B16" s="11" t="n"/>
      <c r="C16" s="7" t="inlineStr">
        <is>
          <t>C-E08</t>
        </is>
      </c>
      <c r="D16" s="7" t="inlineStr">
        <is>
          <t>Écart salarial H/F</t>
        </is>
      </c>
      <c r="E16" s="9" t="inlineStr">
        <is>
          <t>Renseigné si ETP &gt; 250</t>
        </is>
      </c>
      <c r="F16" s="7" t="inlineStr">
        <is>
          <t>Avertissement</t>
        </is>
      </c>
      <c r="G16" s="13">
        <f>IF(OR(Liaison_Donnees!C10&lt;=250,VSME_Reporting!E36&lt;&gt;""),"✓ OK","⚠ Alerte")</f>
        <v/>
      </c>
      <c r="H16" s="9" t="inlineStr">
        <is>
          <t>Saisir l'écart H/F dans VSME section C</t>
        </is>
      </c>
    </row>
    <row r="17" ht="15" customHeight="1">
      <c r="B17" s="11" t="n"/>
      <c r="C17" s="7" t="inlineStr">
        <is>
          <t>C-E09</t>
        </is>
      </c>
      <c r="D17" s="7" t="inlineStr">
        <is>
          <t>Gouvernance : anti-corruption</t>
        </is>
      </c>
      <c r="E17" s="9" t="inlineStr">
        <is>
          <t>Politique anti-corruption documentée</t>
        </is>
      </c>
      <c r="F17" s="7" t="inlineStr">
        <is>
          <t>Avertissement</t>
        </is>
      </c>
      <c r="G17" s="13">
        <f>IF(VSME_Reporting!E43&lt;&gt;"","✓ OK","⚠ Alerte")</f>
        <v/>
      </c>
      <c r="H17" s="9" t="inlineStr">
        <is>
          <t>Renseigner G-1 dans VSME section D</t>
        </is>
      </c>
    </row>
    <row r="18" ht="15" customHeight="1">
      <c r="B18" s="11" t="n"/>
      <c r="C18" s="7" t="inlineStr">
        <is>
          <t>C-E10</t>
        </is>
      </c>
      <c r="D18" s="7" t="inlineStr">
        <is>
          <t>Gouvernance : lanceurs d'alerte</t>
        </is>
      </c>
      <c r="E18" s="9" t="inlineStr">
        <is>
          <t>Canal de signalement actif</t>
        </is>
      </c>
      <c r="F18" s="7" t="inlineStr">
        <is>
          <t>Avertissement</t>
        </is>
      </c>
      <c r="G18" s="13">
        <f>IF(VSME_Reporting!E45&lt;&gt;"","✓ OK","⚠ Alerte")</f>
        <v/>
      </c>
      <c r="H18" s="9" t="inlineStr">
        <is>
          <t>Renseigner G-3 dans VSME section D</t>
        </is>
      </c>
    </row>
    <row r="19" ht="15" customHeight="1">
      <c r="B19" s="11" t="n"/>
      <c r="C19" s="7" t="inlineStr">
        <is>
          <t>C-E11</t>
        </is>
      </c>
      <c r="D19" s="7" t="inlineStr">
        <is>
          <t>Part ENR renseignée</t>
        </is>
      </c>
      <c r="E19" s="9" t="inlineStr">
        <is>
          <t>Énergie renouvelable documentée</t>
        </is>
      </c>
      <c r="F19" s="7" t="inlineStr">
        <is>
          <t>Info</t>
        </is>
      </c>
      <c r="G19" s="13">
        <f>IF(Liaison_Donnees!C22&lt;&gt;"","✓ OK","⚠ Alerte")</f>
        <v/>
      </c>
      <c r="H19" s="9" t="inlineStr">
        <is>
          <t>Compléter la part ENR dans Liaison_Donnees</t>
        </is>
      </c>
    </row>
    <row r="20" ht="15" customHeight="1">
      <c r="B20" s="11" t="n"/>
      <c r="C20" s="7" t="inlineStr">
        <is>
          <t>C-E12</t>
        </is>
      </c>
      <c r="D20" s="7" t="inlineStr">
        <is>
          <t>Plan de réduction GES</t>
        </is>
      </c>
      <c r="E20" s="9" t="inlineStr">
        <is>
          <t>Plan de réduction adopté (O/N) renseigné</t>
        </is>
      </c>
      <c r="F20" s="7" t="inlineStr">
        <is>
          <t>Avertissement</t>
        </is>
      </c>
      <c r="G20" s="13">
        <f>IF(VSME_Reporting!E28&lt;&gt;"","✓ OK","⚠ Alerte")</f>
        <v/>
      </c>
      <c r="H20" s="9" t="inlineStr">
        <is>
          <t>Renseigner E-12 dans VSME section B</t>
        </is>
      </c>
    </row>
    <row r="21" ht="15" customHeight="1">
      <c r="B21" s="11" t="n"/>
      <c r="C21" s="7" t="inlineStr">
        <is>
          <t>C-E13</t>
        </is>
      </c>
      <c r="D21" s="7" t="inlineStr">
        <is>
          <t>Score ESG global &gt; 30%</t>
        </is>
      </c>
      <c r="E21" s="9" t="inlineStr">
        <is>
          <t>Score minimum pour crédibilité</t>
        </is>
      </c>
      <c r="F21" s="7" t="inlineStr">
        <is>
          <t>Bloquant</t>
        </is>
      </c>
      <c r="G21" s="13">
        <f>IF(Synthese_ESG!D10&gt;=30,"✓ OK","✗ ERREUR")</f>
        <v/>
      </c>
      <c r="H21" s="9" t="inlineStr">
        <is>
          <t>Le score ESG global est trop bas — compléter tous les piliers</t>
        </is>
      </c>
    </row>
    <row r="22" ht="15" customHeight="1">
      <c r="B22" s="11" t="n"/>
      <c r="C22" s="7" t="inlineStr">
        <is>
          <t>C-E14</t>
        </is>
      </c>
      <c r="D22" s="7" t="inlineStr">
        <is>
          <t>Enjeu E1 climat évalué</t>
        </is>
      </c>
      <c r="E22" s="9" t="inlineStr">
        <is>
          <t>Changement climatique doit être évalué</t>
        </is>
      </c>
      <c r="F22" s="7" t="inlineStr">
        <is>
          <t>Bloquant</t>
        </is>
      </c>
      <c r="G22" s="13">
        <f>IF(Materialite!M13&lt;&gt;"","✓ OK","✗ ERREUR")</f>
        <v/>
      </c>
      <c r="H22" s="9" t="inlineStr">
        <is>
          <t>Évaluer l'enjeu E1 Changement climatique dans Materialite</t>
        </is>
      </c>
    </row>
    <row r="23" ht="15" customHeight="1">
      <c r="B23" s="11" t="n"/>
      <c r="C23" s="7" t="inlineStr">
        <is>
          <t>C-E15</t>
        </is>
      </c>
      <c r="D23" s="7" t="inlineStr">
        <is>
          <t>Cohérence ETP</t>
        </is>
      </c>
      <c r="E23" s="9" t="inlineStr">
        <is>
          <t>ETP VSME = ETP Liaison cohérent</t>
        </is>
      </c>
      <c r="F23" s="7" t="inlineStr">
        <is>
          <t>Info</t>
        </is>
      </c>
      <c r="G23" s="13">
        <f>IF(OR(VSME_Reporting!E31="",VSME_Reporting!E31=Liaison_Donnees!C10),"✓ OK","⚠ Alerte")</f>
        <v/>
      </c>
      <c r="H23" s="9" t="inlineStr">
        <is>
          <t>Vérifier cohérence des effectifs entre VSME et Liaison</t>
        </is>
      </c>
    </row>
  </sheetData>
  <mergeCells count="3">
    <mergeCell ref="A3:G3"/>
    <mergeCell ref="A2:G2"/>
    <mergeCell ref="B5:B6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D47A1"/>
    <outlinePr summaryBelow="1" summaryRight="1"/>
    <pageSetUpPr/>
  </sheetPr>
  <dimension ref="A1:K63"/>
  <sheetViews>
    <sheetView showGridLines="0" zoomScaleNormal="100" workbookViewId="0">
      <selection activeCell="H1" sqref="H1"/>
    </sheetView>
  </sheetViews>
  <sheetFormatPr baseColWidth="10" defaultColWidth="8.7109375" defaultRowHeight="15"/>
  <cols>
    <col width="3" customWidth="1" min="1" max="1"/>
    <col width="10" customWidth="1" min="2" max="2"/>
    <col width="14" customWidth="1" min="3" max="3"/>
    <col width="43.28515625" customWidth="1" min="4" max="4"/>
    <col width="18" customWidth="1" min="5" max="7"/>
    <col width="22.28515625" customWidth="1" min="8" max="8"/>
  </cols>
  <sheetData>
    <row r="1" ht="15" customHeight="1">
      <c r="A1" s="2" t="n"/>
      <c r="B1" s="2" t="n"/>
      <c r="C1" s="2" t="n"/>
      <c r="D1" s="2" t="n"/>
      <c r="E1" s="2" t="n"/>
      <c r="F1" s="2" t="n"/>
      <c r="G1" s="2" t="n"/>
      <c r="H1" s="117" t="inlineStr">
        <is>
          <t>🏠 Sommaire</t>
        </is>
      </c>
      <c r="I1" s="2" t="n"/>
      <c r="J1" s="2" t="n"/>
      <c r="K1" s="2" t="n"/>
    </row>
    <row r="2" ht="17.25" customHeight="1" thickBot="1">
      <c r="A2" s="197" t="inlineStr">
        <is>
          <t>ESRS S1 — EFFECTIFS PROPRES — Conditions de travail, égalité, santé-sécurité</t>
        </is>
      </c>
      <c r="B2" s="223" t="n"/>
      <c r="C2" s="223" t="n"/>
      <c r="D2" s="223" t="n"/>
      <c r="E2" s="223" t="n"/>
      <c r="F2" s="223" t="n"/>
      <c r="G2" s="223" t="n"/>
      <c r="H2" s="224" t="n"/>
      <c r="I2" s="2" t="n"/>
      <c r="J2" s="2" t="n"/>
      <c r="K2" s="2" t="n"/>
    </row>
    <row r="3" ht="15" customHeight="1" thickBot="1">
      <c r="A3" s="218" t="inlineStr">
        <is>
          <t>Delegated Regulation (EU) 2023/2772 — ESRS S1. Reporter si l'enjeu S1 est matériel dans l'analyse de double matérialité.</t>
        </is>
      </c>
      <c r="B3" s="217" t="n"/>
      <c r="C3" s="217" t="n"/>
      <c r="D3" s="217" t="n"/>
      <c r="E3" s="217" t="n"/>
      <c r="F3" s="217" t="n"/>
      <c r="G3" s="217" t="n"/>
      <c r="H3" s="219" t="n"/>
      <c r="I3" s="2" t="n"/>
      <c r="J3" s="2" t="n"/>
      <c r="K3" s="2" t="n"/>
    </row>
    <row r="4" ht="15" customHeight="1">
      <c r="A4" s="2" t="n"/>
      <c r="B4" s="32" t="inlineStr">
        <is>
          <t>Matérialité S1 :</t>
        </is>
      </c>
      <c r="C4" s="2" t="n"/>
      <c r="D4" s="33">
        <f>IF(Materialite!M18="OUI","✅ MATÉRIEL — Reporting obligatoire","⚠️ Non matériel — Reporting volontaire")</f>
        <v/>
      </c>
      <c r="E4" s="2" t="n"/>
      <c r="F4" s="2" t="n"/>
      <c r="G4" s="2" t="n"/>
      <c r="H4" s="2" t="n"/>
      <c r="I4" s="2" t="n"/>
      <c r="J4" s="2" t="n"/>
      <c r="K4" s="2" t="n"/>
    </row>
    <row r="6" ht="17.45" customHeight="1">
      <c r="A6" s="196" t="inlineStr">
        <is>
          <t>A — CARACTÉRISTIQUES DES EFFECTIFS (S1-6)</t>
        </is>
      </c>
      <c r="B6" s="226" t="n"/>
      <c r="C6" s="226" t="n"/>
      <c r="D6" s="226" t="n"/>
      <c r="E6" s="226" t="n"/>
      <c r="F6" s="226" t="n"/>
      <c r="G6" s="226" t="n"/>
      <c r="H6" s="227" t="n"/>
    </row>
    <row r="7">
      <c r="A7" s="34" t="n"/>
      <c r="B7" s="34" t="inlineStr">
        <is>
          <t>ID</t>
        </is>
      </c>
      <c r="C7" s="34" t="inlineStr">
        <is>
          <t>Réf. ESRS</t>
        </is>
      </c>
      <c r="D7" s="34" t="inlineStr">
        <is>
          <t>Data point</t>
        </is>
      </c>
      <c r="E7" s="34" t="inlineStr">
        <is>
          <t>Valeur</t>
        </is>
      </c>
      <c r="F7" s="34" t="inlineStr">
        <is>
          <t>Unité</t>
        </is>
      </c>
      <c r="G7" s="34" t="inlineStr">
        <is>
          <t>Statut</t>
        </is>
      </c>
      <c r="H7" s="34" t="inlineStr">
        <is>
          <t>Source</t>
        </is>
      </c>
    </row>
    <row r="8">
      <c r="A8" s="11" t="n"/>
      <c r="B8" s="7" t="inlineStr">
        <is>
          <t>S1-6-01</t>
        </is>
      </c>
      <c r="C8" s="9" t="inlineStr">
        <is>
          <t>S1-6 §50(a)</t>
        </is>
      </c>
      <c r="D8" s="7" t="inlineStr">
        <is>
          <t>Effectif total au 31/12 (personnes)</t>
        </is>
      </c>
      <c r="E8" s="8" t="n"/>
      <c r="F8" s="9" t="inlineStr">
        <is>
          <t>Nb</t>
        </is>
      </c>
      <c r="G8" s="13">
        <f>IF(E8&lt;&gt;"","✓ OK","⬜ À remplir")</f>
        <v/>
      </c>
      <c r="H8" s="9" t="inlineStr">
        <is>
          <t>saisie</t>
        </is>
      </c>
    </row>
    <row r="9">
      <c r="A9" s="11" t="n"/>
      <c r="B9" s="7" t="inlineStr">
        <is>
          <t>S1-6-02</t>
        </is>
      </c>
      <c r="C9" s="9" t="inlineStr">
        <is>
          <t>S1-6 §50(a)</t>
        </is>
      </c>
      <c r="D9" s="7" t="inlineStr">
        <is>
          <t>dont CDI</t>
        </is>
      </c>
      <c r="E9" s="8" t="n"/>
      <c r="F9" s="9" t="inlineStr">
        <is>
          <t>Nb</t>
        </is>
      </c>
      <c r="G9" s="13">
        <f>IF(E9&lt;&gt;"","✓ OK","⬜ À remplir")</f>
        <v/>
      </c>
      <c r="H9" s="9" t="inlineStr">
        <is>
          <t>saisie</t>
        </is>
      </c>
    </row>
    <row r="10">
      <c r="A10" s="11" t="n"/>
      <c r="B10" s="7" t="inlineStr">
        <is>
          <t>S1-6-03</t>
        </is>
      </c>
      <c r="C10" s="9" t="inlineStr">
        <is>
          <t>S1-6 §50(a)</t>
        </is>
      </c>
      <c r="D10" s="7" t="inlineStr">
        <is>
          <t>dont CDD</t>
        </is>
      </c>
      <c r="E10" s="8" t="n"/>
      <c r="F10" s="9" t="inlineStr">
        <is>
          <t>Nb</t>
        </is>
      </c>
      <c r="G10" s="13">
        <f>IF(E10&lt;&gt;"","✓ OK","⬜ À remplir")</f>
        <v/>
      </c>
      <c r="H10" s="9" t="inlineStr">
        <is>
          <t>saisie</t>
        </is>
      </c>
    </row>
    <row r="11">
      <c r="A11" s="11" t="n"/>
      <c r="B11" s="7" t="inlineStr">
        <is>
          <t>S1-6-04</t>
        </is>
      </c>
      <c r="C11" s="9" t="inlineStr">
        <is>
          <t>S1-6 §50(a)</t>
        </is>
      </c>
      <c r="D11" s="7" t="inlineStr">
        <is>
          <t>dont intérimaires / temporaires</t>
        </is>
      </c>
      <c r="E11" s="8" t="n"/>
      <c r="F11" s="9" t="inlineStr">
        <is>
          <t>Nb</t>
        </is>
      </c>
      <c r="G11" s="13">
        <f>IF(E11&lt;&gt;"","✓ OK","⬜ À remplir")</f>
        <v/>
      </c>
      <c r="H11" s="9" t="inlineStr">
        <is>
          <t>saisie</t>
        </is>
      </c>
    </row>
    <row r="12">
      <c r="A12" s="11" t="n"/>
      <c r="B12" s="7" t="inlineStr">
        <is>
          <t>S1-6-05</t>
        </is>
      </c>
      <c r="C12" s="9" t="inlineStr">
        <is>
          <t>S1-6 §50(b)</t>
        </is>
      </c>
      <c r="D12" s="7" t="inlineStr">
        <is>
          <t>Effectif en ETP (équivalent temps plein)</t>
        </is>
      </c>
      <c r="E12" s="12">
        <f>Liaison_Donnees!C10</f>
        <v/>
      </c>
      <c r="F12" s="9" t="inlineStr">
        <is>
          <t>ETP</t>
        </is>
      </c>
      <c r="G12" s="13">
        <f>IF(E12&lt;&gt;"","✓ OK","⬜ À remplir")</f>
        <v/>
      </c>
      <c r="H12" s="9" t="inlineStr">
        <is>
          <t>liaison</t>
        </is>
      </c>
    </row>
    <row r="13">
      <c r="A13" s="11" t="n"/>
      <c r="B13" s="7" t="inlineStr">
        <is>
          <t>S1-6-06</t>
        </is>
      </c>
      <c r="C13" s="9" t="inlineStr">
        <is>
          <t>S1-6 §50</t>
        </is>
      </c>
      <c r="D13" s="7" t="inlineStr">
        <is>
          <t>% CDI / effectif total</t>
        </is>
      </c>
      <c r="E13" s="10">
        <f>IF(E8&gt;0,E9/E8*100,0)</f>
        <v/>
      </c>
      <c r="F13" s="9" t="inlineStr">
        <is>
          <t>%</t>
        </is>
      </c>
      <c r="G13" s="13">
        <f>IF(E13&lt;&gt;"","✓ OK","⬜ À remplir")</f>
        <v/>
      </c>
      <c r="H13" s="9" t="inlineStr">
        <is>
          <t>calc</t>
        </is>
      </c>
    </row>
    <row r="14">
      <c r="A14" s="11" t="n"/>
      <c r="B14" s="7" t="inlineStr">
        <is>
          <t>S1-6-07</t>
        </is>
      </c>
      <c r="C14" s="9" t="inlineStr">
        <is>
          <t>S1-6 §51</t>
        </is>
      </c>
      <c r="D14" s="7" t="inlineStr">
        <is>
          <t>Nb de pays avec effectifs &gt; 50 personnes</t>
        </is>
      </c>
      <c r="E14" s="8" t="n"/>
      <c r="F14" s="9" t="inlineStr">
        <is>
          <t>Nb</t>
        </is>
      </c>
      <c r="G14" s="13">
        <f>IF(E14&lt;&gt;"","✓ OK","⬜ À remplir")</f>
        <v/>
      </c>
      <c r="H14" s="9" t="inlineStr">
        <is>
          <t>saisie</t>
        </is>
      </c>
    </row>
    <row r="15">
      <c r="A15" s="11" t="n"/>
      <c r="B15" s="7" t="inlineStr">
        <is>
          <t>S1-6-08</t>
        </is>
      </c>
      <c r="C15" s="9" t="inlineStr">
        <is>
          <t>S1-6 §52</t>
        </is>
      </c>
      <c r="D15" s="7" t="inlineStr">
        <is>
          <t>% femmes dans l'effectif total</t>
        </is>
      </c>
      <c r="E15" s="8" t="n"/>
      <c r="F15" s="9" t="inlineStr">
        <is>
          <t>%</t>
        </is>
      </c>
      <c r="G15" s="13">
        <f>IF(E15&lt;&gt;"","✓ OK","⬜ À remplir")</f>
        <v/>
      </c>
      <c r="H15" s="9" t="inlineStr">
        <is>
          <t>saisie</t>
        </is>
      </c>
    </row>
    <row r="16">
      <c r="A16" s="11" t="n"/>
      <c r="B16" s="7" t="inlineStr">
        <is>
          <t>S1-6-09</t>
        </is>
      </c>
      <c r="C16" s="9" t="inlineStr">
        <is>
          <t>S1-6 §52</t>
        </is>
      </c>
      <c r="D16" s="7" t="inlineStr">
        <is>
          <t>% femmes dans l'encadrement supérieur</t>
        </is>
      </c>
      <c r="E16" s="8" t="n"/>
      <c r="F16" s="9" t="inlineStr">
        <is>
          <t>%</t>
        </is>
      </c>
      <c r="G16" s="13">
        <f>IF(E16&lt;&gt;"","✓ OK","⬜ À remplir")</f>
        <v/>
      </c>
      <c r="H16" s="9" t="inlineStr">
        <is>
          <t>saisie</t>
        </is>
      </c>
    </row>
    <row r="17">
      <c r="A17" s="11" t="n"/>
      <c r="B17" s="7" t="inlineStr">
        <is>
          <t>S1-6-10</t>
        </is>
      </c>
      <c r="C17" s="9" t="inlineStr">
        <is>
          <t>S1-6 §52</t>
        </is>
      </c>
      <c r="D17" s="7" t="inlineStr">
        <is>
          <t>% femmes au comité de direction</t>
        </is>
      </c>
      <c r="E17" s="8" t="n"/>
      <c r="F17" s="9" t="inlineStr">
        <is>
          <t>%</t>
        </is>
      </c>
      <c r="G17" s="13">
        <f>IF(E17&lt;&gt;"","✓ OK","⬜ À remplir")</f>
        <v/>
      </c>
      <c r="H17" s="9" t="inlineStr">
        <is>
          <t>saisie</t>
        </is>
      </c>
    </row>
    <row r="19" ht="17.45" customHeight="1">
      <c r="A19" s="196" t="inlineStr">
        <is>
          <t>B — RÉMUNÉRATION ET AVANTAGES (S1-10)</t>
        </is>
      </c>
      <c r="B19" s="226" t="n"/>
      <c r="C19" s="226" t="n"/>
      <c r="D19" s="226" t="n"/>
      <c r="E19" s="226" t="n"/>
      <c r="F19" s="226" t="n"/>
      <c r="G19" s="226" t="n"/>
      <c r="H19" s="227" t="n"/>
    </row>
    <row r="20">
      <c r="A20" s="34" t="n"/>
      <c r="B20" s="34" t="inlineStr">
        <is>
          <t>ID</t>
        </is>
      </c>
      <c r="C20" s="34" t="inlineStr">
        <is>
          <t>Réf. ESRS</t>
        </is>
      </c>
      <c r="D20" s="34" t="inlineStr">
        <is>
          <t>Data point</t>
        </is>
      </c>
      <c r="E20" s="34" t="inlineStr">
        <is>
          <t>Valeur</t>
        </is>
      </c>
      <c r="F20" s="34" t="inlineStr">
        <is>
          <t>Unité</t>
        </is>
      </c>
      <c r="G20" s="34" t="inlineStr">
        <is>
          <t>Statut</t>
        </is>
      </c>
      <c r="H20" s="34" t="inlineStr">
        <is>
          <t>Source</t>
        </is>
      </c>
    </row>
    <row r="21">
      <c r="A21" s="11" t="n"/>
      <c r="B21" s="7" t="inlineStr">
        <is>
          <t>S1-10-01</t>
        </is>
      </c>
      <c r="C21" s="9" t="inlineStr">
        <is>
          <t>S1-10 §68</t>
        </is>
      </c>
      <c r="D21" s="7" t="inlineStr">
        <is>
          <t>Salaire brut médian annuel (€)</t>
        </is>
      </c>
      <c r="E21" s="8" t="n"/>
      <c r="F21" s="9" t="inlineStr">
        <is>
          <t>€</t>
        </is>
      </c>
      <c r="G21" s="13">
        <f>IF(E21&lt;&gt;"","✓ OK","⬜ À remplir")</f>
        <v/>
      </c>
      <c r="H21" s="9" t="inlineStr">
        <is>
          <t>saisie</t>
        </is>
      </c>
    </row>
    <row r="22">
      <c r="A22" s="11" t="n"/>
      <c r="B22" s="7" t="inlineStr">
        <is>
          <t>S1-10-02</t>
        </is>
      </c>
      <c r="C22" s="9" t="inlineStr">
        <is>
          <t>S1-10 §68</t>
        </is>
      </c>
      <c r="D22" s="7" t="inlineStr">
        <is>
          <t>Salaire brut médian hommes (€)</t>
        </is>
      </c>
      <c r="E22" s="8" t="n"/>
      <c r="F22" s="9" t="inlineStr">
        <is>
          <t>€</t>
        </is>
      </c>
      <c r="G22" s="13">
        <f>IF(E22&lt;&gt;"","✓ OK","⬜ À remplir")</f>
        <v/>
      </c>
      <c r="H22" s="9" t="inlineStr">
        <is>
          <t>saisie</t>
        </is>
      </c>
    </row>
    <row r="23">
      <c r="A23" s="11" t="n"/>
      <c r="B23" s="7" t="inlineStr">
        <is>
          <t>S1-10-03</t>
        </is>
      </c>
      <c r="C23" s="9" t="inlineStr">
        <is>
          <t>S1-10 §68</t>
        </is>
      </c>
      <c r="D23" s="7" t="inlineStr">
        <is>
          <t>Salaire brut médian femmes (€)</t>
        </is>
      </c>
      <c r="E23" s="8" t="n"/>
      <c r="F23" s="9" t="inlineStr">
        <is>
          <t>€</t>
        </is>
      </c>
      <c r="G23" s="13">
        <f>IF(E23&lt;&gt;"","✓ OK","⬜ À remplir")</f>
        <v/>
      </c>
      <c r="H23" s="9" t="inlineStr">
        <is>
          <t>saisie</t>
        </is>
      </c>
    </row>
    <row r="24">
      <c r="A24" s="11" t="n"/>
      <c r="B24" s="7" t="inlineStr">
        <is>
          <t>S1-10-04</t>
        </is>
      </c>
      <c r="C24" s="9" t="inlineStr">
        <is>
          <t>S1-10 §69</t>
        </is>
      </c>
      <c r="D24" s="7" t="inlineStr">
        <is>
          <t>Écart de rémunération H/F (%)</t>
        </is>
      </c>
      <c r="E24" s="10">
        <f>IF(E22&gt;0,(E22-E23)/E22*100,0)</f>
        <v/>
      </c>
      <c r="F24" s="9" t="inlineStr">
        <is>
          <t>%</t>
        </is>
      </c>
      <c r="G24" s="13">
        <f>IF(E24&lt;&gt;"","✓ OK","⬜ À remplir")</f>
        <v/>
      </c>
      <c r="H24" s="9" t="inlineStr">
        <is>
          <t>calc</t>
        </is>
      </c>
    </row>
    <row r="25">
      <c r="A25" s="11" t="n"/>
      <c r="B25" s="7" t="inlineStr">
        <is>
          <t>S1-10-05</t>
        </is>
      </c>
      <c r="C25" s="9" t="inlineStr">
        <is>
          <t>S1-10 §70</t>
        </is>
      </c>
      <c r="D25" s="7" t="inlineStr">
        <is>
          <t>Ratio rémunération PDG / salaire médian</t>
        </is>
      </c>
      <c r="E25" s="8" t="n"/>
      <c r="F25" s="9" t="inlineStr">
        <is>
          <t>x</t>
        </is>
      </c>
      <c r="G25" s="13">
        <f>IF(E25&lt;&gt;"","✓ OK","⬜ À remplir")</f>
        <v/>
      </c>
      <c r="H25" s="9" t="inlineStr">
        <is>
          <t>saisie</t>
        </is>
      </c>
    </row>
    <row r="26">
      <c r="A26" s="11" t="n"/>
      <c r="B26" s="7" t="inlineStr">
        <is>
          <t>S1-10-06</t>
        </is>
      </c>
      <c r="C26" s="9" t="inlineStr">
        <is>
          <t>S1-10 §71</t>
        </is>
      </c>
      <c r="D26" s="7" t="inlineStr">
        <is>
          <t>% salariés couverts par convention collective</t>
        </is>
      </c>
      <c r="E26" s="8" t="n"/>
      <c r="F26" s="9" t="inlineStr">
        <is>
          <t>%</t>
        </is>
      </c>
      <c r="G26" s="13">
        <f>IF(E26&lt;&gt;"","✓ OK","⬜ À remplir")</f>
        <v/>
      </c>
      <c r="H26" s="9" t="inlineStr">
        <is>
          <t>saisie</t>
        </is>
      </c>
    </row>
    <row r="27">
      <c r="A27" s="11" t="n"/>
      <c r="B27" s="7" t="inlineStr">
        <is>
          <t>S1-10-07</t>
        </is>
      </c>
      <c r="C27" s="9" t="inlineStr">
        <is>
          <t>S1-10</t>
        </is>
      </c>
      <c r="D27" s="7" t="inlineStr">
        <is>
          <t>Salaire d'entrée vs SMIC (%)</t>
        </is>
      </c>
      <c r="E27" s="8" t="n"/>
      <c r="F27" s="9" t="inlineStr">
        <is>
          <t>%</t>
        </is>
      </c>
      <c r="G27" s="13">
        <f>IF(E27&lt;&gt;"","✓ OK","⬜ À remplir")</f>
        <v/>
      </c>
      <c r="H27" s="9" t="inlineStr">
        <is>
          <t>saisie</t>
        </is>
      </c>
    </row>
    <row r="29" ht="17.45" customHeight="1">
      <c r="A29" s="196" t="inlineStr">
        <is>
          <t>C — SANTÉ ET SÉCURITÉ AU TRAVAIL (S1-14)</t>
        </is>
      </c>
      <c r="B29" s="226" t="n"/>
      <c r="C29" s="226" t="n"/>
      <c r="D29" s="226" t="n"/>
      <c r="E29" s="226" t="n"/>
      <c r="F29" s="226" t="n"/>
      <c r="G29" s="226" t="n"/>
      <c r="H29" s="227" t="n"/>
    </row>
    <row r="30">
      <c r="A30" s="34" t="n"/>
      <c r="B30" s="34" t="inlineStr">
        <is>
          <t>ID</t>
        </is>
      </c>
      <c r="C30" s="34" t="inlineStr">
        <is>
          <t>Réf. ESRS</t>
        </is>
      </c>
      <c r="D30" s="34" t="inlineStr">
        <is>
          <t>Data point</t>
        </is>
      </c>
      <c r="E30" s="34" t="inlineStr">
        <is>
          <t>Valeur</t>
        </is>
      </c>
      <c r="F30" s="34" t="inlineStr">
        <is>
          <t>Unité</t>
        </is>
      </c>
      <c r="G30" s="34" t="inlineStr">
        <is>
          <t>Statut</t>
        </is>
      </c>
      <c r="H30" s="34" t="inlineStr">
        <is>
          <t>Source</t>
        </is>
      </c>
    </row>
    <row r="31">
      <c r="A31" s="11" t="n"/>
      <c r="B31" s="7" t="inlineStr">
        <is>
          <t>S1-14-01</t>
        </is>
      </c>
      <c r="C31" s="9" t="inlineStr">
        <is>
          <t>S1-14 §88(a)</t>
        </is>
      </c>
      <c r="D31" s="7" t="inlineStr">
        <is>
          <t>Nb d'accidents du travail avec arrêt</t>
        </is>
      </c>
      <c r="E31" s="8" t="n"/>
      <c r="F31" s="9" t="inlineStr">
        <is>
          <t>Nb</t>
        </is>
      </c>
      <c r="G31" s="13">
        <f>IF(E31&lt;&gt;"","✓ OK","⬜ À remplir")</f>
        <v/>
      </c>
      <c r="H31" s="9" t="inlineStr">
        <is>
          <t>saisie</t>
        </is>
      </c>
    </row>
    <row r="32">
      <c r="A32" s="11" t="n"/>
      <c r="B32" s="7" t="inlineStr">
        <is>
          <t>S1-14-02</t>
        </is>
      </c>
      <c r="C32" s="9" t="inlineStr">
        <is>
          <t>S1-14 §88(b)</t>
        </is>
      </c>
      <c r="D32" s="7" t="inlineStr">
        <is>
          <t>Nb de jours d'arrêt (accidents)</t>
        </is>
      </c>
      <c r="E32" s="8" t="n"/>
      <c r="F32" s="9" t="inlineStr">
        <is>
          <t>jours</t>
        </is>
      </c>
      <c r="G32" s="13">
        <f>IF(E32&lt;&gt;"","✓ OK","⬜ À remplir")</f>
        <v/>
      </c>
      <c r="H32" s="9" t="inlineStr">
        <is>
          <t>saisie</t>
        </is>
      </c>
    </row>
    <row r="33">
      <c r="A33" s="11" t="n"/>
      <c r="B33" s="7" t="inlineStr">
        <is>
          <t>S1-14-03</t>
        </is>
      </c>
      <c r="C33" s="9" t="inlineStr">
        <is>
          <t>S1-14 §88(c)</t>
        </is>
      </c>
      <c r="D33" s="7" t="inlineStr">
        <is>
          <t>Nb total d'heures travaillées</t>
        </is>
      </c>
      <c r="E33" s="8" t="n"/>
      <c r="F33" s="9" t="inlineStr">
        <is>
          <t>heures</t>
        </is>
      </c>
      <c r="G33" s="13">
        <f>IF(E33&lt;&gt;"","✓ OK","⬜ À remplir")</f>
        <v/>
      </c>
      <c r="H33" s="9" t="inlineStr">
        <is>
          <t>saisie</t>
        </is>
      </c>
    </row>
    <row r="34">
      <c r="A34" s="11" t="n"/>
      <c r="B34" s="7" t="inlineStr">
        <is>
          <t>S1-14-04</t>
        </is>
      </c>
      <c r="C34" s="9" t="inlineStr">
        <is>
          <t>S1-14 §88</t>
        </is>
      </c>
      <c r="D34" s="7" t="inlineStr">
        <is>
          <t>Taux de fréquence (LTIR)</t>
        </is>
      </c>
      <c r="E34" s="10">
        <f>IF(E33&gt;0,E31*1000000/E33,0)</f>
        <v/>
      </c>
      <c r="F34" s="9" t="inlineStr">
        <is>
          <t>pour 1M h</t>
        </is>
      </c>
      <c r="G34" s="13">
        <f>IF(E34&lt;&gt;"","✓ OK","⬜ À remplir")</f>
        <v/>
      </c>
      <c r="H34" s="9" t="inlineStr">
        <is>
          <t>calc</t>
        </is>
      </c>
    </row>
    <row r="35">
      <c r="A35" s="11" t="n"/>
      <c r="B35" s="7" t="inlineStr">
        <is>
          <t>S1-14-05</t>
        </is>
      </c>
      <c r="C35" s="9" t="inlineStr">
        <is>
          <t>S1-14 §88</t>
        </is>
      </c>
      <c r="D35" s="7" t="inlineStr">
        <is>
          <t>Taux de gravité</t>
        </is>
      </c>
      <c r="E35" s="10">
        <f>IF(E33&gt;0,E32*1000/E33,0)</f>
        <v/>
      </c>
      <c r="F35" s="9" t="inlineStr">
        <is>
          <t>pour 1000 h</t>
        </is>
      </c>
      <c r="G35" s="13">
        <f>IF(E35&lt;&gt;"","✓ OK","⬜ À remplir")</f>
        <v/>
      </c>
      <c r="H35" s="9" t="inlineStr">
        <is>
          <t>calc</t>
        </is>
      </c>
    </row>
    <row r="36">
      <c r="A36" s="11" t="n"/>
      <c r="B36" s="7" t="inlineStr">
        <is>
          <t>S1-14-06</t>
        </is>
      </c>
      <c r="C36" s="9" t="inlineStr">
        <is>
          <t>S1-14 §88(e)</t>
        </is>
      </c>
      <c r="D36" s="7" t="inlineStr">
        <is>
          <t>Nb de décès liés au travail</t>
        </is>
      </c>
      <c r="E36" s="8" t="n"/>
      <c r="F36" s="9" t="inlineStr">
        <is>
          <t>Nb</t>
        </is>
      </c>
      <c r="G36" s="13">
        <f>IF(E36&lt;&gt;"","✓ OK","⬜ À remplir")</f>
        <v/>
      </c>
      <c r="H36" s="9" t="inlineStr">
        <is>
          <t>saisie</t>
        </is>
      </c>
    </row>
    <row r="37">
      <c r="A37" s="11" t="n"/>
      <c r="B37" s="7" t="inlineStr">
        <is>
          <t>S1-14-07</t>
        </is>
      </c>
      <c r="C37" s="9" t="inlineStr">
        <is>
          <t>S1-14 §89</t>
        </is>
      </c>
      <c r="D37" s="7" t="inlineStr">
        <is>
          <t>Nb de maladies professionnelles déclarées</t>
        </is>
      </c>
      <c r="E37" s="8" t="n"/>
      <c r="F37" s="9" t="inlineStr">
        <is>
          <t>Nb</t>
        </is>
      </c>
      <c r="G37" s="13">
        <f>IF(E37&lt;&gt;"","✓ OK","⬜ À remplir")</f>
        <v/>
      </c>
      <c r="H37" s="9" t="inlineStr">
        <is>
          <t>saisie</t>
        </is>
      </c>
    </row>
    <row r="38">
      <c r="A38" s="11" t="n"/>
      <c r="B38" s="7" t="inlineStr">
        <is>
          <t>S1-14-08</t>
        </is>
      </c>
      <c r="C38" s="9" t="inlineStr">
        <is>
          <t>S1-14</t>
        </is>
      </c>
      <c r="D38" s="7" t="inlineStr">
        <is>
          <t>Taux d'absentéisme (%)</t>
        </is>
      </c>
      <c r="E38" s="8" t="n"/>
      <c r="F38" s="9" t="inlineStr">
        <is>
          <t>%</t>
        </is>
      </c>
      <c r="G38" s="13">
        <f>IF(E38&lt;&gt;"","✓ OK","⬜ À remplir")</f>
        <v/>
      </c>
      <c r="H38" s="9" t="inlineStr">
        <is>
          <t>saisie</t>
        </is>
      </c>
    </row>
    <row r="40" ht="17.45" customHeight="1">
      <c r="A40" s="196" t="inlineStr">
        <is>
          <t>D — FORMATION ET DÉVELOPPEMENT (S1-13)</t>
        </is>
      </c>
      <c r="B40" s="226" t="n"/>
      <c r="C40" s="226" t="n"/>
      <c r="D40" s="226" t="n"/>
      <c r="E40" s="226" t="n"/>
      <c r="F40" s="226" t="n"/>
      <c r="G40" s="226" t="n"/>
      <c r="H40" s="227" t="n"/>
    </row>
    <row r="41">
      <c r="A41" s="34" t="n"/>
      <c r="B41" s="34" t="inlineStr">
        <is>
          <t>ID</t>
        </is>
      </c>
      <c r="C41" s="34" t="inlineStr">
        <is>
          <t>Réf. ESRS</t>
        </is>
      </c>
      <c r="D41" s="34" t="inlineStr">
        <is>
          <t>Data point</t>
        </is>
      </c>
      <c r="E41" s="34" t="inlineStr">
        <is>
          <t>Valeur</t>
        </is>
      </c>
      <c r="F41" s="34" t="inlineStr">
        <is>
          <t>Unité</t>
        </is>
      </c>
      <c r="G41" s="34" t="inlineStr">
        <is>
          <t>Statut</t>
        </is>
      </c>
      <c r="H41" s="34" t="inlineStr">
        <is>
          <t>Source</t>
        </is>
      </c>
    </row>
    <row r="42">
      <c r="A42" s="11" t="n"/>
      <c r="B42" s="7" t="inlineStr">
        <is>
          <t>S1-13-01</t>
        </is>
      </c>
      <c r="C42" s="9" t="inlineStr">
        <is>
          <t>S1-13 §83</t>
        </is>
      </c>
      <c r="D42" s="7" t="inlineStr">
        <is>
          <t>Nb total d'heures de formation</t>
        </is>
      </c>
      <c r="E42" s="8" t="n"/>
      <c r="F42" s="9" t="inlineStr">
        <is>
          <t>heures</t>
        </is>
      </c>
      <c r="G42" s="13">
        <f>IF(E42&lt;&gt;"","✓ OK","⬜ À remplir")</f>
        <v/>
      </c>
      <c r="H42" s="9" t="inlineStr">
        <is>
          <t>saisie</t>
        </is>
      </c>
    </row>
    <row r="43">
      <c r="A43" s="11" t="n"/>
      <c r="B43" s="7" t="inlineStr">
        <is>
          <t>S1-13-02</t>
        </is>
      </c>
      <c r="C43" s="9" t="inlineStr">
        <is>
          <t>S1-13 §83</t>
        </is>
      </c>
      <c r="D43" s="7" t="inlineStr">
        <is>
          <t>Heures de formation / ETP</t>
        </is>
      </c>
      <c r="E43" s="10">
        <f>IF(Liaison_Donnees!C10&gt;0,E42/Liaison_Donnees!C10,0)</f>
        <v/>
      </c>
      <c r="F43" s="9" t="inlineStr">
        <is>
          <t>h/ETP</t>
        </is>
      </c>
      <c r="G43" s="13">
        <f>IF(E43&lt;&gt;"","✓ OK","⬜ À remplir")</f>
        <v/>
      </c>
      <c r="H43" s="9" t="inlineStr">
        <is>
          <t>calc</t>
        </is>
      </c>
    </row>
    <row r="44">
      <c r="A44" s="11" t="n"/>
      <c r="B44" s="7" t="inlineStr">
        <is>
          <t>S1-13-03</t>
        </is>
      </c>
      <c r="C44" s="9" t="inlineStr">
        <is>
          <t>S1-13 §84</t>
        </is>
      </c>
      <c r="D44" s="7" t="inlineStr">
        <is>
          <t>% salariés ayant suivi au moins 1 formation</t>
        </is>
      </c>
      <c r="E44" s="8" t="n"/>
      <c r="F44" s="9" t="inlineStr">
        <is>
          <t>%</t>
        </is>
      </c>
      <c r="G44" s="13">
        <f>IF(E44&lt;&gt;"","✓ OK","⬜ À remplir")</f>
        <v/>
      </c>
      <c r="H44" s="9" t="inlineStr">
        <is>
          <t>saisie</t>
        </is>
      </c>
    </row>
    <row r="45">
      <c r="A45" s="11" t="n"/>
      <c r="B45" s="7" t="inlineStr">
        <is>
          <t>S1-13-04</t>
        </is>
      </c>
      <c r="C45" s="9" t="inlineStr">
        <is>
          <t>S1-13 §85</t>
        </is>
      </c>
      <c r="D45" s="7" t="inlineStr">
        <is>
          <t>Budget formation (€)</t>
        </is>
      </c>
      <c r="E45" s="8" t="n"/>
      <c r="F45" s="9" t="inlineStr">
        <is>
          <t>€</t>
        </is>
      </c>
      <c r="G45" s="13">
        <f>IF(E45&lt;&gt;"","✓ OK","⬜ À remplir")</f>
        <v/>
      </c>
      <c r="H45" s="9" t="inlineStr">
        <is>
          <t>saisie</t>
        </is>
      </c>
    </row>
    <row r="46">
      <c r="A46" s="11" t="n"/>
      <c r="B46" s="7" t="inlineStr">
        <is>
          <t>S1-13-05</t>
        </is>
      </c>
      <c r="C46" s="9" t="inlineStr">
        <is>
          <t>S1-13</t>
        </is>
      </c>
      <c r="D46" s="7" t="inlineStr">
        <is>
          <t>Budget formation / ETP (€)</t>
        </is>
      </c>
      <c r="E46" s="10">
        <f>IF(Liaison_Donnees!C10&gt;0,E45/Liaison_Donnees!C10,0)</f>
        <v/>
      </c>
      <c r="F46" s="9" t="inlineStr">
        <is>
          <t>€/ETP</t>
        </is>
      </c>
      <c r="G46" s="13">
        <f>IF(E46&lt;&gt;"","✓ OK","⬜ À remplir")</f>
        <v/>
      </c>
      <c r="H46" s="9" t="inlineStr">
        <is>
          <t>calc</t>
        </is>
      </c>
    </row>
    <row r="47">
      <c r="A47" s="11" t="n"/>
      <c r="B47" s="7" t="inlineStr">
        <is>
          <t>S1-13-06</t>
        </is>
      </c>
      <c r="C47" s="9" t="inlineStr">
        <is>
          <t>S1-13</t>
        </is>
      </c>
      <c r="D47" s="7" t="inlineStr">
        <is>
          <t>Nb d'heures de formation ESG / ETP</t>
        </is>
      </c>
      <c r="E47" s="8" t="n"/>
      <c r="F47" s="9" t="inlineStr">
        <is>
          <t>h/ETP</t>
        </is>
      </c>
      <c r="G47" s="13">
        <f>IF(E47&lt;&gt;"","✓ OK","⬜ À remplir")</f>
        <v/>
      </c>
      <c r="H47" s="9" t="inlineStr">
        <is>
          <t>saisie</t>
        </is>
      </c>
    </row>
    <row r="49" ht="17.45" customHeight="1">
      <c r="A49" s="196" t="inlineStr">
        <is>
          <t>E — ROTATION DU PERSONNEL &amp; DIALOGUE SOCIAL (S1-7/S1-8)</t>
        </is>
      </c>
      <c r="B49" s="226" t="n"/>
      <c r="C49" s="226" t="n"/>
      <c r="D49" s="226" t="n"/>
      <c r="E49" s="226" t="n"/>
      <c r="F49" s="226" t="n"/>
      <c r="G49" s="226" t="n"/>
      <c r="H49" s="227" t="n"/>
    </row>
    <row r="50">
      <c r="A50" s="34" t="n"/>
      <c r="B50" s="34" t="inlineStr">
        <is>
          <t>ID</t>
        </is>
      </c>
      <c r="C50" s="34" t="inlineStr">
        <is>
          <t>Réf. ESRS</t>
        </is>
      </c>
      <c r="D50" s="34" t="inlineStr">
        <is>
          <t>Data point</t>
        </is>
      </c>
      <c r="E50" s="34" t="inlineStr">
        <is>
          <t>Valeur</t>
        </is>
      </c>
      <c r="F50" s="34" t="inlineStr">
        <is>
          <t>Unité</t>
        </is>
      </c>
      <c r="G50" s="34" t="inlineStr">
        <is>
          <t>Statut</t>
        </is>
      </c>
      <c r="H50" s="34" t="inlineStr">
        <is>
          <t>Source</t>
        </is>
      </c>
    </row>
    <row r="51">
      <c r="A51" s="11" t="n"/>
      <c r="B51" s="7" t="inlineStr">
        <is>
          <t>S1-7-01</t>
        </is>
      </c>
      <c r="C51" s="9" t="inlineStr">
        <is>
          <t>S1-7 §55</t>
        </is>
      </c>
      <c r="D51" s="7" t="inlineStr">
        <is>
          <t>Nb de départs volontaires dans l'année</t>
        </is>
      </c>
      <c r="E51" s="8" t="n"/>
      <c r="F51" s="9" t="inlineStr">
        <is>
          <t>Nb</t>
        </is>
      </c>
      <c r="G51" s="13">
        <f>IF(E51&lt;&gt;"","✓ OK","⬜ À remplir")</f>
        <v/>
      </c>
      <c r="H51" s="9" t="inlineStr">
        <is>
          <t>saisie</t>
        </is>
      </c>
    </row>
    <row r="52">
      <c r="A52" s="11" t="n"/>
      <c r="B52" s="7" t="inlineStr">
        <is>
          <t>S1-7-02</t>
        </is>
      </c>
      <c r="C52" s="9" t="inlineStr">
        <is>
          <t>S1-7 §55</t>
        </is>
      </c>
      <c r="D52" s="7" t="inlineStr">
        <is>
          <t>Nb de recrutements dans l'année</t>
        </is>
      </c>
      <c r="E52" s="8" t="n"/>
      <c r="F52" s="9" t="inlineStr">
        <is>
          <t>Nb</t>
        </is>
      </c>
      <c r="G52" s="13">
        <f>IF(E52&lt;&gt;"","✓ OK","⬜ À remplir")</f>
        <v/>
      </c>
      <c r="H52" s="9" t="inlineStr">
        <is>
          <t>saisie</t>
        </is>
      </c>
    </row>
    <row r="53">
      <c r="A53" s="11" t="n"/>
      <c r="B53" s="7" t="inlineStr">
        <is>
          <t>S1-7-03</t>
        </is>
      </c>
      <c r="C53" s="9" t="inlineStr">
        <is>
          <t>S1-7 §55</t>
        </is>
      </c>
      <c r="D53" s="7" t="inlineStr">
        <is>
          <t>Taux de rotation (%)</t>
        </is>
      </c>
      <c r="E53" s="10">
        <f>IF(E8&gt;0,(E51+E52)/(2*E8)*100,0)</f>
        <v/>
      </c>
      <c r="F53" s="9" t="inlineStr">
        <is>
          <t>%</t>
        </is>
      </c>
      <c r="G53" s="13">
        <f>IF(E53&lt;&gt;"","✓ OK","⬜ À remplir")</f>
        <v/>
      </c>
      <c r="H53" s="9" t="inlineStr">
        <is>
          <t>calc</t>
        </is>
      </c>
    </row>
    <row r="54">
      <c r="A54" s="11" t="n"/>
      <c r="B54" s="7" t="inlineStr">
        <is>
          <t>S1-7-04</t>
        </is>
      </c>
      <c r="C54" s="9" t="inlineStr">
        <is>
          <t>S1-7 §55</t>
        </is>
      </c>
      <c r="D54" s="7" t="inlineStr">
        <is>
          <t>Taux de départ volontaire (%)</t>
        </is>
      </c>
      <c r="E54" s="10">
        <f>IF(E8&gt;0,E51/E8*100,0)</f>
        <v/>
      </c>
      <c r="F54" s="9" t="inlineStr">
        <is>
          <t>%</t>
        </is>
      </c>
      <c r="G54" s="13">
        <f>IF(E54&lt;&gt;"","✓ OK","⬜ À remplir")</f>
        <v/>
      </c>
      <c r="H54" s="9" t="inlineStr">
        <is>
          <t>calc</t>
        </is>
      </c>
    </row>
    <row r="55">
      <c r="A55" s="11" t="n"/>
      <c r="B55" s="7" t="inlineStr">
        <is>
          <t>S1-8-01</t>
        </is>
      </c>
      <c r="C55" s="9" t="inlineStr">
        <is>
          <t>S1-8 §57</t>
        </is>
      </c>
      <c r="D55" s="7" t="inlineStr">
        <is>
          <t>Nb de représentants du personnel</t>
        </is>
      </c>
      <c r="E55" s="8" t="n"/>
      <c r="F55" s="9" t="inlineStr">
        <is>
          <t>Nb</t>
        </is>
      </c>
      <c r="G55" s="13">
        <f>IF(E55&lt;&gt;"","✓ OK","⬜ À remplir")</f>
        <v/>
      </c>
      <c r="H55" s="9" t="inlineStr">
        <is>
          <t>saisie</t>
        </is>
      </c>
    </row>
    <row r="56">
      <c r="A56" s="11" t="n"/>
      <c r="B56" s="7" t="inlineStr">
        <is>
          <t>S1-8-02</t>
        </is>
      </c>
      <c r="C56" s="9" t="inlineStr">
        <is>
          <t>S1-8 §58</t>
        </is>
      </c>
      <c r="D56" s="7" t="inlineStr">
        <is>
          <t>Nb d'accords collectifs signés dans l'année</t>
        </is>
      </c>
      <c r="E56" s="8" t="n"/>
      <c r="F56" s="9" t="inlineStr">
        <is>
          <t>Nb</t>
        </is>
      </c>
      <c r="G56" s="13">
        <f>IF(E56&lt;&gt;"","✓ OK","⬜ À remplir")</f>
        <v/>
      </c>
      <c r="H56" s="9" t="inlineStr">
        <is>
          <t>saisie</t>
        </is>
      </c>
    </row>
    <row r="57">
      <c r="A57" s="11" t="n"/>
      <c r="B57" s="7" t="inlineStr">
        <is>
          <t>S1-8-03</t>
        </is>
      </c>
      <c r="C57" s="9" t="inlineStr">
        <is>
          <t>S1-8 §59</t>
        </is>
      </c>
      <c r="D57" s="7" t="inlineStr">
        <is>
          <t>% salariés couverts par un CSE ou équivalent</t>
        </is>
      </c>
      <c r="E57" s="8" t="n"/>
      <c r="F57" s="9" t="inlineStr">
        <is>
          <t>%</t>
        </is>
      </c>
      <c r="G57" s="13">
        <f>IF(E57&lt;&gt;"","✓ OK","⬜ À remplir")</f>
        <v/>
      </c>
      <c r="H57" s="9" t="inlineStr">
        <is>
          <t>saisie</t>
        </is>
      </c>
    </row>
    <row r="58">
      <c r="A58" s="11" t="n"/>
      <c r="B58" s="7" t="inlineStr">
        <is>
          <t>S1-8-04</t>
        </is>
      </c>
      <c r="C58" s="9" t="inlineStr">
        <is>
          <t>S1-8</t>
        </is>
      </c>
      <c r="D58" s="7" t="inlineStr">
        <is>
          <t>Nb de jours de grève</t>
        </is>
      </c>
      <c r="E58" s="8" t="n"/>
      <c r="F58" s="9" t="inlineStr">
        <is>
          <t>jours</t>
        </is>
      </c>
      <c r="G58" s="13">
        <f>IF(E58&lt;&gt;"","✓ OK","⬜ À remplir")</f>
        <v/>
      </c>
      <c r="H58" s="9" t="inlineStr">
        <is>
          <t>saisie</t>
        </is>
      </c>
    </row>
    <row r="60" ht="17.45" customHeight="1" thickBot="1">
      <c r="A60" s="196" t="inlineStr">
        <is>
          <t>SCORE DE COMPLÉTUDE S1</t>
        </is>
      </c>
      <c r="B60" s="226" t="n"/>
      <c r="C60" s="226" t="n"/>
      <c r="D60" s="226" t="n"/>
      <c r="E60" s="226" t="n"/>
      <c r="F60" s="226" t="n"/>
      <c r="G60" s="226" t="n"/>
      <c r="H60" s="227" t="n"/>
    </row>
    <row r="61" ht="18" customHeight="1">
      <c r="C61" s="254" t="inlineStr">
        <is>
          <t>Data points renseignés</t>
        </is>
      </c>
      <c r="D61" s="211" t="n"/>
      <c r="E61" s="87">
        <f>COUNTIF(G8:G59,"✓ OK")</f>
        <v/>
      </c>
    </row>
    <row r="62">
      <c r="C62" s="255" t="inlineStr">
        <is>
          <t>Total data points S1</t>
        </is>
      </c>
      <c r="D62" s="256" t="n"/>
      <c r="E62" s="89" t="n">
        <v>39</v>
      </c>
    </row>
    <row r="63" ht="18.75" customHeight="1" thickBot="1">
      <c r="C63" s="257" t="inlineStr">
        <is>
          <t>Score complétude S1 (%)</t>
        </is>
      </c>
      <c r="D63" s="216" t="n"/>
      <c r="E63" s="258">
        <f>IF(E62&gt;0,E61/E62*100,0)</f>
        <v/>
      </c>
    </row>
  </sheetData>
  <mergeCells count="11">
    <mergeCell ref="A3:H3"/>
    <mergeCell ref="C62:D62"/>
    <mergeCell ref="A29:H29"/>
    <mergeCell ref="C63:D63"/>
    <mergeCell ref="A2:H2"/>
    <mergeCell ref="A60:H60"/>
    <mergeCell ref="A19:H19"/>
    <mergeCell ref="C61:D61"/>
    <mergeCell ref="A49:H49"/>
    <mergeCell ref="A6:H6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0D47A1"/>
    <outlinePr summaryBelow="1" summaryRight="1"/>
    <pageSetUpPr/>
  </sheetPr>
  <dimension ref="A1:K23"/>
  <sheetViews>
    <sheetView showGridLines="0" zoomScaleNormal="100" workbookViewId="0">
      <selection activeCell="L11" sqref="L11"/>
    </sheetView>
  </sheetViews>
  <sheetFormatPr baseColWidth="10" defaultColWidth="8.7109375" defaultRowHeight="15"/>
  <cols>
    <col width="3" customWidth="1" min="1" max="1"/>
    <col width="10" customWidth="1" min="2" max="2"/>
    <col width="14" customWidth="1" min="3" max="3"/>
    <col width="32" customWidth="1" min="4" max="4"/>
    <col width="18" customWidth="1" min="5" max="7"/>
    <col width="18.85546875" customWidth="1" min="8" max="8"/>
  </cols>
  <sheetData>
    <row r="1" ht="15" customHeight="1">
      <c r="A1" s="2" t="n"/>
      <c r="B1" s="2" t="n"/>
      <c r="C1" s="2" t="n"/>
      <c r="D1" s="2" t="n"/>
      <c r="E1" s="2" t="n"/>
      <c r="F1" s="2" t="n"/>
      <c r="G1" s="2" t="n"/>
      <c r="H1" s="90" t="inlineStr">
        <is>
          <t>🏠 Sommaire</t>
        </is>
      </c>
      <c r="I1" s="2" t="n"/>
      <c r="J1" s="2" t="n"/>
      <c r="K1" s="2" t="n"/>
    </row>
    <row r="2" ht="17.25" customHeight="1">
      <c r="A2" s="198" t="inlineStr">
        <is>
          <t>ESRS S2 — TRAVAILLEURS DE LA CHAÎNE DE VALEUR</t>
        </is>
      </c>
      <c r="B2" s="226" t="n"/>
      <c r="C2" s="226" t="n"/>
      <c r="D2" s="226" t="n"/>
      <c r="E2" s="226" t="n"/>
      <c r="F2" s="226" t="n"/>
      <c r="G2" s="226" t="n"/>
      <c r="H2" s="227" t="n"/>
      <c r="I2" s="2" t="n"/>
      <c r="J2" s="2" t="n"/>
      <c r="K2" s="2" t="n"/>
    </row>
    <row r="3" ht="15" customHeight="1">
      <c r="A3" s="2" t="n"/>
      <c r="B3" s="1" t="inlineStr">
        <is>
          <t>Delegated Regulation (EU) 2023/2772 — ESRS S2. Fournisseurs, sous-traitants, prestataires.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5" customHeight="1">
      <c r="A4" s="2" t="n"/>
      <c r="B4" s="32" t="inlineStr">
        <is>
          <t>Matérialité S2 :</t>
        </is>
      </c>
      <c r="C4" s="2" t="n"/>
      <c r="D4" s="33">
        <f>IF(Materialite!M19="OUI","✅ MATÉRIEL","⚠️ Non matériel")</f>
        <v/>
      </c>
      <c r="E4" s="2" t="n"/>
      <c r="F4" s="2" t="n"/>
      <c r="G4" s="2" t="n"/>
      <c r="H4" s="2" t="n"/>
      <c r="I4" s="2" t="n"/>
      <c r="J4" s="2" t="n"/>
      <c r="K4" s="2" t="n"/>
    </row>
    <row r="6" ht="17.45" customHeight="1">
      <c r="A6" s="198" t="inlineStr">
        <is>
          <t>A — CARTOGRAPHIE FOURNISSEURS (S2-1 / S2-4)</t>
        </is>
      </c>
      <c r="B6" s="226" t="n"/>
      <c r="C6" s="226" t="n"/>
      <c r="D6" s="226" t="n"/>
      <c r="E6" s="226" t="n"/>
      <c r="F6" s="226" t="n"/>
      <c r="G6" s="226" t="n"/>
      <c r="H6" s="227" t="n"/>
    </row>
    <row r="7">
      <c r="A7" s="34" t="n"/>
      <c r="B7" s="34" t="inlineStr">
        <is>
          <t>ID</t>
        </is>
      </c>
      <c r="C7" s="34" t="inlineStr">
        <is>
          <t>Réf. ESRS</t>
        </is>
      </c>
      <c r="D7" s="34" t="inlineStr">
        <is>
          <t>Data point</t>
        </is>
      </c>
      <c r="E7" s="34" t="inlineStr">
        <is>
          <t>Valeur</t>
        </is>
      </c>
      <c r="F7" s="34" t="inlineStr">
        <is>
          <t>Unité</t>
        </is>
      </c>
      <c r="G7" s="34" t="inlineStr">
        <is>
          <t>Statut</t>
        </is>
      </c>
      <c r="H7" s="34" t="inlineStr">
        <is>
          <t>Source</t>
        </is>
      </c>
    </row>
    <row r="8">
      <c r="A8" s="11" t="n"/>
      <c r="B8" s="7" t="inlineStr">
        <is>
          <t>S2-1-01</t>
        </is>
      </c>
      <c r="C8" s="9" t="inlineStr">
        <is>
          <t>S2-1 §11</t>
        </is>
      </c>
      <c r="D8" s="7" t="inlineStr">
        <is>
          <t>Nb total de fournisseurs directs (rang 1)</t>
        </is>
      </c>
      <c r="E8" s="8" t="n"/>
      <c r="F8" s="9" t="inlineStr">
        <is>
          <t>Nb</t>
        </is>
      </c>
      <c r="G8" s="13">
        <f>IF(E8&lt;&gt;"","✓ OK","⬜ À remplir")</f>
        <v/>
      </c>
      <c r="H8" s="9" t="inlineStr">
        <is>
          <t>saisie</t>
        </is>
      </c>
    </row>
    <row r="9">
      <c r="A9" s="11" t="n"/>
      <c r="B9" s="7" t="inlineStr">
        <is>
          <t>S2-1-02</t>
        </is>
      </c>
      <c r="C9" s="9" t="inlineStr">
        <is>
          <t>S2-1 §12</t>
        </is>
      </c>
      <c r="D9" s="7" t="inlineStr">
        <is>
          <t>Nb de fournisseurs dans des pays à risque</t>
        </is>
      </c>
      <c r="E9" s="8" t="n"/>
      <c r="F9" s="9" t="inlineStr">
        <is>
          <t>Nb</t>
        </is>
      </c>
      <c r="G9" s="13">
        <f>IF(E9&lt;&gt;"","✓ OK","⬜ À remplir")</f>
        <v/>
      </c>
      <c r="H9" s="9" t="inlineStr">
        <is>
          <t>saisie</t>
        </is>
      </c>
    </row>
    <row r="10">
      <c r="A10" s="11" t="n"/>
      <c r="B10" s="7" t="inlineStr">
        <is>
          <t>S2-1-03</t>
        </is>
      </c>
      <c r="C10" s="9" t="inlineStr">
        <is>
          <t>S2-1 §12</t>
        </is>
      </c>
      <c r="D10" s="7" t="inlineStr">
        <is>
          <t>% fournisseurs ayant signé une charte ESG</t>
        </is>
      </c>
      <c r="E10" s="8" t="n"/>
      <c r="F10" s="9" t="inlineStr">
        <is>
          <t>%</t>
        </is>
      </c>
      <c r="G10" s="13">
        <f>IF(E10&lt;&gt;"","✓ OK","⬜ À remplir")</f>
        <v/>
      </c>
      <c r="H10" s="9" t="inlineStr">
        <is>
          <t>saisie</t>
        </is>
      </c>
    </row>
    <row r="11">
      <c r="A11" s="11" t="n"/>
      <c r="B11" s="7" t="inlineStr">
        <is>
          <t>S2-4-01</t>
        </is>
      </c>
      <c r="C11" s="9" t="inlineStr">
        <is>
          <t>S2-4 §25</t>
        </is>
      </c>
      <c r="D11" s="7" t="inlineStr">
        <is>
          <t>Nb de fournisseurs évalués ESG dans l'année</t>
        </is>
      </c>
      <c r="E11" s="8" t="n"/>
      <c r="F11" s="9" t="inlineStr">
        <is>
          <t>Nb</t>
        </is>
      </c>
      <c r="G11" s="13">
        <f>IF(E11&lt;&gt;"","✓ OK","⬜ À remplir")</f>
        <v/>
      </c>
      <c r="H11" s="9" t="inlineStr">
        <is>
          <t>saisie</t>
        </is>
      </c>
    </row>
    <row r="12">
      <c r="A12" s="11" t="n"/>
      <c r="B12" s="7" t="inlineStr">
        <is>
          <t>S2-4-02</t>
        </is>
      </c>
      <c r="C12" s="9" t="inlineStr">
        <is>
          <t>S2-4 §25</t>
        </is>
      </c>
      <c r="D12" s="7" t="inlineStr">
        <is>
          <t>% fournisseurs évalués / total</t>
        </is>
      </c>
      <c r="E12" s="10">
        <f>IF(E8&gt;0,E11/E8*100,0)</f>
        <v/>
      </c>
      <c r="F12" s="9" t="inlineStr">
        <is>
          <t>%</t>
        </is>
      </c>
      <c r="G12" s="13">
        <f>IF(E12&lt;&gt;"","✓ OK","⬜ À remplir")</f>
        <v/>
      </c>
      <c r="H12" s="9" t="inlineStr">
        <is>
          <t>calc</t>
        </is>
      </c>
    </row>
    <row r="13">
      <c r="A13" s="11" t="n"/>
      <c r="B13" s="7" t="inlineStr">
        <is>
          <t>S2-4-03</t>
        </is>
      </c>
      <c r="C13" s="9" t="inlineStr">
        <is>
          <t>S2-4 §26</t>
        </is>
      </c>
      <c r="D13" s="7" t="inlineStr">
        <is>
          <t>Nb d'audits sociaux réalisés chez fournisseurs</t>
        </is>
      </c>
      <c r="E13" s="8" t="n"/>
      <c r="F13" s="9" t="inlineStr">
        <is>
          <t>Nb</t>
        </is>
      </c>
      <c r="G13" s="13">
        <f>IF(E13&lt;&gt;"","✓ OK","⬜ À remplir")</f>
        <v/>
      </c>
      <c r="H13" s="9" t="inlineStr">
        <is>
          <t>saisie</t>
        </is>
      </c>
    </row>
    <row r="14">
      <c r="A14" s="11" t="n"/>
      <c r="B14" s="7" t="inlineStr">
        <is>
          <t>S2-4-04</t>
        </is>
      </c>
      <c r="C14" s="9" t="inlineStr">
        <is>
          <t>S2-4 §27</t>
        </is>
      </c>
      <c r="D14" s="7" t="inlineStr">
        <is>
          <t>Nb de non-conformités majeures identifiées</t>
        </is>
      </c>
      <c r="E14" s="8" t="n"/>
      <c r="F14" s="9" t="inlineStr">
        <is>
          <t>Nb</t>
        </is>
      </c>
      <c r="G14" s="13">
        <f>IF(E14&lt;&gt;"","✓ OK","⬜ À remplir")</f>
        <v/>
      </c>
      <c r="H14" s="9" t="inlineStr">
        <is>
          <t>saisie</t>
        </is>
      </c>
    </row>
    <row r="15">
      <c r="A15" s="11" t="n"/>
      <c r="B15" s="7" t="inlineStr">
        <is>
          <t>S2-4-05</t>
        </is>
      </c>
      <c r="C15" s="9" t="inlineStr">
        <is>
          <t>S2-4 §27</t>
        </is>
      </c>
      <c r="D15" s="7" t="inlineStr">
        <is>
          <t>Nb de plans d'action correctifs en cours</t>
        </is>
      </c>
      <c r="E15" s="8" t="n"/>
      <c r="F15" s="9" t="inlineStr">
        <is>
          <t>Nb</t>
        </is>
      </c>
      <c r="G15" s="13">
        <f>IF(E15&lt;&gt;"","✓ OK","⬜ À remplir")</f>
        <v/>
      </c>
      <c r="H15" s="9" t="inlineStr">
        <is>
          <t>saisie</t>
        </is>
      </c>
    </row>
    <row r="16">
      <c r="A16" s="11" t="n"/>
      <c r="B16" s="7" t="inlineStr">
        <is>
          <t>S2-4-06</t>
        </is>
      </c>
      <c r="C16" s="9" t="inlineStr">
        <is>
          <t>S2-4 §28</t>
        </is>
      </c>
      <c r="D16" s="7" t="inlineStr">
        <is>
          <t>Nb de fournisseurs exclus pour non-conformité</t>
        </is>
      </c>
      <c r="E16" s="8" t="n"/>
      <c r="F16" s="9" t="inlineStr">
        <is>
          <t>Nb</t>
        </is>
      </c>
      <c r="G16" s="13">
        <f>IF(E16&lt;&gt;"","✓ OK","⬜ À remplir")</f>
        <v/>
      </c>
      <c r="H16" s="9" t="inlineStr">
        <is>
          <t>saisie</t>
        </is>
      </c>
    </row>
    <row r="17">
      <c r="A17" s="11" t="n"/>
      <c r="B17" s="7" t="inlineStr">
        <is>
          <t>S2-SBT</t>
        </is>
      </c>
      <c r="C17" s="9" t="inlineStr">
        <is>
          <t>S2-4</t>
        </is>
      </c>
      <c r="D17" s="7" t="inlineStr">
        <is>
          <t>% fournisseurs engagés SBTi (top 20 achats)</t>
        </is>
      </c>
      <c r="E17" s="8" t="n"/>
      <c r="F17" s="9" t="inlineStr">
        <is>
          <t>%</t>
        </is>
      </c>
      <c r="G17" s="13">
        <f>IF(E17&lt;&gt;"","✓ OK","⬜ À remplir")</f>
        <v/>
      </c>
      <c r="H17" s="9" t="inlineStr">
        <is>
          <t>saisie</t>
        </is>
      </c>
    </row>
    <row r="18">
      <c r="A18" s="11" t="n"/>
      <c r="B18" s="7" t="inlineStr">
        <is>
          <t>S2-DV</t>
        </is>
      </c>
      <c r="C18" s="9" t="inlineStr">
        <is>
          <t>S2-5 §30</t>
        </is>
      </c>
      <c r="D18" s="7" t="inlineStr">
        <is>
          <t>Politique de devoir de vigilance adoptée (O/N)</t>
        </is>
      </c>
      <c r="E18" s="8" t="n"/>
      <c r="F18" s="9" t="inlineStr">
        <is>
          <t>O/N</t>
        </is>
      </c>
      <c r="G18" s="13">
        <f>IF(E18&lt;&gt;"","✓ OK","⬜ À remplir")</f>
        <v/>
      </c>
      <c r="H18" s="9" t="inlineStr">
        <is>
          <t>saisie</t>
        </is>
      </c>
    </row>
    <row r="19">
      <c r="A19" s="11" t="n"/>
      <c r="B19" s="7" t="inlineStr">
        <is>
          <t>S2-FORM</t>
        </is>
      </c>
      <c r="C19" s="9" t="inlineStr">
        <is>
          <t>S2-4</t>
        </is>
      </c>
      <c r="D19" s="7" t="inlineStr">
        <is>
          <t>Nb de fournisseurs formés aux enjeux ESG</t>
        </is>
      </c>
      <c r="E19" s="8" t="n"/>
      <c r="F19" s="9" t="inlineStr">
        <is>
          <t>Nb</t>
        </is>
      </c>
      <c r="G19" s="13">
        <f>IF(E19&lt;&gt;"","✓ OK","⬜ À remplir")</f>
        <v/>
      </c>
      <c r="H19" s="9" t="inlineStr">
        <is>
          <t>saisie</t>
        </is>
      </c>
    </row>
    <row r="21" ht="17.45" customHeight="1">
      <c r="A21" s="198" t="inlineStr">
        <is>
          <t>SCORE DE COMPLÉTUDE S2</t>
        </is>
      </c>
      <c r="B21" s="226" t="n"/>
      <c r="C21" s="226" t="n"/>
      <c r="D21" s="226" t="n"/>
      <c r="E21" s="226" t="n"/>
      <c r="F21" s="226" t="n"/>
      <c r="G21" s="226" t="n"/>
      <c r="H21" s="227" t="n"/>
    </row>
    <row r="22" ht="18" customHeight="1">
      <c r="C22" s="2" t="inlineStr">
        <is>
          <t>Data points renseignés</t>
        </is>
      </c>
      <c r="E22" s="35">
        <f>COUNTIF(G8:G20,"✓ OK")</f>
        <v/>
      </c>
    </row>
    <row r="23" ht="18" customHeight="1">
      <c r="C23" s="36" t="inlineStr">
        <is>
          <t>Score complétude S2 (%)</t>
        </is>
      </c>
      <c r="E23" s="259">
        <f>IF(12&gt;0,E22/12*100,0)</f>
        <v/>
      </c>
    </row>
  </sheetData>
  <mergeCells count="3">
    <mergeCell ref="A2:H2"/>
    <mergeCell ref="A21:H21"/>
    <mergeCell ref="A6:H6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0D47A1"/>
    <outlinePr summaryBelow="1" summaryRight="1"/>
    <pageSetUpPr/>
  </sheetPr>
  <dimension ref="A1:K21"/>
  <sheetViews>
    <sheetView showGridLines="0" zoomScaleNormal="100" workbookViewId="0">
      <selection activeCell="H1" sqref="H1"/>
    </sheetView>
  </sheetViews>
  <sheetFormatPr baseColWidth="10" defaultColWidth="8.7109375" defaultRowHeight="15"/>
  <cols>
    <col width="3" customWidth="1" min="1" max="1"/>
    <col width="10" customWidth="1" min="2" max="2"/>
    <col width="14" customWidth="1" min="3" max="3"/>
    <col width="32" customWidth="1" min="4" max="4"/>
    <col width="18" customWidth="1" min="5" max="7"/>
    <col width="17.5703125" customWidth="1" min="8" max="8"/>
  </cols>
  <sheetData>
    <row r="1" ht="15" customHeight="1">
      <c r="A1" s="2" t="n"/>
      <c r="B1" s="2" t="n"/>
      <c r="C1" s="2" t="n"/>
      <c r="D1" s="2" t="n"/>
      <c r="E1" s="2" t="n"/>
      <c r="F1" s="2" t="n"/>
      <c r="G1" s="2" t="n"/>
      <c r="H1" s="117" t="inlineStr">
        <is>
          <t>🏠 Sommaire</t>
        </is>
      </c>
      <c r="I1" s="2" t="n"/>
      <c r="J1" s="2" t="n"/>
      <c r="K1" s="2" t="n"/>
    </row>
    <row r="2" ht="17.25" customHeight="1">
      <c r="A2" s="198" t="inlineStr">
        <is>
          <t>ESRS S3 — COMMUNAUTÉS AFFECTÉES</t>
        </is>
      </c>
      <c r="B2" s="226" t="n"/>
      <c r="C2" s="226" t="n"/>
      <c r="D2" s="226" t="n"/>
      <c r="E2" s="226" t="n"/>
      <c r="F2" s="226" t="n"/>
      <c r="G2" s="226" t="n"/>
      <c r="H2" s="227" t="n"/>
      <c r="I2" s="2" t="n"/>
      <c r="J2" s="2" t="n"/>
      <c r="K2" s="2" t="n"/>
    </row>
    <row r="3" ht="15" customHeight="1">
      <c r="A3" s="2" t="n"/>
      <c r="B3" s="1" t="inlineStr">
        <is>
          <t>Delegated Regulation (EU) 2023/2772 — ESRS S3. Populations locales, peuples autochtones, impacts territoriaux.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5" customHeight="1">
      <c r="A4" s="2" t="n"/>
      <c r="B4" s="32" t="inlineStr">
        <is>
          <t>Matérialité S3 :</t>
        </is>
      </c>
      <c r="C4" s="2" t="n"/>
      <c r="D4" s="33">
        <f>IF(Materialite!M20="OUI","✅ MATÉRIEL","⚠️ Non matériel")</f>
        <v/>
      </c>
      <c r="E4" s="2" t="n"/>
      <c r="F4" s="2" t="n"/>
      <c r="G4" s="2" t="n"/>
      <c r="H4" s="2" t="n"/>
      <c r="I4" s="2" t="n"/>
      <c r="J4" s="2" t="n"/>
      <c r="K4" s="2" t="n"/>
    </row>
    <row r="6" ht="17.45" customHeight="1">
      <c r="A6" s="198" t="inlineStr">
        <is>
          <t>IMPACTS SUR LES COMMUNAUTÉS (S3-1 à S3-5)</t>
        </is>
      </c>
      <c r="B6" s="226" t="n"/>
      <c r="C6" s="226" t="n"/>
      <c r="D6" s="226" t="n"/>
      <c r="E6" s="226" t="n"/>
      <c r="F6" s="226" t="n"/>
      <c r="G6" s="226" t="n"/>
      <c r="H6" s="227" t="n"/>
    </row>
    <row r="7">
      <c r="A7" s="34" t="n"/>
      <c r="B7" s="34" t="inlineStr">
        <is>
          <t>ID</t>
        </is>
      </c>
      <c r="C7" s="34" t="inlineStr">
        <is>
          <t>Réf. ESRS</t>
        </is>
      </c>
      <c r="D7" s="34" t="inlineStr">
        <is>
          <t>Data point</t>
        </is>
      </c>
      <c r="E7" s="34" t="inlineStr">
        <is>
          <t>Valeur</t>
        </is>
      </c>
      <c r="F7" s="34" t="inlineStr">
        <is>
          <t>Unité</t>
        </is>
      </c>
      <c r="G7" s="34" t="inlineStr">
        <is>
          <t>Statut</t>
        </is>
      </c>
      <c r="H7" s="34" t="inlineStr">
        <is>
          <t>Source</t>
        </is>
      </c>
    </row>
    <row r="8">
      <c r="A8" s="11" t="n"/>
      <c r="B8" s="7" t="inlineStr">
        <is>
          <t>S3-1-01</t>
        </is>
      </c>
      <c r="C8" s="9" t="inlineStr">
        <is>
          <t>S3-1 §10</t>
        </is>
      </c>
      <c r="D8" s="7" t="inlineStr">
        <is>
          <t>Nb de sites d'opérations dans/à proximité de communautés</t>
        </is>
      </c>
      <c r="E8" s="8" t="n"/>
      <c r="F8" s="9" t="inlineStr">
        <is>
          <t>Nb</t>
        </is>
      </c>
      <c r="G8" s="13">
        <f>IF(E8&lt;&gt;"","✓ OK","⬜ À remplir")</f>
        <v/>
      </c>
      <c r="H8" s="9" t="inlineStr">
        <is>
          <t>saisie</t>
        </is>
      </c>
    </row>
    <row r="9">
      <c r="A9" s="11" t="n"/>
      <c r="B9" s="7" t="inlineStr">
        <is>
          <t>S3-1-02</t>
        </is>
      </c>
      <c r="C9" s="9" t="inlineStr">
        <is>
          <t>S3-1 §11</t>
        </is>
      </c>
      <c r="D9" s="7" t="inlineStr">
        <is>
          <t>Nb de communautés identifiées comme affectées</t>
        </is>
      </c>
      <c r="E9" s="8" t="n"/>
      <c r="F9" s="9" t="inlineStr">
        <is>
          <t>Nb</t>
        </is>
      </c>
      <c r="G9" s="13">
        <f>IF(E9&lt;&gt;"","✓ OK","⬜ À remplir")</f>
        <v/>
      </c>
      <c r="H9" s="9" t="inlineStr">
        <is>
          <t>saisie</t>
        </is>
      </c>
    </row>
    <row r="10">
      <c r="A10" s="11" t="n"/>
      <c r="B10" s="7" t="inlineStr">
        <is>
          <t>S3-1-03</t>
        </is>
      </c>
      <c r="C10" s="9" t="inlineStr">
        <is>
          <t>S3-1 §12</t>
        </is>
      </c>
      <c r="D10" s="7" t="inlineStr">
        <is>
          <t>Types d'impacts identifiés (environnement, santé, culture)</t>
        </is>
      </c>
      <c r="E10" s="8" t="n"/>
      <c r="F10" s="9" t="inlineStr">
        <is>
          <t>Texte</t>
        </is>
      </c>
      <c r="G10" s="13">
        <f>IF(E10&lt;&gt;"","✓ OK","⬜ À remplir")</f>
        <v/>
      </c>
      <c r="H10" s="9" t="inlineStr">
        <is>
          <t>saisie</t>
        </is>
      </c>
    </row>
    <row r="11">
      <c r="A11" s="11" t="n"/>
      <c r="B11" s="7" t="inlineStr">
        <is>
          <t>S3-3-01</t>
        </is>
      </c>
      <c r="C11" s="9" t="inlineStr">
        <is>
          <t>S3-3 §19</t>
        </is>
      </c>
      <c r="D11" s="7" t="inlineStr">
        <is>
          <t>Processus de consultation des communautés (O/N)</t>
        </is>
      </c>
      <c r="E11" s="8" t="n"/>
      <c r="F11" s="9" t="inlineStr">
        <is>
          <t>O/N</t>
        </is>
      </c>
      <c r="G11" s="13">
        <f>IF(E11&lt;&gt;"","✓ OK","⬜ À remplir")</f>
        <v/>
      </c>
      <c r="H11" s="9" t="inlineStr">
        <is>
          <t>saisie</t>
        </is>
      </c>
    </row>
    <row r="12">
      <c r="A12" s="11" t="n"/>
      <c r="B12" s="7" t="inlineStr">
        <is>
          <t>S3-3-02</t>
        </is>
      </c>
      <c r="C12" s="9" t="inlineStr">
        <is>
          <t>S3-3 §20</t>
        </is>
      </c>
      <c r="D12" s="7" t="inlineStr">
        <is>
          <t>Nb de consultations réalisées dans l'année</t>
        </is>
      </c>
      <c r="E12" s="8" t="n"/>
      <c r="F12" s="9" t="inlineStr">
        <is>
          <t>Nb</t>
        </is>
      </c>
      <c r="G12" s="13">
        <f>IF(E12&lt;&gt;"","✓ OK","⬜ À remplir")</f>
        <v/>
      </c>
      <c r="H12" s="9" t="inlineStr">
        <is>
          <t>saisie</t>
        </is>
      </c>
    </row>
    <row r="13">
      <c r="A13" s="11" t="n"/>
      <c r="B13" s="7" t="inlineStr">
        <is>
          <t>S3-4-01</t>
        </is>
      </c>
      <c r="C13" s="9" t="inlineStr">
        <is>
          <t>S3-4 §23</t>
        </is>
      </c>
      <c r="D13" s="7" t="inlineStr">
        <is>
          <t>Nb de réclamations / plaintes communautaires reçues</t>
        </is>
      </c>
      <c r="E13" s="8" t="n"/>
      <c r="F13" s="9" t="inlineStr">
        <is>
          <t>Nb</t>
        </is>
      </c>
      <c r="G13" s="13">
        <f>IF(E13&lt;&gt;"","✓ OK","⬜ À remplir")</f>
        <v/>
      </c>
      <c r="H13" s="9" t="inlineStr">
        <is>
          <t>saisie</t>
        </is>
      </c>
    </row>
    <row r="14">
      <c r="A14" s="11" t="n"/>
      <c r="B14" s="7" t="inlineStr">
        <is>
          <t>S3-4-02</t>
        </is>
      </c>
      <c r="C14" s="9" t="inlineStr">
        <is>
          <t>S3-4 §24</t>
        </is>
      </c>
      <c r="D14" s="7" t="inlineStr">
        <is>
          <t>Nb de réclamations traitées / résolues</t>
        </is>
      </c>
      <c r="E14" s="8" t="n"/>
      <c r="F14" s="9" t="inlineStr">
        <is>
          <t>Nb</t>
        </is>
      </c>
      <c r="G14" s="13">
        <f>IF(E14&lt;&gt;"","✓ OK","⬜ À remplir")</f>
        <v/>
      </c>
      <c r="H14" s="9" t="inlineStr">
        <is>
          <t>saisie</t>
        </is>
      </c>
    </row>
    <row r="15">
      <c r="A15" s="11" t="n"/>
      <c r="B15" s="7" t="inlineStr">
        <is>
          <t>S3-4-03</t>
        </is>
      </c>
      <c r="C15" s="9" t="inlineStr">
        <is>
          <t>S3-4</t>
        </is>
      </c>
      <c r="D15" s="7" t="inlineStr">
        <is>
          <t>Taux de résolution (%)</t>
        </is>
      </c>
      <c r="E15" s="10">
        <f>IF(E13&gt;0,E14/E13*100,0)</f>
        <v/>
      </c>
      <c r="F15" s="9" t="inlineStr">
        <is>
          <t>%</t>
        </is>
      </c>
      <c r="G15" s="13">
        <f>IF(E15&lt;&gt;"","✓ OK","⬜ À remplir")</f>
        <v/>
      </c>
      <c r="H15" s="9" t="inlineStr">
        <is>
          <t>calc</t>
        </is>
      </c>
    </row>
    <row r="16">
      <c r="A16" s="11" t="n"/>
      <c r="B16" s="7" t="inlineStr">
        <is>
          <t>S3-5-01</t>
        </is>
      </c>
      <c r="C16" s="9" t="inlineStr">
        <is>
          <t>S3-5 §26</t>
        </is>
      </c>
      <c r="D16" s="7" t="inlineStr">
        <is>
          <t>Nb de litiges en cours avec des communautés</t>
        </is>
      </c>
      <c r="E16" s="8" t="n"/>
      <c r="F16" s="9" t="inlineStr">
        <is>
          <t>Nb</t>
        </is>
      </c>
      <c r="G16" s="13">
        <f>IF(E16&lt;&gt;"","✓ OK","⬜ À remplir")</f>
        <v/>
      </c>
      <c r="H16" s="9" t="inlineStr">
        <is>
          <t>saisie</t>
        </is>
      </c>
    </row>
    <row r="17">
      <c r="A17" s="11" t="n"/>
      <c r="B17" s="7" t="inlineStr">
        <is>
          <t>S3-5-02</t>
        </is>
      </c>
      <c r="C17" s="9" t="inlineStr">
        <is>
          <t>S3-5 §27</t>
        </is>
      </c>
      <c r="D17" s="7" t="inlineStr">
        <is>
          <t>Investissements communautaires dans l'année (€)</t>
        </is>
      </c>
      <c r="E17" s="8" t="n"/>
      <c r="F17" s="9" t="inlineStr">
        <is>
          <t>€</t>
        </is>
      </c>
      <c r="G17" s="13">
        <f>IF(E17&lt;&gt;"","✓ OK","⬜ À remplir")</f>
        <v/>
      </c>
      <c r="H17" s="9" t="inlineStr">
        <is>
          <t>saisie</t>
        </is>
      </c>
    </row>
    <row r="19" ht="17.45" customHeight="1">
      <c r="A19" s="198" t="inlineStr">
        <is>
          <t>SCORE DE COMPLÉTUDE S3</t>
        </is>
      </c>
      <c r="B19" s="226" t="n"/>
      <c r="C19" s="226" t="n"/>
      <c r="D19" s="226" t="n"/>
      <c r="E19" s="226" t="n"/>
      <c r="F19" s="226" t="n"/>
      <c r="G19" s="226" t="n"/>
      <c r="H19" s="227" t="n"/>
    </row>
    <row r="20" ht="18" customHeight="1">
      <c r="C20" s="2" t="inlineStr">
        <is>
          <t>Data points renseignés</t>
        </is>
      </c>
      <c r="E20" s="35">
        <f>COUNTIF(G8:G18,"✓ OK")</f>
        <v/>
      </c>
    </row>
    <row r="21" ht="18" customHeight="1">
      <c r="C21" s="36" t="inlineStr">
        <is>
          <t>Score complétude S3 (%)</t>
        </is>
      </c>
      <c r="E21" s="259">
        <f>IF(10&gt;0,E20/10*100,0)</f>
        <v/>
      </c>
    </row>
  </sheetData>
  <mergeCells count="3">
    <mergeCell ref="A19:H19"/>
    <mergeCell ref="A2:H2"/>
    <mergeCell ref="A6:H6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0D47A1"/>
    <outlinePr summaryBelow="1" summaryRight="1"/>
    <pageSetUpPr/>
  </sheetPr>
  <dimension ref="A1:K24"/>
  <sheetViews>
    <sheetView showGridLines="0" zoomScaleNormal="100" workbookViewId="0">
      <selection activeCell="H1" sqref="H1"/>
    </sheetView>
  </sheetViews>
  <sheetFormatPr baseColWidth="10" defaultColWidth="8.7109375" defaultRowHeight="15"/>
  <cols>
    <col width="3" customWidth="1" min="1" max="1"/>
    <col width="10" customWidth="1" min="2" max="2"/>
    <col width="14" customWidth="1" min="3" max="3"/>
    <col width="32" customWidth="1" min="4" max="4"/>
    <col width="18" customWidth="1" min="5" max="7"/>
    <col width="20.42578125" customWidth="1" min="8" max="8"/>
  </cols>
  <sheetData>
    <row r="1" ht="15" customHeight="1">
      <c r="A1" s="2" t="n"/>
      <c r="B1" s="2" t="n"/>
      <c r="C1" s="2" t="n"/>
      <c r="D1" s="2" t="n"/>
      <c r="E1" s="2" t="n"/>
      <c r="F1" s="2" t="n"/>
      <c r="G1" s="2" t="n"/>
      <c r="H1" s="117" t="inlineStr">
        <is>
          <t>🏠 Sommaire</t>
        </is>
      </c>
      <c r="I1" s="2" t="n"/>
      <c r="J1" s="2" t="n"/>
      <c r="K1" s="2" t="n"/>
    </row>
    <row r="2" ht="17.25" customHeight="1">
      <c r="A2" s="198" t="inlineStr">
        <is>
          <t>ESRS S4 — CONSOMMATEURS ET UTILISATEURS FINAUX</t>
        </is>
      </c>
      <c r="B2" s="226" t="n"/>
      <c r="C2" s="226" t="n"/>
      <c r="D2" s="226" t="n"/>
      <c r="E2" s="226" t="n"/>
      <c r="F2" s="226" t="n"/>
      <c r="G2" s="226" t="n"/>
      <c r="H2" s="227" t="n"/>
      <c r="I2" s="2" t="n"/>
      <c r="J2" s="2" t="n"/>
      <c r="K2" s="2" t="n"/>
    </row>
    <row r="3" ht="15" customHeight="1">
      <c r="A3" s="2" t="n"/>
      <c r="B3" s="1" t="inlineStr">
        <is>
          <t>Delegated Regulation (EU) 2023/2772 — ESRS S4. Sécurité produit, vie privée, accessibilité, marketing responsable.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5" customHeight="1">
      <c r="A4" s="2" t="n"/>
      <c r="B4" s="32" t="inlineStr">
        <is>
          <t>Matérialité S4 :</t>
        </is>
      </c>
      <c r="C4" s="2" t="n"/>
      <c r="D4" s="33">
        <f>IF(Materialite!M21="OUI","✅ MATÉRIEL","⚠️ Non matériel")</f>
        <v/>
      </c>
      <c r="E4" s="2" t="n"/>
      <c r="F4" s="2" t="n"/>
      <c r="G4" s="2" t="n"/>
      <c r="H4" s="2" t="n"/>
      <c r="I4" s="2" t="n"/>
      <c r="J4" s="2" t="n"/>
      <c r="K4" s="2" t="n"/>
    </row>
    <row r="6" ht="17.45" customHeight="1">
      <c r="A6" s="198" t="inlineStr">
        <is>
          <t>INDICATEURS CONSOMMATEURS (S4-1 à S4-5)</t>
        </is>
      </c>
      <c r="B6" s="226" t="n"/>
      <c r="C6" s="226" t="n"/>
      <c r="D6" s="226" t="n"/>
      <c r="E6" s="226" t="n"/>
      <c r="F6" s="226" t="n"/>
      <c r="G6" s="226" t="n"/>
      <c r="H6" s="227" t="n"/>
    </row>
    <row r="7">
      <c r="A7" s="34" t="n"/>
      <c r="B7" s="34" t="inlineStr">
        <is>
          <t>ID</t>
        </is>
      </c>
      <c r="C7" s="34" t="inlineStr">
        <is>
          <t>Réf. ESRS</t>
        </is>
      </c>
      <c r="D7" s="34" t="inlineStr">
        <is>
          <t>Data point</t>
        </is>
      </c>
      <c r="E7" s="34" t="inlineStr">
        <is>
          <t>Valeur</t>
        </is>
      </c>
      <c r="F7" s="34" t="inlineStr">
        <is>
          <t>Unité</t>
        </is>
      </c>
      <c r="G7" s="34" t="inlineStr">
        <is>
          <t>Statut</t>
        </is>
      </c>
      <c r="H7" s="34" t="inlineStr">
        <is>
          <t>Source</t>
        </is>
      </c>
    </row>
    <row r="8">
      <c r="A8" s="11" t="n"/>
      <c r="B8" s="7" t="inlineStr">
        <is>
          <t>S4-1-01</t>
        </is>
      </c>
      <c r="C8" s="9" t="inlineStr">
        <is>
          <t>S4-1 §10</t>
        </is>
      </c>
      <c r="D8" s="7" t="inlineStr">
        <is>
          <t>Nb de clients / utilisateurs finaux</t>
        </is>
      </c>
      <c r="E8" s="8" t="n"/>
      <c r="F8" s="9" t="inlineStr">
        <is>
          <t>Nb</t>
        </is>
      </c>
      <c r="G8" s="13">
        <f>IF(E8&lt;&gt;"","✓ OK","⬜ À remplir")</f>
        <v/>
      </c>
      <c r="H8" s="9" t="inlineStr">
        <is>
          <t>saisie</t>
        </is>
      </c>
    </row>
    <row r="9">
      <c r="A9" s="11" t="n"/>
      <c r="B9" s="7" t="inlineStr">
        <is>
          <t>S4-1-02</t>
        </is>
      </c>
      <c r="C9" s="9" t="inlineStr">
        <is>
          <t>S4-1 §11</t>
        </is>
      </c>
      <c r="D9" s="7" t="inlineStr">
        <is>
          <t>Marchés géographiques servis</t>
        </is>
      </c>
      <c r="E9" s="8" t="n"/>
      <c r="F9" s="9" t="inlineStr">
        <is>
          <t>Texte</t>
        </is>
      </c>
      <c r="G9" s="13">
        <f>IF(E9&lt;&gt;"","✓ OK","⬜ À remplir")</f>
        <v/>
      </c>
      <c r="H9" s="9" t="inlineStr">
        <is>
          <t>saisie</t>
        </is>
      </c>
    </row>
    <row r="10">
      <c r="A10" s="11" t="n"/>
      <c r="B10" s="7" t="inlineStr">
        <is>
          <t>S4-3-01</t>
        </is>
      </c>
      <c r="C10" s="9" t="inlineStr">
        <is>
          <t>S4-3 §19</t>
        </is>
      </c>
      <c r="D10" s="7" t="inlineStr">
        <is>
          <t>Score satisfaction client (NPS ou CSAT)</t>
        </is>
      </c>
      <c r="E10" s="8" t="n"/>
      <c r="F10" s="9" t="inlineStr">
        <is>
          <t>Score</t>
        </is>
      </c>
      <c r="G10" s="13">
        <f>IF(E10&lt;&gt;"","✓ OK","⬜ À remplir")</f>
        <v/>
      </c>
      <c r="H10" s="9" t="inlineStr">
        <is>
          <t>saisie</t>
        </is>
      </c>
    </row>
    <row r="11">
      <c r="A11" s="11" t="n"/>
      <c r="B11" s="7" t="inlineStr">
        <is>
          <t>S4-3-02</t>
        </is>
      </c>
      <c r="C11" s="9" t="inlineStr">
        <is>
          <t>S4-3 §19</t>
        </is>
      </c>
      <c r="D11" s="7" t="inlineStr">
        <is>
          <t>NPS calculé</t>
        </is>
      </c>
      <c r="E11" s="10" t="n"/>
      <c r="F11" s="9" t="inlineStr">
        <is>
          <t>Score</t>
        </is>
      </c>
      <c r="G11" s="13">
        <f>IF(E11&lt;&gt;"","✓ OK","⬜ À remplir")</f>
        <v/>
      </c>
      <c r="H11" s="9" t="inlineStr">
        <is>
          <t>calc</t>
        </is>
      </c>
    </row>
    <row r="12">
      <c r="A12" s="11" t="n"/>
      <c r="B12" s="7" t="inlineStr">
        <is>
          <t>S4-3-03</t>
        </is>
      </c>
      <c r="C12" s="9" t="inlineStr">
        <is>
          <t>S4-3 §20</t>
        </is>
      </c>
      <c r="D12" s="7" t="inlineStr">
        <is>
          <t>Nb de réclamations produit/service reçues</t>
        </is>
      </c>
      <c r="E12" s="8" t="n"/>
      <c r="F12" s="9" t="inlineStr">
        <is>
          <t>Nb</t>
        </is>
      </c>
      <c r="G12" s="13">
        <f>IF(E12&lt;&gt;"","✓ OK","⬜ À remplir")</f>
        <v/>
      </c>
      <c r="H12" s="9" t="inlineStr">
        <is>
          <t>saisie</t>
        </is>
      </c>
    </row>
    <row r="13">
      <c r="A13" s="11" t="n"/>
      <c r="B13" s="7" t="inlineStr">
        <is>
          <t>S4-3-04</t>
        </is>
      </c>
      <c r="C13" s="9" t="inlineStr">
        <is>
          <t>S4-3 §20</t>
        </is>
      </c>
      <c r="D13" s="7" t="inlineStr">
        <is>
          <t>Nb de réclamations traitées &lt; 30 jours</t>
        </is>
      </c>
      <c r="E13" s="8" t="n"/>
      <c r="F13" s="9" t="inlineStr">
        <is>
          <t>Nb</t>
        </is>
      </c>
      <c r="G13" s="13">
        <f>IF(E13&lt;&gt;"","✓ OK","⬜ À remplir")</f>
        <v/>
      </c>
      <c r="H13" s="9" t="inlineStr">
        <is>
          <t>saisie</t>
        </is>
      </c>
    </row>
    <row r="14">
      <c r="A14" s="11" t="n"/>
      <c r="B14" s="7" t="inlineStr">
        <is>
          <t>S4-3-05</t>
        </is>
      </c>
      <c r="C14" s="9" t="inlineStr">
        <is>
          <t>S4-3</t>
        </is>
      </c>
      <c r="D14" s="7" t="inlineStr">
        <is>
          <t>Taux de résolution rapide (%)</t>
        </is>
      </c>
      <c r="E14" s="10">
        <f>IF(E12&gt;0,E13/E12*100,0)</f>
        <v/>
      </c>
      <c r="F14" s="9" t="inlineStr">
        <is>
          <t>%</t>
        </is>
      </c>
      <c r="G14" s="13">
        <f>IF(E14&lt;&gt;"","✓ OK","⬜ À remplir")</f>
        <v/>
      </c>
      <c r="H14" s="9" t="inlineStr">
        <is>
          <t>calc</t>
        </is>
      </c>
    </row>
    <row r="15">
      <c r="A15" s="11" t="n"/>
      <c r="B15" s="7" t="inlineStr">
        <is>
          <t>S4-4-01</t>
        </is>
      </c>
      <c r="C15" s="9" t="inlineStr">
        <is>
          <t>S4-4 §24</t>
        </is>
      </c>
      <c r="D15" s="7" t="inlineStr">
        <is>
          <t>Nb d'incidents de sécurité produit</t>
        </is>
      </c>
      <c r="E15" s="8" t="n"/>
      <c r="F15" s="9" t="inlineStr">
        <is>
          <t>Nb</t>
        </is>
      </c>
      <c r="G15" s="13">
        <f>IF(E15&lt;&gt;"","✓ OK","⬜ À remplir")</f>
        <v/>
      </c>
      <c r="H15" s="9" t="inlineStr">
        <is>
          <t>saisie</t>
        </is>
      </c>
    </row>
    <row r="16">
      <c r="A16" s="11" t="n"/>
      <c r="B16" s="7" t="inlineStr">
        <is>
          <t>S4-4-02</t>
        </is>
      </c>
      <c r="C16" s="9" t="inlineStr">
        <is>
          <t>S4-4 §25</t>
        </is>
      </c>
      <c r="D16" s="7" t="inlineStr">
        <is>
          <t>Nb de rappels produit dans l'année</t>
        </is>
      </c>
      <c r="E16" s="8" t="n"/>
      <c r="F16" s="9" t="inlineStr">
        <is>
          <t>Nb</t>
        </is>
      </c>
      <c r="G16" s="13">
        <f>IF(E16&lt;&gt;"","✓ OK","⬜ À remplir")</f>
        <v/>
      </c>
      <c r="H16" s="9" t="inlineStr">
        <is>
          <t>saisie</t>
        </is>
      </c>
    </row>
    <row r="17">
      <c r="A17" s="11" t="n"/>
      <c r="B17" s="7" t="inlineStr">
        <is>
          <t>S4-4-03</t>
        </is>
      </c>
      <c r="C17" s="9" t="inlineStr">
        <is>
          <t>S4-4 §26</t>
        </is>
      </c>
      <c r="D17" s="7" t="inlineStr">
        <is>
          <t>Politique de protection des données (O/N)</t>
        </is>
      </c>
      <c r="E17" s="8" t="n"/>
      <c r="F17" s="9" t="inlineStr">
        <is>
          <t>O/N</t>
        </is>
      </c>
      <c r="G17" s="13">
        <f>IF(E17&lt;&gt;"","✓ OK","⬜ À remplir")</f>
        <v/>
      </c>
      <c r="H17" s="9" t="inlineStr">
        <is>
          <t>saisie</t>
        </is>
      </c>
    </row>
    <row r="18">
      <c r="A18" s="11" t="n"/>
      <c r="B18" s="7" t="inlineStr">
        <is>
          <t>S4-4-04</t>
        </is>
      </c>
      <c r="C18" s="9" t="inlineStr">
        <is>
          <t>S4-4 §27</t>
        </is>
      </c>
      <c r="D18" s="7" t="inlineStr">
        <is>
          <t>Nb de violations de données personnelles</t>
        </is>
      </c>
      <c r="E18" s="8" t="n"/>
      <c r="F18" s="9" t="inlineStr">
        <is>
          <t>Nb</t>
        </is>
      </c>
      <c r="G18" s="13">
        <f>IF(E18&lt;&gt;"","✓ OK","⬜ À remplir")</f>
        <v/>
      </c>
      <c r="H18" s="9" t="inlineStr">
        <is>
          <t>saisie</t>
        </is>
      </c>
    </row>
    <row r="19">
      <c r="A19" s="11" t="n"/>
      <c r="B19" s="7" t="inlineStr">
        <is>
          <t>S4-5-01</t>
        </is>
      </c>
      <c r="C19" s="9" t="inlineStr">
        <is>
          <t>S4-5 §29</t>
        </is>
      </c>
      <c r="D19" s="7" t="inlineStr">
        <is>
          <t>Accessibilité produits/services (score 1-5)</t>
        </is>
      </c>
      <c r="E19" s="8" t="n"/>
      <c r="F19" s="9" t="inlineStr">
        <is>
          <t>1-5</t>
        </is>
      </c>
      <c r="G19" s="13">
        <f>IF(E19&lt;&gt;"","✓ OK","⬜ À remplir")</f>
        <v/>
      </c>
      <c r="H19" s="9" t="inlineStr">
        <is>
          <t>saisie</t>
        </is>
      </c>
    </row>
    <row r="20">
      <c r="A20" s="11" t="n"/>
      <c r="B20" s="7" t="inlineStr">
        <is>
          <t>S4-5-02</t>
        </is>
      </c>
      <c r="C20" s="9" t="inlineStr">
        <is>
          <t>S4-5</t>
        </is>
      </c>
      <c r="D20" s="7" t="inlineStr">
        <is>
          <t>Marketing responsable : politique adoptée (O/N)</t>
        </is>
      </c>
      <c r="E20" s="8" t="n"/>
      <c r="F20" s="9" t="inlineStr">
        <is>
          <t>O/N</t>
        </is>
      </c>
      <c r="G20" s="13">
        <f>IF(E20&lt;&gt;"","✓ OK","⬜ À remplir")</f>
        <v/>
      </c>
      <c r="H20" s="9" t="inlineStr">
        <is>
          <t>saisie</t>
        </is>
      </c>
    </row>
    <row r="22" ht="17.45" customHeight="1">
      <c r="A22" s="198" t="inlineStr">
        <is>
          <t>SCORE DE COMPLÉTUDE S4</t>
        </is>
      </c>
      <c r="B22" s="226" t="n"/>
      <c r="C22" s="226" t="n"/>
      <c r="D22" s="226" t="n"/>
      <c r="E22" s="226" t="n"/>
      <c r="F22" s="226" t="n"/>
      <c r="G22" s="226" t="n"/>
      <c r="H22" s="227" t="n"/>
    </row>
    <row r="23" ht="18" customHeight="1">
      <c r="C23" s="2" t="inlineStr">
        <is>
          <t>Data points renseignés</t>
        </is>
      </c>
      <c r="E23" s="35">
        <f>COUNTIF(G8:G21,"✓ OK")</f>
        <v/>
      </c>
    </row>
    <row r="24" ht="18" customHeight="1">
      <c r="C24" s="36" t="inlineStr">
        <is>
          <t>Score complétude S4 (%)</t>
        </is>
      </c>
      <c r="E24" s="259">
        <f>IF(13&gt;0,E23/13*100,0)</f>
        <v/>
      </c>
    </row>
  </sheetData>
  <mergeCells count="3">
    <mergeCell ref="A2:H2"/>
    <mergeCell ref="A6:H6"/>
    <mergeCell ref="A22:H22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4A148C"/>
    <outlinePr summaryBelow="1" summaryRight="1"/>
    <pageSetUpPr/>
  </sheetPr>
  <dimension ref="A1:K37"/>
  <sheetViews>
    <sheetView showGridLines="0" zoomScaleNormal="100" workbookViewId="0">
      <selection activeCell="A35" sqref="A35:H35"/>
    </sheetView>
  </sheetViews>
  <sheetFormatPr baseColWidth="10" defaultColWidth="8.7109375" defaultRowHeight="15"/>
  <cols>
    <col width="3" customWidth="1" min="1" max="1"/>
    <col width="18" customWidth="1" min="2" max="2"/>
    <col width="14" customWidth="1" min="3" max="3"/>
    <col width="43.42578125" customWidth="1" min="4" max="4"/>
    <col width="18" customWidth="1" min="5" max="7"/>
    <col width="22.28515625" customWidth="1" min="8" max="8"/>
  </cols>
  <sheetData>
    <row r="1" ht="15" customHeight="1">
      <c r="A1" s="2" t="n"/>
      <c r="B1" s="2" t="n"/>
      <c r="C1" s="2" t="n"/>
      <c r="D1" s="2" t="n"/>
      <c r="E1" s="2" t="n"/>
      <c r="F1" s="2" t="n"/>
      <c r="G1" s="2" t="n"/>
      <c r="H1" s="117" t="inlineStr">
        <is>
          <t>🏠 Sommaire</t>
        </is>
      </c>
      <c r="I1" s="2" t="n"/>
      <c r="J1" s="2" t="n"/>
      <c r="K1" s="2" t="n"/>
    </row>
    <row r="2" ht="17.25" customHeight="1" thickBot="1">
      <c r="A2" s="203" t="inlineStr">
        <is>
          <t>ESRS G1 — CONDUITE DES AFFAIRES — Éthique, gouvernance, anti-corruption</t>
        </is>
      </c>
      <c r="B2" s="223" t="n"/>
      <c r="C2" s="223" t="n"/>
      <c r="D2" s="223" t="n"/>
      <c r="E2" s="223" t="n"/>
      <c r="F2" s="223" t="n"/>
      <c r="G2" s="223" t="n"/>
      <c r="H2" s="224" t="n"/>
      <c r="I2" s="2" t="n"/>
      <c r="J2" s="2" t="n"/>
      <c r="K2" s="2" t="n"/>
    </row>
    <row r="3" ht="15" customHeight="1" thickBot="1">
      <c r="A3" s="218" t="inlineStr">
        <is>
          <t>Delegated Regulation (EU) 2023/2772 — ESRS G1. Transparence, éthique, lobbying, protection lanceurs d'alerte.</t>
        </is>
      </c>
      <c r="B3" s="217" t="n"/>
      <c r="C3" s="217" t="n"/>
      <c r="D3" s="217" t="n"/>
      <c r="E3" s="217" t="n"/>
      <c r="F3" s="217" t="n"/>
      <c r="G3" s="217" t="n"/>
      <c r="H3" s="219" t="n"/>
      <c r="I3" s="2" t="n"/>
      <c r="J3" s="2" t="n"/>
      <c r="K3" s="2" t="n"/>
    </row>
    <row r="4" ht="15" customHeight="1" thickBot="1">
      <c r="A4" s="2" t="n"/>
      <c r="B4" s="260" t="inlineStr">
        <is>
          <t>Matérialité G1 :</t>
        </is>
      </c>
      <c r="C4" s="219" t="n"/>
      <c r="D4" s="79">
        <f>IF(Materialite!M22="OUI","✅ MATÉRIEL","⚠️ Non matériel")</f>
        <v/>
      </c>
      <c r="E4" s="2" t="n"/>
      <c r="F4" s="2" t="n"/>
      <c r="G4" s="2" t="n"/>
      <c r="H4" s="2" t="n"/>
      <c r="I4" s="2" t="n"/>
      <c r="J4" s="2" t="n"/>
      <c r="K4" s="2" t="n"/>
    </row>
    <row r="6" ht="17.45" customHeight="1">
      <c r="A6" s="204" t="inlineStr">
        <is>
          <t>A — GOUVERNANCE D'ENTREPRISE (G1-1 à G1-3)</t>
        </is>
      </c>
      <c r="B6" s="226" t="n"/>
      <c r="C6" s="226" t="n"/>
      <c r="D6" s="226" t="n"/>
      <c r="E6" s="226" t="n"/>
      <c r="F6" s="226" t="n"/>
      <c r="G6" s="226" t="n"/>
      <c r="H6" s="227" t="n"/>
    </row>
    <row r="7">
      <c r="A7" s="38" t="n"/>
      <c r="B7" s="38" t="inlineStr">
        <is>
          <t>ID</t>
        </is>
      </c>
      <c r="C7" s="38" t="inlineStr">
        <is>
          <t>Réf. ESRS</t>
        </is>
      </c>
      <c r="D7" s="38" t="inlineStr">
        <is>
          <t>Data point</t>
        </is>
      </c>
      <c r="E7" s="38" t="inlineStr">
        <is>
          <t>Valeur</t>
        </is>
      </c>
      <c r="F7" s="38" t="inlineStr">
        <is>
          <t>Unité</t>
        </is>
      </c>
      <c r="G7" s="38" t="inlineStr">
        <is>
          <t>Statut</t>
        </is>
      </c>
      <c r="H7" s="38" t="inlineStr">
        <is>
          <t>Source</t>
        </is>
      </c>
    </row>
    <row r="8">
      <c r="A8" s="11" t="n"/>
      <c r="B8" s="7" t="inlineStr">
        <is>
          <t>G1-1-01</t>
        </is>
      </c>
      <c r="C8" s="9" t="inlineStr">
        <is>
          <t>G1-1 §7</t>
        </is>
      </c>
      <c r="D8" s="7" t="inlineStr">
        <is>
          <t>Rôle des organes de direction dans la durabilité</t>
        </is>
      </c>
      <c r="E8" s="8" t="n"/>
      <c r="F8" s="9" t="inlineStr">
        <is>
          <t>Texte</t>
        </is>
      </c>
      <c r="G8" s="13">
        <f>IF(E8&lt;&gt;"","✓ OK","⬜ À remplir")</f>
        <v/>
      </c>
      <c r="H8" s="9" t="inlineStr">
        <is>
          <t>saisie</t>
        </is>
      </c>
    </row>
    <row r="9">
      <c r="A9" s="11" t="n"/>
      <c r="B9" s="7" t="inlineStr">
        <is>
          <t>G1-1-02</t>
        </is>
      </c>
      <c r="C9" s="9" t="inlineStr">
        <is>
          <t>G1-1 §8</t>
        </is>
      </c>
      <c r="D9" s="7" t="inlineStr">
        <is>
          <t>Nb de membres du conseil d'administration</t>
        </is>
      </c>
      <c r="E9" s="8" t="n"/>
      <c r="F9" s="9" t="inlineStr">
        <is>
          <t>Nb</t>
        </is>
      </c>
      <c r="G9" s="13">
        <f>IF(E9&lt;&gt;"","✓ OK","⬜ À remplir")</f>
        <v/>
      </c>
      <c r="H9" s="9" t="inlineStr">
        <is>
          <t>saisie</t>
        </is>
      </c>
    </row>
    <row r="10">
      <c r="A10" s="11" t="n"/>
      <c r="B10" s="7" t="inlineStr">
        <is>
          <t>G1-1-03</t>
        </is>
      </c>
      <c r="C10" s="9" t="inlineStr">
        <is>
          <t>G1-1 §8</t>
        </is>
      </c>
      <c r="D10" s="7" t="inlineStr">
        <is>
          <t>% de membres indépendants du CA</t>
        </is>
      </c>
      <c r="E10" s="8" t="n"/>
      <c r="F10" s="9" t="inlineStr">
        <is>
          <t>%</t>
        </is>
      </c>
      <c r="G10" s="13">
        <f>IF(E10&lt;&gt;"","✓ OK","⬜ À remplir")</f>
        <v/>
      </c>
      <c r="H10" s="9" t="inlineStr">
        <is>
          <t>saisie</t>
        </is>
      </c>
    </row>
    <row r="11">
      <c r="A11" s="11" t="n"/>
      <c r="B11" s="7" t="inlineStr">
        <is>
          <t>G1-1-04</t>
        </is>
      </c>
      <c r="C11" s="9" t="inlineStr">
        <is>
          <t>G1-1 §9</t>
        </is>
      </c>
      <c r="D11" s="7" t="inlineStr">
        <is>
          <t>% de femmes au CA</t>
        </is>
      </c>
      <c r="E11" s="8" t="n"/>
      <c r="F11" s="9" t="inlineStr">
        <is>
          <t>%</t>
        </is>
      </c>
      <c r="G11" s="13">
        <f>IF(E11&lt;&gt;"","✓ OK","⬜ À remplir")</f>
        <v/>
      </c>
      <c r="H11" s="9" t="inlineStr">
        <is>
          <t>saisie</t>
        </is>
      </c>
    </row>
    <row r="12">
      <c r="A12" s="11" t="n"/>
      <c r="B12" s="7" t="inlineStr">
        <is>
          <t>G1-1-05</t>
        </is>
      </c>
      <c r="C12" s="9" t="inlineStr">
        <is>
          <t>G1-1 §10</t>
        </is>
      </c>
      <c r="D12" s="7" t="inlineStr">
        <is>
          <t>Fréquence de réunion du CA sur la durabilité (/an)</t>
        </is>
      </c>
      <c r="E12" s="8" t="n"/>
      <c r="F12" s="9" t="inlineStr">
        <is>
          <t>Nb</t>
        </is>
      </c>
      <c r="G12" s="13">
        <f>IF(E12&lt;&gt;"","✓ OK","⬜ À remplir")</f>
        <v/>
      </c>
      <c r="H12" s="9" t="inlineStr">
        <is>
          <t>saisie</t>
        </is>
      </c>
    </row>
    <row r="13">
      <c r="A13" s="11" t="n"/>
      <c r="B13" s="7" t="inlineStr">
        <is>
          <t>G1-1-06</t>
        </is>
      </c>
      <c r="C13" s="9" t="inlineStr">
        <is>
          <t>G1-1</t>
        </is>
      </c>
      <c r="D13" s="7" t="inlineStr">
        <is>
          <t>Expertise ESG au sein du CA (O/N)</t>
        </is>
      </c>
      <c r="E13" s="8" t="n"/>
      <c r="F13" s="9" t="inlineStr">
        <is>
          <t>O/N</t>
        </is>
      </c>
      <c r="G13" s="13">
        <f>IF(E13&lt;&gt;"","✓ OK","⬜ À remplir")</f>
        <v/>
      </c>
      <c r="H13" s="9" t="inlineStr">
        <is>
          <t>saisie</t>
        </is>
      </c>
    </row>
    <row r="15" ht="17.45" customHeight="1">
      <c r="A15" s="204" t="inlineStr">
        <is>
          <t>B — ÉTHIQUE ET ANTI-CORRUPTION (G1-3 à G1-4)</t>
        </is>
      </c>
      <c r="B15" s="226" t="n"/>
      <c r="C15" s="226" t="n"/>
      <c r="D15" s="226" t="n"/>
      <c r="E15" s="226" t="n"/>
      <c r="F15" s="226" t="n"/>
      <c r="G15" s="226" t="n"/>
      <c r="H15" s="227" t="n"/>
    </row>
    <row r="16">
      <c r="A16" s="38" t="n"/>
      <c r="B16" s="38" t="inlineStr">
        <is>
          <t>ID</t>
        </is>
      </c>
      <c r="C16" s="38" t="inlineStr">
        <is>
          <t>Réf. ESRS</t>
        </is>
      </c>
      <c r="D16" s="38" t="inlineStr">
        <is>
          <t>Data point</t>
        </is>
      </c>
      <c r="E16" s="38" t="inlineStr">
        <is>
          <t>Valeur</t>
        </is>
      </c>
      <c r="F16" s="38" t="inlineStr">
        <is>
          <t>Unité</t>
        </is>
      </c>
      <c r="G16" s="38" t="inlineStr">
        <is>
          <t>Statut</t>
        </is>
      </c>
      <c r="H16" s="38" t="inlineStr">
        <is>
          <t>Source</t>
        </is>
      </c>
    </row>
    <row r="17">
      <c r="A17" s="11" t="n"/>
      <c r="B17" s="7" t="inlineStr">
        <is>
          <t>G1-3-01</t>
        </is>
      </c>
      <c r="C17" s="9" t="inlineStr">
        <is>
          <t>G1-3 §15</t>
        </is>
      </c>
      <c r="D17" s="7" t="inlineStr">
        <is>
          <t>Politique anti-corruption adoptée (O/N)</t>
        </is>
      </c>
      <c r="E17" s="8" t="n"/>
      <c r="F17" s="9" t="inlineStr">
        <is>
          <t>O/N</t>
        </is>
      </c>
      <c r="G17" s="13">
        <f>IF(E17&lt;&gt;"","✓ OK","⬜ À remplir")</f>
        <v/>
      </c>
      <c r="H17" s="9" t="inlineStr">
        <is>
          <t>saisie</t>
        </is>
      </c>
    </row>
    <row r="18">
      <c r="A18" s="11" t="n"/>
      <c r="B18" s="7" t="inlineStr">
        <is>
          <t>G1-3-02</t>
        </is>
      </c>
      <c r="C18" s="9" t="inlineStr">
        <is>
          <t>G1-3 §16</t>
        </is>
      </c>
      <c r="D18" s="7" t="inlineStr">
        <is>
          <t>% salariés formés à l'anti-corruption</t>
        </is>
      </c>
      <c r="E18" s="8" t="n"/>
      <c r="F18" s="9" t="inlineStr">
        <is>
          <t>%</t>
        </is>
      </c>
      <c r="G18" s="13">
        <f>IF(E18&lt;&gt;"","✓ OK","⬜ À remplir")</f>
        <v/>
      </c>
      <c r="H18" s="9" t="inlineStr">
        <is>
          <t>saisie</t>
        </is>
      </c>
    </row>
    <row r="19">
      <c r="A19" s="11" t="n"/>
      <c r="B19" s="7" t="inlineStr">
        <is>
          <t>G1-3-03</t>
        </is>
      </c>
      <c r="C19" s="9" t="inlineStr">
        <is>
          <t>G1-3 §17</t>
        </is>
      </c>
      <c r="D19" s="7" t="inlineStr">
        <is>
          <t>Nb d'incidents de corruption confirmés</t>
        </is>
      </c>
      <c r="E19" s="8" t="n"/>
      <c r="F19" s="9" t="inlineStr">
        <is>
          <t>Nb</t>
        </is>
      </c>
      <c r="G19" s="13">
        <f>IF(E19&lt;&gt;"","✓ OK","⬜ À remplir")</f>
        <v/>
      </c>
      <c r="H19" s="9" t="inlineStr">
        <is>
          <t>saisie</t>
        </is>
      </c>
    </row>
    <row r="20">
      <c r="A20" s="11" t="n"/>
      <c r="B20" s="7" t="inlineStr">
        <is>
          <t>G1-3-04</t>
        </is>
      </c>
      <c r="C20" s="9" t="inlineStr">
        <is>
          <t>G1-3 §17</t>
        </is>
      </c>
      <c r="D20" s="7" t="inlineStr">
        <is>
          <t>Nb de procédures judiciaires en cours (corruption)</t>
        </is>
      </c>
      <c r="E20" s="8" t="n"/>
      <c r="F20" s="9" t="inlineStr">
        <is>
          <t>Nb</t>
        </is>
      </c>
      <c r="G20" s="13">
        <f>IF(E20&lt;&gt;"","✓ OK","⬜ À remplir")</f>
        <v/>
      </c>
      <c r="H20" s="9" t="inlineStr">
        <is>
          <t>saisie</t>
        </is>
      </c>
    </row>
    <row r="21">
      <c r="A21" s="11" t="n"/>
      <c r="B21" s="7" t="inlineStr">
        <is>
          <t>G1-4-01</t>
        </is>
      </c>
      <c r="C21" s="9" t="inlineStr">
        <is>
          <t>G1-4 §19</t>
        </is>
      </c>
      <c r="D21" s="7" t="inlineStr">
        <is>
          <t>Canal de signalement lanceurs d'alerte (O/N)</t>
        </is>
      </c>
      <c r="E21" s="8" t="n"/>
      <c r="F21" s="9" t="inlineStr">
        <is>
          <t>O/N</t>
        </is>
      </c>
      <c r="G21" s="13">
        <f>IF(E21&lt;&gt;"","✓ OK","⬜ À remplir")</f>
        <v/>
      </c>
      <c r="H21" s="9" t="inlineStr">
        <is>
          <t>saisie</t>
        </is>
      </c>
    </row>
    <row r="22">
      <c r="A22" s="11" t="n"/>
      <c r="B22" s="7" t="inlineStr">
        <is>
          <t>G1-4-02</t>
        </is>
      </c>
      <c r="C22" s="9" t="inlineStr">
        <is>
          <t>G1-4 §20</t>
        </is>
      </c>
      <c r="D22" s="7" t="inlineStr">
        <is>
          <t>Nb de signalements reçus dans l'année</t>
        </is>
      </c>
      <c r="E22" s="8" t="n"/>
      <c r="F22" s="9" t="inlineStr">
        <is>
          <t>Nb</t>
        </is>
      </c>
      <c r="G22" s="13">
        <f>IF(E22&lt;&gt;"","✓ OK","⬜ À remplir")</f>
        <v/>
      </c>
      <c r="H22" s="9" t="inlineStr">
        <is>
          <t>saisie</t>
        </is>
      </c>
    </row>
    <row r="23">
      <c r="A23" s="11" t="n"/>
      <c r="B23" s="7" t="inlineStr">
        <is>
          <t>G1-4-03</t>
        </is>
      </c>
      <c r="C23" s="9" t="inlineStr">
        <is>
          <t>G1-4 §20</t>
        </is>
      </c>
      <c r="D23" s="7" t="inlineStr">
        <is>
          <t>Nb de signalements traités / clos</t>
        </is>
      </c>
      <c r="E23" s="8" t="n"/>
      <c r="F23" s="9" t="inlineStr">
        <is>
          <t>Nb</t>
        </is>
      </c>
      <c r="G23" s="13">
        <f>IF(E23&lt;&gt;"","✓ OK","⬜ À remplir")</f>
        <v/>
      </c>
      <c r="H23" s="9" t="inlineStr">
        <is>
          <t>saisie</t>
        </is>
      </c>
    </row>
    <row r="24">
      <c r="A24" s="11" t="n"/>
      <c r="B24" s="7" t="inlineStr">
        <is>
          <t>G1-4-04</t>
        </is>
      </c>
      <c r="C24" s="9" t="inlineStr">
        <is>
          <t>G1-4</t>
        </is>
      </c>
      <c r="D24" s="7" t="inlineStr">
        <is>
          <t>Taux de traitement (%)</t>
        </is>
      </c>
      <c r="E24" s="10">
        <f>IF(E22&gt;0,E23/E22*100,0)</f>
        <v/>
      </c>
      <c r="F24" s="9" t="inlineStr">
        <is>
          <t>%</t>
        </is>
      </c>
      <c r="G24" s="13">
        <f>IF(E24&lt;&gt;"","✓ OK","⬜ À remplir")</f>
        <v/>
      </c>
      <c r="H24" s="9" t="inlineStr">
        <is>
          <t>calc</t>
        </is>
      </c>
    </row>
    <row r="26" ht="17.45" customHeight="1">
      <c r="A26" s="204" t="inlineStr">
        <is>
          <t>C — LOBBYING ET CONTRIBUTIONS POLITIQUES (G1-5)</t>
        </is>
      </c>
      <c r="B26" s="226" t="n"/>
      <c r="C26" s="226" t="n"/>
      <c r="D26" s="226" t="n"/>
      <c r="E26" s="226" t="n"/>
      <c r="F26" s="226" t="n"/>
      <c r="G26" s="226" t="n"/>
      <c r="H26" s="227" t="n"/>
    </row>
    <row r="27">
      <c r="A27" s="38" t="n"/>
      <c r="B27" s="38" t="inlineStr">
        <is>
          <t>ID</t>
        </is>
      </c>
      <c r="C27" s="38" t="inlineStr">
        <is>
          <t>Réf. ESRS</t>
        </is>
      </c>
      <c r="D27" s="38" t="inlineStr">
        <is>
          <t>Data point</t>
        </is>
      </c>
      <c r="E27" s="38" t="inlineStr">
        <is>
          <t>Valeur</t>
        </is>
      </c>
      <c r="F27" s="38" t="inlineStr">
        <is>
          <t>Unité</t>
        </is>
      </c>
      <c r="G27" s="38" t="inlineStr">
        <is>
          <t>Statut</t>
        </is>
      </c>
      <c r="H27" s="38" t="inlineStr">
        <is>
          <t>Source</t>
        </is>
      </c>
    </row>
    <row r="28">
      <c r="A28" s="11" t="n"/>
      <c r="B28" s="7" t="inlineStr">
        <is>
          <t>G1-5-01</t>
        </is>
      </c>
      <c r="C28" s="9" t="inlineStr">
        <is>
          <t>G1-5 §23</t>
        </is>
      </c>
      <c r="D28" s="7" t="inlineStr">
        <is>
          <t>Dépenses de lobbying dans l'année (€)</t>
        </is>
      </c>
      <c r="E28" s="8" t="n"/>
      <c r="F28" s="9" t="inlineStr">
        <is>
          <t>€</t>
        </is>
      </c>
      <c r="G28" s="13">
        <f>IF(E28&lt;&gt;"","✓ OK","⬜ À remplir")</f>
        <v/>
      </c>
      <c r="H28" s="9" t="inlineStr">
        <is>
          <t>saisie</t>
        </is>
      </c>
    </row>
    <row r="29">
      <c r="A29" s="11" t="n"/>
      <c r="B29" s="7" t="inlineStr">
        <is>
          <t>G1-5-02</t>
        </is>
      </c>
      <c r="C29" s="9" t="inlineStr">
        <is>
          <t>G1-5 §24</t>
        </is>
      </c>
      <c r="D29" s="7" t="inlineStr">
        <is>
          <t>Contributions politiques dans l'année (€)</t>
        </is>
      </c>
      <c r="E29" s="8" t="n"/>
      <c r="F29" s="9" t="inlineStr">
        <is>
          <t>€</t>
        </is>
      </c>
      <c r="G29" s="13">
        <f>IF(E29&lt;&gt;"","✓ OK","⬜ À remplir")</f>
        <v/>
      </c>
      <c r="H29" s="9" t="inlineStr">
        <is>
          <t>saisie</t>
        </is>
      </c>
    </row>
    <row r="30">
      <c r="A30" s="11" t="n"/>
      <c r="B30" s="7" t="inlineStr">
        <is>
          <t>G1-5-03</t>
        </is>
      </c>
      <c r="C30" s="9" t="inlineStr">
        <is>
          <t>G1-5 §25</t>
        </is>
      </c>
      <c r="D30" s="7" t="inlineStr">
        <is>
          <t>Inscription au registre de transparence UE (O/N)</t>
        </is>
      </c>
      <c r="E30" s="8" t="n"/>
      <c r="F30" s="9" t="inlineStr">
        <is>
          <t>O/N</t>
        </is>
      </c>
      <c r="G30" s="13">
        <f>IF(E30&lt;&gt;"","✓ OK","⬜ À remplir")</f>
        <v/>
      </c>
      <c r="H30" s="9" t="inlineStr">
        <is>
          <t>saisie</t>
        </is>
      </c>
    </row>
    <row r="31">
      <c r="A31" s="11" t="n"/>
      <c r="B31" s="7" t="inlineStr">
        <is>
          <t>G1-6-01</t>
        </is>
      </c>
      <c r="C31" s="9" t="inlineStr">
        <is>
          <t>G1-6 §27</t>
        </is>
      </c>
      <c r="D31" s="7" t="inlineStr">
        <is>
          <t>Délai moyen de paiement fournisseurs (jours)</t>
        </is>
      </c>
      <c r="E31" s="8" t="n"/>
      <c r="F31" s="9" t="inlineStr">
        <is>
          <t>jours</t>
        </is>
      </c>
      <c r="G31" s="13">
        <f>IF(E31&lt;&gt;"","✓ OK","⬜ À remplir")</f>
        <v/>
      </c>
      <c r="H31" s="9" t="inlineStr">
        <is>
          <t>saisie</t>
        </is>
      </c>
    </row>
    <row r="32">
      <c r="A32" s="11" t="n"/>
      <c r="B32" s="7" t="inlineStr">
        <is>
          <t>G1-6-02</t>
        </is>
      </c>
      <c r="C32" s="9" t="inlineStr">
        <is>
          <t>G1-6 §28</t>
        </is>
      </c>
      <c r="D32" s="7" t="inlineStr">
        <is>
          <t>% de factures payées à échéance</t>
        </is>
      </c>
      <c r="E32" s="8" t="n"/>
      <c r="F32" s="9" t="inlineStr">
        <is>
          <t>%</t>
        </is>
      </c>
      <c r="G32" s="13">
        <f>IF(E32&lt;&gt;"","✓ OK","⬜ À remplir")</f>
        <v/>
      </c>
      <c r="H32" s="9" t="inlineStr">
        <is>
          <t>saisie</t>
        </is>
      </c>
    </row>
    <row r="33">
      <c r="A33" s="11" t="n"/>
      <c r="B33" s="7" t="inlineStr">
        <is>
          <t>G1-6-03</t>
        </is>
      </c>
      <c r="C33" s="9" t="inlineStr">
        <is>
          <t>G1-6</t>
        </is>
      </c>
      <c r="D33" s="7" t="inlineStr">
        <is>
          <t>Nb de litiges commerciaux en cours</t>
        </is>
      </c>
      <c r="E33" s="8" t="n"/>
      <c r="F33" s="9" t="inlineStr">
        <is>
          <t>Nb</t>
        </is>
      </c>
      <c r="G33" s="13">
        <f>IF(E33&lt;&gt;"","✓ OK","⬜ À remplir")</f>
        <v/>
      </c>
      <c r="H33" s="9" t="inlineStr">
        <is>
          <t>saisie</t>
        </is>
      </c>
    </row>
    <row r="35" ht="17.45" customHeight="1" thickBot="1">
      <c r="A35" s="204" t="inlineStr">
        <is>
          <t>SCORE DE COMPLÉTUDE G1</t>
        </is>
      </c>
      <c r="B35" s="226" t="n"/>
      <c r="C35" s="226" t="n"/>
      <c r="D35" s="226" t="n"/>
      <c r="E35" s="226" t="n"/>
      <c r="F35" s="226" t="n"/>
      <c r="G35" s="226" t="n"/>
      <c r="H35" s="227" t="n"/>
    </row>
    <row r="36" ht="18.75" customHeight="1" thickBot="1">
      <c r="C36" s="261" t="inlineStr">
        <is>
          <t>Data points renseignés</t>
        </is>
      </c>
      <c r="D36" s="219" t="n"/>
      <c r="E36" s="91">
        <f>COUNTIF(G8:G34,"✓ OK")</f>
        <v/>
      </c>
    </row>
    <row r="37" ht="18.75" customHeight="1" thickBot="1">
      <c r="C37" s="262" t="inlineStr">
        <is>
          <t>Score complétude G1 (%)</t>
        </is>
      </c>
      <c r="D37" s="219" t="n"/>
      <c r="E37" s="263">
        <f>IF(20&gt;0,E36/20*100,0)</f>
        <v/>
      </c>
    </row>
  </sheetData>
  <mergeCells count="9">
    <mergeCell ref="A3:H3"/>
    <mergeCell ref="A26:H26"/>
    <mergeCell ref="A35:H35"/>
    <mergeCell ref="A15:H15"/>
    <mergeCell ref="A2:H2"/>
    <mergeCell ref="C37:D37"/>
    <mergeCell ref="C36:D36"/>
    <mergeCell ref="B4:C4"/>
    <mergeCell ref="A6:H6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A1" sqref="A1"/>
    </sheetView>
  </sheetViews>
  <sheetFormatPr baseColWidth="10" defaultRowHeight="15"/>
  <cols>
    <col width="6.42578125" bestFit="1" customWidth="1" min="1" max="1"/>
    <col width="10.7109375" bestFit="1" customWidth="1" min="2" max="2"/>
    <col width="24.85546875" bestFit="1" customWidth="1" min="3" max="3"/>
    <col width="52.7109375" bestFit="1" customWidth="1" min="4" max="4"/>
    <col width="83.5703125" bestFit="1" customWidth="1" min="5" max="5"/>
    <col width="52.28515625" bestFit="1" customWidth="1" min="6" max="6"/>
  </cols>
  <sheetData>
    <row r="1" customFormat="1" s="208">
      <c r="A1" s="208" t="inlineStr">
        <is>
          <t>Turn #</t>
        </is>
      </c>
      <c r="B1" s="208" t="inlineStr">
        <is>
          <t>Date</t>
        </is>
      </c>
      <c r="C1" s="208" t="inlineStr">
        <is>
          <t>User Request</t>
        </is>
      </c>
      <c r="D1" s="208" t="inlineStr">
        <is>
          <t>Action Taken</t>
        </is>
      </c>
      <c r="E1" s="208" t="inlineStr">
        <is>
          <t>Details</t>
        </is>
      </c>
      <c r="F1" s="208" t="inlineStr">
        <is>
          <t>Outcome</t>
        </is>
      </c>
    </row>
    <row r="2">
      <c r="A2" t="n">
        <v>1</v>
      </c>
      <c r="B2" s="207" t="n">
        <v>46124</v>
      </c>
      <c r="C2" t="inlineStr">
        <is>
          <t>Block A governance kickoff</t>
        </is>
      </c>
      <c r="D2" t="inlineStr">
        <is>
          <t>Created Claude Log sheet for ESG Social master workbook</t>
        </is>
      </c>
      <c r="E2" t="inlineStr">
        <is>
          <t>Phase 0 requires homogeneous governance and traceability across the 3 master workbooks.</t>
        </is>
      </c>
      <c r="F2" t="inlineStr">
        <is>
          <t>Claude Log is now available for future structural changes.</t>
        </is>
      </c>
    </row>
    <row r="3">
      <c r="A3" t="n">
        <v>2</v>
      </c>
      <c r="B3" t="inlineStr">
        <is>
          <t>2026-04-12</t>
        </is>
      </c>
      <c r="C3" t="inlineStr">
        <is>
          <t>Block A liaison hardening</t>
        </is>
      </c>
      <c r="D3" t="inlineStr">
        <is>
          <t>Corrected misleading source references in Liaison_Donnees for Scope 2 LB, Scope 2 MB, Scope 3, energy KPIs, taxonomie and CBAM.</t>
        </is>
      </c>
      <c r="E3" t="inlineStr">
        <is>
          <t>This change keeps the manual import workflow intact while aligning the workbook with the real source cells in CarbonCo_Calcul_Carbone_v2.xlsx.</t>
        </is>
      </c>
      <c r="F3" t="inlineStr">
        <is>
          <t>ESG Social liaison sheet is now structurally aligned with the Carbon source workbook.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00695C"/>
    <outlinePr summaryBelow="1" summaryRight="1"/>
    <pageSetUpPr/>
  </sheetPr>
  <dimension ref="A1:K43"/>
  <sheetViews>
    <sheetView showGridLines="0" zoomScaleNormal="100" workbookViewId="0">
      <selection activeCell="L35" sqref="L35"/>
    </sheetView>
  </sheetViews>
  <sheetFormatPr baseColWidth="10" defaultColWidth="8.7109375" defaultRowHeight="15"/>
  <cols>
    <col width="3" customWidth="1" min="1" max="1"/>
    <col width="10" customWidth="1" min="2" max="2"/>
    <col width="14" customWidth="1" min="3" max="3"/>
    <col width="32" customWidth="1" min="4" max="4"/>
    <col width="35.28515625" customWidth="1" min="5" max="5"/>
    <col width="18" customWidth="1" min="6" max="7"/>
    <col width="42.28515625" customWidth="1" min="8" max="8"/>
  </cols>
  <sheetData>
    <row r="1" ht="15" customHeight="1">
      <c r="A1" s="2" t="n"/>
      <c r="B1" s="2" t="n"/>
      <c r="C1" s="2" t="n"/>
      <c r="D1" s="2" t="n"/>
      <c r="E1" s="2" t="n"/>
      <c r="F1" s="2" t="n"/>
      <c r="G1" s="2" t="n"/>
      <c r="H1" s="117" t="inlineStr">
        <is>
          <t>🏠 Sommaire</t>
        </is>
      </c>
      <c r="I1" s="2" t="n"/>
      <c r="J1" s="2" t="n"/>
      <c r="K1" s="2" t="n"/>
    </row>
    <row r="2" ht="17.25" customHeight="1" thickBot="1">
      <c r="A2" s="104" t="inlineStr">
        <is>
          <t>ESRS SIMPLIFIÉ — MODE ~300 DATA POINTS (Omnibus / Acte délégué mi-2026)</t>
        </is>
      </c>
      <c r="B2" s="226" t="n"/>
      <c r="C2" s="226" t="n"/>
      <c r="D2" s="226" t="n"/>
      <c r="E2" s="226" t="n"/>
      <c r="F2" s="226" t="n"/>
      <c r="G2" s="226" t="n"/>
      <c r="H2" s="227" t="n"/>
      <c r="I2" s="2" t="n"/>
      <c r="J2" s="2" t="n"/>
      <c r="K2" s="2" t="n"/>
    </row>
    <row r="3" ht="15" customHeight="1" thickBot="1">
      <c r="A3" s="2" t="n"/>
      <c r="B3" s="264" t="inlineStr">
        <is>
          <t>Ce module filtre les data points obligatoires en mode ESRS Simplifié (~300) vs Complet (~1100). Les valeurs sont auto-alimentées depuis les onglets ESRS détaillés et Liaison_Donnees.</t>
        </is>
      </c>
      <c r="C3" s="217" t="n"/>
      <c r="D3" s="217" t="n"/>
      <c r="E3" s="217" t="n"/>
      <c r="F3" s="217" t="n"/>
      <c r="G3" s="217" t="n"/>
      <c r="H3" s="219" t="n"/>
      <c r="I3" s="2" t="n"/>
      <c r="J3" s="2" t="n"/>
      <c r="K3" s="2" t="n"/>
    </row>
    <row r="4" ht="15" customHeight="1" thickBot="1">
      <c r="A4" s="2" t="n"/>
      <c r="B4" s="64" t="n"/>
      <c r="C4" s="64" t="n"/>
      <c r="D4" s="64" t="n"/>
      <c r="E4" s="65" t="n"/>
      <c r="F4" s="65" t="n"/>
      <c r="G4" s="65" t="n"/>
      <c r="H4" s="65" t="n"/>
      <c r="I4" s="2" t="n"/>
      <c r="J4" s="2" t="n"/>
      <c r="K4" s="2" t="n"/>
    </row>
    <row r="5" ht="15" customHeight="1" thickBot="1">
      <c r="A5" s="2" t="n"/>
      <c r="B5" s="265" t="inlineStr">
        <is>
          <t>⚙️ Mode actif :</t>
        </is>
      </c>
      <c r="C5" s="217" t="n"/>
      <c r="D5" s="219" t="n"/>
      <c r="E5" s="66" t="inlineStr">
        <is>
          <t>Simplifié</t>
        </is>
      </c>
      <c r="F5" s="2" t="n"/>
      <c r="G5" s="2" t="n"/>
      <c r="H5" s="2" t="n"/>
      <c r="I5" s="2" t="n"/>
      <c r="J5" s="2" t="n"/>
      <c r="K5" s="2" t="n"/>
    </row>
    <row r="7" ht="17.45" customHeight="1">
      <c r="A7" s="104" t="inlineStr">
        <is>
          <t>ESRS E1 — CHANGEMENT CLIMATIQUE (données prioritaires simplifiées)</t>
        </is>
      </c>
      <c r="B7" s="226" t="n"/>
      <c r="C7" s="226" t="n"/>
      <c r="D7" s="226" t="n"/>
      <c r="E7" s="226" t="n"/>
      <c r="F7" s="226" t="n"/>
      <c r="G7" s="226" t="n"/>
      <c r="H7" s="227" t="n"/>
    </row>
    <row r="8">
      <c r="A8" s="6" t="n"/>
      <c r="B8" s="6" t="inlineStr">
        <is>
          <t>ID</t>
        </is>
      </c>
      <c r="C8" s="6" t="inlineStr">
        <is>
          <t>Réf. ESRS</t>
        </is>
      </c>
      <c r="D8" s="6" t="inlineStr">
        <is>
          <t>Data point simplifié</t>
        </is>
      </c>
      <c r="E8" s="6" t="inlineStr">
        <is>
          <t>Valeur</t>
        </is>
      </c>
      <c r="F8" s="6" t="inlineStr">
        <is>
          <t>Unité</t>
        </is>
      </c>
      <c r="G8" s="6" t="inlineStr">
        <is>
          <t>Mode</t>
        </is>
      </c>
      <c r="H8" s="6" t="inlineStr">
        <is>
          <t>Statut</t>
        </is>
      </c>
    </row>
    <row r="9">
      <c r="B9" s="7" t="inlineStr">
        <is>
          <t>E1-6-a</t>
        </is>
      </c>
      <c r="C9" s="9" t="inlineStr">
        <is>
          <t>E1-6 §44</t>
        </is>
      </c>
      <c r="D9" s="7" t="inlineStr">
        <is>
          <t>Scope 1 total (tCO2e)</t>
        </is>
      </c>
      <c r="E9" s="12">
        <f>Liaison_Donnees!C15</f>
        <v/>
      </c>
      <c r="F9" s="9" t="inlineStr">
        <is>
          <t>tCO2e</t>
        </is>
      </c>
      <c r="G9" s="39" t="inlineStr">
        <is>
          <t>S</t>
        </is>
      </c>
      <c r="H9" s="13">
        <f>IF(E9&lt;&gt;"","✓ OK","⬜")</f>
        <v/>
      </c>
    </row>
    <row r="10">
      <c r="B10" s="7" t="inlineStr">
        <is>
          <t>E1-6-b</t>
        </is>
      </c>
      <c r="C10" s="9" t="inlineStr">
        <is>
          <t>E1-6 §44</t>
        </is>
      </c>
      <c r="D10" s="7" t="inlineStr">
        <is>
          <t>Scope 2 location-based (tCO2e)</t>
        </is>
      </c>
      <c r="E10" s="12">
        <f>Liaison_Donnees!C16</f>
        <v/>
      </c>
      <c r="F10" s="9" t="inlineStr">
        <is>
          <t>tCO2e</t>
        </is>
      </c>
      <c r="G10" s="39" t="inlineStr">
        <is>
          <t>S</t>
        </is>
      </c>
      <c r="H10" s="13">
        <f>IF(E10&lt;&gt;"","✓ OK","⬜")</f>
        <v/>
      </c>
    </row>
    <row r="11">
      <c r="B11" s="7" t="inlineStr">
        <is>
          <t>E1-6-b2</t>
        </is>
      </c>
      <c r="C11" s="9" t="inlineStr">
        <is>
          <t>E1-6 §44</t>
        </is>
      </c>
      <c r="D11" s="7" t="inlineStr">
        <is>
          <t>Scope 2 market-based (tCO2e)</t>
        </is>
      </c>
      <c r="E11" s="12">
        <f>Liaison_Donnees!C17</f>
        <v/>
      </c>
      <c r="F11" s="9" t="inlineStr">
        <is>
          <t>tCO2e</t>
        </is>
      </c>
      <c r="G11" s="39" t="inlineStr">
        <is>
          <t>S</t>
        </is>
      </c>
      <c r="H11" s="13">
        <f>IF(E11&lt;&gt;"","✓ OK","⬜")</f>
        <v/>
      </c>
    </row>
    <row r="12">
      <c r="B12" s="7" t="inlineStr">
        <is>
          <t>E1-6-c</t>
        </is>
      </c>
      <c r="C12" s="9" t="inlineStr">
        <is>
          <t>E1-6 §51</t>
        </is>
      </c>
      <c r="D12" s="7" t="inlineStr">
        <is>
          <t>Scope 3 total (tCO2e)</t>
        </is>
      </c>
      <c r="E12" s="12">
        <f>Liaison_Donnees!C18</f>
        <v/>
      </c>
      <c r="F12" s="9" t="inlineStr">
        <is>
          <t>tCO2e</t>
        </is>
      </c>
      <c r="G12" s="39" t="inlineStr">
        <is>
          <t>S</t>
        </is>
      </c>
      <c r="H12" s="13">
        <f>IF(E12&lt;&gt;"","✓ OK","⬜")</f>
        <v/>
      </c>
    </row>
    <row r="13">
      <c r="B13" s="7" t="inlineStr">
        <is>
          <t>E1-6-d</t>
        </is>
      </c>
      <c r="C13" s="9" t="inlineStr">
        <is>
          <t>E1-6 §55</t>
        </is>
      </c>
      <c r="D13" s="7" t="inlineStr">
        <is>
          <t>Total GES (S1+S2+S3)</t>
        </is>
      </c>
      <c r="E13" s="10">
        <f>Liaison_Donnees!C19</f>
        <v/>
      </c>
      <c r="F13" s="9" t="inlineStr">
        <is>
          <t>tCO2e</t>
        </is>
      </c>
      <c r="G13" s="39" t="inlineStr">
        <is>
          <t>S</t>
        </is>
      </c>
      <c r="H13" s="13">
        <f>IF(E13&lt;&gt;"","✓ OK","⬜")</f>
        <v/>
      </c>
    </row>
    <row r="14">
      <c r="B14" s="7" t="inlineStr">
        <is>
          <t>E1-6-e</t>
        </is>
      </c>
      <c r="C14" s="9" t="inlineStr">
        <is>
          <t>E1-6 §53</t>
        </is>
      </c>
      <c r="D14" s="7" t="inlineStr">
        <is>
          <t>Intensité GES / CA (tCO2e/M€)</t>
        </is>
      </c>
      <c r="E14" s="10">
        <f>Liaison_Donnees!C20</f>
        <v/>
      </c>
      <c r="F14" s="9" t="inlineStr">
        <is>
          <t>tCO2e/M€</t>
        </is>
      </c>
      <c r="G14" s="39" t="inlineStr">
        <is>
          <t>S</t>
        </is>
      </c>
      <c r="H14" s="13">
        <f>IF(E14&lt;&gt;"","✓ OK","⬜")</f>
        <v/>
      </c>
    </row>
    <row r="15">
      <c r="B15" s="7" t="inlineStr">
        <is>
          <t>E1-5-a</t>
        </is>
      </c>
      <c r="C15" s="9" t="inlineStr">
        <is>
          <t>E1-5 §37</t>
        </is>
      </c>
      <c r="D15" s="7" t="inlineStr">
        <is>
          <t>Consommation totale énergie (MWh)</t>
        </is>
      </c>
      <c r="E15" s="12">
        <f>Liaison_Donnees!C23</f>
        <v/>
      </c>
      <c r="F15" s="9" t="inlineStr">
        <is>
          <t>MWh</t>
        </is>
      </c>
      <c r="G15" s="39" t="inlineStr">
        <is>
          <t>S</t>
        </is>
      </c>
      <c r="H15" s="13">
        <f>IF(E15&lt;&gt;"","✓ OK","⬜")</f>
        <v/>
      </c>
    </row>
    <row r="16">
      <c r="B16" s="7" t="inlineStr">
        <is>
          <t>E1-5-b</t>
        </is>
      </c>
      <c r="C16" s="9" t="inlineStr">
        <is>
          <t>E1-5 §38</t>
        </is>
      </c>
      <c r="D16" s="7" t="inlineStr">
        <is>
          <t>Part énergie renouvelable (%)</t>
        </is>
      </c>
      <c r="E16" s="12">
        <f>Liaison_Donnees!C22</f>
        <v/>
      </c>
      <c r="F16" s="9" t="inlineStr">
        <is>
          <t>%</t>
        </is>
      </c>
      <c r="G16" s="39" t="inlineStr">
        <is>
          <t>S</t>
        </is>
      </c>
      <c r="H16" s="13">
        <f>IF(E16&lt;&gt;"","✓ OK","⬜")</f>
        <v/>
      </c>
    </row>
    <row r="17">
      <c r="B17" s="7" t="inlineStr">
        <is>
          <t>E1-4</t>
        </is>
      </c>
      <c r="C17" s="9" t="inlineStr">
        <is>
          <t>E1-4 §34</t>
        </is>
      </c>
      <c r="D17" s="7" t="inlineStr">
        <is>
          <t>Objectif réduction S1+2 (%/an)</t>
        </is>
      </c>
      <c r="E17" s="12">
        <f>Liaison_Donnees!C27</f>
        <v/>
      </c>
      <c r="F17" s="9" t="inlineStr">
        <is>
          <t>%</t>
        </is>
      </c>
      <c r="G17" s="39" t="inlineStr">
        <is>
          <t>S</t>
        </is>
      </c>
      <c r="H17" s="13">
        <f>IF(E17&lt;&gt;"","✓ OK","⬜")</f>
        <v/>
      </c>
    </row>
    <row r="18">
      <c r="B18" s="7" t="inlineStr">
        <is>
          <t>E1-1</t>
        </is>
      </c>
      <c r="C18" s="9" t="inlineStr">
        <is>
          <t>E1-1 §14</t>
        </is>
      </c>
      <c r="D18" s="7" t="inlineStr">
        <is>
          <t>Plan de transition climat adopté (O/N)</t>
        </is>
      </c>
      <c r="E18" s="8" t="n"/>
      <c r="F18" s="9" t="inlineStr">
        <is>
          <t>O/N</t>
        </is>
      </c>
      <c r="G18" s="39" t="inlineStr">
        <is>
          <t>S</t>
        </is>
      </c>
      <c r="H18" s="13">
        <f>IF(E18&lt;&gt;"","✓ OK","⬜")</f>
        <v/>
      </c>
    </row>
    <row r="20" ht="17.45" customHeight="1">
      <c r="A20" s="104" t="inlineStr">
        <is>
          <t>ESRS S1 — EFFECTIFS (données prioritaires simplifiées)</t>
        </is>
      </c>
      <c r="B20" s="226" t="n"/>
      <c r="C20" s="226" t="n"/>
      <c r="D20" s="226" t="n"/>
      <c r="E20" s="226" t="n"/>
      <c r="F20" s="226" t="n"/>
      <c r="G20" s="226" t="n"/>
      <c r="H20" s="227" t="n"/>
    </row>
    <row r="21">
      <c r="A21" s="6" t="n"/>
      <c r="B21" s="6" t="inlineStr">
        <is>
          <t>ID</t>
        </is>
      </c>
      <c r="C21" s="6" t="inlineStr">
        <is>
          <t>Réf. ESRS</t>
        </is>
      </c>
      <c r="D21" s="6" t="inlineStr">
        <is>
          <t>Data point simplifié</t>
        </is>
      </c>
      <c r="E21" s="6" t="inlineStr">
        <is>
          <t>Valeur</t>
        </is>
      </c>
      <c r="F21" s="6" t="inlineStr">
        <is>
          <t>Unité</t>
        </is>
      </c>
      <c r="G21" s="6" t="inlineStr">
        <is>
          <t>Mode</t>
        </is>
      </c>
      <c r="H21" s="6" t="inlineStr">
        <is>
          <t>Statut</t>
        </is>
      </c>
    </row>
    <row r="22">
      <c r="B22" s="7" t="inlineStr">
        <is>
          <t>S1-6-a</t>
        </is>
      </c>
      <c r="C22" s="9" t="inlineStr">
        <is>
          <t>S1-6 §50</t>
        </is>
      </c>
      <c r="D22" s="7" t="inlineStr">
        <is>
          <t>Effectif total</t>
        </is>
      </c>
      <c r="E22" s="12">
        <f>ESRS_S1!E8</f>
        <v/>
      </c>
      <c r="F22" s="9" t="inlineStr">
        <is>
          <t>Nb</t>
        </is>
      </c>
      <c r="G22" s="39" t="inlineStr">
        <is>
          <t>S</t>
        </is>
      </c>
      <c r="H22" s="13">
        <f>IF(E22&lt;&gt;"","✓ OK","⬜")</f>
        <v/>
      </c>
    </row>
    <row r="23">
      <c r="B23" s="7" t="inlineStr">
        <is>
          <t>S1-6-b</t>
        </is>
      </c>
      <c r="C23" s="9" t="inlineStr">
        <is>
          <t>S1-6 §52</t>
        </is>
      </c>
      <c r="D23" s="7" t="inlineStr">
        <is>
          <t>% femmes dans l'effectif</t>
        </is>
      </c>
      <c r="E23" s="12">
        <f>ESRS_S1!E15</f>
        <v/>
      </c>
      <c r="F23" s="9" t="inlineStr">
        <is>
          <t>%</t>
        </is>
      </c>
      <c r="G23" s="39" t="inlineStr">
        <is>
          <t>S</t>
        </is>
      </c>
      <c r="H23" s="13">
        <f>IF(E23&lt;&gt;"","✓ OK","⬜")</f>
        <v/>
      </c>
    </row>
    <row r="24">
      <c r="B24" s="7" t="inlineStr">
        <is>
          <t>S1-10</t>
        </is>
      </c>
      <c r="C24" s="9" t="inlineStr">
        <is>
          <t>S1-10 §69</t>
        </is>
      </c>
      <c r="D24" s="7" t="inlineStr">
        <is>
          <t>Écart rémunération H/F (%)</t>
        </is>
      </c>
      <c r="E24" s="12">
        <f>ESRS_S1!E23</f>
        <v/>
      </c>
      <c r="F24" s="9" t="inlineStr">
        <is>
          <t>%</t>
        </is>
      </c>
      <c r="G24" s="39" t="inlineStr">
        <is>
          <t>S</t>
        </is>
      </c>
      <c r="H24" s="13">
        <f>IF(E24&lt;&gt;"","✓ OK","⬜")</f>
        <v/>
      </c>
    </row>
    <row r="25">
      <c r="B25" s="7" t="inlineStr">
        <is>
          <t>S1-14-a</t>
        </is>
      </c>
      <c r="C25" s="9" t="inlineStr">
        <is>
          <t>S1-14 §88</t>
        </is>
      </c>
      <c r="D25" s="7" t="inlineStr">
        <is>
          <t>Taux de fréquence accidents (LTIR)</t>
        </is>
      </c>
      <c r="E25" s="12">
        <f>ESRS_S1!E33</f>
        <v/>
      </c>
      <c r="F25" s="9" t="inlineStr">
        <is>
          <t>pour 1M h</t>
        </is>
      </c>
      <c r="G25" s="39" t="inlineStr">
        <is>
          <t>S</t>
        </is>
      </c>
      <c r="H25" s="13">
        <f>IF(E25&lt;&gt;"","✓ OK","⬜")</f>
        <v/>
      </c>
    </row>
    <row r="26">
      <c r="B26" s="7" t="inlineStr">
        <is>
          <t>S1-13</t>
        </is>
      </c>
      <c r="C26" s="9" t="inlineStr">
        <is>
          <t>S1-13 §83</t>
        </is>
      </c>
      <c r="D26" s="7" t="inlineStr">
        <is>
          <t>Heures formation / ETP</t>
        </is>
      </c>
      <c r="E26" s="12">
        <f>ESRS_S1!E40</f>
        <v/>
      </c>
      <c r="F26" s="9" t="inlineStr">
        <is>
          <t>h/ETP</t>
        </is>
      </c>
      <c r="G26" s="39" t="inlineStr">
        <is>
          <t>S</t>
        </is>
      </c>
      <c r="H26" s="13">
        <f>IF(E26&lt;&gt;"","✓ OK","⬜")</f>
        <v/>
      </c>
    </row>
    <row r="27">
      <c r="B27" s="7" t="inlineStr">
        <is>
          <t>S1-7</t>
        </is>
      </c>
      <c r="C27" s="9" t="inlineStr">
        <is>
          <t>S1-7 §55</t>
        </is>
      </c>
      <c r="D27" s="7" t="inlineStr">
        <is>
          <t>Taux de rotation (%)</t>
        </is>
      </c>
      <c r="E27" s="12">
        <f>ESRS_S1!E49</f>
        <v/>
      </c>
      <c r="F27" s="9" t="inlineStr">
        <is>
          <t>%</t>
        </is>
      </c>
      <c r="G27" s="39" t="inlineStr">
        <is>
          <t>S</t>
        </is>
      </c>
      <c r="H27" s="13">
        <f>IF(E27&lt;&gt;"","✓ OK","⬜")</f>
        <v/>
      </c>
    </row>
    <row r="29" ht="17.45" customHeight="1">
      <c r="A29" s="104" t="inlineStr">
        <is>
          <t>ESRS G1 — GOUVERNANCE (données prioritaires simplifiées)</t>
        </is>
      </c>
      <c r="B29" s="226" t="n"/>
      <c r="C29" s="226" t="n"/>
      <c r="D29" s="226" t="n"/>
      <c r="E29" s="226" t="n"/>
      <c r="F29" s="226" t="n"/>
      <c r="G29" s="226" t="n"/>
      <c r="H29" s="227" t="n"/>
    </row>
    <row r="30">
      <c r="A30" s="6" t="n"/>
      <c r="B30" s="6" t="inlineStr">
        <is>
          <t>ID</t>
        </is>
      </c>
      <c r="C30" s="6" t="inlineStr">
        <is>
          <t>Réf. ESRS</t>
        </is>
      </c>
      <c r="D30" s="6" t="inlineStr">
        <is>
          <t>Data point simplifié</t>
        </is>
      </c>
      <c r="E30" s="6" t="inlineStr">
        <is>
          <t>Valeur</t>
        </is>
      </c>
      <c r="F30" s="6" t="inlineStr">
        <is>
          <t>Unité</t>
        </is>
      </c>
      <c r="G30" s="6" t="inlineStr">
        <is>
          <t>Mode</t>
        </is>
      </c>
      <c r="H30" s="6" t="inlineStr">
        <is>
          <t>Statut</t>
        </is>
      </c>
    </row>
    <row r="31">
      <c r="B31" s="7" t="inlineStr">
        <is>
          <t>G1-1</t>
        </is>
      </c>
      <c r="C31" s="9" t="inlineStr">
        <is>
          <t>G1-1 §8</t>
        </is>
      </c>
      <c r="D31" s="7" t="inlineStr">
        <is>
          <t>% femmes au CA</t>
        </is>
      </c>
      <c r="E31" s="12">
        <f>ESRS_G1!E11</f>
        <v/>
      </c>
      <c r="F31" s="9" t="inlineStr">
        <is>
          <t>%</t>
        </is>
      </c>
      <c r="G31" s="39" t="inlineStr">
        <is>
          <t>S</t>
        </is>
      </c>
      <c r="H31" s="13">
        <f>IF(E31&lt;&gt;"","✓ OK","⬜")</f>
        <v/>
      </c>
    </row>
    <row r="32">
      <c r="B32" s="7" t="inlineStr">
        <is>
          <t>G1-3</t>
        </is>
      </c>
      <c r="C32" s="9" t="inlineStr">
        <is>
          <t>G1-3 §15</t>
        </is>
      </c>
      <c r="D32" s="7" t="inlineStr">
        <is>
          <t>Politique anti-corruption (O/N)</t>
        </is>
      </c>
      <c r="E32" s="12">
        <f>ESRS_G1!E16</f>
        <v/>
      </c>
      <c r="F32" s="9" t="inlineStr">
        <is>
          <t>O/N</t>
        </is>
      </c>
      <c r="G32" s="39" t="inlineStr">
        <is>
          <t>S</t>
        </is>
      </c>
      <c r="H32" s="13">
        <f>IF(E32&lt;&gt;"","✓ OK","⬜")</f>
        <v/>
      </c>
    </row>
    <row r="33">
      <c r="B33" s="7" t="inlineStr">
        <is>
          <t>G1-4</t>
        </is>
      </c>
      <c r="C33" s="9" t="inlineStr">
        <is>
          <t>G1-4 §19</t>
        </is>
      </c>
      <c r="D33" s="7" t="inlineStr">
        <is>
          <t>Canal lanceurs d'alerte (O/N)</t>
        </is>
      </c>
      <c r="E33" s="12">
        <f>ESRS_G1!E20</f>
        <v/>
      </c>
      <c r="F33" s="9" t="inlineStr">
        <is>
          <t>O/N</t>
        </is>
      </c>
      <c r="G33" s="39" t="inlineStr">
        <is>
          <t>S</t>
        </is>
      </c>
      <c r="H33" s="13">
        <f>IF(E33&lt;&gt;"","✓ OK","⬜")</f>
        <v/>
      </c>
    </row>
    <row r="34">
      <c r="B34" s="7" t="inlineStr">
        <is>
          <t>G1-6</t>
        </is>
      </c>
      <c r="C34" s="9" t="inlineStr">
        <is>
          <t>G1-6 §27</t>
        </is>
      </c>
      <c r="D34" s="7" t="inlineStr">
        <is>
          <t>Délai paiement fournisseurs (jours)</t>
        </is>
      </c>
      <c r="E34" s="12">
        <f>ESRS_G1!E27</f>
        <v/>
      </c>
      <c r="F34" s="9" t="inlineStr">
        <is>
          <t>jours</t>
        </is>
      </c>
      <c r="G34" s="39" t="inlineStr">
        <is>
          <t>S</t>
        </is>
      </c>
      <c r="H34" s="13">
        <f>IF(E34&lt;&gt;"","✓ OK","⬜")</f>
        <v/>
      </c>
    </row>
    <row r="37" ht="17.45" customHeight="1" thickBot="1">
      <c r="A37" s="106" t="inlineStr">
        <is>
          <t>SCORE ESRS SIMPLIFIÉ</t>
        </is>
      </c>
      <c r="B37" s="226" t="n"/>
      <c r="C37" s="226" t="n"/>
      <c r="D37" s="226" t="n"/>
      <c r="E37" s="226" t="n"/>
      <c r="F37" s="226" t="n"/>
      <c r="G37" s="226" t="n"/>
      <c r="H37" s="227" t="n"/>
    </row>
    <row r="38">
      <c r="C38" s="254" t="inlineStr">
        <is>
          <t>Data points renseignés (mode simplifié)</t>
        </is>
      </c>
      <c r="D38" s="211" t="n"/>
      <c r="E38" s="62">
        <f>COUNTIF(H9:H36,"✓ OK")</f>
        <v/>
      </c>
    </row>
    <row r="39">
      <c r="C39" s="233" t="inlineStr">
        <is>
          <t>Total data points mode simplifié</t>
        </is>
      </c>
      <c r="D39" s="235" t="n"/>
      <c r="E39" s="63" t="n">
        <v>20</v>
      </c>
    </row>
    <row r="40" ht="15.75" customHeight="1">
      <c r="C40" s="266" t="inlineStr">
        <is>
          <t>Score complétude simplifié (%)</t>
        </is>
      </c>
      <c r="D40" s="235" t="n"/>
      <c r="E40" s="267">
        <f>IF(E39&gt;0,E38/E39*100,0)</f>
        <v/>
      </c>
    </row>
    <row r="41" ht="15.75" customHeight="1" thickBot="1">
      <c r="C41" s="238" t="inlineStr">
        <is>
          <t>Statut</t>
        </is>
      </c>
      <c r="D41" s="240" t="n"/>
      <c r="E41" s="60">
        <f>IF(E40&gt;=80,"✅ Prêt pour reporting simplifié",IF(E40&gt;=50,"⚠️ En cours","❌ Insuffisant"))</f>
        <v/>
      </c>
    </row>
    <row r="42" ht="15.75" customHeight="1" thickBot="1"/>
    <row r="43" ht="15.75" customHeight="1" thickBot="1">
      <c r="B43" s="268" t="inlineStr">
        <is>
          <t>ℹ️ Les ESRS simplifiés réduisent les data points de ~1 100 à ~300 (Omnibus déc. 2025). L'acte délégué officiel est attendu mi-2026. Ce module sera mis à jour dès publication.</t>
        </is>
      </c>
      <c r="C43" s="217" t="n"/>
      <c r="D43" s="217" t="n"/>
      <c r="E43" s="217" t="n"/>
      <c r="F43" s="217" t="n"/>
      <c r="G43" s="217" t="n"/>
      <c r="H43" s="219" t="n"/>
    </row>
  </sheetData>
  <mergeCells count="12">
    <mergeCell ref="B5:D5"/>
    <mergeCell ref="C38:D38"/>
    <mergeCell ref="A29:H29"/>
    <mergeCell ref="A7:H7"/>
    <mergeCell ref="A20:H20"/>
    <mergeCell ref="A2:H2"/>
    <mergeCell ref="C41:D41"/>
    <mergeCell ref="B43:H43"/>
    <mergeCell ref="C40:D40"/>
    <mergeCell ref="A37:H37"/>
    <mergeCell ref="B3:H3"/>
    <mergeCell ref="C39:D39"/>
  </mergeCells>
  <dataValidations count="1">
    <dataValidation sqref="E5" showDropDown="0" showInputMessage="0" showErrorMessage="0" allowBlank="0" error="Choisir Simplifié ou Complet" type="list">
      <formula1>"Simplifié,Complet"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CarbonCo_ESG_Social — Manifest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Date</t>
        </is>
      </c>
      <c r="B3" t="inlineStr">
        <is>
          <t>2026-04-12</t>
        </is>
      </c>
    </row>
    <row r="4">
      <c r="A4" t="inlineStr">
        <is>
          <t>Onglets obligatoires</t>
        </is>
      </c>
      <c r="B4" t="inlineStr">
        <is>
          <t>Couverture,Sommaire,Liaison_Donnees,VSME_Reporting,Materialite,Synthese_ESG,ESRS_S1,Controles_QC_ESG,Claude Log</t>
        </is>
      </c>
    </row>
    <row r="5">
      <c r="A5" t="inlineStr">
        <is>
          <t>Plages CC_* requises</t>
        </is>
      </c>
      <c r="B5" t="inlineStr">
        <is>
          <t>49</t>
        </is>
      </c>
    </row>
    <row r="6">
      <c r="A6" t="inlineStr">
        <is>
          <t>Controles QC</t>
        </is>
      </c>
      <c r="B6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2026-04-12T02:30:16Z</dcterms:created>
  <dcterms:modified xsi:type="dcterms:W3CDTF">2026-04-12T17:33:11Z</dcterms:modified>
  <cp:lastModifiedBy>Ludovic Labeaut</cp:lastModifiedBy>
  <cp:revision>0</cp:revision>
</cp:coreProperties>
</file>