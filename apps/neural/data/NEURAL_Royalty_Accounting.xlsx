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do\Desktop\IA projet entreprises\"/>
    </mc:Choice>
  </mc:AlternateContent>
  <xr:revisionPtr revIDLastSave="0" documentId="13_ncr:1_{76740DF4-D2BB-48A2-B2FD-341C13BC3E13}" xr6:coauthVersionLast="47" xr6:coauthVersionMax="47" xr10:uidLastSave="{00000000-0000-0000-0000-000000000000}"/>
  <bookViews>
    <workbookView xWindow="-120" yWindow="-120" windowWidth="29040" windowHeight="15840" tabRatio="500" firstSheet="8" activeTab="11" xr2:uid="{00000000-000D-0000-FFFF-FFFF00000000}"/>
  </bookViews>
  <sheets>
    <sheet name="Claude Log" sheetId="16" r:id="rId1"/>
    <sheet name="01_PARAMETRES" sheetId="1" r:id="rId2"/>
    <sheet name="02_CONTRATS_LICENCES" sheetId="2" r:id="rId3"/>
    <sheet name="03_CALCUL_ROYALTIES" sheetId="3" r:id="rId4"/>
    <sheet name="04_BENCHMARK_ALP" sheetId="4" r:id="rId5"/>
    <sheet name="05_ECRITURES_COMPTA" sheetId="5" r:id="rId6"/>
    <sheet name="06_RETENUES_SOURCE" sheetId="6" r:id="rId7"/>
    <sheet name="07_ELIMINATIONS_CONSO" sheetId="7" r:id="rId8"/>
    <sheet name="08_PILIER2_GLOBE" sheetId="8" r:id="rId9"/>
    <sheet name="09_DOC_PRIX_TRANSFERT" sheetId="9" r:id="rId10"/>
    <sheet name="10_DASHBOARD" sheetId="10" r:id="rId11"/>
    <sheet name="11_CONTROLES" sheetId="11" r:id="rId12"/>
    <sheet name="12_NOTES_IFRS" sheetId="12" r:id="rId13"/>
    <sheet name="13_SUBSTANCE_ATADIII" sheetId="13" r:id="rId14"/>
    <sheet name="14_STRESS_TEST" sheetId="14" r:id="rId15"/>
    <sheet name="15_VALORISATION_MARQUES" sheetId="15" r:id="rId16"/>
  </sheets>
  <definedNames>
    <definedName name="CA_AURELE">'01_PARAMETRES'!$B$56:$B$62</definedName>
    <definedName name="CA_Entites">'01_PARAMETRES'!$A$56:$A$62</definedName>
    <definedName name="CA_IMPERIAL">'01_PARAMETRES'!$C$56:$C$62</definedName>
    <definedName name="CA_STELLAIRE">'01_PARAMETRES'!$D$56:$D$62</definedName>
    <definedName name="CA_TOTAL">'01_PARAMETRES'!$E$56:$E$62</definedName>
    <definedName name="Comp_Taux">'04_BENCHMARK_ALP'!$E$7:$E$16</definedName>
    <definedName name="Entites_ActifsCorp">'01_PARAMETRES'!$I$22:$I$29</definedName>
    <definedName name="Entites_Detention">'01_PARAMETRES'!$G$22:$G$29</definedName>
    <definedName name="Entites_Devise">'01_PARAMETRES'!$C$22:$C$29</definedName>
    <definedName name="Entites_MasseSal">'01_PARAMETRES'!$H$22:$H$29</definedName>
    <definedName name="Entites_Noms">'01_PARAMETRES'!$A$22:$A$29</definedName>
    <definedName name="Entites_Pays">'01_PARAMETRES'!$B$22:$B$29</definedName>
    <definedName name="Entites_TauxIS">'01_PARAMETRES'!$D$22:$D$29</definedName>
    <definedName name="FX_Cloture">'01_PARAMETRES'!$B$33:$B$38</definedName>
    <definedName name="FX_Devises">'01_PARAMETRES'!$A$33:$A$38</definedName>
    <definedName name="FX_Mars2026">'01_PARAMETRES'!$D$33:$D$38</definedName>
    <definedName name="FX_Moyen">'01_PARAMETRES'!$C$33:$C$38</definedName>
    <definedName name="GrandTotal_CA">'03_CALCUL_ROYALTIES'!$B$70</definedName>
    <definedName name="GrandTotal_Royalty">'03_CALCUL_ROYALTIES'!$F$70</definedName>
    <definedName name="IQR_Mediane">'04_BENCHMARK_ALP'!$B$22</definedName>
    <definedName name="IQR_Q1">'04_BENCHMARK_ALP'!$B$21</definedName>
    <definedName name="IQR_Q3">'04_BENCHMARK_ALP'!$B$23</definedName>
    <definedName name="Marques_Noms">'01_PARAMETRES'!$A$42:$A$44</definedName>
    <definedName name="Marques_Taux">'01_PARAMETRES'!$C$42:$C$44</definedName>
    <definedName name="Recap_CA_Total">'03_CALCUL_ROYALTIES'!$B$63:$B$69</definedName>
    <definedName name="Recap_Entites">'03_CALCUL_ROYALTIES'!$A$63:$A$69</definedName>
    <definedName name="Recap_RoyaltyTotal">'03_CALCUL_ROYALTIES'!$F$63:$F$69</definedName>
    <definedName name="Saisonnalite_Q1">'01_PARAMETRES'!$B$48</definedName>
    <definedName name="Saisonnalite_Q2">'01_PARAMETRES'!$B$49</definedName>
    <definedName name="Saisonnalite_Q3">'01_PARAMETRES'!$B$50</definedName>
    <definedName name="Saisonnalite_Q4">'01_PARAMETRES'!$B$51</definedName>
    <definedName name="TauxIS_FR">'01_PARAMETRES'!$D$22</definedName>
    <definedName name="TauxRoyalty_AURELE">'01_PARAMETRES'!$C$42</definedName>
    <definedName name="TauxRoyalty_IMPERIAL">'01_PARAMETRES'!$C$43</definedName>
    <definedName name="TauxRoyalty_STELLAIRE">'01_PARAMETRES'!$C$44</definedName>
    <definedName name="WHT_Pays">'01_PARAMETRES'!$A$67:$A$73</definedName>
    <definedName name="WHT_TauxEffectif">'01_PARAMETRES'!$F$67:$F$73</definedName>
    <definedName name="WHT_Total">'06_RETENUES_SOURCE'!$H$14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8" l="1"/>
  <c r="C14" i="8"/>
  <c r="B10" i="10"/>
  <c r="B21" i="10"/>
  <c r="E21" i="10" s="1"/>
  <c r="B20" i="10"/>
  <c r="E20" i="10" s="1"/>
  <c r="E18" i="10"/>
  <c r="B18" i="10"/>
  <c r="E17" i="10"/>
  <c r="B17" i="10"/>
  <c r="B37" i="10"/>
  <c r="B36" i="10"/>
  <c r="B35" i="10"/>
  <c r="B11" i="10"/>
  <c r="E11" i="10" s="1"/>
  <c r="D13" i="14"/>
  <c r="D12" i="14"/>
  <c r="D11" i="14"/>
  <c r="D10" i="14"/>
  <c r="D9" i="14"/>
  <c r="D8" i="14"/>
  <c r="D7" i="14"/>
  <c r="J13" i="6"/>
  <c r="J12" i="6"/>
  <c r="J11" i="6"/>
  <c r="J10" i="6"/>
  <c r="J9" i="6"/>
  <c r="J8" i="6"/>
  <c r="J7" i="6"/>
  <c r="K69" i="3"/>
  <c r="K68" i="3"/>
  <c r="K67" i="3"/>
  <c r="K66" i="3"/>
  <c r="K65" i="3"/>
  <c r="K64" i="3"/>
  <c r="K63" i="3"/>
  <c r="I69" i="3"/>
  <c r="I68" i="3"/>
  <c r="I67" i="3"/>
  <c r="I66" i="3"/>
  <c r="I65" i="3"/>
  <c r="I64" i="3"/>
  <c r="I63" i="3"/>
  <c r="B15" i="3"/>
  <c r="H15" i="3" s="1"/>
  <c r="B9" i="3"/>
  <c r="B8" i="3"/>
  <c r="B7" i="3"/>
  <c r="E69" i="3"/>
  <c r="F69" i="3" s="1"/>
  <c r="C13" i="8" s="1"/>
  <c r="E68" i="3"/>
  <c r="E67" i="3"/>
  <c r="E66" i="3"/>
  <c r="E65" i="3"/>
  <c r="E64" i="3"/>
  <c r="E63" i="3"/>
  <c r="D69" i="3"/>
  <c r="D68" i="3"/>
  <c r="D67" i="3"/>
  <c r="D66" i="3"/>
  <c r="D65" i="3"/>
  <c r="D64" i="3"/>
  <c r="D63" i="3"/>
  <c r="C69" i="3"/>
  <c r="C68" i="3"/>
  <c r="C67" i="3"/>
  <c r="C66" i="3"/>
  <c r="C65" i="3"/>
  <c r="C64" i="3"/>
  <c r="C63" i="3"/>
  <c r="E12" i="11"/>
  <c r="J14" i="8"/>
  <c r="I14" i="8"/>
  <c r="H14" i="8"/>
  <c r="G14" i="8"/>
  <c r="F14" i="8"/>
  <c r="E14" i="8"/>
  <c r="D14" i="8"/>
  <c r="B14" i="8"/>
  <c r="J13" i="8"/>
  <c r="H13" i="8"/>
  <c r="G13" i="8"/>
  <c r="F13" i="8"/>
  <c r="E13" i="8"/>
  <c r="J12" i="8"/>
  <c r="I12" i="8"/>
  <c r="H12" i="8"/>
  <c r="G12" i="8"/>
  <c r="F12" i="8"/>
  <c r="E12" i="8"/>
  <c r="J11" i="8"/>
  <c r="I11" i="8"/>
  <c r="H11" i="8"/>
  <c r="G11" i="8"/>
  <c r="F11" i="8"/>
  <c r="E11" i="8"/>
  <c r="J10" i="8"/>
  <c r="I10" i="8"/>
  <c r="H10" i="8"/>
  <c r="G10" i="8"/>
  <c r="F10" i="8"/>
  <c r="E10" i="8"/>
  <c r="J9" i="8"/>
  <c r="I9" i="8"/>
  <c r="H9" i="8"/>
  <c r="G9" i="8"/>
  <c r="F9" i="8"/>
  <c r="E9" i="8"/>
  <c r="J8" i="8"/>
  <c r="I8" i="8"/>
  <c r="H8" i="8"/>
  <c r="G8" i="8"/>
  <c r="F8" i="8"/>
  <c r="E8" i="8"/>
  <c r="J7" i="8"/>
  <c r="I7" i="8"/>
  <c r="H7" i="8"/>
  <c r="G7" i="8"/>
  <c r="F7" i="8"/>
  <c r="E7" i="8"/>
  <c r="H26" i="15"/>
  <c r="H25" i="15"/>
  <c r="H24" i="15"/>
  <c r="H23" i="15"/>
  <c r="H22" i="15"/>
  <c r="H21" i="15"/>
  <c r="H20" i="15"/>
  <c r="H19" i="15"/>
  <c r="H18" i="15"/>
  <c r="H17" i="15"/>
  <c r="D17" i="15"/>
  <c r="E17" i="15" s="1"/>
  <c r="D10" i="15"/>
  <c r="C10" i="15"/>
  <c r="B10" i="15"/>
  <c r="D8" i="15"/>
  <c r="C8" i="15"/>
  <c r="B8" i="15"/>
  <c r="D7" i="15"/>
  <c r="C7" i="15"/>
  <c r="B7" i="15"/>
  <c r="B17" i="15" s="1"/>
  <c r="C19" i="14"/>
  <c r="D18" i="14"/>
  <c r="G23" i="13"/>
  <c r="D23" i="13"/>
  <c r="F23" i="13" s="1"/>
  <c r="C23" i="13"/>
  <c r="E23" i="13" s="1"/>
  <c r="B23" i="13"/>
  <c r="G22" i="13"/>
  <c r="E22" i="13"/>
  <c r="C22" i="13"/>
  <c r="B22" i="13"/>
  <c r="D22" i="13" s="1"/>
  <c r="F22" i="13" s="1"/>
  <c r="G21" i="13"/>
  <c r="D21" i="13"/>
  <c r="F21" i="13" s="1"/>
  <c r="C21" i="13"/>
  <c r="E21" i="13" s="1"/>
  <c r="B21" i="13"/>
  <c r="G20" i="13"/>
  <c r="E20" i="13"/>
  <c r="C20" i="13"/>
  <c r="B20" i="13"/>
  <c r="D20" i="13" s="1"/>
  <c r="F20" i="13" s="1"/>
  <c r="G19" i="13"/>
  <c r="D19" i="13"/>
  <c r="F19" i="13" s="1"/>
  <c r="C19" i="13"/>
  <c r="E19" i="13" s="1"/>
  <c r="B19" i="13"/>
  <c r="G18" i="13"/>
  <c r="E18" i="13"/>
  <c r="C18" i="13"/>
  <c r="B18" i="13"/>
  <c r="D18" i="13" s="1"/>
  <c r="F18" i="13" s="1"/>
  <c r="G17" i="13"/>
  <c r="D17" i="13"/>
  <c r="F17" i="13" s="1"/>
  <c r="C17" i="13"/>
  <c r="E17" i="13" s="1"/>
  <c r="B17" i="13"/>
  <c r="B13" i="13"/>
  <c r="B12" i="13"/>
  <c r="D12" i="11"/>
  <c r="B14" i="10"/>
  <c r="E14" i="10" s="1"/>
  <c r="F13" i="7"/>
  <c r="F12" i="7"/>
  <c r="F11" i="7"/>
  <c r="F10" i="7"/>
  <c r="F9" i="7"/>
  <c r="F8" i="7"/>
  <c r="F7" i="7"/>
  <c r="F13" i="6"/>
  <c r="D13" i="6"/>
  <c r="B13" i="6"/>
  <c r="F12" i="6"/>
  <c r="D12" i="6"/>
  <c r="B12" i="6"/>
  <c r="F11" i="6"/>
  <c r="D11" i="6"/>
  <c r="B11" i="6"/>
  <c r="F10" i="6"/>
  <c r="D10" i="6"/>
  <c r="B10" i="6"/>
  <c r="F9" i="6"/>
  <c r="D9" i="6"/>
  <c r="B9" i="6"/>
  <c r="F8" i="6"/>
  <c r="D8" i="6"/>
  <c r="B8" i="6"/>
  <c r="F7" i="6"/>
  <c r="D7" i="6"/>
  <c r="B7" i="6"/>
  <c r="D41" i="4"/>
  <c r="C41" i="4"/>
  <c r="B41" i="4"/>
  <c r="E41" i="4" s="1"/>
  <c r="F41" i="4" s="1"/>
  <c r="D40" i="4"/>
  <c r="C40" i="4"/>
  <c r="B40" i="4"/>
  <c r="E40" i="4" s="1"/>
  <c r="G36" i="4"/>
  <c r="H36" i="4" s="1"/>
  <c r="D36" i="4"/>
  <c r="C36" i="4"/>
  <c r="B36" i="4"/>
  <c r="E36" i="4" s="1"/>
  <c r="B32" i="4"/>
  <c r="B31" i="4"/>
  <c r="B30" i="4"/>
  <c r="B26" i="4"/>
  <c r="B25" i="4"/>
  <c r="B24" i="4"/>
  <c r="B23" i="4"/>
  <c r="B22" i="4"/>
  <c r="D30" i="4" s="1"/>
  <c r="B21" i="4"/>
  <c r="B20" i="4"/>
  <c r="H69" i="3"/>
  <c r="B69" i="3"/>
  <c r="H68" i="3"/>
  <c r="F68" i="3"/>
  <c r="C12" i="8" s="1"/>
  <c r="H67" i="3"/>
  <c r="F67" i="3"/>
  <c r="C11" i="8" s="1"/>
  <c r="B67" i="3"/>
  <c r="H66" i="3"/>
  <c r="H65" i="3"/>
  <c r="F65" i="3"/>
  <c r="C9" i="8" s="1"/>
  <c r="H64" i="3"/>
  <c r="F64" i="3"/>
  <c r="C8" i="8" s="1"/>
  <c r="H63" i="3"/>
  <c r="B63" i="3"/>
  <c r="C58" i="3"/>
  <c r="F57" i="3"/>
  <c r="J57" i="3" s="1"/>
  <c r="E57" i="3"/>
  <c r="I57" i="3" s="1"/>
  <c r="D57" i="3"/>
  <c r="H57" i="3" s="1"/>
  <c r="C57" i="3"/>
  <c r="G57" i="3" s="1"/>
  <c r="K57" i="3" s="1"/>
  <c r="B57" i="3"/>
  <c r="J56" i="3"/>
  <c r="F56" i="3"/>
  <c r="C56" i="3"/>
  <c r="E56" i="3" s="1"/>
  <c r="B56" i="3"/>
  <c r="H55" i="3"/>
  <c r="F55" i="3"/>
  <c r="F58" i="3" s="1"/>
  <c r="E55" i="3"/>
  <c r="E58" i="3" s="1"/>
  <c r="D55" i="3"/>
  <c r="C55" i="3"/>
  <c r="G55" i="3" s="1"/>
  <c r="K55" i="3" s="1"/>
  <c r="B55" i="3"/>
  <c r="C50" i="3"/>
  <c r="F49" i="3"/>
  <c r="J49" i="3" s="1"/>
  <c r="E49" i="3"/>
  <c r="I49" i="3" s="1"/>
  <c r="D49" i="3"/>
  <c r="H49" i="3" s="1"/>
  <c r="C49" i="3"/>
  <c r="G49" i="3" s="1"/>
  <c r="K49" i="3" s="1"/>
  <c r="B49" i="3"/>
  <c r="F48" i="3"/>
  <c r="J48" i="3" s="1"/>
  <c r="C48" i="3"/>
  <c r="E48" i="3" s="1"/>
  <c r="I48" i="3" s="1"/>
  <c r="B48" i="3"/>
  <c r="H47" i="3"/>
  <c r="F47" i="3"/>
  <c r="F50" i="3" s="1"/>
  <c r="E47" i="3"/>
  <c r="E50" i="3" s="1"/>
  <c r="D47" i="3"/>
  <c r="C47" i="3"/>
  <c r="G47" i="3" s="1"/>
  <c r="K47" i="3" s="1"/>
  <c r="B47" i="3"/>
  <c r="C42" i="3"/>
  <c r="H41" i="3"/>
  <c r="F41" i="3"/>
  <c r="J41" i="3" s="1"/>
  <c r="E41" i="3"/>
  <c r="I41" i="3" s="1"/>
  <c r="D41" i="3"/>
  <c r="C41" i="3"/>
  <c r="G41" i="3" s="1"/>
  <c r="K41" i="3" s="1"/>
  <c r="B41" i="3"/>
  <c r="F40" i="3"/>
  <c r="J40" i="3" s="1"/>
  <c r="C40" i="3"/>
  <c r="E40" i="3" s="1"/>
  <c r="I40" i="3" s="1"/>
  <c r="B40" i="3"/>
  <c r="F39" i="3"/>
  <c r="F42" i="3" s="1"/>
  <c r="E39" i="3"/>
  <c r="E42" i="3" s="1"/>
  <c r="D39" i="3"/>
  <c r="H39" i="3" s="1"/>
  <c r="C39" i="3"/>
  <c r="G39" i="3" s="1"/>
  <c r="K39" i="3" s="1"/>
  <c r="B39" i="3"/>
  <c r="C34" i="3"/>
  <c r="H33" i="3"/>
  <c r="F33" i="3"/>
  <c r="J33" i="3" s="1"/>
  <c r="E33" i="3"/>
  <c r="I33" i="3" s="1"/>
  <c r="D33" i="3"/>
  <c r="C33" i="3"/>
  <c r="G33" i="3" s="1"/>
  <c r="K33" i="3" s="1"/>
  <c r="B33" i="3"/>
  <c r="F32" i="3"/>
  <c r="C32" i="3"/>
  <c r="E32" i="3" s="1"/>
  <c r="B32" i="3"/>
  <c r="J32" i="3" s="1"/>
  <c r="F31" i="3"/>
  <c r="F34" i="3" s="1"/>
  <c r="E31" i="3"/>
  <c r="E34" i="3" s="1"/>
  <c r="D31" i="3"/>
  <c r="C31" i="3"/>
  <c r="G31" i="3" s="1"/>
  <c r="K31" i="3" s="1"/>
  <c r="B31" i="3"/>
  <c r="C26" i="3"/>
  <c r="F25" i="3"/>
  <c r="J25" i="3" s="1"/>
  <c r="E25" i="3"/>
  <c r="I25" i="3" s="1"/>
  <c r="D25" i="3"/>
  <c r="H25" i="3" s="1"/>
  <c r="C25" i="3"/>
  <c r="G25" i="3" s="1"/>
  <c r="K25" i="3" s="1"/>
  <c r="B25" i="3"/>
  <c r="J24" i="3"/>
  <c r="F24" i="3"/>
  <c r="C24" i="3"/>
  <c r="E24" i="3" s="1"/>
  <c r="B24" i="3"/>
  <c r="H23" i="3"/>
  <c r="F23" i="3"/>
  <c r="F26" i="3" s="1"/>
  <c r="E23" i="3"/>
  <c r="E26" i="3" s="1"/>
  <c r="D23" i="3"/>
  <c r="C23" i="3"/>
  <c r="G23" i="3" s="1"/>
  <c r="K23" i="3" s="1"/>
  <c r="B23" i="3"/>
  <c r="H17" i="3"/>
  <c r="F17" i="3"/>
  <c r="J17" i="3" s="1"/>
  <c r="E17" i="3"/>
  <c r="I17" i="3" s="1"/>
  <c r="D17" i="3"/>
  <c r="C17" i="3"/>
  <c r="G17" i="3" s="1"/>
  <c r="K17" i="3" s="1"/>
  <c r="B17" i="3"/>
  <c r="G16" i="3"/>
  <c r="K16" i="3" s="1"/>
  <c r="F16" i="3"/>
  <c r="J16" i="3" s="1"/>
  <c r="C16" i="3"/>
  <c r="B16" i="3"/>
  <c r="I15" i="3"/>
  <c r="F15" i="3"/>
  <c r="E15" i="3"/>
  <c r="D15" i="3"/>
  <c r="C15" i="3"/>
  <c r="G15" i="3" s="1"/>
  <c r="K15" i="3" s="1"/>
  <c r="K18" i="3" s="1"/>
  <c r="I9" i="3"/>
  <c r="F9" i="3"/>
  <c r="J9" i="3" s="1"/>
  <c r="E9" i="3"/>
  <c r="D9" i="3"/>
  <c r="H9" i="3" s="1"/>
  <c r="C9" i="3"/>
  <c r="G9" i="3" s="1"/>
  <c r="K9" i="3" s="1"/>
  <c r="C8" i="3"/>
  <c r="H7" i="3"/>
  <c r="F7" i="3"/>
  <c r="E7" i="3"/>
  <c r="D7" i="3"/>
  <c r="C7" i="3"/>
  <c r="G7" i="3" s="1"/>
  <c r="K7" i="3" s="1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H63" i="1"/>
  <c r="G63" i="1"/>
  <c r="F63" i="1"/>
  <c r="D63" i="1"/>
  <c r="C63" i="1"/>
  <c r="B63" i="1"/>
  <c r="I62" i="1"/>
  <c r="E62" i="1"/>
  <c r="B30" i="14" s="1"/>
  <c r="C30" i="14" s="1"/>
  <c r="I61" i="1"/>
  <c r="E61" i="1"/>
  <c r="B29" i="14" s="1"/>
  <c r="C29" i="14" s="1"/>
  <c r="I60" i="1"/>
  <c r="E60" i="1"/>
  <c r="B28" i="14" s="1"/>
  <c r="C28" i="14" s="1"/>
  <c r="I59" i="1"/>
  <c r="E59" i="1"/>
  <c r="I58" i="1"/>
  <c r="E58" i="1"/>
  <c r="B26" i="14" s="1"/>
  <c r="C26" i="14" s="1"/>
  <c r="I57" i="1"/>
  <c r="E57" i="1"/>
  <c r="I56" i="1"/>
  <c r="I63" i="1" s="1"/>
  <c r="E56" i="1"/>
  <c r="B24" i="14" s="1"/>
  <c r="C24" i="14" s="1"/>
  <c r="B52" i="1"/>
  <c r="J68" i="3" l="1"/>
  <c r="G67" i="3"/>
  <c r="H42" i="3"/>
  <c r="B25" i="14"/>
  <c r="C25" i="14" s="1"/>
  <c r="B64" i="3"/>
  <c r="B27" i="14"/>
  <c r="C27" i="14" s="1"/>
  <c r="B66" i="3"/>
  <c r="H26" i="3"/>
  <c r="D70" i="3"/>
  <c r="F63" i="3"/>
  <c r="J63" i="3" s="1"/>
  <c r="F66" i="3"/>
  <c r="C10" i="8" s="1"/>
  <c r="C70" i="3"/>
  <c r="E8" i="3"/>
  <c r="I8" i="3" s="1"/>
  <c r="D8" i="3"/>
  <c r="H8" i="3" s="1"/>
  <c r="H10" i="3" s="1"/>
  <c r="C10" i="3"/>
  <c r="G18" i="3"/>
  <c r="I32" i="3"/>
  <c r="D8" i="7"/>
  <c r="E8" i="7" s="1"/>
  <c r="G8" i="6"/>
  <c r="E8" i="5"/>
  <c r="D25" i="14"/>
  <c r="E25" i="14" s="1"/>
  <c r="F25" i="14" s="1"/>
  <c r="B8" i="14"/>
  <c r="B26" i="10"/>
  <c r="D26" i="14"/>
  <c r="E26" i="14" s="1"/>
  <c r="F26" i="14" s="1"/>
  <c r="B27" i="10"/>
  <c r="G9" i="6"/>
  <c r="B9" i="14"/>
  <c r="D9" i="7"/>
  <c r="E9" i="7" s="1"/>
  <c r="E9" i="5"/>
  <c r="D11" i="7"/>
  <c r="E11" i="7" s="1"/>
  <c r="E11" i="5"/>
  <c r="D28" i="14"/>
  <c r="E28" i="14" s="1"/>
  <c r="F28" i="14" s="1"/>
  <c r="B11" i="14"/>
  <c r="B29" i="10"/>
  <c r="G11" i="6"/>
  <c r="D30" i="14"/>
  <c r="E30" i="14" s="1"/>
  <c r="F30" i="14" s="1"/>
  <c r="B31" i="10"/>
  <c r="G13" i="6"/>
  <c r="B13" i="14"/>
  <c r="D13" i="7"/>
  <c r="E13" i="7" s="1"/>
  <c r="E13" i="5"/>
  <c r="E10" i="3"/>
  <c r="F8" i="3"/>
  <c r="J8" i="3" s="1"/>
  <c r="E18" i="3"/>
  <c r="I24" i="3"/>
  <c r="I56" i="3"/>
  <c r="E63" i="1"/>
  <c r="I7" i="3"/>
  <c r="G8" i="3"/>
  <c r="K8" i="3" s="1"/>
  <c r="K10" i="3" s="1"/>
  <c r="G10" i="3"/>
  <c r="F18" i="3"/>
  <c r="E16" i="3"/>
  <c r="I16" i="3" s="1"/>
  <c r="I18" i="3" s="1"/>
  <c r="D16" i="3"/>
  <c r="C18" i="3"/>
  <c r="H31" i="3"/>
  <c r="H34" i="3" s="1"/>
  <c r="J64" i="3"/>
  <c r="J65" i="3"/>
  <c r="B68" i="3"/>
  <c r="G68" i="3" s="1"/>
  <c r="D12" i="7"/>
  <c r="E12" i="7" s="1"/>
  <c r="G12" i="6"/>
  <c r="E12" i="5"/>
  <c r="D29" i="14"/>
  <c r="E29" i="14" s="1"/>
  <c r="F29" i="14" s="1"/>
  <c r="B12" i="14"/>
  <c r="B30" i="10"/>
  <c r="D39" i="4"/>
  <c r="C39" i="4"/>
  <c r="B39" i="4"/>
  <c r="E32" i="4"/>
  <c r="F31" i="4"/>
  <c r="B18" i="15"/>
  <c r="C17" i="15"/>
  <c r="I23" i="3"/>
  <c r="G24" i="3"/>
  <c r="K24" i="3" s="1"/>
  <c r="K26" i="3" s="1"/>
  <c r="I31" i="3"/>
  <c r="G32" i="3"/>
  <c r="K32" i="3" s="1"/>
  <c r="K34" i="3" s="1"/>
  <c r="I39" i="3"/>
  <c r="I42" i="3" s="1"/>
  <c r="G40" i="3"/>
  <c r="K40" i="3" s="1"/>
  <c r="K42" i="3" s="1"/>
  <c r="I47" i="3"/>
  <c r="I50" i="3" s="1"/>
  <c r="G48" i="3"/>
  <c r="K48" i="3" s="1"/>
  <c r="K50" i="3" s="1"/>
  <c r="I55" i="3"/>
  <c r="I58" i="3" s="1"/>
  <c r="G56" i="3"/>
  <c r="K56" i="3" s="1"/>
  <c r="K58" i="3" s="1"/>
  <c r="E70" i="3"/>
  <c r="G69" i="3"/>
  <c r="J7" i="3"/>
  <c r="J10" i="3" s="1"/>
  <c r="J15" i="3"/>
  <c r="J18" i="3" s="1"/>
  <c r="J23" i="3"/>
  <c r="J26" i="3" s="1"/>
  <c r="D24" i="3"/>
  <c r="H24" i="3" s="1"/>
  <c r="J31" i="3"/>
  <c r="J34" i="3" s="1"/>
  <c r="D32" i="3"/>
  <c r="H32" i="3" s="1"/>
  <c r="J39" i="3"/>
  <c r="J42" i="3" s="1"/>
  <c r="D40" i="3"/>
  <c r="H40" i="3" s="1"/>
  <c r="J47" i="3"/>
  <c r="J50" i="3" s="1"/>
  <c r="D48" i="3"/>
  <c r="H48" i="3" s="1"/>
  <c r="H50" i="3" s="1"/>
  <c r="J55" i="3"/>
  <c r="J58" i="3" s="1"/>
  <c r="D56" i="3"/>
  <c r="H56" i="3" s="1"/>
  <c r="H58" i="3" s="1"/>
  <c r="J67" i="3"/>
  <c r="B65" i="3"/>
  <c r="G65" i="3" s="1"/>
  <c r="J69" i="3"/>
  <c r="E31" i="4"/>
  <c r="B37" i="4"/>
  <c r="C32" i="4"/>
  <c r="D37" i="4"/>
  <c r="C30" i="4"/>
  <c r="F30" i="4" s="1"/>
  <c r="C37" i="4"/>
  <c r="C31" i="4"/>
  <c r="E30" i="4"/>
  <c r="F32" i="4"/>
  <c r="G41" i="4"/>
  <c r="H41" i="4" s="1"/>
  <c r="C38" i="4"/>
  <c r="B38" i="4"/>
  <c r="D31" i="4"/>
  <c r="D38" i="4"/>
  <c r="D32" i="4"/>
  <c r="F40" i="4"/>
  <c r="D18" i="15"/>
  <c r="F17" i="15"/>
  <c r="I10" i="3" l="1"/>
  <c r="K11" i="3" s="1"/>
  <c r="G63" i="3"/>
  <c r="K51" i="3"/>
  <c r="G30" i="4"/>
  <c r="H30" i="4"/>
  <c r="K59" i="3"/>
  <c r="G32" i="4"/>
  <c r="H32" i="4"/>
  <c r="H13" i="6"/>
  <c r="H9" i="6"/>
  <c r="B18" i="6" s="1"/>
  <c r="E18" i="6" s="1"/>
  <c r="F11" i="14"/>
  <c r="G11" i="14" s="1"/>
  <c r="H11" i="14" s="1"/>
  <c r="D58" i="3"/>
  <c r="D26" i="3"/>
  <c r="B28" i="10"/>
  <c r="B10" i="14"/>
  <c r="D10" i="7"/>
  <c r="E10" i="7" s="1"/>
  <c r="G10" i="6"/>
  <c r="E10" i="5"/>
  <c r="D27" i="14"/>
  <c r="E27" i="14" s="1"/>
  <c r="F27" i="14" s="1"/>
  <c r="F18" i="15"/>
  <c r="G17" i="15"/>
  <c r="H8" i="7"/>
  <c r="G8" i="7"/>
  <c r="K43" i="3"/>
  <c r="D19" i="15"/>
  <c r="E18" i="15"/>
  <c r="H12" i="6"/>
  <c r="B19" i="6" s="1"/>
  <c r="E19" i="6" s="1"/>
  <c r="D42" i="3"/>
  <c r="H16" i="3"/>
  <c r="H18" i="3" s="1"/>
  <c r="K19" i="3" s="1"/>
  <c r="D18" i="3"/>
  <c r="D50" i="3"/>
  <c r="G13" i="7"/>
  <c r="H13" i="7"/>
  <c r="G9" i="7"/>
  <c r="H9" i="7"/>
  <c r="G50" i="3"/>
  <c r="D7" i="7"/>
  <c r="E7" i="5"/>
  <c r="B7" i="14"/>
  <c r="D24" i="14"/>
  <c r="E24" i="14" s="1"/>
  <c r="B25" i="10"/>
  <c r="G7" i="6"/>
  <c r="F70" i="3"/>
  <c r="C7" i="8" s="1"/>
  <c r="D34" i="3"/>
  <c r="G66" i="3"/>
  <c r="H31" i="4"/>
  <c r="G31" i="4"/>
  <c r="K35" i="3"/>
  <c r="H11" i="7"/>
  <c r="G11" i="7"/>
  <c r="F8" i="14"/>
  <c r="G8" i="14" s="1"/>
  <c r="H8" i="14" s="1"/>
  <c r="G58" i="3"/>
  <c r="G64" i="3"/>
  <c r="B70" i="3"/>
  <c r="I26" i="3"/>
  <c r="K27" i="3" s="1"/>
  <c r="G40" i="4"/>
  <c r="H40" i="4" s="1"/>
  <c r="E38" i="4"/>
  <c r="F38" i="4" s="1"/>
  <c r="E37" i="4"/>
  <c r="F37" i="4" s="1"/>
  <c r="I34" i="3"/>
  <c r="C18" i="15"/>
  <c r="B19" i="15"/>
  <c r="E39" i="4"/>
  <c r="F39" i="4" s="1"/>
  <c r="F12" i="14"/>
  <c r="G12" i="14" s="1"/>
  <c r="H12" i="14" s="1"/>
  <c r="H12" i="7"/>
  <c r="G12" i="7"/>
  <c r="K70" i="3"/>
  <c r="G34" i="3"/>
  <c r="G42" i="3"/>
  <c r="J66" i="3"/>
  <c r="F13" i="14"/>
  <c r="G13" i="14" s="1"/>
  <c r="H13" i="14" s="1"/>
  <c r="H11" i="6"/>
  <c r="F9" i="14"/>
  <c r="G9" i="14" s="1"/>
  <c r="H9" i="14" s="1"/>
  <c r="H8" i="6"/>
  <c r="I8" i="6" s="1"/>
  <c r="F10" i="3"/>
  <c r="G26" i="3"/>
  <c r="D10" i="3"/>
  <c r="I12" i="6" l="1"/>
  <c r="I11" i="6"/>
  <c r="I9" i="6"/>
  <c r="G39" i="4"/>
  <c r="H39" i="4" s="1"/>
  <c r="G37" i="4"/>
  <c r="H37" i="4" s="1"/>
  <c r="H24" i="14"/>
  <c r="F24" i="14"/>
  <c r="F10" i="14"/>
  <c r="G10" i="14" s="1"/>
  <c r="H10" i="14" s="1"/>
  <c r="G38" i="4"/>
  <c r="H38" i="4"/>
  <c r="B8" i="10"/>
  <c r="G70" i="3"/>
  <c r="C7" i="11"/>
  <c r="C18" i="9"/>
  <c r="F23" i="5"/>
  <c r="F17" i="5"/>
  <c r="C8" i="11"/>
  <c r="E22" i="5"/>
  <c r="E16" i="5"/>
  <c r="C14" i="7"/>
  <c r="E14" i="7" s="1"/>
  <c r="F20" i="5"/>
  <c r="F14" i="5"/>
  <c r="C9" i="11"/>
  <c r="D7" i="11"/>
  <c r="B7" i="10"/>
  <c r="F26" i="5"/>
  <c r="E19" i="5"/>
  <c r="F7" i="14"/>
  <c r="B14" i="14"/>
  <c r="D10" i="11"/>
  <c r="C10" i="11"/>
  <c r="G14" i="6"/>
  <c r="H7" i="6"/>
  <c r="D20" i="15"/>
  <c r="E19" i="15"/>
  <c r="H10" i="6"/>
  <c r="C19" i="15"/>
  <c r="B20" i="15"/>
  <c r="D8" i="11"/>
  <c r="E7" i="7"/>
  <c r="G18" i="15"/>
  <c r="F19" i="15"/>
  <c r="H10" i="7"/>
  <c r="G10" i="7"/>
  <c r="I13" i="6"/>
  <c r="B16" i="10" l="1"/>
  <c r="E16" i="10" s="1"/>
  <c r="B19" i="10"/>
  <c r="E19" i="10" s="1"/>
  <c r="E10" i="11"/>
  <c r="E7" i="11"/>
  <c r="E8" i="11"/>
  <c r="G19" i="15"/>
  <c r="F20" i="15"/>
  <c r="E20" i="15"/>
  <c r="D21" i="15"/>
  <c r="J14" i="6"/>
  <c r="G7" i="14"/>
  <c r="F14" i="14"/>
  <c r="B21" i="15"/>
  <c r="C20" i="15"/>
  <c r="I10" i="6"/>
  <c r="H14" i="6"/>
  <c r="I7" i="6"/>
  <c r="H7" i="7"/>
  <c r="D9" i="11"/>
  <c r="E9" i="11" s="1"/>
  <c r="G7" i="7"/>
  <c r="G14" i="14" l="1"/>
  <c r="H7" i="14"/>
  <c r="F21" i="15"/>
  <c r="G20" i="15"/>
  <c r="I14" i="6"/>
  <c r="B22" i="15"/>
  <c r="C21" i="15"/>
  <c r="E21" i="15"/>
  <c r="D22" i="15"/>
  <c r="C22" i="15" l="1"/>
  <c r="B23" i="15"/>
  <c r="D23" i="15"/>
  <c r="E22" i="15"/>
  <c r="F22" i="15"/>
  <c r="G21" i="15"/>
  <c r="D24" i="15" l="1"/>
  <c r="E23" i="15"/>
  <c r="C23" i="15"/>
  <c r="B24" i="15"/>
  <c r="G22" i="15"/>
  <c r="F23" i="15"/>
  <c r="B25" i="15" l="1"/>
  <c r="C24" i="15"/>
  <c r="G23" i="15"/>
  <c r="F24" i="15"/>
  <c r="E24" i="15"/>
  <c r="D25" i="15"/>
  <c r="E25" i="15" l="1"/>
  <c r="D26" i="15"/>
  <c r="E26" i="15" s="1"/>
  <c r="B26" i="15"/>
  <c r="C26" i="15" s="1"/>
  <c r="C25" i="15"/>
  <c r="F25" i="15"/>
  <c r="G24" i="15"/>
  <c r="C31" i="15" l="1"/>
  <c r="D31" i="15" s="1"/>
  <c r="B31" i="15"/>
  <c r="E31" i="15" s="1"/>
  <c r="F31" i="15" s="1"/>
  <c r="C30" i="15"/>
  <c r="B30" i="15"/>
  <c r="F26" i="15"/>
  <c r="G26" i="15" s="1"/>
  <c r="G25" i="15"/>
  <c r="D30" i="15" l="1"/>
  <c r="D33" i="15" s="1"/>
  <c r="C33" i="15"/>
  <c r="C32" i="15"/>
  <c r="D32" i="15" s="1"/>
  <c r="B32" i="15"/>
  <c r="E32" i="15" s="1"/>
  <c r="F32" i="15" s="1"/>
  <c r="E30" i="15" l="1"/>
  <c r="B33" i="15"/>
  <c r="E33" i="15" l="1"/>
  <c r="F30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B9" authorId="0" shapeId="0" xr:uid="{F62C7DDE-BBDC-4F0C-902F-6AF656A8B697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Hypothèse clé — input manuel
Source: Consensus analyst luxe FY2026 (LVMH, Kering, Richemont)
Date: Mars 2026
⚠️ Revoir annuellement</t>
        </r>
      </text>
    </comment>
    <comment ref="C9" authorId="0" shapeId="0" xr:uid="{F7C1C5EB-52AE-4D6C-B72B-A2FFB40F538A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Hypothèse clé — input manuel
Source: Plan stratégique interne Maroquinerie 2026-2030
Date: Mars 2026
⚠️ Revoir annuellement</t>
        </r>
      </text>
    </comment>
    <comment ref="D9" authorId="0" shapeId="0" xr:uid="{D44C5A2C-B932-4B2F-BEB3-A31F171591B0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Hypothèse clé — input manuel
Source: Plan stratégique interne Joaillerie 2026-2030
Date: Mars 2026
⚠️ Revoir annuellement</t>
        </r>
      </text>
    </comment>
    <comment ref="B11" authorId="0" shapeId="0" xr:uid="{12A5A552-1CAA-4449-8620-11786AE77073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WACC — hypothèse clé
Source: Damodaran Luxury Goods Jan 2026 (beta 1.12, ERP 5.5%, Rf 3.8%)
URL: https://pages.stern.nyu.edu/~adamodar/
Date: Mars 2026
⚠️ Revoir trimestriellement</t>
        </r>
      </text>
    </comment>
    <comment ref="C11" authorId="0" shapeId="0" xr:uid="{78107BA7-8AB8-4CCA-B2DC-20C5CDB9CAF6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WACC — hypothèse clé
Source: Damodaran Luxury Goods Jan 2026
Date: Mars 2026
⚠️ Revoir trimestriellement</t>
        </r>
      </text>
    </comment>
    <comment ref="D11" authorId="0" shapeId="0" xr:uid="{4C029243-E903-43B5-8508-079415A4D276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WACC — hypothèse clé
Source: Damodaran Luxury Goods Jan 2026
Date: Mars 2026
⚠️ Revoir trimestriellement</t>
        </r>
      </text>
    </comment>
    <comment ref="B13" authorId="0" shapeId="0" xr:uid="{14DD09DE-9DC2-4909-92E9-DFC5D5709B12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Croissance perpétuelle — hypothèse clé
Source: Inflation BCE cible 2% long terme + consensus marché
Date: Mars 2026
⚠️ Sensible — ±0.5% = ±15% valeur terminale</t>
        </r>
      </text>
    </comment>
    <comment ref="C13" authorId="0" shapeId="0" xr:uid="{9E297BAD-5F3C-4253-A35F-A1604B6269E2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Croissance perpétuelle — hypothèse clé
Source: Inflation BCE cible 2% long terme
Date: Mars 2026
⚠️ Sensible — ±0.5% = ±15% valeur terminale</t>
        </r>
      </text>
    </comment>
    <comment ref="D13" authorId="0" shapeId="0" xr:uid="{98CAD6FC-011D-486E-B6F7-2730640838C2}">
      <text>
        <r>
          <rPr>
            <b/>
            <sz val="9"/>
            <color indexed="81"/>
            <rFont val="Tahoma"/>
            <charset val="1"/>
          </rPr>
          <t>Ludo:</t>
        </r>
        <r>
          <rPr>
            <sz val="9"/>
            <color indexed="81"/>
            <rFont val="Tahoma"/>
            <charset val="1"/>
          </rPr>
          <t xml:space="preserve">
Croissance perpétuelle — hypothèse clé
Source: Inflation BCE cible 2% long terme
Date: Mars 2026
⚠️ Sensible — ±0.5% = ±15% valeur terminale</t>
        </r>
      </text>
    </comment>
  </commentList>
</comments>
</file>

<file path=xl/sharedStrings.xml><?xml version="1.0" encoding="utf-8"?>
<sst xmlns="http://schemas.openxmlformats.org/spreadsheetml/2006/main" count="1491" uniqueCount="828">
  <si>
    <t>⚙️  PARAMÈTRES GÉNÉRAUX — SOURCE UNIQUE</t>
  </si>
  <si>
    <t>Configuration groupe · Entités · Devises · Taux · Plages nommées</t>
  </si>
  <si>
    <t>NEURAL — Intelligence Augmentée · Agent RoyaltyAccounting · Mars 2026</t>
  </si>
  <si>
    <t>A · INFORMATIONS GROUPE</t>
  </si>
  <si>
    <t>Nom du groupe</t>
  </si>
  <si>
    <t>NEURAL Luxe Group</t>
  </si>
  <si>
    <t>Entité IP Owner</t>
  </si>
  <si>
    <t>NEURAL Luxe Holding SAS</t>
  </si>
  <si>
    <t>Siège social IP</t>
  </si>
  <si>
    <t>Paris, France</t>
  </si>
  <si>
    <t>Exercice fiscal</t>
  </si>
  <si>
    <t>01/01/2025 — 31/12/2025</t>
  </si>
  <si>
    <t>Date d'arrêté</t>
  </si>
  <si>
    <t>31/12/2025</t>
  </si>
  <si>
    <t>Devise de reporting</t>
  </si>
  <si>
    <t>EUR (€)</t>
  </si>
  <si>
    <t>Référentiel comptable</t>
  </si>
  <si>
    <t>IFRS (tel qu'adopté par l'UE)</t>
  </si>
  <si>
    <t>Normes TP appliquées</t>
  </si>
  <si>
    <t>OCDE — Principes prix de transfert 2022 + Pilier 1 Amount B</t>
  </si>
  <si>
    <t>Pilier 2 GloBE</t>
  </si>
  <si>
    <t>Applicable — ETR minimum 15% par juridiction</t>
  </si>
  <si>
    <t>Seuil Pilier 2</t>
  </si>
  <si>
    <t>≥ 750 M€ sur 2 des 4 exercices précédents</t>
  </si>
  <si>
    <t>CSRD / ESRS</t>
  </si>
  <si>
    <t>Applicable — Reporting durabilité intégré</t>
  </si>
  <si>
    <t>Public CbCR (UE)</t>
  </si>
  <si>
    <t>Applicable — Directive transposée FY ≥ juin 2024</t>
  </si>
  <si>
    <t>⚠️ MAJ Mars 2026</t>
  </si>
  <si>
    <t>IS Japon actualisé à 31.52% · Taux de change BCE mars 2026</t>
  </si>
  <si>
    <t>B · PÉRIMÈTRE DES ENTITÉS</t>
  </si>
  <si>
    <t>Entité</t>
  </si>
  <si>
    <t>Pays</t>
  </si>
  <si>
    <t>Devise</t>
  </si>
  <si>
    <t>Taux IS effectif</t>
  </si>
  <si>
    <t>Rôle dans le groupe</t>
  </si>
  <si>
    <t>Drapeau</t>
  </si>
  <si>
    <t>% détention</t>
  </si>
  <si>
    <t>Masse salariale (k€)</t>
  </si>
  <si>
    <t>Actifs corporels (k€)</t>
  </si>
  <si>
    <t>WHT domestique</t>
  </si>
  <si>
    <t>WHT conventionnel</t>
  </si>
  <si>
    <t>NEURAL Luxe Holding</t>
  </si>
  <si>
    <t>France</t>
  </si>
  <si>
    <t>EUR</t>
  </si>
  <si>
    <t>IP Owner / Licencieur</t>
  </si>
  <si>
    <t>FR</t>
  </si>
  <si>
    <t>Maison Aurèle Paris</t>
  </si>
  <si>
    <t>Production &amp; Retail</t>
  </si>
  <si>
    <t>Maison Aurèle Italia</t>
  </si>
  <si>
    <t>Italie</t>
  </si>
  <si>
    <t>Distribution Italie</t>
  </si>
  <si>
    <t>IT</t>
  </si>
  <si>
    <t>Maison Aurèle Japan</t>
  </si>
  <si>
    <t>Japon</t>
  </si>
  <si>
    <t>JPY</t>
  </si>
  <si>
    <t>Distribution Japon</t>
  </si>
  <si>
    <t>JP</t>
  </si>
  <si>
    <t>Maison Aurèle USA</t>
  </si>
  <si>
    <t>États-Unis</t>
  </si>
  <si>
    <t>USD</t>
  </si>
  <si>
    <t>Distribution Amériques</t>
  </si>
  <si>
    <t>US</t>
  </si>
  <si>
    <t>Maison Aurèle UK</t>
  </si>
  <si>
    <t>Royaume-Uni</t>
  </si>
  <si>
    <t>GBP</t>
  </si>
  <si>
    <t>Distribution UK</t>
  </si>
  <si>
    <t>GB</t>
  </si>
  <si>
    <t>Maison Aurèle China</t>
  </si>
  <si>
    <t>Chine (HK)</t>
  </si>
  <si>
    <t>HKD</t>
  </si>
  <si>
    <t>Distribution Asie</t>
  </si>
  <si>
    <t>HK</t>
  </si>
  <si>
    <t>Maison Aurèle ME</t>
  </si>
  <si>
    <t>EAU (Dubaï)</t>
  </si>
  <si>
    <t>AED</t>
  </si>
  <si>
    <t>Distribution Moyen-Orient</t>
  </si>
  <si>
    <t>AE</t>
  </si>
  <si>
    <t>C · TAUX DE CHANGE (FY2025 clôture + Mars 2026 BCE)</t>
  </si>
  <si>
    <t>Taux clôture 31/12/2025</t>
  </si>
  <si>
    <t>Taux moyen FY2025</t>
  </si>
  <si>
    <t>Taux BCE Mars 2026</t>
  </si>
  <si>
    <t>Variation</t>
  </si>
  <si>
    <t>Source</t>
  </si>
  <si>
    <t>BCE / Bloomberg / Trading Economics</t>
  </si>
  <si>
    <t>D · MARQUES LICENCIÉES — TAUX DE ROYALTY (source unique)</t>
  </si>
  <si>
    <t>Marque</t>
  </si>
  <si>
    <t>Segment</t>
  </si>
  <si>
    <t>Taux de royalty</t>
  </si>
  <si>
    <t>Base de calcul</t>
  </si>
  <si>
    <t>Propriétaire IP</t>
  </si>
  <si>
    <t>AURÈLE</t>
  </si>
  <si>
    <t>Haute Couture &amp; Prêt-à-porter</t>
  </si>
  <si>
    <t>CA net HT</t>
  </si>
  <si>
    <t>IMPÉRIAL</t>
  </si>
  <si>
    <t>Maroquinerie &amp; Accessoires</t>
  </si>
  <si>
    <t>STELLAIRE</t>
  </si>
  <si>
    <t>Joaillerie &amp; Horlogerie</t>
  </si>
  <si>
    <t>E · RÉPARTITION TRIMESTRIELLE (Saisonnalité Luxe — source unique)</t>
  </si>
  <si>
    <t>Trimestre</t>
  </si>
  <si>
    <t>Quote-part CA</t>
  </si>
  <si>
    <t>Commentaire</t>
  </si>
  <si>
    <t>Q1 2025</t>
  </si>
  <si>
    <t>Reprise post-fêtes, collections Printemps</t>
  </si>
  <si>
    <t>Q2 2025</t>
  </si>
  <si>
    <t>Saison estivale, tourisme international</t>
  </si>
  <si>
    <t>Q3 2025</t>
  </si>
  <si>
    <t>Rentrée, pré-collections Automne/Hiver</t>
  </si>
  <si>
    <t>Q4 2025</t>
  </si>
  <si>
    <t>Fêtes de fin d'année, pic de ventes</t>
  </si>
  <si>
    <t>TOTAL</t>
  </si>
  <si>
    <t>F · CHIFFRE D'AFFAIRES NET HT PAR ENTITÉ ET MARQUE (k€) — FY2025</t>
  </si>
  <si>
    <t>CA AURÈLE (k€)</t>
  </si>
  <si>
    <t>CA IMPÉRIAL (k€)</t>
  </si>
  <si>
    <t>CA STELLAIRE (k€)</t>
  </si>
  <si>
    <t>CA TOTAL (k€)</t>
  </si>
  <si>
    <t>CA brut (k€)</t>
  </si>
  <si>
    <t>Retours/Avoirs (k€)</t>
  </si>
  <si>
    <t>Remises (k€)</t>
  </si>
  <si>
    <t>CA net HT = base royalty</t>
  </si>
  <si>
    <t>TOTAL GROUPE</t>
  </si>
  <si>
    <t>G · TAUX DE RETENUE À LA SOURCE — TABLE DE RÉFÉRENCE</t>
  </si>
  <si>
    <t>Pays source</t>
  </si>
  <si>
    <t>Taux domestique WHT</t>
  </si>
  <si>
    <t>Convention fiscale</t>
  </si>
  <si>
    <t>Taux conventionnel WHT</t>
  </si>
  <si>
    <t>Directive UE</t>
  </si>
  <si>
    <t>Taux effectif WHT</t>
  </si>
  <si>
    <t>N/A (domestique)</t>
  </si>
  <si>
    <t>N/A</t>
  </si>
  <si>
    <t>Conv. FR-IT + Dir. 2003/49/CE</t>
  </si>
  <si>
    <t>Dir. 2003/49/CE</t>
  </si>
  <si>
    <t>Conv. FR-JP art. 12</t>
  </si>
  <si>
    <t>Conv. FR-US art. 12</t>
  </si>
  <si>
    <t>Conv. FR-UK art. 12</t>
  </si>
  <si>
    <t>Hong Kong</t>
  </si>
  <si>
    <t>Conv. FR-HK art. 12</t>
  </si>
  <si>
    <t>EAU</t>
  </si>
  <si>
    <t>Conv. FR-EAU art. 12</t>
  </si>
  <si>
    <t>⚠️ MAJ Mars 2026 : IS Japon actualisé 31.52% (Trading Economics). Taux de change BCE mars 2026 intégrés.</t>
  </si>
  <si>
    <t>⚠️ EU Unshell (ATAD III) : Substance documentée en Section B (masse salariale + actifs corporels).</t>
  </si>
  <si>
    <t>⚠️ Nouvelle section F : CA brut → Retours → Remises → CA net HT (base royalty). Taux retour luxe ~5%, remises ~3%.</t>
  </si>
  <si>
    <t>📌 TOUTES les formules du classeur pointent vers cet onglet. Modifier ici = propagation automatique.</t>
  </si>
  <si>
    <t>📋  REGISTRE DES CONTRATS DE LICENCE</t>
  </si>
  <si>
    <t>Accords de licence de marque intragroupe — Taux liés à 01_PARAMETRES</t>
  </si>
  <si>
    <t>A · CONTRATS DE LICENCE DE MARQUE EN VIGUEUR</t>
  </si>
  <si>
    <t>N°</t>
  </si>
  <si>
    <t>Licencieur</t>
  </si>
  <si>
    <t>Licencié</t>
  </si>
  <si>
    <t>Taux (%)</t>
  </si>
  <si>
    <t>Base</t>
  </si>
  <si>
    <t>Date début</t>
  </si>
  <si>
    <t>Date fin</t>
  </si>
  <si>
    <t>Droit applicable</t>
  </si>
  <si>
    <t>Clause particulière</t>
  </si>
  <si>
    <t>LIC-2023-001</t>
  </si>
  <si>
    <t>01/01/2023</t>
  </si>
  <si>
    <t>31/12/2027</t>
  </si>
  <si>
    <t>Droit français</t>
  </si>
  <si>
    <t>Minimum garanti : 1 500 k€/an</t>
  </si>
  <si>
    <t>LIC-2023-002</t>
  </si>
  <si>
    <t>Clause d'ajustement annuel ALP</t>
  </si>
  <si>
    <t>LIC-2023-003</t>
  </si>
  <si>
    <t>Incluant savoir-faire joaillier</t>
  </si>
  <si>
    <t>LIC-2023-004</t>
  </si>
  <si>
    <t>Arbitrage ICC Paris</t>
  </si>
  <si>
    <t>LIC-2023-005</t>
  </si>
  <si>
    <t>LIC-2023-006</t>
  </si>
  <si>
    <t>LIC-2023-007</t>
  </si>
  <si>
    <t>WHT réduit convention FR-JP</t>
  </si>
  <si>
    <t>LIC-2023-008</t>
  </si>
  <si>
    <t>LIC-2023-009</t>
  </si>
  <si>
    <t>LIC-2023-010</t>
  </si>
  <si>
    <t>WHT 0% convention FR-US</t>
  </si>
  <si>
    <t>LIC-2023-011</t>
  </si>
  <si>
    <t>LIC-2023-012</t>
  </si>
  <si>
    <t>LIC-2023-013</t>
  </si>
  <si>
    <t>WHT 0% convention FR-UK</t>
  </si>
  <si>
    <t>LIC-2023-014</t>
  </si>
  <si>
    <t>LIC-2023-015</t>
  </si>
  <si>
    <t>LIC-2024-016</t>
  </si>
  <si>
    <t>01/01/2024</t>
  </si>
  <si>
    <t>31/12/2028</t>
  </si>
  <si>
    <t>WHT 10% → 6% convention FR-HK</t>
  </si>
  <si>
    <t>LIC-2024-017</t>
  </si>
  <si>
    <t>LIC-2024-018</t>
  </si>
  <si>
    <t>LIC-2024-019</t>
  </si>
  <si>
    <t>Pas de WHT (EAU)</t>
  </si>
  <si>
    <t>LIC-2024-020</t>
  </si>
  <si>
    <t>LIC-2024-021</t>
  </si>
  <si>
    <t>IS 9% EAU (depuis juin 2023)</t>
  </si>
  <si>
    <t>B · CLAUSES CONTRACTUELLES CLÉS</t>
  </si>
  <si>
    <t>Objet</t>
  </si>
  <si>
    <t>Licence non exclusive d'utilisation de la marque pour la fabrication, distribution et vente de produits de luxe</t>
  </si>
  <si>
    <t>Chiffre d'affaires net hors taxes (après retours, avoirs et remises) réalisé sur les produits portant la marque licenciée</t>
  </si>
  <si>
    <t>Périodicité</t>
  </si>
  <si>
    <t>Trimestriel, dans les 30 jours suivant la fin du trimestre civil</t>
  </si>
  <si>
    <t>Clause d'audit</t>
  </si>
  <si>
    <t>Le licencieur peut diligenter un audit annuel des comptes du licencié</t>
  </si>
  <si>
    <t>Clause ALP</t>
  </si>
  <si>
    <t>Révision annuelle du taux sur base d'une étude de comparables (cf. 04_BENCHMARK)</t>
  </si>
  <si>
    <t>Propriété intellectuelle</t>
  </si>
  <si>
    <t>Le licencieur conserve l'intégralité des droits de PI</t>
  </si>
  <si>
    <t>Sous-licence</t>
  </si>
  <si>
    <t>Interdite sauf accord écrit préalable</t>
  </si>
  <si>
    <t>Résiliation</t>
  </si>
  <si>
    <t>Préavis 12 mois. Résiliation immédiate en cas de manquement grave</t>
  </si>
  <si>
    <t>Substance (ATAD III)</t>
  </si>
  <si>
    <t>Le licencié dispose de personnel qualifié, locaux dédiés et pouvoir décisionnel effectif (cf. 13_SUBSTANCE)</t>
  </si>
  <si>
    <t>📌 Les taux (colonne E) sont des formules XLOOKUP liées à 01_PARAMETRES Section D. Modifier là-bas = propagation automatique.</t>
  </si>
  <si>
    <t>💰  CALCUL DES REDEVANCES — 100% DYNAMIQUE</t>
  </si>
  <si>
    <t>Formules liées à 01_PARAMETRES · CA × Taux × Saisonnalité — FY2025 (k€)</t>
  </si>
  <si>
    <t>📍 Maison Aurèle Paris</t>
  </si>
  <si>
    <t>Taux royalty</t>
  </si>
  <si>
    <t>CA annuel (k€)</t>
  </si>
  <si>
    <t>Q1 (k€)</t>
  </si>
  <si>
    <t>Q2 (k€)</t>
  </si>
  <si>
    <t>Q3 (k€)</t>
  </si>
  <si>
    <t>Q4 (k€)</t>
  </si>
  <si>
    <t>Royalty Q1</t>
  </si>
  <si>
    <t>Royalty Q2</t>
  </si>
  <si>
    <t>Royalty Q3</t>
  </si>
  <si>
    <t>Royalty Q4</t>
  </si>
  <si>
    <t>—</t>
  </si>
  <si>
    <t>ROYALTY ANNUELLE TOTALE →</t>
  </si>
  <si>
    <t>📍 Maison Aurèle Italia</t>
  </si>
  <si>
    <t>📍 Maison Aurèle Japan</t>
  </si>
  <si>
    <t>📍 Maison Aurèle USA</t>
  </si>
  <si>
    <t>📍 Maison Aurèle UK</t>
  </si>
  <si>
    <t>📍 Maison Aurèle China</t>
  </si>
  <si>
    <t>📍 Maison Aurèle ME</t>
  </si>
  <si>
    <t>📊 RÉCAPITULATIF GLOBAL DES REDEVANCES (en k€) — 100% FORMULES</t>
  </si>
  <si>
    <t>Entité licenciée</t>
  </si>
  <si>
    <t>CA total (k€)</t>
  </si>
  <si>
    <t>Royalty AURÈLE</t>
  </si>
  <si>
    <t>Royalty IMPÉRIAL</t>
  </si>
  <si>
    <t>Royalty STELLAIRE</t>
  </si>
  <si>
    <t>Total Royalty (k€)</t>
  </si>
  <si>
    <t>% du CA</t>
  </si>
  <si>
    <t>Devise locale</t>
  </si>
  <si>
    <t>Taux moyen FX</t>
  </si>
  <si>
    <t>Royalty devise locale</t>
  </si>
  <si>
    <t>Écart conv.</t>
  </si>
  <si>
    <t>💡 TOUTES les valeurs sont des formules. Modifier un CA ou un taux dans 01_PARAMETRES → recalcul automatique intégral.</t>
  </si>
  <si>
    <t>📌 Conversion IAS 21 §39 : CA en devise locale converti au taux moyen. Écart de conversion calculé automatiquement.</t>
  </si>
  <si>
    <t>🔍  ANALYSE DE PLEINE CONCURRENCE</t>
  </si>
  <si>
    <t>Benchmark arm's length — IQR automatique — OCDE TP Guidelines</t>
  </si>
  <si>
    <t>A · PANEL DE COMPARABLES</t>
  </si>
  <si>
    <t>Société comparable</t>
  </si>
  <si>
    <t>Secteur</t>
  </si>
  <si>
    <t>Type licence</t>
  </si>
  <si>
    <t>Taux observé</t>
  </si>
  <si>
    <t>Durée</t>
  </si>
  <si>
    <t>Année</t>
  </si>
  <si>
    <t>Fiabilité</t>
  </si>
  <si>
    <t>Comp. 1 — Luxury Brand Alpha</t>
  </si>
  <si>
    <t>Mode &amp; Maroquinerie</t>
  </si>
  <si>
    <t>CA net</t>
  </si>
  <si>
    <t>5 ans</t>
  </si>
  <si>
    <t>Royalty Source®</t>
  </si>
  <si>
    <t>2024</t>
  </si>
  <si>
    <t>★★★★</t>
  </si>
  <si>
    <t>Comp. 2 — Premium Fashion Beta</t>
  </si>
  <si>
    <t>Mode</t>
  </si>
  <si>
    <t>Comp. 3 — Jewel House Gamma</t>
  </si>
  <si>
    <t>Joaillerie</t>
  </si>
  <si>
    <t>Suisse</t>
  </si>
  <si>
    <t>Marque + know-how</t>
  </si>
  <si>
    <t>7 ans</t>
  </si>
  <si>
    <t>ktMINE®</t>
  </si>
  <si>
    <t>2023</t>
  </si>
  <si>
    <t>★★★</t>
  </si>
  <si>
    <t>Comp. 4 — Heritage Leather Delta</t>
  </si>
  <si>
    <t>Maroquinerie</t>
  </si>
  <si>
    <t>Comp. 5 — Couture House Epsilon</t>
  </si>
  <si>
    <t>Haute Couture</t>
  </si>
  <si>
    <t>BvD Orbis®</t>
  </si>
  <si>
    <t>Comp. 6 — Watch Luxury Zeta</t>
  </si>
  <si>
    <t>Horlogerie</t>
  </si>
  <si>
    <t>Marque + techno</t>
  </si>
  <si>
    <t>10 ans</t>
  </si>
  <si>
    <t>Comp. 7 — Fashion Group Eta</t>
  </si>
  <si>
    <t>Mode &amp; Accessoires</t>
  </si>
  <si>
    <t>UK</t>
  </si>
  <si>
    <t>Comp. 8 — Prestige Beauty Theta</t>
  </si>
  <si>
    <t>Cosmétique Prestige</t>
  </si>
  <si>
    <t>Comp. 9 — Elite Retail Iota</t>
  </si>
  <si>
    <t>Distribution Luxe</t>
  </si>
  <si>
    <t>USA</t>
  </si>
  <si>
    <t>Bloomberg Tax</t>
  </si>
  <si>
    <t>Comp. 10 — Artisan Luxe Kappa</t>
  </si>
  <si>
    <t>Artisanat de luxe</t>
  </si>
  <si>
    <t>Marque + savoir-faire</t>
  </si>
  <si>
    <t>B · ANALYSE STATISTIQUE — IQR AUTOMATIQUE (formules QUARTILE)</t>
  </si>
  <si>
    <t>Indicateur statistique</t>
  </si>
  <si>
    <t>Valeur</t>
  </si>
  <si>
    <t>Formule</t>
  </si>
  <si>
    <t>Minimum</t>
  </si>
  <si>
    <t>MIN()</t>
  </si>
  <si>
    <t>1er quartile (Q1)</t>
  </si>
  <si>
    <t>QUARTILE.INC(,1)</t>
  </si>
  <si>
    <t>Médiane (Q2)</t>
  </si>
  <si>
    <t>QUARTILE.INC(,2)</t>
  </si>
  <si>
    <t>3e quartile (Q3)</t>
  </si>
  <si>
    <t>QUARTILE.INC(,3)</t>
  </si>
  <si>
    <t>Maximum</t>
  </si>
  <si>
    <t>MAX()</t>
  </si>
  <si>
    <t>Moyenne arithmétique</t>
  </si>
  <si>
    <t>AVERAGE()</t>
  </si>
  <si>
    <t>Nombre de comparables</t>
  </si>
  <si>
    <t>COUNT()</t>
  </si>
  <si>
    <t>C · TEST ARM'S LENGTH PAR MARQUE — FORMULES AUTOMATIQUES</t>
  </si>
  <si>
    <t>Taux appliqué</t>
  </si>
  <si>
    <t>Q1 benchmark</t>
  </si>
  <si>
    <t>Médiane</t>
  </si>
  <si>
    <t>Q3 benchmark</t>
  </si>
  <si>
    <t>Dans l'IQR ?</t>
  </si>
  <si>
    <t>Statut ALP</t>
  </si>
  <si>
    <t>Action requise</t>
  </si>
  <si>
    <t>D · ANALYSE DE SENSIBILITÉ (en k€) — Formules dynamiques</t>
  </si>
  <si>
    <t>Scénario</t>
  </si>
  <si>
    <t>Taux AURÈLE</t>
  </si>
  <si>
    <t>Taux IMPÉRIAL</t>
  </si>
  <si>
    <t>Taux STELLAIRE</t>
  </si>
  <si>
    <t>Royalty totale (k€)</t>
  </si>
  <si>
    <t>Δ vs. actuel</t>
  </si>
  <si>
    <t>Impact fiscal (FR)</t>
  </si>
  <si>
    <t>Impact net groupe</t>
  </si>
  <si>
    <t>Actuel</t>
  </si>
  <si>
    <t>Q1 (conservateur)</t>
  </si>
  <si>
    <t>Q3 (agressif)</t>
  </si>
  <si>
    <t>📌 Q1/Médiane/Q3 sont des formules QUARTILE.INC liées au panel. Ajouter un comparable → recalcul automatique de l'IQR.</t>
  </si>
  <si>
    <t>📌 Sensibilité : SUMPRODUCT × taux scénario. Modifier un CA dans 01_PARAMETRES → impact instantané.</t>
  </si>
  <si>
    <t>📝  ÉCRITURES COMPTABLES — LIÉES À 03_CALCUL</t>
  </si>
  <si>
    <t>IAS 38, IFRS 15, IAS 24 — Montants dynamiques</t>
  </si>
  <si>
    <t>A · CHEZ LE LICENCIEUR — NEURAL Luxe Holding</t>
  </si>
  <si>
    <t>Date</t>
  </si>
  <si>
    <t>N° pièce</t>
  </si>
  <si>
    <t>Compte</t>
  </si>
  <si>
    <t>Libellé</t>
  </si>
  <si>
    <t>Débit (k€)</t>
  </si>
  <si>
    <t>Crédit (k€)</t>
  </si>
  <si>
    <t>Norme IFRS</t>
  </si>
  <si>
    <t>31/03/2025</t>
  </si>
  <si>
    <t>ROY-Q1-001</t>
  </si>
  <si>
    <t>411100 — Clients groupe Paris</t>
  </si>
  <si>
    <t>Redevances Q1 — Aurèle Paris</t>
  </si>
  <si>
    <t>IFRS 15 §B63</t>
  </si>
  <si>
    <t>Usage-based royalty</t>
  </si>
  <si>
    <t>411200 — Clients groupe Italia</t>
  </si>
  <si>
    <t>Redevances Q1 — Aurèle Italia</t>
  </si>
  <si>
    <t>411300 — Clients groupe Japan</t>
  </si>
  <si>
    <t>Redevances Q1 — Aurèle Japan</t>
  </si>
  <si>
    <t>411400 — Clients groupe USA</t>
  </si>
  <si>
    <t>Redevances Q1 — Aurèle USA</t>
  </si>
  <si>
    <t>411500 — Clients groupe UK</t>
  </si>
  <si>
    <t>Redevances Q1 — Aurèle UK</t>
  </si>
  <si>
    <t>411600 — Clients groupe China</t>
  </si>
  <si>
    <t>Redevances Q1 — Aurèle China</t>
  </si>
  <si>
    <t>411700 — Clients groupe ME</t>
  </si>
  <si>
    <t>Redevances Q1 — Aurèle ME</t>
  </si>
  <si>
    <t>751000 — Produits redevances marque</t>
  </si>
  <si>
    <t>Redevances marque Q1 — Total</t>
  </si>
  <si>
    <t>Revenu reconnu à l'usage</t>
  </si>
  <si>
    <t>30/06/2025</t>
  </si>
  <si>
    <t>ROY-Q2-001</t>
  </si>
  <si>
    <t>411xxx — Clients groupe (total)</t>
  </si>
  <si>
    <t>Redevances Q2 — Toutes entités</t>
  </si>
  <si>
    <t>Redevances marque Q2 — Total</t>
  </si>
  <si>
    <t>30/09/2025</t>
  </si>
  <si>
    <t>ROY-Q3-001</t>
  </si>
  <si>
    <t>Redevances Q3 — Toutes entités</t>
  </si>
  <si>
    <t>Redevances marque Q3 — Total</t>
  </si>
  <si>
    <t>ROY-Q4-001</t>
  </si>
  <si>
    <t>Redevances Q4 — Toutes entités</t>
  </si>
  <si>
    <t>Redevances marque Q4 — Total</t>
  </si>
  <si>
    <t>TOTAL PRODUITS REDEVANCES FY2025</t>
  </si>
  <si>
    <t>B · TRAITEMENT IFRS SPÉCIFIQUE</t>
  </si>
  <si>
    <t>Redevances usage</t>
  </si>
  <si>
    <t>Le produit est reconnu au fur et à mesure des ventes (usage-based royalty).</t>
  </si>
  <si>
    <t>IAS 38 §5(d)</t>
  </si>
  <si>
    <t>Exclusion scope</t>
  </si>
  <si>
    <t>La redevance payée n'est PAS une immobilisation. Charge de période.</t>
  </si>
  <si>
    <t>IAS 24 §18</t>
  </si>
  <si>
    <t>Parties liées</t>
  </si>
  <si>
    <t>Transactions IG divulguées : nature, montants, soldes, conditions.</t>
  </si>
  <si>
    <t>IAS 12 §39</t>
  </si>
  <si>
    <t>WHT</t>
  </si>
  <si>
    <t>WHT = impôt sur le résultat. Crédit d'impôt si convention applicable.</t>
  </si>
  <si>
    <t>IFRS 18 (2027)</t>
  </si>
  <si>
    <t>Anticipation P&amp;L</t>
  </si>
  <si>
    <t>Reclassement revenus redevances dans nouveau format P&amp;L.</t>
  </si>
  <si>
    <t>🏛️  RETENUES À LA SOURCE (WHT) — DYNAMIQUE</t>
  </si>
  <si>
    <t>WHT liée à 01_PARAMETRES · Royalties liées à 03_CALCUL</t>
  </si>
  <si>
    <t>A · TAUX WHT PAR JURIDICTION — 100% FORMULES</t>
  </si>
  <si>
    <t>Taux conventionnel</t>
  </si>
  <si>
    <t>Royalty brute (k€)</t>
  </si>
  <si>
    <t>WHT retenue (k€)</t>
  </si>
  <si>
    <t>Royalty nette (k€)</t>
  </si>
  <si>
    <t>Crédit impôt FR</t>
  </si>
  <si>
    <t>France (Aurèle Paris)</t>
  </si>
  <si>
    <t>Italie (Aurèle Italia)</t>
  </si>
  <si>
    <t>Japon (Aurèle Japan)</t>
  </si>
  <si>
    <t>États-Unis (Aurèle USA)</t>
  </si>
  <si>
    <t>Royaume-Uni (Aurèle UK)</t>
  </si>
  <si>
    <t>Hong Kong (Aurèle China)</t>
  </si>
  <si>
    <t>EAU (Aurèle ME)</t>
  </si>
  <si>
    <t>B · COÛT DE PORTAGE WHT (nouveau)</t>
  </si>
  <si>
    <t>Délai imputation (mois)</t>
  </si>
  <si>
    <t>Taux court terme (Euribor 3M)</t>
  </si>
  <si>
    <t>Coût de portage (k€)</t>
  </si>
  <si>
    <t>Crédit impôt imputable à la clôture annuelle uniquement</t>
  </si>
  <si>
    <t>📌 WHT, royalties brutes et taux = 100% formules liées à 01_PARAMETRES et 03_CALCUL.</t>
  </si>
  <si>
    <t>📌 NOUVEAU : Coût de portage WHT calculé (Euribor 3M ~2.5% mars 2026 · délai imputation crédit).</t>
  </si>
  <si>
    <t>🔄  ÉLIMINATIONS EN CONSOLIDATION — DYNAMIQUE</t>
  </si>
  <si>
    <t>Formules liées à 03_CALCUL et 01_PARAMETRES · IFRS 10</t>
  </si>
  <si>
    <t>A · ÉLIMINATION P&amp;L REDEVANCES</t>
  </si>
  <si>
    <t>Rôle</t>
  </si>
  <si>
    <t>Produit (k€)</t>
  </si>
  <si>
    <t>Charge (k€)</t>
  </si>
  <si>
    <t>Élimination P&amp;L</t>
  </si>
  <si>
    <t>% consolidation</t>
  </si>
  <si>
    <t>Élim. ajustée</t>
  </si>
  <si>
    <t>Impact NCI</t>
  </si>
  <si>
    <t>Licencié (charge)</t>
  </si>
  <si>
    <t>Licencieur (produit)</t>
  </si>
  <si>
    <t>📌 % consolidation et montants = formules XLOOKUP vers 01_PARAMETRES et 03_CALCUL.</t>
  </si>
  <si>
    <t>📌 NCI calculé automatiquement : Aurèle China 80% → 20% NCI sur l'élimination.</t>
  </si>
  <si>
    <t>🌐  PILIER 2 GloBE — DYNAMIQUE + SUBSTANCE</t>
  </si>
  <si>
    <t>ETR · Top-up tax · Exclusion substance · IS Japon 31.52%</t>
  </si>
  <si>
    <t>A · ETR PAR JURIDICTION — AVEC EXCLUSION SUBSTANCE-BASED INCOME</t>
  </si>
  <si>
    <t>Juridiction</t>
  </si>
  <si>
    <t>Résultat GloBE avant (k€)</t>
  </si>
  <si>
    <t>Royalty flux (k€)</t>
  </si>
  <si>
    <t>Résultat après (k€)</t>
  </si>
  <si>
    <t>IS payé (k€)</t>
  </si>
  <si>
    <t>ETR</t>
  </si>
  <si>
    <t>Exclusion substance (k€)</t>
  </si>
  <si>
    <t>Résultat GloBE net (k€)</t>
  </si>
  <si>
    <t>Top-up tax (k€)</t>
  </si>
  <si>
    <t>France (Holding+Paris)</t>
  </si>
  <si>
    <t>B · ANALYSE GloBE + TRAITEMENT IAS 12</t>
  </si>
  <si>
    <t>Impact principal</t>
  </si>
  <si>
    <t>Redevances déplacent du résultat vers la France (licencieur). ETR FR 25.73% &gt; 15%.</t>
  </si>
  <si>
    <t>⚠️ IS Japon MAJ</t>
  </si>
  <si>
    <t>IS actualisé à 31.52% (mars 2026). ETR GloBE Japon conforme avec marge.</t>
  </si>
  <si>
    <t>⚠️ EAU (9%)</t>
  </si>
  <si>
    <t>ETR &lt; 15%. Top-up tax réduit par l'exclusion substance-based income (5% payroll + 5% actifs).</t>
  </si>
  <si>
    <t>QDMTT France</t>
  </si>
  <si>
    <t>QDMTT qualifié en vigueur. PLF 2026 aménage les règles d'allocation.</t>
  </si>
  <si>
    <t>Exclusion substance</t>
  </si>
  <si>
    <t>NOUVEAU : 5% masse salariale + 5% actifs corporels par juridiction (données en 01_PARAMETRES Section B).</t>
  </si>
  <si>
    <t>IAS 12 §4A-4C</t>
  </si>
  <si>
    <t>Exception obligatoire Pilier 2. Top-up tax = charge d'impôt exigible, pas d'ID.</t>
  </si>
  <si>
    <t>📁  DOCUMENTATION PRIX DE TRANSFERT</t>
  </si>
  <si>
    <t>Master File / Local File / CbCR — OCDE Action 13 BEPS</t>
  </si>
  <si>
    <t>A · MASTER FILE</t>
  </si>
  <si>
    <t>Chap.</t>
  </si>
  <si>
    <t>Section</t>
  </si>
  <si>
    <t>Contenu requis</t>
  </si>
  <si>
    <t>Statut</t>
  </si>
  <si>
    <t>Responsable</t>
  </si>
  <si>
    <t>Page réf.</t>
  </si>
  <si>
    <t>1</t>
  </si>
  <si>
    <t>Structure organisationnelle</t>
  </si>
  <si>
    <t>Organigramme juridique et opérationnel</t>
  </si>
  <si>
    <t>✅ Fait</t>
  </si>
  <si>
    <t>Direction juridique</t>
  </si>
  <si>
    <t>p. 3-8</t>
  </si>
  <si>
    <t>2</t>
  </si>
  <si>
    <t>Description des activités</t>
  </si>
  <si>
    <t>Activités, chaîne de valeur, marques</t>
  </si>
  <si>
    <t>Direction stratégie</t>
  </si>
  <si>
    <t>p. 9-18</t>
  </si>
  <si>
    <t>3</t>
  </si>
  <si>
    <t>Incorporels du groupe</t>
  </si>
  <si>
    <t>Marques AURÈLE/IMPÉRIAL/STELLAIRE, stratégie IP</t>
  </si>
  <si>
    <t>Direction IP</t>
  </si>
  <si>
    <t>p. 19-28</t>
  </si>
  <si>
    <t>4</t>
  </si>
  <si>
    <t>Activités financières intercos</t>
  </si>
  <si>
    <t>Prêts IG, cash pooling, garanties</t>
  </si>
  <si>
    <t>Direction financière</t>
  </si>
  <si>
    <t>p. 29-34</t>
  </si>
  <si>
    <t>5</t>
  </si>
  <si>
    <t>Situation fiscale et financière</t>
  </si>
  <si>
    <t>Comptes consolidés, rulings, APAs</t>
  </si>
  <si>
    <t>Direction fiscale</t>
  </si>
  <si>
    <t>p. 35-42</t>
  </si>
  <si>
    <t>6</t>
  </si>
  <si>
    <t>Politique prix de transfert</t>
  </si>
  <si>
    <t>CUP/TNMM, analyse fonctionnelle</t>
  </si>
  <si>
    <t>TP Manager</t>
  </si>
  <si>
    <t>p. 43-58</t>
  </si>
  <si>
    <t>7</t>
  </si>
  <si>
    <t>Benchmark redevances</t>
  </si>
  <si>
    <t>Comparables, IQR, conclusion ALP</t>
  </si>
  <si>
    <t>p. 59-72</t>
  </si>
  <si>
    <t>8</t>
  </si>
  <si>
    <t>Amount B — Pilier 1</t>
  </si>
  <si>
    <t>Rendement baseline distributeurs</t>
  </si>
  <si>
    <t>🔄 En cours</t>
  </si>
  <si>
    <t>p. 73-80</t>
  </si>
  <si>
    <t>B · CbCR — FORMULAIRE 2258-SD (montants dynamiques)</t>
  </si>
  <si>
    <t>CA parties liées (k€)</t>
  </si>
  <si>
    <t>Résultat avant IS (k€)</t>
  </si>
  <si>
    <t>Effectifs</t>
  </si>
  <si>
    <t>📊  DASHBOARD — 100% DYNAMIQUE</t>
  </si>
  <si>
    <t>KPIs liés · Graphiques · Alertes automatiques</t>
  </si>
  <si>
    <t>A · KPIs DYNAMIQUES</t>
  </si>
  <si>
    <t>KPI</t>
  </si>
  <si>
    <t>Unité</t>
  </si>
  <si>
    <t>Cible</t>
  </si>
  <si>
    <t>Tendance</t>
  </si>
  <si>
    <t>Total redevances groupe</t>
  </si>
  <si>
    <t>k€</t>
  </si>
  <si>
    <t>ℹ️</t>
  </si>
  <si>
    <t>↗️ +8% vs N-1</t>
  </si>
  <si>
    <t>Lié à 03_CALCUL</t>
  </si>
  <si>
    <t>Taux moyen pondéré</t>
  </si>
  <si>
    <t>%</t>
  </si>
  <si>
    <t>4-6%</t>
  </si>
  <si>
    <t>✅</t>
  </si>
  <si>
    <t>→ Stable</t>
  </si>
  <si>
    <t>Formule dynamique</t>
  </si>
  <si>
    <t>Contrats actifs</t>
  </si>
  <si>
    <t>contrats</t>
  </si>
  <si>
    <t>7 entités × 3 marques</t>
  </si>
  <si>
    <t>WHT totale retenue</t>
  </si>
  <si>
    <t>&lt; 1 000</t>
  </si>
  <si>
    <t>↘️ -5%</t>
  </si>
  <si>
    <t>Lié à 06_RETENUES</t>
  </si>
  <si>
    <t>Juridictions risque P2</t>
  </si>
  <si>
    <t>pays</t>
  </si>
  <si>
    <t>0</t>
  </si>
  <si>
    <t>HK (16.5%), EAU (9%)</t>
  </si>
  <si>
    <t>Conformité ALP</t>
  </si>
  <si>
    <t>3/3</t>
  </si>
  <si>
    <t>100%</t>
  </si>
  <si>
    <t>Toutes marques dans IQR</t>
  </si>
  <si>
    <t>Documentation TP</t>
  </si>
  <si>
    <t>92%</t>
  </si>
  <si>
    <t>🔄</t>
  </si>
  <si>
    <t>↗️</t>
  </si>
  <si>
    <t>Amount B en cours</t>
  </si>
  <si>
    <t>ETR minimum groupe</t>
  </si>
  <si>
    <t>≥ 15%</t>
  </si>
  <si>
    <t>Alerte si &lt; 15%</t>
  </si>
  <si>
    <t>B · DONNÉES GRAPHIQUE — PAR ENTITÉ</t>
  </si>
  <si>
    <t>Royalty (k€)</t>
  </si>
  <si>
    <t>Paris</t>
  </si>
  <si>
    <t>Italia</t>
  </si>
  <si>
    <t>Japan</t>
  </si>
  <si>
    <t>China</t>
  </si>
  <si>
    <t>ME</t>
  </si>
  <si>
    <t>C · DONNÉES GRAPHIQUE — PAR MARQUE</t>
  </si>
  <si>
    <t>D · ALERTES &amp; ACTIONS</t>
  </si>
  <si>
    <t>Priorité</t>
  </si>
  <si>
    <t>Alerte</t>
  </si>
  <si>
    <t>Détail</t>
  </si>
  <si>
    <t>Échéance</t>
  </si>
  <si>
    <t>🔴 Haute</t>
  </si>
  <si>
    <t>ETR EAU &lt; 15%</t>
  </si>
  <si>
    <t>IS 9% — top-up tax Pilier 2 (réduit par exclusion substance)</t>
  </si>
  <si>
    <t>Revoir structure / taux royalty EAU</t>
  </si>
  <si>
    <t>Q2 2026</t>
  </si>
  <si>
    <t>En cours</t>
  </si>
  <si>
    <t>JPY -11.8%</t>
  </si>
  <si>
    <t>Yen au plus bas 30 ans → perte ~496 k€ sur royalties Japan</t>
  </si>
  <si>
    <t>Couverture de change ou ajustement taux</t>
  </si>
  <si>
    <t>Immédiat</t>
  </si>
  <si>
    <t>Urgent</t>
  </si>
  <si>
    <t>🟡 Moyenne</t>
  </si>
  <si>
    <t>Amount B compliance</t>
  </si>
  <si>
    <t>Pilier 1 effectif 2025 — doc à finaliser</t>
  </si>
  <si>
    <t>Finaliser analyse baseline</t>
  </si>
  <si>
    <t>Q3 2026</t>
  </si>
  <si>
    <t>ETR HK proche seuil</t>
  </si>
  <si>
    <t>16.5% — marge faible vs 15%</t>
  </si>
  <si>
    <t>Monitoring continu</t>
  </si>
  <si>
    <t>Continu</t>
  </si>
  <si>
    <t>Surveillé</t>
  </si>
  <si>
    <t>🟢 Basse</t>
  </si>
  <si>
    <t>EU Unshell (ATAD III)</t>
  </si>
  <si>
    <t>Substance IP Holding à documenter</t>
  </si>
  <si>
    <t>Cf. 13_SUBSTANCE</t>
  </si>
  <si>
    <t>Q4 2026</t>
  </si>
  <si>
    <t>Planifié</t>
  </si>
  <si>
    <t>Reclassement P&amp;L redevances</t>
  </si>
  <si>
    <t>Anticiper impact présentation</t>
  </si>
  <si>
    <t>Direction comptable</t>
  </si>
  <si>
    <t>2027</t>
  </si>
  <si>
    <t>✅  CONTRÔLES &amp; RÉCONCILIATIONS — FORMULES</t>
  </si>
  <si>
    <t>Tests automatiques inter-onglets</t>
  </si>
  <si>
    <t>A · CONTRÔLES AUTOMATIQUES</t>
  </si>
  <si>
    <t>Contrôle</t>
  </si>
  <si>
    <t>Valeur attendue</t>
  </si>
  <si>
    <t>Valeur calculée</t>
  </si>
  <si>
    <t>Écart</t>
  </si>
  <si>
    <t>Référence</t>
  </si>
  <si>
    <t>C01</t>
  </si>
  <si>
    <t>Royalties 03_CALCUL = Dashboard</t>
  </si>
  <si>
    <t>03→10</t>
  </si>
  <si>
    <t>C02</t>
  </si>
  <si>
    <t>Charges licenciés = Produits licencieur</t>
  </si>
  <si>
    <t>05→07</t>
  </si>
  <si>
    <t>C03</t>
  </si>
  <si>
    <t>Éliminations P&amp;L = Total redevances</t>
  </si>
  <si>
    <t>07→03</t>
  </si>
  <si>
    <t>C04</t>
  </si>
  <si>
    <t>WHT ≤ conventions × royalty</t>
  </si>
  <si>
    <t>06</t>
  </si>
  <si>
    <t>C05</t>
  </si>
  <si>
    <t>Taux dans IQR (toutes marques)</t>
  </si>
  <si>
    <t>Q1-Q3 IQR</t>
  </si>
  <si>
    <t>Cf. 04_BENCHMARK</t>
  </si>
  <si>
    <t>04</t>
  </si>
  <si>
    <t>C06</t>
  </si>
  <si>
    <t>ETR ≥ 15% toutes juridictions</t>
  </si>
  <si>
    <t>08</t>
  </si>
  <si>
    <t>C07</t>
  </si>
  <si>
    <t>Documentation TP complète</t>
  </si>
  <si>
    <t>-8%</t>
  </si>
  <si>
    <t>09</t>
  </si>
  <si>
    <t>📌 Les contrôles C01-C04 utilisent des formules inter-onglets. Écart ≠ 0 → investigation requise.</t>
  </si>
  <si>
    <t>📖  NOTES ANNEXES IFRS</t>
  </si>
  <si>
    <t>Normes applicables + Nouveautés mars 2026</t>
  </si>
  <si>
    <t>A · IAS 38 — IMMOBILISATIONS INCORPORELLES</t>
  </si>
  <si>
    <t>Droits de licence exclus du scope IAS 38 chez le licencié.</t>
  </si>
  <si>
    <t>IAS 38 §63</t>
  </si>
  <si>
    <t>Marques générées en interne NON reconnues au bilan.</t>
  </si>
  <si>
    <t>IAS 38 §118</t>
  </si>
  <si>
    <t>Incorporels significatifs non reconnus à divulguer en annexe.</t>
  </si>
  <si>
    <t>IFRS 3 §B32</t>
  </si>
  <si>
    <t>Marque acquise → juste valeur (relief from royalty). Cf. 13_VALORISATION.</t>
  </si>
  <si>
    <t>B · IFRS 15 — REVENUS</t>
  </si>
  <si>
    <t>Usage-based royalty : produit reconnu à la vente sous-jacente.</t>
  </si>
  <si>
    <t>IFRS 15 §B63A</t>
  </si>
  <si>
    <t>Exception : reconnaissance au plus tardif (vente OU obligation satisfaite).</t>
  </si>
  <si>
    <t>IFRS 15 §B63B</t>
  </si>
  <si>
    <t>Minimum garanti reconnu si ventes &lt; minimum (rare en luxe).</t>
  </si>
  <si>
    <t>IFRS 15 §113</t>
  </si>
  <si>
    <t>Désagrégation par marque et zone géographique requise.</t>
  </si>
  <si>
    <t>C · IAS 24 — PARTIES LIÉES</t>
  </si>
  <si>
    <t>Redevances IG FY2025 = formule liée à '03_CALCUL_ROYALTIES'!$F$70.</t>
  </si>
  <si>
    <t>IAS 24 §19</t>
  </si>
  <si>
    <t>Soldes IG au 31/12 = royalties Q4 à régler.</t>
  </si>
  <si>
    <t>IAS 24 §20</t>
  </si>
  <si>
    <t>Conditions de pleine concurrence documentées (cf. 04_BENCHMARK).</t>
  </si>
  <si>
    <t>D · IAS 12 — IMPÔTS &amp; PILIER 2</t>
  </si>
  <si>
    <t>WHT = formule liée à '06_RETENUES_SOURCE'!$H$13. Crédit d'impôt conventionnel.</t>
  </si>
  <si>
    <t>Exception obligatoire Pilier 2. Top-up tax = charge exigible.</t>
  </si>
  <si>
    <t>IAS 12 §88A</t>
  </si>
  <si>
    <t>IS Japon actualisé 31.52% (mars 2026). ETR GloBE recalculé.</t>
  </si>
  <si>
    <t>E · NOUVEAUTÉS MARS 2026</t>
  </si>
  <si>
    <t>Pilier 1 Amount B</t>
  </si>
  <si>
    <t>Effectif jan. 2025. Matrice OCDE rendement baseline distributeurs.</t>
  </si>
  <si>
    <t>Reclassement redevances reçues : Opérationnel ou Investissement.</t>
  </si>
  <si>
    <t>Substance IP Holding requise. Documentée en 13_SUBSTANCE.</t>
  </si>
  <si>
    <t>PLF 2026 QDMTT</t>
  </si>
  <si>
    <t>Aménagement règles d'allocation QDMTT pour entités sans QDMTT dédiée.</t>
  </si>
  <si>
    <t>IS Japon 31.52%</t>
  </si>
  <si>
    <t>Hausse confirmée. Impact ETR GloBE recalculé en 08_PILIER2.</t>
  </si>
  <si>
    <t>JPY historiquement bas</t>
  </si>
  <si>
    <t>Taux BCE mars 2026 : 0.00547 (−11.8%). Impact royalties Japan.</t>
  </si>
  <si>
    <t>ESRS G1 / CSRD</t>
  </si>
  <si>
    <t>Gouvernance fiscale et politique TP à publier dans rapport durabilité.</t>
  </si>
  <si>
    <t>F · GLOSSAIRE</t>
  </si>
  <si>
    <t>ALP</t>
  </si>
  <si>
    <t>Arm's Length Principle — Principe de pleine concurrence</t>
  </si>
  <si>
    <t>CUP</t>
  </si>
  <si>
    <t>Comparable Uncontrolled Price</t>
  </si>
  <si>
    <t>TNMM</t>
  </si>
  <si>
    <t>Transactional Net Margin Method</t>
  </si>
  <si>
    <t>Withholding Tax — Retenue à la source</t>
  </si>
  <si>
    <t>IQR</t>
  </si>
  <si>
    <t>Interquartile Range (Q1-Q3)</t>
  </si>
  <si>
    <t>GloBE</t>
  </si>
  <si>
    <t>Global Anti-Base Erosion</t>
  </si>
  <si>
    <t>QDMTT</t>
  </si>
  <si>
    <t>Qualified Domestic Minimum Top-up Tax</t>
  </si>
  <si>
    <t>Effective Tax Rate</t>
  </si>
  <si>
    <t>CbCR</t>
  </si>
  <si>
    <t>Country-by-Country Reporting</t>
  </si>
  <si>
    <t>Amount B</t>
  </si>
  <si>
    <t>Pilier 1 — Rendement baseline distribution</t>
  </si>
  <si>
    <t>NCI</t>
  </si>
  <si>
    <t>Non-Controlling Interests</t>
  </si>
  <si>
    <t>ATAD</t>
  </si>
  <si>
    <t>Anti-Tax Avoidance Directive (UE)</t>
  </si>
  <si>
    <t>🏢  SUBSTANCE ATAD III — EU UNSHELL</t>
  </si>
  <si>
    <t>Checklist substance IP Holding + Données par entité</t>
  </si>
  <si>
    <t>A · SUBSTANCE DE L'ENTITÉ IP — NEURAL Luxe Holding SAS</t>
  </si>
  <si>
    <t>Critère de substance</t>
  </si>
  <si>
    <t>Donnée</t>
  </si>
  <si>
    <t>Seuil minimum</t>
  </si>
  <si>
    <t>Norme</t>
  </si>
  <si>
    <t>Effectifs dédiés IP (ETP)</t>
  </si>
  <si>
    <t>45 ETP</t>
  </si>
  <si>
    <t>≥ 10 ETP</t>
  </si>
  <si>
    <t>RH Holding</t>
  </si>
  <si>
    <t>ATAD III art. 6</t>
  </si>
  <si>
    <t>Juristes, brand managers, contrôleurs</t>
  </si>
  <si>
    <t>Surfaces de bureaux</t>
  </si>
  <si>
    <t>1 200 m²</t>
  </si>
  <si>
    <t>≥ 100 m²</t>
  </si>
  <si>
    <t>Bail commercial</t>
  </si>
  <si>
    <t>Paris 8e — siège social</t>
  </si>
  <si>
    <t>Décisions prises en France</t>
  </si>
  <si>
    <t>Majorité</t>
  </si>
  <si>
    <t>PV CA/Comité</t>
  </si>
  <si>
    <t>Comité marques mensuel</t>
  </si>
  <si>
    <t>Contrats signés localement</t>
  </si>
  <si>
    <t>Registre contrats</t>
  </si>
  <si>
    <t>Tous contrats licence signés à Paris</t>
  </si>
  <si>
    <t>Budget marketing/R&amp;D IP</t>
  </si>
  <si>
    <t>12 500 k€</t>
  </si>
  <si>
    <t>&gt; 0</t>
  </si>
  <si>
    <t>Comptabilité</t>
  </si>
  <si>
    <t>IAS 38</t>
  </si>
  <si>
    <t>Investissement marques continu</t>
  </si>
  <si>
    <t>01_PARAMETRES</t>
  </si>
  <si>
    <t>Pilier 2</t>
  </si>
  <si>
    <t>Lié à exclusion substance GloBE</t>
  </si>
  <si>
    <t>B · SUBSTANCE PAR ENTITÉ LICENCIÉE (données Pilier 2)</t>
  </si>
  <si>
    <t>Exclusion 5% payroll</t>
  </si>
  <si>
    <t>Exclusion 5% actifs</t>
  </si>
  <si>
    <t>Total exclusion substance</t>
  </si>
  <si>
    <t>Pilier 2 GloBE Art. 5.3</t>
  </si>
  <si>
    <t>📌 ATAD III (EU Unshell) : Les entités sans substance suffisante perdent les avantages des conventions fiscales.</t>
  </si>
  <si>
    <t>📌 L'exclusion substance-based income (5%+5%) réduit le résultat GloBE soumis au top-up tax (cf. 08_PILIER2).</t>
  </si>
  <si>
    <t>⚡  STRESS TEST / SCÉNARIOS</t>
  </si>
  <si>
    <t>Choc de change · Hausse IS · Baisse CA · Impact combiné</t>
  </si>
  <si>
    <t>A · SCÉNARIO 1 — CHOC DE CHANGE (JPY −20%, USD −10%)</t>
  </si>
  <si>
    <t>Royalty actuelle (k€)</t>
  </si>
  <si>
    <t>Taux moyen actuel</t>
  </si>
  <si>
    <t>Taux stressé</t>
  </si>
  <si>
    <t>Royalty stressée (k€)</t>
  </si>
  <si>
    <t>Impact (k€)</t>
  </si>
  <si>
    <t>Δ%</t>
  </si>
  <si>
    <t>TOTAL IMPACT</t>
  </si>
  <si>
    <t>B · SCÉNARIO 2 — HAUSSE IS EAU À 15% (alignement Pilier 2)</t>
  </si>
  <si>
    <t>Paramètre</t>
  </si>
  <si>
    <t>Valeur actuelle</t>
  </si>
  <si>
    <t>Valeur stressée</t>
  </si>
  <si>
    <t>Impact royalty</t>
  </si>
  <si>
    <t>Impact top-up tax</t>
  </si>
  <si>
    <t>IS EAU</t>
  </si>
  <si>
    <t>9%</t>
  </si>
  <si>
    <t>15%</t>
  </si>
  <si>
    <t>Élimination top-up tax EAU</t>
  </si>
  <si>
    <t>Positif — charge fiscale totale inchangée</t>
  </si>
  <si>
    <t>IS EAU → ETR GloBE</t>
  </si>
  <si>
    <t>&lt; 15%</t>
  </si>
  <si>
    <t>Top-up tax → 0</t>
  </si>
  <si>
    <t>Simplification compliance Pilier 2</t>
  </si>
  <si>
    <t>C · SCÉNARIO 3 — BAISSE CA LUXE −10% (récession)</t>
  </si>
  <si>
    <t>CA actuel (k€)</t>
  </si>
  <si>
    <t>CA stressé −10% (k€)</t>
  </si>
  <si>
    <t>Minimum garanti</t>
  </si>
  <si>
    <t>1 500 k€</t>
  </si>
  <si>
    <t>📌 Scénarios : choc FX (JPY −20% = pire cas 30 ans), IS EAU 15%, récession luxe −10%.</t>
  </si>
  <si>
    <t>📌 Tous les montants sont liés à 01_PARAMETRES et 03_CALCUL. Modifier la source = recalcul stress instantané.</t>
  </si>
  <si>
    <t>💎  VALORISATION DES MARQUES — RELIEF FROM ROYALTY</t>
  </si>
  <si>
    <t>Méthode des redevances actualisées · IFRS 3 §B32 · IAS 38 §118</t>
  </si>
  <si>
    <t>A · HYPOTHÈSES DE VALORISATION</t>
  </si>
  <si>
    <t>CA FY2025 (k€)</t>
  </si>
  <si>
    <t>IQR benchmark</t>
  </si>
  <si>
    <t>Taux de croissance CA</t>
  </si>
  <si>
    <t>Hypothèse management</t>
  </si>
  <si>
    <t>Taux IS France</t>
  </si>
  <si>
    <t>WACC (après impôt)</t>
  </si>
  <si>
    <t>DCF groupe</t>
  </si>
  <si>
    <t>IAS 36</t>
  </si>
  <si>
    <t>Durée de projection (ans)</t>
  </si>
  <si>
    <t>Durée contrat + extension</t>
  </si>
  <si>
    <t>Taux de croissance perpétuel</t>
  </si>
  <si>
    <t>Inflation long terme</t>
  </si>
  <si>
    <t>B · VALORISATION PAR MARQUE — RELIEF FROM ROYALTY</t>
  </si>
  <si>
    <t>CA projeté AURÈLE</t>
  </si>
  <si>
    <t>Royalty nette AURÈLE</t>
  </si>
  <si>
    <t>CA projeté IMPÉRIAL</t>
  </si>
  <si>
    <t>Royalty nette IMPÉRIAL</t>
  </si>
  <si>
    <t>CA projeté STELLAIRE</t>
  </si>
  <si>
    <t>Royalty nette STELLAIRE</t>
  </si>
  <si>
    <t>Facteur actualisation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</si>
  <si>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</si>
  <si>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</si>
  <si>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</si>
  <si>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</si>
  <si>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</si>
  <si>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</si>
  <si>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</si>
  <si>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</si>
  <si>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</si>
  <si>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</si>
  <si>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C · VALEUR DES MARQUES (k€)</t>
  </si>
  <si>
    <t>PV flux projetés (k€)</t>
  </si>
  <si>
    <t>Valeur terminale (k€)</t>
  </si>
  <si>
    <t>PV valeur terminale (k€)</t>
  </si>
  <si>
    <t>VALEUR TOTALE (k€)</t>
  </si>
  <si>
    <t>Multiple CA implicite</t>
  </si>
  <si>
    <t>TOTAL PORTEFEUILLE MARQUES</t>
  </si>
  <si>
    <t>📌 Méthode Relief from Royalty : standard pour valorisation marques luxe (IFRS 3 §B32, IAS 38 §118).</t>
  </si>
  <si>
    <t>📌 WACC 9% = taux groupe. Croissance perpétuelle 2% = inflation long terme zone euro.</t>
  </si>
  <si>
    <t>📌 Taux de royalty et CA liés à 01_PARAMETRES. Modifier source = recalcul valorisation instantané.</t>
  </si>
  <si>
    <t>Royalties nettes de WHT</t>
  </si>
  <si>
    <t>Après retenues source</t>
  </si>
  <si>
    <t>Top-up Pilier 2 total</t>
  </si>
  <si>
    <t>Lié à 08_PILIER2</t>
  </si>
  <si>
    <t>P&amp;L change total</t>
  </si>
  <si>
    <t>↓ Impact FX</t>
  </si>
  <si>
    <t>IAS 21 §39 conversion</t>
  </si>
  <si>
    <t>Taux WHT effectif</t>
  </si>
  <si>
    <t>&lt; 3.0%</t>
  </si>
  <si>
    <t>WHT/Royalty brute</t>
  </si>
  <si>
    <t>Ratio royalty/CA groupe</t>
  </si>
  <si>
    <t>Plages nommées GrandTotal</t>
  </si>
  <si>
    <t>ETR groupe pondéré</t>
  </si>
  <si>
    <t>Turn #</t>
  </si>
  <si>
    <t>User Request</t>
  </si>
  <si>
    <t>Action Taken</t>
  </si>
  <si>
    <t>Details</t>
  </si>
  <si>
    <t>Outcome</t>
  </si>
  <si>
    <t>Analyse de diagnostic reçue (15 feuilles, 4 problèmes structurants identifiés) — demande d'application des corrections</t>
  </si>
  <si>
    <t>7 groupes de corrections appliquées sur 6 feuilles : 08_PILIER2_GLOBE, 11_CONTROLES, 03_CALCUL_ROYALTIES, 06_RETENUES_SOURCE, 14_STRESS_TEST, 10_DASHBOARD, 15_VALORISATION_MARQUES</t>
  </si>
  <si>
    <t>08_PILIER2: 50 formules injectées (XLOOKUP+plages nommées, ligne totaux) | 11_CONTROLES: bug E7 corrigé (=C14-D14→=C7-D7), E8:E10 ajoutés, E12 dynamique | 03_CALCUL: 21 récap remplacés par INDEX(CA_AURELE,...)*TauxRoyalty, 7 XLOOKUP FX, 7 LET() écart conversion | 06_WHT: 7 cellules $D$22→TauxIS_FR | 14_STRESS: 7 taux FX XLOOKUP dynamiques | Dashboard: B10→WHT_Total, B11 COUNTIF, E11/E14 dynamiques, B28:B30 formules, 6 nouveaux KPIs lignes 15-20 | 15_VALO: WACC+taux croissance+perp. balisés bleu+jaune+notes sources Damodaran</t>
  </si>
  <si>
    <t>✅ Toutes corrections vérifiées — valeurs identiques aux hardcodes originaux. 08_PILIER2 fonctionnel. ETR EAU 9%→top-up 333 k€ visible. Dashboard affiche 14 KPIs dynamiques. Aucune régression.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</si>
</sst>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&quot; €&quot;"/>
    <numFmt numFmtId="166" formatCode="0.0000"/>
    <numFmt numFmtId="167" formatCode="0.0\x"/>
  </numFmts>
  <fonts count="18" x14ac:knownFonts="1">
    <font>
      <sz val="11"/>
      <color theme="1"/>
      <name val="Calibri"/>
      <family val="2"/>
      <charset val="1"/>
    </font>
    <font>
      <b/>
      <sz val="18"/>
      <color rgb="FFD4AF37"/>
      <name val="Calibri"/>
      <charset val="1"/>
    </font>
    <font>
      <b/>
      <sz val="13"/>
      <color rgb="FFFFFFFF"/>
      <name val="Calibri"/>
      <charset val="1"/>
    </font>
    <font>
      <i/>
      <sz val="9"/>
      <color rgb="FFF5E6B8"/>
      <name val="Calibri"/>
      <charset val="1"/>
    </font>
    <font>
      <b/>
      <sz val="12"/>
      <color rgb="FFD4AF37"/>
      <name val="Calibri"/>
      <charset val="1"/>
    </font>
    <font>
      <b/>
      <sz val="10"/>
      <color rgb="FF333333"/>
      <name val="Calibri"/>
      <charset val="1"/>
    </font>
    <font>
      <sz val="10"/>
      <color rgb="FF333333"/>
      <name val="Calibri"/>
      <charset val="1"/>
    </font>
    <font>
      <b/>
      <sz val="10"/>
      <color rgb="FFFFFFFF"/>
      <name val="Calibri"/>
      <charset val="1"/>
    </font>
    <font>
      <b/>
      <sz val="10"/>
      <color rgb="FFE74C3C"/>
      <name val="Calibri"/>
      <charset val="1"/>
    </font>
    <font>
      <b/>
      <sz val="11"/>
      <color rgb="FF1A1A2E"/>
      <name val="Calibri"/>
      <charset val="1"/>
    </font>
    <font>
      <i/>
      <sz val="9"/>
      <color rgb="FF777777"/>
      <name val="Calibri"/>
      <charset val="1"/>
    </font>
    <font>
      <b/>
      <sz val="11"/>
      <color rgb="FFD4AF37"/>
      <name val="Calibri"/>
      <charset val="1"/>
    </font>
    <font>
      <b/>
      <sz val="10"/>
      <color rgb="FF27AE60"/>
      <name val="Calibri"/>
      <charset val="1"/>
    </font>
    <font>
      <b/>
      <sz val="10"/>
      <color rgb="FFF39C12"/>
      <name val="Calibri"/>
      <charset val="1"/>
    </font>
    <font>
      <sz val="10"/>
      <color rgb="FF0000FF"/>
      <name val="Calibri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D4AF37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2D2D3F"/>
      </patternFill>
    </fill>
    <fill>
      <patternFill patternType="solid">
        <fgColor rgb="FF2D2D3F"/>
        <bgColor rgb="FF333333"/>
      </patternFill>
    </fill>
    <fill>
      <patternFill patternType="solid">
        <fgColor rgb="FFF5E6B8"/>
        <bgColor rgb="FFFFF3E0"/>
      </patternFill>
    </fill>
    <fill>
      <patternFill patternType="solid">
        <fgColor rgb="FFF0F0F5"/>
        <bgColor rgb="FFE8F5E9"/>
      </patternFill>
    </fill>
    <fill>
      <patternFill patternType="solid">
        <fgColor rgb="FFFFFFFF"/>
        <bgColor rgb="FFF9F9F9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F0F0F5"/>
      </patternFill>
    </fill>
    <fill>
      <patternFill patternType="solid">
        <fgColor rgb="FFFFFF99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theme="0" tint="-0.249977111117893"/>
        <bgColor rgb="FFF9F9F9"/>
      </patternFill>
    </fill>
    <fill>
      <patternFill patternType="solid">
        <fgColor theme="0" tint="-0.249977111117893"/>
        <bgColor rgb="FFFFEBEE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0" fontId="8" fillId="7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/>
    <xf numFmtId="164" fontId="9" fillId="4" borderId="1" xfId="0" applyNumberFormat="1" applyFont="1" applyFill="1" applyBorder="1"/>
    <xf numFmtId="165" fontId="5" fillId="6" borderId="1" xfId="0" applyNumberFormat="1" applyFont="1" applyFill="1" applyBorder="1" applyAlignment="1">
      <alignment horizontal="right" vertical="center"/>
    </xf>
    <xf numFmtId="165" fontId="9" fillId="4" borderId="1" xfId="0" applyNumberFormat="1" applyFont="1" applyFill="1" applyBorder="1"/>
    <xf numFmtId="10" fontId="6" fillId="8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/>
    <xf numFmtId="165" fontId="9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11" fillId="4" borderId="0" xfId="0" applyFont="1" applyFill="1" applyAlignment="1">
      <alignment horizontal="left" vertical="center" wrapText="1"/>
    </xf>
    <xf numFmtId="165" fontId="11" fillId="4" borderId="1" xfId="0" applyNumberFormat="1" applyFont="1" applyFill="1" applyBorder="1"/>
    <xf numFmtId="3" fontId="6" fillId="6" borderId="1" xfId="0" applyNumberFormat="1" applyFont="1" applyFill="1" applyBorder="1" applyAlignment="1">
      <alignment horizontal="right" vertical="center"/>
    </xf>
    <xf numFmtId="10" fontId="9" fillId="4" borderId="1" xfId="0" applyNumberFormat="1" applyFont="1" applyFill="1" applyBorder="1"/>
    <xf numFmtId="0" fontId="5" fillId="6" borderId="1" xfId="0" applyFont="1" applyFill="1" applyBorder="1" applyAlignment="1">
      <alignment horizontal="left" vertical="center" wrapText="1"/>
    </xf>
    <xf numFmtId="10" fontId="6" fillId="6" borderId="1" xfId="0" applyNumberFormat="1" applyFont="1" applyFill="1" applyBorder="1"/>
    <xf numFmtId="0" fontId="10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10" fontId="6" fillId="9" borderId="1" xfId="0" applyNumberFormat="1" applyFont="1" applyFill="1" applyBorder="1"/>
    <xf numFmtId="3" fontId="6" fillId="6" borderId="1" xfId="0" applyNumberFormat="1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/>
    <xf numFmtId="165" fontId="5" fillId="4" borderId="1" xfId="0" applyNumberFormat="1" applyFont="1" applyFill="1" applyBorder="1"/>
    <xf numFmtId="165" fontId="6" fillId="6" borderId="1" xfId="0" applyNumberFormat="1" applyFont="1" applyFill="1" applyBorder="1"/>
    <xf numFmtId="0" fontId="6" fillId="6" borderId="1" xfId="0" applyFont="1" applyFill="1" applyBorder="1"/>
    <xf numFmtId="0" fontId="9" fillId="4" borderId="1" xfId="0" applyFont="1" applyFill="1" applyBorder="1" applyAlignment="1">
      <alignment horizontal="left" vertical="center" wrapText="1"/>
    </xf>
    <xf numFmtId="0" fontId="5" fillId="9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164" fontId="6" fillId="6" borderId="1" xfId="0" applyNumberFormat="1" applyFont="1" applyFill="1" applyBorder="1"/>
    <xf numFmtId="0" fontId="5" fillId="4" borderId="1" xfId="0" applyFont="1" applyFill="1" applyBorder="1"/>
    <xf numFmtId="165" fontId="6" fillId="8" borderId="1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0" fontId="6" fillId="6" borderId="1" xfId="0" applyNumberFormat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165" fontId="5" fillId="6" borderId="1" xfId="0" applyNumberFormat="1" applyFont="1" applyFill="1" applyBorder="1"/>
    <xf numFmtId="0" fontId="10" fillId="6" borderId="1" xfId="0" applyFont="1" applyFill="1" applyBorder="1"/>
    <xf numFmtId="166" fontId="6" fillId="6" borderId="1" xfId="0" applyNumberFormat="1" applyFont="1" applyFill="1" applyBorder="1"/>
    <xf numFmtId="167" fontId="5" fillId="4" borderId="1" xfId="0" applyNumberFormat="1" applyFont="1" applyFill="1" applyBorder="1"/>
    <xf numFmtId="0" fontId="11" fillId="4" borderId="1" xfId="0" applyFont="1" applyFill="1" applyBorder="1"/>
    <xf numFmtId="0" fontId="6" fillId="6" borderId="3" xfId="0" applyFont="1" applyFill="1" applyBorder="1" applyAlignment="1">
      <alignment horizontal="left" vertical="center" wrapText="1"/>
    </xf>
    <xf numFmtId="10" fontId="14" fillId="11" borderId="1" xfId="0" applyNumberFormat="1" applyFont="1" applyFill="1" applyBorder="1" applyAlignment="1">
      <alignment horizontal="right" vertical="center"/>
    </xf>
    <xf numFmtId="0" fontId="17" fillId="12" borderId="0" xfId="0" applyFont="1" applyFill="1"/>
    <xf numFmtId="14" fontId="0" fillId="0" borderId="0" xfId="0" applyNumberFormat="1"/>
    <xf numFmtId="0" fontId="0" fillId="0" borderId="0" xfId="0" applyAlignment="1">
      <alignment horizontal="center"/>
    </xf>
    <xf numFmtId="10" fontId="6" fillId="6" borderId="3" xfId="0" applyNumberFormat="1" applyFont="1" applyFill="1" applyBorder="1" applyAlignment="1">
      <alignment horizontal="center"/>
    </xf>
    <xf numFmtId="165" fontId="6" fillId="6" borderId="3" xfId="0" applyNumberFormat="1" applyFont="1" applyFill="1" applyBorder="1" applyAlignment="1">
      <alignment horizontal="center"/>
    </xf>
    <xf numFmtId="165" fontId="8" fillId="6" borderId="3" xfId="0" applyNumberFormat="1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10" fontId="6" fillId="13" borderId="0" xfId="0" applyNumberFormat="1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6" fillId="14" borderId="0" xfId="0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left" vertical="center" wrapText="1"/>
    </xf>
    <xf numFmtId="0" fontId="0" fillId="15" borderId="0" xfId="0" applyFill="1"/>
    <xf numFmtId="165" fontId="6" fillId="6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8E44AD"/>
      <rgbColor rgb="FFFFF3E0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0F5"/>
      <rgbColor rgb="FFF5E6B8"/>
      <rgbColor rgb="FFF9F9F9"/>
      <rgbColor rgb="FFFF99CC"/>
      <rgbColor rgb="FFCC99FF"/>
      <rgbColor rgb="FFFFEBEE"/>
      <rgbColor rgb="FF4F81BD"/>
      <rgbColor rgb="FF3498DB"/>
      <rgbColor rgb="FF99CC00"/>
      <rgbColor rgb="FFD4AF37"/>
      <rgbColor rgb="FFF39C12"/>
      <rgbColor rgb="FFE74C3C"/>
      <rgbColor rgb="FF777777"/>
      <rgbColor rgb="FF969696"/>
      <rgbColor rgb="FF003366"/>
      <rgbColor rgb="FF27AE60"/>
      <rgbColor rgb="FF1A1A2E"/>
      <rgbColor rgb="FF2D2D3F"/>
      <rgbColor rgb="FF993300"/>
      <rgbColor rgb="FF993366"/>
      <rgbColor rgb="FF4A4A5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Redevances par Entité (k€)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'10_DASHBOARD'!$B$24</c:f>
              <c:strCache>
                <c:ptCount val="1"/>
                <c:pt idx="0">
                  <c:v>Royalty (k€)</c:v>
                </c:pt>
              </c:strCache>
            </c:strRef>
          </c:tx>
          <c:spPr>
            <a:solidFill>
              <a:srgbClr val="D4AF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'10_DASHBOARD'!$A$25:$A$31</c:f>
              <c:strCache>
                <c:ptCount val="7"/>
                <c:pt idx="0">
                  <c:v>Paris</c:v>
                </c:pt>
                <c:pt idx="1">
                  <c:v>Italia</c:v>
                </c:pt>
                <c:pt idx="2">
                  <c:v>Japan</c:v>
                </c:pt>
                <c:pt idx="3">
                  <c:v>USA</c:v>
                </c:pt>
                <c:pt idx="4">
                  <c:v>UK</c:v>
                </c:pt>
                <c:pt idx="5">
                  <c:v>China</c:v>
                </c:pt>
                <c:pt idx="6">
                  <c:v>ME</c:v>
                </c:pt>
              </c:strCache>
            </c:strRef>
          </c:cat>
          <c:val>
            <c:numRef>
              <c:f>'10_DASHBOARD'!$B$25:$B$31</c:f>
              <c:numCache>
                <c:formatCode>#\ ##0" €"</c:formatCode>
                <c:ptCount val="7"/>
                <c:pt idx="0">
                  <c:v>4770</c:v>
                </c:pt>
                <c:pt idx="1">
                  <c:v>3110</c:v>
                </c:pt>
                <c:pt idx="2">
                  <c:v>4210</c:v>
                </c:pt>
                <c:pt idx="3">
                  <c:v>5810</c:v>
                </c:pt>
                <c:pt idx="4">
                  <c:v>2510</c:v>
                </c:pt>
                <c:pt idx="5">
                  <c:v>5295</c:v>
                </c:pt>
                <c:pt idx="6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6-474C-9552-4E05744AE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18723"/>
        <c:axId val="36649280"/>
      </c:barChart>
      <c:catAx>
        <c:axId val="743187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6649280"/>
        <c:crosses val="autoZero"/>
        <c:auto val="1"/>
        <c:lblAlgn val="ctr"/>
        <c:lblOffset val="100"/>
        <c:noMultiLvlLbl val="0"/>
      </c:catAx>
      <c:valAx>
        <c:axId val="36649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k€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318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Répartition par Marque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'10_DASHBOARD'!$B$34</c:f>
              <c:strCache>
                <c:ptCount val="1"/>
                <c:pt idx="0">
                  <c:v>Royalty totale (k€)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D4AF3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7FC-4457-BDE8-C6AA06519457}"/>
              </c:ext>
            </c:extLst>
          </c:dPt>
          <c:dPt>
            <c:idx val="1"/>
            <c:bubble3D val="0"/>
            <c:spPr>
              <a:solidFill>
                <a:srgbClr val="1A1A2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7FC-4457-BDE8-C6AA06519457}"/>
              </c:ext>
            </c:extLst>
          </c:dPt>
          <c:dPt>
            <c:idx val="2"/>
            <c:bubble3D val="0"/>
            <c:spPr>
              <a:solidFill>
                <a:srgbClr val="3498D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7FC-4457-BDE8-C6AA0651945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7FC-4457-BDE8-C6AA0651945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7FC-4457-BDE8-C6AA0651945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7FC-4457-BDE8-C6AA06519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'10_DASHBOARD'!$A$35:$A$37</c:f>
              <c:strCache>
                <c:ptCount val="3"/>
                <c:pt idx="0">
                  <c:v>AURÈLE</c:v>
                </c:pt>
                <c:pt idx="1">
                  <c:v>IMPÉRIAL</c:v>
                </c:pt>
                <c:pt idx="2">
                  <c:v>STELLAIRE</c:v>
                </c:pt>
              </c:strCache>
            </c:strRef>
          </c:cat>
          <c:val>
            <c:numRef>
              <c:f>'10_DASHBOARD'!$B$35:$B$37</c:f>
              <c:numCache>
                <c:formatCode>#\ ##0" €"</c:formatCode>
                <c:ptCount val="3"/>
                <c:pt idx="0">
                  <c:v>12250</c:v>
                </c:pt>
                <c:pt idx="1">
                  <c:v>8325</c:v>
                </c:pt>
                <c:pt idx="2">
                  <c:v>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FC-4457-BDE8-C6AA06519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4</xdr:row>
      <xdr:rowOff>138600</xdr:rowOff>
    </xdr:from>
    <xdr:to>
      <xdr:col>21</xdr:col>
      <xdr:colOff>275520</xdr:colOff>
      <xdr:row>29</xdr:row>
      <xdr:rowOff>70725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304800</xdr:colOff>
      <xdr:row>39</xdr:row>
      <xdr:rowOff>81090</xdr:rowOff>
    </xdr:from>
    <xdr:to>
      <xdr:col>19</xdr:col>
      <xdr:colOff>48915</xdr:colOff>
      <xdr:row>60</xdr:row>
      <xdr:rowOff>159990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F4B986-051E-4FE2-B215-FA11F1DA2FE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E533-261D-4703-87AB-C494A3FAB769}">
  <dimension ref="A1:F2"/>
  <sheetViews>
    <sheetView workbookViewId="0"/>
  </sheetViews>
  <sheetFormatPr baseColWidth="10" defaultRowHeight="15" x14ac:dyDescent="0.25"/>
  <sheetData>
    <row r="1" spans="1:6" x14ac:dyDescent="0.25">
      <c r="A1" s="61" t="s">
        <v>819</v>
      </c>
      <c r="B1" s="61" t="s">
        <v>336</v>
      </c>
      <c r="C1" s="61" t="s">
        <v>820</v>
      </c>
      <c r="D1" s="61" t="s">
        <v>821</v>
      </c>
      <c r="E1" s="61" t="s">
        <v>822</v>
      </c>
      <c r="F1" s="61" t="s">
        <v>823</v>
      </c>
    </row>
    <row r="2" spans="1:6" x14ac:dyDescent="0.25">
      <c r="A2">
        <v>1</v>
      </c>
      <c r="B2" s="62">
        <v>46113</v>
      </c>
      <c r="C2" t="s">
        <v>824</v>
      </c>
      <c r="D2" t="s">
        <v>825</v>
      </c>
      <c r="E2" t="s">
        <v>826</v>
      </c>
      <c r="F2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  <pageSetUpPr fitToPage="1"/>
  </sheetPr>
  <dimension ref="A1:L78"/>
  <sheetViews>
    <sheetView showGridLines="0" zoomScaleNormal="100" workbookViewId="0">
      <pane ySplit="3" topLeftCell="A65" activePane="bottomLeft" state="frozen"/>
      <selection pane="bottomLeft" activeCell="E38" sqref="E38"/>
    </sheetView>
  </sheetViews>
  <sheetFormatPr baseColWidth="10" defaultColWidth="8.7109375" defaultRowHeight="15" x14ac:dyDescent="0.25"/>
  <cols>
    <col min="1" max="1" width="30" customWidth="1"/>
    <col min="2" max="2" width="25.7109375" customWidth="1"/>
    <col min="3" max="3" width="17" customWidth="1"/>
    <col min="4" max="4" width="14" customWidth="1"/>
    <col min="5" max="5" width="28" customWidth="1"/>
    <col min="6" max="6" width="15.28515625" customWidth="1"/>
    <col min="7" max="7" width="14" customWidth="1"/>
    <col min="8" max="9" width="18" customWidth="1"/>
    <col min="10" max="12" width="14" customWidth="1"/>
  </cols>
  <sheetData>
    <row r="1" spans="1:12" ht="22.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6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ht="15" customHeight="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35.25" customHeight="1" x14ac:dyDescent="0.25">
      <c r="A6" s="8" t="s">
        <v>4</v>
      </c>
      <c r="B6" s="9" t="s">
        <v>5</v>
      </c>
    </row>
    <row r="7" spans="1:12" ht="34.5" customHeight="1" x14ac:dyDescent="0.25">
      <c r="A7" s="8" t="s">
        <v>6</v>
      </c>
      <c r="B7" s="9" t="s">
        <v>7</v>
      </c>
    </row>
    <row r="8" spans="1:12" ht="15" customHeight="1" x14ac:dyDescent="0.25">
      <c r="A8" s="8" t="s">
        <v>8</v>
      </c>
      <c r="B8" s="9" t="s">
        <v>9</v>
      </c>
    </row>
    <row r="9" spans="1:12" ht="45.75" customHeight="1" x14ac:dyDescent="0.25">
      <c r="A9" s="8" t="s">
        <v>10</v>
      </c>
      <c r="B9" s="9" t="s">
        <v>11</v>
      </c>
    </row>
    <row r="10" spans="1:12" ht="15" customHeight="1" x14ac:dyDescent="0.25">
      <c r="A10" s="8" t="s">
        <v>12</v>
      </c>
      <c r="B10" s="9" t="s">
        <v>13</v>
      </c>
    </row>
    <row r="11" spans="1:12" ht="15" customHeight="1" x14ac:dyDescent="0.25">
      <c r="A11" s="8" t="s">
        <v>14</v>
      </c>
      <c r="B11" s="9" t="s">
        <v>15</v>
      </c>
    </row>
    <row r="12" spans="1:12" ht="33" customHeight="1" x14ac:dyDescent="0.25">
      <c r="A12" s="8" t="s">
        <v>16</v>
      </c>
      <c r="B12" s="9" t="s">
        <v>17</v>
      </c>
    </row>
    <row r="13" spans="1:12" ht="48" customHeight="1" x14ac:dyDescent="0.25">
      <c r="A13" s="8" t="s">
        <v>18</v>
      </c>
      <c r="B13" s="9" t="s">
        <v>19</v>
      </c>
    </row>
    <row r="14" spans="1:12" ht="40.5" customHeight="1" x14ac:dyDescent="0.25">
      <c r="A14" s="8" t="s">
        <v>20</v>
      </c>
      <c r="B14" s="9" t="s">
        <v>21</v>
      </c>
    </row>
    <row r="15" spans="1:12" ht="38.25" customHeight="1" x14ac:dyDescent="0.25">
      <c r="A15" s="8" t="s">
        <v>22</v>
      </c>
      <c r="B15" s="9" t="s">
        <v>23</v>
      </c>
    </row>
    <row r="16" spans="1:12" ht="32.25" customHeight="1" x14ac:dyDescent="0.25">
      <c r="A16" s="8" t="s">
        <v>24</v>
      </c>
      <c r="B16" s="9" t="s">
        <v>25</v>
      </c>
    </row>
    <row r="17" spans="1:12" ht="36" customHeight="1" x14ac:dyDescent="0.25">
      <c r="A17" s="8" t="s">
        <v>26</v>
      </c>
      <c r="B17" s="9" t="s">
        <v>27</v>
      </c>
    </row>
    <row r="18" spans="1:12" ht="45.75" customHeight="1" x14ac:dyDescent="0.25">
      <c r="A18" s="8" t="s">
        <v>28</v>
      </c>
      <c r="B18" s="9" t="s">
        <v>29</v>
      </c>
    </row>
    <row r="20" spans="1:12" ht="15" customHeight="1" x14ac:dyDescent="0.25">
      <c r="A20" s="4" t="s">
        <v>30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23.25" customHeight="1" x14ac:dyDescent="0.25">
      <c r="A21" s="10" t="s">
        <v>31</v>
      </c>
      <c r="B21" s="10" t="s">
        <v>32</v>
      </c>
      <c r="C21" s="10" t="s">
        <v>33</v>
      </c>
      <c r="D21" s="10" t="s">
        <v>34</v>
      </c>
      <c r="E21" s="10" t="s">
        <v>35</v>
      </c>
      <c r="F21" s="10" t="s">
        <v>36</v>
      </c>
      <c r="G21" s="10" t="s">
        <v>37</v>
      </c>
      <c r="H21" s="10" t="s">
        <v>38</v>
      </c>
      <c r="I21" s="10" t="s">
        <v>39</v>
      </c>
      <c r="J21" s="10" t="s">
        <v>40</v>
      </c>
      <c r="K21" s="10" t="s">
        <v>41</v>
      </c>
    </row>
    <row r="22" spans="1:12" ht="15" customHeight="1" x14ac:dyDescent="0.25">
      <c r="A22" s="9" t="s">
        <v>42</v>
      </c>
      <c r="B22" s="9" t="s">
        <v>43</v>
      </c>
      <c r="C22" s="9" t="s">
        <v>44</v>
      </c>
      <c r="D22" s="11">
        <v>0.25729999999999997</v>
      </c>
      <c r="E22" s="9" t="s">
        <v>45</v>
      </c>
      <c r="F22" s="9" t="s">
        <v>46</v>
      </c>
      <c r="G22" s="12">
        <v>1</v>
      </c>
      <c r="H22" s="13">
        <v>18500</v>
      </c>
      <c r="I22" s="13">
        <v>12000</v>
      </c>
      <c r="J22" s="11">
        <v>0</v>
      </c>
      <c r="K22" s="11">
        <v>0</v>
      </c>
    </row>
    <row r="23" spans="1:12" ht="15" customHeight="1" x14ac:dyDescent="0.25">
      <c r="A23" s="9" t="s">
        <v>47</v>
      </c>
      <c r="B23" s="9" t="s">
        <v>43</v>
      </c>
      <c r="C23" s="9" t="s">
        <v>44</v>
      </c>
      <c r="D23" s="11">
        <v>0.25729999999999997</v>
      </c>
      <c r="E23" s="9" t="s">
        <v>48</v>
      </c>
      <c r="F23" s="9" t="s">
        <v>46</v>
      </c>
      <c r="G23" s="12">
        <v>1</v>
      </c>
      <c r="H23" s="13">
        <v>42000</v>
      </c>
      <c r="I23" s="13">
        <v>35000</v>
      </c>
      <c r="J23" s="11">
        <v>0.25729999999999997</v>
      </c>
      <c r="K23" s="11">
        <v>0</v>
      </c>
    </row>
    <row r="24" spans="1:12" ht="15" customHeight="1" x14ac:dyDescent="0.25">
      <c r="A24" s="9" t="s">
        <v>49</v>
      </c>
      <c r="B24" s="9" t="s">
        <v>50</v>
      </c>
      <c r="C24" s="9" t="s">
        <v>44</v>
      </c>
      <c r="D24" s="11">
        <v>0.27639999999999998</v>
      </c>
      <c r="E24" s="9" t="s">
        <v>51</v>
      </c>
      <c r="F24" s="9" t="s">
        <v>52</v>
      </c>
      <c r="G24" s="12">
        <v>1</v>
      </c>
      <c r="H24" s="13">
        <v>15000</v>
      </c>
      <c r="I24" s="13">
        <v>8500</v>
      </c>
      <c r="J24" s="11">
        <v>0.3</v>
      </c>
      <c r="K24" s="11">
        <v>0</v>
      </c>
    </row>
    <row r="25" spans="1:12" ht="15" customHeight="1" x14ac:dyDescent="0.25">
      <c r="A25" s="9" t="s">
        <v>53</v>
      </c>
      <c r="B25" s="9" t="s">
        <v>54</v>
      </c>
      <c r="C25" s="9" t="s">
        <v>55</v>
      </c>
      <c r="D25" s="11">
        <v>0.31519999999999998</v>
      </c>
      <c r="E25" s="9" t="s">
        <v>56</v>
      </c>
      <c r="F25" s="9" t="s">
        <v>57</v>
      </c>
      <c r="G25" s="12">
        <v>1</v>
      </c>
      <c r="H25" s="13">
        <v>22000</v>
      </c>
      <c r="I25" s="13">
        <v>14000</v>
      </c>
      <c r="J25" s="11">
        <v>0.20419999999999999</v>
      </c>
      <c r="K25" s="11">
        <v>0.1</v>
      </c>
    </row>
    <row r="26" spans="1:12" ht="15" customHeight="1" x14ac:dyDescent="0.25">
      <c r="A26" s="9" t="s">
        <v>58</v>
      </c>
      <c r="B26" s="9" t="s">
        <v>59</v>
      </c>
      <c r="C26" s="9" t="s">
        <v>60</v>
      </c>
      <c r="D26" s="11">
        <v>0.21</v>
      </c>
      <c r="E26" s="9" t="s">
        <v>61</v>
      </c>
      <c r="F26" s="9" t="s">
        <v>62</v>
      </c>
      <c r="G26" s="12">
        <v>1</v>
      </c>
      <c r="H26" s="13">
        <v>28000</v>
      </c>
      <c r="I26" s="13">
        <v>20000</v>
      </c>
      <c r="J26" s="11">
        <v>0.3</v>
      </c>
      <c r="K26" s="11">
        <v>0</v>
      </c>
    </row>
    <row r="27" spans="1:12" ht="15" customHeight="1" x14ac:dyDescent="0.25">
      <c r="A27" s="9" t="s">
        <v>63</v>
      </c>
      <c r="B27" s="9" t="s">
        <v>64</v>
      </c>
      <c r="C27" s="9" t="s">
        <v>65</v>
      </c>
      <c r="D27" s="11">
        <v>0.25</v>
      </c>
      <c r="E27" s="9" t="s">
        <v>66</v>
      </c>
      <c r="F27" s="9" t="s">
        <v>67</v>
      </c>
      <c r="G27" s="12">
        <v>1</v>
      </c>
      <c r="H27" s="13">
        <v>12000</v>
      </c>
      <c r="I27" s="13">
        <v>7500</v>
      </c>
      <c r="J27" s="11">
        <v>0.2</v>
      </c>
      <c r="K27" s="11">
        <v>0</v>
      </c>
    </row>
    <row r="28" spans="1:12" ht="15" customHeight="1" x14ac:dyDescent="0.25">
      <c r="A28" s="9" t="s">
        <v>68</v>
      </c>
      <c r="B28" s="9" t="s">
        <v>69</v>
      </c>
      <c r="C28" s="9" t="s">
        <v>70</v>
      </c>
      <c r="D28" s="11">
        <v>0.16500000000000001</v>
      </c>
      <c r="E28" s="9" t="s">
        <v>71</v>
      </c>
      <c r="F28" s="9" t="s">
        <v>72</v>
      </c>
      <c r="G28" s="12">
        <v>0.8</v>
      </c>
      <c r="H28" s="13">
        <v>25000</v>
      </c>
      <c r="I28" s="13">
        <v>18000</v>
      </c>
      <c r="J28" s="11">
        <v>8.2500000000000004E-2</v>
      </c>
      <c r="K28" s="11">
        <v>0.06</v>
      </c>
    </row>
    <row r="29" spans="1:12" ht="15" customHeight="1" x14ac:dyDescent="0.25">
      <c r="A29" s="9" t="s">
        <v>73</v>
      </c>
      <c r="B29" s="9" t="s">
        <v>74</v>
      </c>
      <c r="C29" s="9" t="s">
        <v>75</v>
      </c>
      <c r="D29" s="11">
        <v>0.09</v>
      </c>
      <c r="E29" s="9" t="s">
        <v>76</v>
      </c>
      <c r="F29" s="9" t="s">
        <v>77</v>
      </c>
      <c r="G29" s="12">
        <v>1</v>
      </c>
      <c r="H29" s="13">
        <v>8000</v>
      </c>
      <c r="I29" s="13">
        <v>5500</v>
      </c>
      <c r="J29" s="11">
        <v>0</v>
      </c>
      <c r="K29" s="11">
        <v>0</v>
      </c>
    </row>
    <row r="31" spans="1:12" ht="15" customHeight="1" x14ac:dyDescent="0.25">
      <c r="A31" s="4" t="s">
        <v>78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23.25" customHeight="1" x14ac:dyDescent="0.25">
      <c r="A32" s="10" t="s">
        <v>33</v>
      </c>
      <c r="B32" s="10" t="s">
        <v>79</v>
      </c>
      <c r="C32" s="10" t="s">
        <v>80</v>
      </c>
      <c r="D32" s="10" t="s">
        <v>81</v>
      </c>
      <c r="E32" s="10" t="s">
        <v>82</v>
      </c>
      <c r="F32" s="10" t="s">
        <v>83</v>
      </c>
    </row>
    <row r="33" spans="1:12" ht="68.25" customHeight="1" x14ac:dyDescent="0.25">
      <c r="A33" s="9" t="s">
        <v>44</v>
      </c>
      <c r="B33" s="14">
        <v>1</v>
      </c>
      <c r="C33" s="14">
        <v>1</v>
      </c>
      <c r="D33" s="14">
        <v>1</v>
      </c>
      <c r="E33" s="11">
        <v>0</v>
      </c>
      <c r="F33" s="9" t="s">
        <v>84</v>
      </c>
    </row>
    <row r="34" spans="1:12" ht="68.25" customHeight="1" x14ac:dyDescent="0.25">
      <c r="A34" s="9" t="s">
        <v>60</v>
      </c>
      <c r="B34" s="14">
        <v>0.91739999999999999</v>
      </c>
      <c r="C34" s="14">
        <v>0.92589999999999995</v>
      </c>
      <c r="D34" s="14">
        <v>0.87019999999999997</v>
      </c>
      <c r="E34" s="15">
        <v>-5.1449749291475902E-2</v>
      </c>
      <c r="F34" s="9" t="s">
        <v>84</v>
      </c>
    </row>
    <row r="35" spans="1:12" ht="68.25" customHeight="1" x14ac:dyDescent="0.25">
      <c r="A35" s="9" t="s">
        <v>65</v>
      </c>
      <c r="B35" s="14">
        <v>1.1628000000000001</v>
      </c>
      <c r="C35" s="14">
        <v>1.1494</v>
      </c>
      <c r="D35" s="14">
        <v>1.1546000000000001</v>
      </c>
      <c r="E35" s="11">
        <v>-7.05194358445131E-3</v>
      </c>
      <c r="F35" s="9" t="s">
        <v>84</v>
      </c>
    </row>
    <row r="36" spans="1:12" ht="68.25" customHeight="1" x14ac:dyDescent="0.25">
      <c r="A36" s="9" t="s">
        <v>55</v>
      </c>
      <c r="B36" s="14">
        <v>6.1700000000000001E-3</v>
      </c>
      <c r="C36" s="14">
        <v>6.2500000000000003E-3</v>
      </c>
      <c r="D36" s="14">
        <v>5.47E-3</v>
      </c>
      <c r="E36" s="15">
        <v>-0.113452188006483</v>
      </c>
      <c r="F36" s="9" t="s">
        <v>84</v>
      </c>
    </row>
    <row r="37" spans="1:12" ht="68.25" customHeight="1" x14ac:dyDescent="0.25">
      <c r="A37" s="9" t="s">
        <v>70</v>
      </c>
      <c r="B37" s="14">
        <v>0.1176</v>
      </c>
      <c r="C37" s="14">
        <v>0.11899999999999999</v>
      </c>
      <c r="D37" s="14">
        <v>0.1241</v>
      </c>
      <c r="E37" s="15">
        <v>5.5272108843537497E-2</v>
      </c>
      <c r="F37" s="9" t="s">
        <v>84</v>
      </c>
    </row>
    <row r="38" spans="1:12" ht="68.25" customHeight="1" x14ac:dyDescent="0.25">
      <c r="A38" s="9" t="s">
        <v>75</v>
      </c>
      <c r="B38" s="14">
        <v>0.24979999999999999</v>
      </c>
      <c r="C38" s="14">
        <v>0.2525</v>
      </c>
      <c r="D38" s="14">
        <v>0.23699999999999999</v>
      </c>
      <c r="E38" s="15">
        <v>-5.1240992794235399E-2</v>
      </c>
      <c r="F38" s="9" t="s">
        <v>84</v>
      </c>
    </row>
    <row r="40" spans="1:12" ht="15" customHeight="1" x14ac:dyDescent="0.25">
      <c r="A40" s="4" t="s">
        <v>85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23.25" customHeight="1" x14ac:dyDescent="0.25">
      <c r="A41" s="10" t="s">
        <v>86</v>
      </c>
      <c r="B41" s="10" t="s">
        <v>87</v>
      </c>
      <c r="C41" s="10" t="s">
        <v>88</v>
      </c>
      <c r="D41" s="10" t="s">
        <v>89</v>
      </c>
      <c r="E41" s="10" t="s">
        <v>90</v>
      </c>
    </row>
    <row r="42" spans="1:12" ht="23.25" customHeight="1" x14ac:dyDescent="0.25">
      <c r="A42" s="9" t="s">
        <v>91</v>
      </c>
      <c r="B42" s="9" t="s">
        <v>92</v>
      </c>
      <c r="C42" s="11">
        <v>0.05</v>
      </c>
      <c r="D42" s="9" t="s">
        <v>93</v>
      </c>
      <c r="E42" s="9" t="s">
        <v>42</v>
      </c>
    </row>
    <row r="43" spans="1:12" ht="23.25" customHeight="1" x14ac:dyDescent="0.25">
      <c r="A43" s="9" t="s">
        <v>94</v>
      </c>
      <c r="B43" s="9" t="s">
        <v>95</v>
      </c>
      <c r="C43" s="11">
        <v>4.4999999999999998E-2</v>
      </c>
      <c r="D43" s="9" t="s">
        <v>93</v>
      </c>
      <c r="E43" s="9" t="s">
        <v>42</v>
      </c>
    </row>
    <row r="44" spans="1:12" ht="15" customHeight="1" x14ac:dyDescent="0.25">
      <c r="A44" s="9" t="s">
        <v>96</v>
      </c>
      <c r="B44" s="9" t="s">
        <v>97</v>
      </c>
      <c r="C44" s="11">
        <v>0.06</v>
      </c>
      <c r="D44" s="9" t="s">
        <v>93</v>
      </c>
      <c r="E44" s="9" t="s">
        <v>42</v>
      </c>
    </row>
    <row r="46" spans="1:12" ht="15" customHeight="1" x14ac:dyDescent="0.25">
      <c r="A46" s="4" t="s">
        <v>98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" customHeight="1" x14ac:dyDescent="0.25">
      <c r="A47" s="10" t="s">
        <v>99</v>
      </c>
      <c r="B47" s="10" t="s">
        <v>100</v>
      </c>
      <c r="C47" s="10" t="s">
        <v>101</v>
      </c>
    </row>
    <row r="48" spans="1:12" ht="45.75" customHeight="1" x14ac:dyDescent="0.25">
      <c r="A48" s="9" t="s">
        <v>102</v>
      </c>
      <c r="B48" s="12">
        <v>0.22</v>
      </c>
      <c r="C48" s="9" t="s">
        <v>103</v>
      </c>
    </row>
    <row r="49" spans="1:12" ht="34.5" customHeight="1" x14ac:dyDescent="0.25">
      <c r="A49" s="9" t="s">
        <v>104</v>
      </c>
      <c r="B49" s="12">
        <v>0.23</v>
      </c>
      <c r="C49" s="9" t="s">
        <v>105</v>
      </c>
    </row>
    <row r="50" spans="1:12" ht="34.5" customHeight="1" x14ac:dyDescent="0.25">
      <c r="A50" s="9" t="s">
        <v>106</v>
      </c>
      <c r="B50" s="12">
        <v>0.25</v>
      </c>
      <c r="C50" s="9" t="s">
        <v>107</v>
      </c>
    </row>
    <row r="51" spans="1:12" ht="34.5" customHeight="1" x14ac:dyDescent="0.25">
      <c r="A51" s="9" t="s">
        <v>108</v>
      </c>
      <c r="B51" s="12">
        <v>0.3</v>
      </c>
      <c r="C51" s="9" t="s">
        <v>109</v>
      </c>
    </row>
    <row r="52" spans="1:12" ht="15" customHeight="1" x14ac:dyDescent="0.25">
      <c r="A52" s="16" t="s">
        <v>110</v>
      </c>
      <c r="B52" s="17">
        <f>SUM(B48:B51)</f>
        <v>1</v>
      </c>
      <c r="C52" s="16"/>
    </row>
    <row r="54" spans="1:12" ht="15" customHeight="1" x14ac:dyDescent="0.25">
      <c r="A54" s="4" t="s">
        <v>111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23.25" customHeight="1" x14ac:dyDescent="0.25">
      <c r="A55" s="10" t="s">
        <v>31</v>
      </c>
      <c r="B55" s="10" t="s">
        <v>112</v>
      </c>
      <c r="C55" s="10" t="s">
        <v>113</v>
      </c>
      <c r="D55" s="10" t="s">
        <v>114</v>
      </c>
      <c r="E55" s="10" t="s">
        <v>115</v>
      </c>
      <c r="F55" s="10" t="s">
        <v>116</v>
      </c>
      <c r="G55" s="10" t="s">
        <v>117</v>
      </c>
      <c r="H55" s="10" t="s">
        <v>118</v>
      </c>
      <c r="I55" s="10" t="s">
        <v>119</v>
      </c>
    </row>
    <row r="56" spans="1:12" ht="15" customHeight="1" x14ac:dyDescent="0.25">
      <c r="A56" s="9" t="s">
        <v>47</v>
      </c>
      <c r="B56" s="13">
        <v>45000</v>
      </c>
      <c r="C56" s="13">
        <v>32000</v>
      </c>
      <c r="D56" s="13">
        <v>18000</v>
      </c>
      <c r="E56" s="18">
        <f t="shared" ref="E56:E62" si="0">SUM(B56:D56)</f>
        <v>95000</v>
      </c>
      <c r="F56" s="13">
        <v>103261</v>
      </c>
      <c r="G56" s="13">
        <v>5163</v>
      </c>
      <c r="H56" s="13">
        <v>3098</v>
      </c>
      <c r="I56" s="18">
        <f t="shared" ref="I56:I62" si="1">F56-G56-H56</f>
        <v>95000</v>
      </c>
    </row>
    <row r="57" spans="1:12" ht="15" customHeight="1" x14ac:dyDescent="0.25">
      <c r="A57" s="9" t="s">
        <v>49</v>
      </c>
      <c r="B57" s="13">
        <v>28000</v>
      </c>
      <c r="C57" s="13">
        <v>22000</v>
      </c>
      <c r="D57" s="13">
        <v>12000</v>
      </c>
      <c r="E57" s="18">
        <f t="shared" si="0"/>
        <v>62000</v>
      </c>
      <c r="F57" s="13">
        <v>67391</v>
      </c>
      <c r="G57" s="13">
        <v>3370</v>
      </c>
      <c r="H57" s="13">
        <v>2022</v>
      </c>
      <c r="I57" s="18">
        <f t="shared" si="1"/>
        <v>61999</v>
      </c>
    </row>
    <row r="58" spans="1:12" ht="15" customHeight="1" x14ac:dyDescent="0.25">
      <c r="A58" s="9" t="s">
        <v>53</v>
      </c>
      <c r="B58" s="13">
        <v>35000</v>
      </c>
      <c r="C58" s="13">
        <v>28000</v>
      </c>
      <c r="D58" s="13">
        <v>20000</v>
      </c>
      <c r="E58" s="18">
        <f t="shared" si="0"/>
        <v>83000</v>
      </c>
      <c r="F58" s="13">
        <v>90217</v>
      </c>
      <c r="G58" s="13">
        <v>4511</v>
      </c>
      <c r="H58" s="13">
        <v>2707</v>
      </c>
      <c r="I58" s="18">
        <f t="shared" si="1"/>
        <v>82999</v>
      </c>
    </row>
    <row r="59" spans="1:12" ht="15" customHeight="1" x14ac:dyDescent="0.25">
      <c r="A59" s="9" t="s">
        <v>58</v>
      </c>
      <c r="B59" s="13">
        <v>52000</v>
      </c>
      <c r="C59" s="13">
        <v>38000</v>
      </c>
      <c r="D59" s="13">
        <v>25000</v>
      </c>
      <c r="E59" s="18">
        <f t="shared" si="0"/>
        <v>115000</v>
      </c>
      <c r="F59" s="13">
        <v>125000</v>
      </c>
      <c r="G59" s="13">
        <v>6250</v>
      </c>
      <c r="H59" s="13">
        <v>3750</v>
      </c>
      <c r="I59" s="18">
        <f t="shared" si="1"/>
        <v>115000</v>
      </c>
    </row>
    <row r="60" spans="1:12" ht="15" customHeight="1" x14ac:dyDescent="0.25">
      <c r="A60" s="9" t="s">
        <v>63</v>
      </c>
      <c r="B60" s="13">
        <v>22000</v>
      </c>
      <c r="C60" s="13">
        <v>18000</v>
      </c>
      <c r="D60" s="13">
        <v>10000</v>
      </c>
      <c r="E60" s="18">
        <f t="shared" si="0"/>
        <v>50000</v>
      </c>
      <c r="F60" s="13">
        <v>54348</v>
      </c>
      <c r="G60" s="13">
        <v>2717</v>
      </c>
      <c r="H60" s="13">
        <v>1630</v>
      </c>
      <c r="I60" s="18">
        <f t="shared" si="1"/>
        <v>50001</v>
      </c>
    </row>
    <row r="61" spans="1:12" ht="15" customHeight="1" x14ac:dyDescent="0.25">
      <c r="A61" s="9" t="s">
        <v>68</v>
      </c>
      <c r="B61" s="13">
        <v>48000</v>
      </c>
      <c r="C61" s="13">
        <v>35000</v>
      </c>
      <c r="D61" s="13">
        <v>22000</v>
      </c>
      <c r="E61" s="18">
        <f t="shared" si="0"/>
        <v>105000</v>
      </c>
      <c r="F61" s="13">
        <v>114130</v>
      </c>
      <c r="G61" s="13">
        <v>5706</v>
      </c>
      <c r="H61" s="13">
        <v>3424</v>
      </c>
      <c r="I61" s="18">
        <f t="shared" si="1"/>
        <v>105000</v>
      </c>
    </row>
    <row r="62" spans="1:12" ht="15" customHeight="1" x14ac:dyDescent="0.25">
      <c r="A62" s="9" t="s">
        <v>73</v>
      </c>
      <c r="B62" s="13">
        <v>15000</v>
      </c>
      <c r="C62" s="13">
        <v>12000</v>
      </c>
      <c r="D62" s="13">
        <v>8000</v>
      </c>
      <c r="E62" s="18">
        <f t="shared" si="0"/>
        <v>35000</v>
      </c>
      <c r="F62" s="13">
        <v>38043</v>
      </c>
      <c r="G62" s="13">
        <v>1902</v>
      </c>
      <c r="H62" s="13">
        <v>1141</v>
      </c>
      <c r="I62" s="18">
        <f t="shared" si="1"/>
        <v>35000</v>
      </c>
    </row>
    <row r="63" spans="1:12" ht="15" customHeight="1" x14ac:dyDescent="0.25">
      <c r="A63" s="16" t="s">
        <v>120</v>
      </c>
      <c r="B63" s="19">
        <f t="shared" ref="B63:I63" si="2">SUM(B56:B62)</f>
        <v>245000</v>
      </c>
      <c r="C63" s="19">
        <f t="shared" si="2"/>
        <v>185000</v>
      </c>
      <c r="D63" s="19">
        <f t="shared" si="2"/>
        <v>115000</v>
      </c>
      <c r="E63" s="19">
        <f t="shared" si="2"/>
        <v>545000</v>
      </c>
      <c r="F63" s="19">
        <f t="shared" si="2"/>
        <v>592390</v>
      </c>
      <c r="G63" s="19">
        <f t="shared" si="2"/>
        <v>29619</v>
      </c>
      <c r="H63" s="19">
        <f t="shared" si="2"/>
        <v>17772</v>
      </c>
      <c r="I63" s="19">
        <f t="shared" si="2"/>
        <v>544999</v>
      </c>
    </row>
    <row r="65" spans="1:12" ht="15" customHeight="1" x14ac:dyDescent="0.25">
      <c r="A65" s="4" t="s">
        <v>121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34.5" customHeight="1" x14ac:dyDescent="0.25">
      <c r="A66" s="10" t="s">
        <v>122</v>
      </c>
      <c r="B66" s="10" t="s">
        <v>123</v>
      </c>
      <c r="C66" s="10" t="s">
        <v>124</v>
      </c>
      <c r="D66" s="10" t="s">
        <v>125</v>
      </c>
      <c r="E66" s="10" t="s">
        <v>126</v>
      </c>
      <c r="F66" s="10" t="s">
        <v>127</v>
      </c>
    </row>
    <row r="67" spans="1:12" ht="23.25" customHeight="1" x14ac:dyDescent="0.25">
      <c r="A67" s="9" t="s">
        <v>43</v>
      </c>
      <c r="B67" s="11">
        <v>0.25729999999999997</v>
      </c>
      <c r="C67" s="9" t="s">
        <v>128</v>
      </c>
      <c r="D67" s="11">
        <v>0</v>
      </c>
      <c r="E67" s="9" t="s">
        <v>129</v>
      </c>
      <c r="F67" s="11">
        <v>0</v>
      </c>
    </row>
    <row r="68" spans="1:12" ht="34.5" customHeight="1" x14ac:dyDescent="0.25">
      <c r="A68" s="9" t="s">
        <v>50</v>
      </c>
      <c r="B68" s="11">
        <v>0.3</v>
      </c>
      <c r="C68" s="9" t="s">
        <v>130</v>
      </c>
      <c r="D68" s="11">
        <v>0</v>
      </c>
      <c r="E68" s="9" t="s">
        <v>131</v>
      </c>
      <c r="F68" s="11">
        <v>0</v>
      </c>
    </row>
    <row r="69" spans="1:12" ht="23.25" customHeight="1" x14ac:dyDescent="0.25">
      <c r="A69" s="9" t="s">
        <v>54</v>
      </c>
      <c r="B69" s="11">
        <v>0.20419999999999999</v>
      </c>
      <c r="C69" s="9" t="s">
        <v>132</v>
      </c>
      <c r="D69" s="11">
        <v>0.1</v>
      </c>
      <c r="E69" s="9" t="s">
        <v>129</v>
      </c>
      <c r="F69" s="20">
        <v>0.1</v>
      </c>
    </row>
    <row r="70" spans="1:12" ht="23.25" customHeight="1" x14ac:dyDescent="0.25">
      <c r="A70" s="9" t="s">
        <v>59</v>
      </c>
      <c r="B70" s="11">
        <v>0.3</v>
      </c>
      <c r="C70" s="9" t="s">
        <v>133</v>
      </c>
      <c r="D70" s="11">
        <v>0</v>
      </c>
      <c r="E70" s="9" t="s">
        <v>129</v>
      </c>
      <c r="F70" s="11">
        <v>0</v>
      </c>
    </row>
    <row r="71" spans="1:12" ht="23.25" customHeight="1" x14ac:dyDescent="0.25">
      <c r="A71" s="9" t="s">
        <v>64</v>
      </c>
      <c r="B71" s="11">
        <v>0.2</v>
      </c>
      <c r="C71" s="9" t="s">
        <v>134</v>
      </c>
      <c r="D71" s="11">
        <v>0</v>
      </c>
      <c r="E71" s="9" t="s">
        <v>129</v>
      </c>
      <c r="F71" s="11">
        <v>0</v>
      </c>
    </row>
    <row r="72" spans="1:12" ht="23.25" customHeight="1" x14ac:dyDescent="0.25">
      <c r="A72" s="9" t="s">
        <v>135</v>
      </c>
      <c r="B72" s="11">
        <v>8.2500000000000004E-2</v>
      </c>
      <c r="C72" s="9" t="s">
        <v>136</v>
      </c>
      <c r="D72" s="11">
        <v>0.06</v>
      </c>
      <c r="E72" s="9" t="s">
        <v>129</v>
      </c>
      <c r="F72" s="20">
        <v>0.06</v>
      </c>
    </row>
    <row r="73" spans="1:12" ht="23.25" customHeight="1" x14ac:dyDescent="0.25">
      <c r="A73" s="9" t="s">
        <v>137</v>
      </c>
      <c r="B73" s="11">
        <v>0</v>
      </c>
      <c r="C73" s="9" t="s">
        <v>138</v>
      </c>
      <c r="D73" s="11">
        <v>0</v>
      </c>
      <c r="E73" s="9" t="s">
        <v>129</v>
      </c>
      <c r="F73" s="11">
        <v>0</v>
      </c>
    </row>
    <row r="75" spans="1:12" ht="15" customHeight="1" x14ac:dyDescent="0.25">
      <c r="A75" s="3" t="s">
        <v>139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5" customHeight="1" x14ac:dyDescent="0.25">
      <c r="A76" s="3" t="s">
        <v>140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5" customHeight="1" x14ac:dyDescent="0.25">
      <c r="A77" s="3" t="s">
        <v>141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5" customHeight="1" x14ac:dyDescent="0.25">
      <c r="A78" s="3" t="s">
        <v>142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</sheetData>
  <mergeCells count="14">
    <mergeCell ref="A75:L75"/>
    <mergeCell ref="A76:L76"/>
    <mergeCell ref="A77:L77"/>
    <mergeCell ref="A78:L78"/>
    <mergeCell ref="A31:L31"/>
    <mergeCell ref="A40:L40"/>
    <mergeCell ref="A46:L46"/>
    <mergeCell ref="A54:L54"/>
    <mergeCell ref="A65:L65"/>
    <mergeCell ref="A1:L1"/>
    <mergeCell ref="A2:L2"/>
    <mergeCell ref="A3:L3"/>
    <mergeCell ref="A5:L5"/>
    <mergeCell ref="A20:L20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F37"/>
    <pageSetUpPr fitToPage="1"/>
  </sheetPr>
  <dimension ref="A1:J40"/>
  <sheetViews>
    <sheetView showGridLines="0" zoomScaleNormal="100" workbookViewId="0">
      <pane ySplit="3" topLeftCell="A20" activePane="bottomLeft" state="frozen"/>
      <selection pane="bottomLeft" activeCell="E7" sqref="E7"/>
    </sheetView>
  </sheetViews>
  <sheetFormatPr baseColWidth="10" defaultColWidth="8.7109375" defaultRowHeight="15" x14ac:dyDescent="0.25"/>
  <cols>
    <col min="1" max="1" width="8" customWidth="1"/>
    <col min="2" max="3" width="26" customWidth="1"/>
    <col min="4" max="4" width="16" customWidth="1"/>
    <col min="5" max="5" width="14" customWidth="1"/>
    <col min="6" max="6" width="12" customWidth="1"/>
    <col min="7" max="8" width="14" customWidth="1"/>
    <col min="9" max="9" width="22" customWidth="1"/>
    <col min="10" max="10" width="30" customWidth="1"/>
  </cols>
  <sheetData>
    <row r="1" spans="1:10" ht="22.5" customHeight="1" x14ac:dyDescent="0.25">
      <c r="A1" s="7" t="s">
        <v>143</v>
      </c>
      <c r="B1" s="7"/>
      <c r="C1" s="7"/>
      <c r="D1" s="7"/>
      <c r="E1" s="7"/>
      <c r="F1" s="7"/>
      <c r="G1" s="7"/>
      <c r="H1" s="7"/>
      <c r="I1" s="7"/>
      <c r="J1" s="7"/>
    </row>
    <row r="2" spans="1:10" ht="16.5" customHeight="1" x14ac:dyDescent="0.25">
      <c r="A2" s="6" t="s">
        <v>144</v>
      </c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25">
      <c r="A5" s="4" t="s">
        <v>145</v>
      </c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 x14ac:dyDescent="0.25">
      <c r="A6" s="10" t="s">
        <v>146</v>
      </c>
      <c r="B6" s="10" t="s">
        <v>147</v>
      </c>
      <c r="C6" s="10" t="s">
        <v>148</v>
      </c>
      <c r="D6" s="10" t="s">
        <v>86</v>
      </c>
      <c r="E6" s="10" t="s">
        <v>149</v>
      </c>
      <c r="F6" s="10" t="s">
        <v>150</v>
      </c>
      <c r="G6" s="10" t="s">
        <v>151</v>
      </c>
      <c r="H6" s="10" t="s">
        <v>152</v>
      </c>
      <c r="I6" s="10" t="s">
        <v>153</v>
      </c>
      <c r="J6" s="10" t="s">
        <v>154</v>
      </c>
    </row>
    <row r="7" spans="1:10" ht="23.25" customHeight="1" x14ac:dyDescent="0.25">
      <c r="A7" s="9" t="s">
        <v>155</v>
      </c>
      <c r="B7" s="9" t="s">
        <v>42</v>
      </c>
      <c r="C7" s="9" t="s">
        <v>47</v>
      </c>
      <c r="D7" s="9" t="s">
        <v>91</v>
      </c>
      <c r="E7" s="11">
        <f>IFERROR(INDEX('01_PARAMETRES'!$C$42:$C$44,MATCH(D7,'01_PARAMETRES'!$A$42:$A$44,0)),"N/A")</f>
        <v>0.05</v>
      </c>
      <c r="F7" s="9" t="s">
        <v>93</v>
      </c>
      <c r="G7" s="9" t="s">
        <v>156</v>
      </c>
      <c r="H7" s="9" t="s">
        <v>157</v>
      </c>
      <c r="I7" s="9" t="s">
        <v>158</v>
      </c>
      <c r="J7" s="9" t="s">
        <v>159</v>
      </c>
    </row>
    <row r="8" spans="1:10" ht="23.25" customHeight="1" x14ac:dyDescent="0.25">
      <c r="A8" s="9" t="s">
        <v>160</v>
      </c>
      <c r="B8" s="9" t="s">
        <v>42</v>
      </c>
      <c r="C8" s="9" t="s">
        <v>47</v>
      </c>
      <c r="D8" s="9" t="s">
        <v>94</v>
      </c>
      <c r="E8" s="11">
        <f>IFERROR(INDEX('01_PARAMETRES'!$C$42:$C$44,MATCH(D8,'01_PARAMETRES'!$A$42:$A$44,0)),"N/A")</f>
        <v>4.4999999999999998E-2</v>
      </c>
      <c r="F8" s="9" t="s">
        <v>93</v>
      </c>
      <c r="G8" s="9" t="s">
        <v>156</v>
      </c>
      <c r="H8" s="9" t="s">
        <v>157</v>
      </c>
      <c r="I8" s="9" t="s">
        <v>158</v>
      </c>
      <c r="J8" s="9" t="s">
        <v>161</v>
      </c>
    </row>
    <row r="9" spans="1:10" ht="23.25" customHeight="1" x14ac:dyDescent="0.25">
      <c r="A9" s="9" t="s">
        <v>162</v>
      </c>
      <c r="B9" s="9" t="s">
        <v>42</v>
      </c>
      <c r="C9" s="9" t="s">
        <v>47</v>
      </c>
      <c r="D9" s="9" t="s">
        <v>96</v>
      </c>
      <c r="E9" s="11">
        <f>IFERROR(INDEX('01_PARAMETRES'!$C$42:$C$44,MATCH(D9,'01_PARAMETRES'!$A$42:$A$44,0)),"N/A")</f>
        <v>0.06</v>
      </c>
      <c r="F9" s="9" t="s">
        <v>93</v>
      </c>
      <c r="G9" s="9" t="s">
        <v>156</v>
      </c>
      <c r="H9" s="9" t="s">
        <v>157</v>
      </c>
      <c r="I9" s="9" t="s">
        <v>158</v>
      </c>
      <c r="J9" s="9" t="s">
        <v>163</v>
      </c>
    </row>
    <row r="10" spans="1:10" ht="23.25" customHeight="1" x14ac:dyDescent="0.25">
      <c r="A10" s="9" t="s">
        <v>164</v>
      </c>
      <c r="B10" s="9" t="s">
        <v>42</v>
      </c>
      <c r="C10" s="9" t="s">
        <v>49</v>
      </c>
      <c r="D10" s="9" t="s">
        <v>91</v>
      </c>
      <c r="E10" s="11">
        <f>IFERROR(INDEX('01_PARAMETRES'!$C$42:$C$44,MATCH(D10,'01_PARAMETRES'!$A$42:$A$44,0)),"N/A")</f>
        <v>0.05</v>
      </c>
      <c r="F10" s="9" t="s">
        <v>93</v>
      </c>
      <c r="G10" s="9" t="s">
        <v>156</v>
      </c>
      <c r="H10" s="9" t="s">
        <v>157</v>
      </c>
      <c r="I10" s="9" t="s">
        <v>158</v>
      </c>
      <c r="J10" s="9" t="s">
        <v>165</v>
      </c>
    </row>
    <row r="11" spans="1:10" ht="23.25" customHeight="1" x14ac:dyDescent="0.25">
      <c r="A11" s="9" t="s">
        <v>166</v>
      </c>
      <c r="B11" s="9" t="s">
        <v>42</v>
      </c>
      <c r="C11" s="9" t="s">
        <v>49</v>
      </c>
      <c r="D11" s="9" t="s">
        <v>94</v>
      </c>
      <c r="E11" s="11">
        <f>IFERROR(INDEX('01_PARAMETRES'!$C$42:$C$44,MATCH(D11,'01_PARAMETRES'!$A$42:$A$44,0)),"N/A")</f>
        <v>4.4999999999999998E-2</v>
      </c>
      <c r="F11" s="9" t="s">
        <v>93</v>
      </c>
      <c r="G11" s="9" t="s">
        <v>156</v>
      </c>
      <c r="H11" s="9" t="s">
        <v>157</v>
      </c>
      <c r="I11" s="9" t="s">
        <v>158</v>
      </c>
      <c r="J11" s="9" t="s">
        <v>165</v>
      </c>
    </row>
    <row r="12" spans="1:10" ht="23.25" customHeight="1" x14ac:dyDescent="0.25">
      <c r="A12" s="9" t="s">
        <v>167</v>
      </c>
      <c r="B12" s="9" t="s">
        <v>42</v>
      </c>
      <c r="C12" s="9" t="s">
        <v>49</v>
      </c>
      <c r="D12" s="9" t="s">
        <v>96</v>
      </c>
      <c r="E12" s="11">
        <f>IFERROR(INDEX('01_PARAMETRES'!$C$42:$C$44,MATCH(D12,'01_PARAMETRES'!$A$42:$A$44,0)),"N/A")</f>
        <v>0.06</v>
      </c>
      <c r="F12" s="9" t="s">
        <v>93</v>
      </c>
      <c r="G12" s="9" t="s">
        <v>156</v>
      </c>
      <c r="H12" s="9" t="s">
        <v>157</v>
      </c>
      <c r="I12" s="9" t="s">
        <v>158</v>
      </c>
      <c r="J12" s="9" t="s">
        <v>165</v>
      </c>
    </row>
    <row r="13" spans="1:10" ht="23.25" customHeight="1" x14ac:dyDescent="0.25">
      <c r="A13" s="9" t="s">
        <v>168</v>
      </c>
      <c r="B13" s="9" t="s">
        <v>42</v>
      </c>
      <c r="C13" s="9" t="s">
        <v>53</v>
      </c>
      <c r="D13" s="9" t="s">
        <v>91</v>
      </c>
      <c r="E13" s="11">
        <f>IFERROR(INDEX('01_PARAMETRES'!$C$42:$C$44,MATCH(D13,'01_PARAMETRES'!$A$42:$A$44,0)),"N/A")</f>
        <v>0.05</v>
      </c>
      <c r="F13" s="9" t="s">
        <v>93</v>
      </c>
      <c r="G13" s="9" t="s">
        <v>156</v>
      </c>
      <c r="H13" s="9" t="s">
        <v>157</v>
      </c>
      <c r="I13" s="9" t="s">
        <v>158</v>
      </c>
      <c r="J13" s="9" t="s">
        <v>169</v>
      </c>
    </row>
    <row r="14" spans="1:10" ht="23.25" customHeight="1" x14ac:dyDescent="0.25">
      <c r="A14" s="9" t="s">
        <v>170</v>
      </c>
      <c r="B14" s="9" t="s">
        <v>42</v>
      </c>
      <c r="C14" s="9" t="s">
        <v>53</v>
      </c>
      <c r="D14" s="9" t="s">
        <v>94</v>
      </c>
      <c r="E14" s="11">
        <f>IFERROR(INDEX('01_PARAMETRES'!$C$42:$C$44,MATCH(D14,'01_PARAMETRES'!$A$42:$A$44,0)),"N/A")</f>
        <v>4.4999999999999998E-2</v>
      </c>
      <c r="F14" s="9" t="s">
        <v>93</v>
      </c>
      <c r="G14" s="9" t="s">
        <v>156</v>
      </c>
      <c r="H14" s="9" t="s">
        <v>157</v>
      </c>
      <c r="I14" s="9" t="s">
        <v>158</v>
      </c>
      <c r="J14" s="9" t="s">
        <v>169</v>
      </c>
    </row>
    <row r="15" spans="1:10" ht="23.25" customHeight="1" x14ac:dyDescent="0.25">
      <c r="A15" s="9" t="s">
        <v>171</v>
      </c>
      <c r="B15" s="9" t="s">
        <v>42</v>
      </c>
      <c r="C15" s="9" t="s">
        <v>53</v>
      </c>
      <c r="D15" s="9" t="s">
        <v>96</v>
      </c>
      <c r="E15" s="11">
        <f>IFERROR(INDEX('01_PARAMETRES'!$C$42:$C$44,MATCH(D15,'01_PARAMETRES'!$A$42:$A$44,0)),"N/A")</f>
        <v>0.06</v>
      </c>
      <c r="F15" s="9" t="s">
        <v>93</v>
      </c>
      <c r="G15" s="9" t="s">
        <v>156</v>
      </c>
      <c r="H15" s="9" t="s">
        <v>157</v>
      </c>
      <c r="I15" s="9" t="s">
        <v>158</v>
      </c>
      <c r="J15" s="9" t="s">
        <v>169</v>
      </c>
    </row>
    <row r="16" spans="1:10" ht="23.25" customHeight="1" x14ac:dyDescent="0.25">
      <c r="A16" s="9" t="s">
        <v>172</v>
      </c>
      <c r="B16" s="9" t="s">
        <v>42</v>
      </c>
      <c r="C16" s="9" t="s">
        <v>58</v>
      </c>
      <c r="D16" s="9" t="s">
        <v>91</v>
      </c>
      <c r="E16" s="11">
        <f>IFERROR(INDEX('01_PARAMETRES'!$C$42:$C$44,MATCH(D16,'01_PARAMETRES'!$A$42:$A$44,0)),"N/A")</f>
        <v>0.05</v>
      </c>
      <c r="F16" s="9" t="s">
        <v>93</v>
      </c>
      <c r="G16" s="9" t="s">
        <v>156</v>
      </c>
      <c r="H16" s="9" t="s">
        <v>157</v>
      </c>
      <c r="I16" s="9" t="s">
        <v>158</v>
      </c>
      <c r="J16" s="9" t="s">
        <v>173</v>
      </c>
    </row>
    <row r="17" spans="1:10" ht="23.25" customHeight="1" x14ac:dyDescent="0.25">
      <c r="A17" s="9" t="s">
        <v>174</v>
      </c>
      <c r="B17" s="9" t="s">
        <v>42</v>
      </c>
      <c r="C17" s="9" t="s">
        <v>58</v>
      </c>
      <c r="D17" s="9" t="s">
        <v>94</v>
      </c>
      <c r="E17" s="11">
        <f>IFERROR(INDEX('01_PARAMETRES'!$C$42:$C$44,MATCH(D17,'01_PARAMETRES'!$A$42:$A$44,0)),"N/A")</f>
        <v>4.4999999999999998E-2</v>
      </c>
      <c r="F17" s="9" t="s">
        <v>93</v>
      </c>
      <c r="G17" s="9" t="s">
        <v>156</v>
      </c>
      <c r="H17" s="9" t="s">
        <v>157</v>
      </c>
      <c r="I17" s="9" t="s">
        <v>158</v>
      </c>
      <c r="J17" s="9" t="s">
        <v>173</v>
      </c>
    </row>
    <row r="18" spans="1:10" ht="23.25" customHeight="1" x14ac:dyDescent="0.25">
      <c r="A18" s="9" t="s">
        <v>175</v>
      </c>
      <c r="B18" s="9" t="s">
        <v>42</v>
      </c>
      <c r="C18" s="9" t="s">
        <v>58</v>
      </c>
      <c r="D18" s="9" t="s">
        <v>96</v>
      </c>
      <c r="E18" s="11">
        <f>IFERROR(INDEX('01_PARAMETRES'!$C$42:$C$44,MATCH(D18,'01_PARAMETRES'!$A$42:$A$44,0)),"N/A")</f>
        <v>0.06</v>
      </c>
      <c r="F18" s="9" t="s">
        <v>93</v>
      </c>
      <c r="G18" s="9" t="s">
        <v>156</v>
      </c>
      <c r="H18" s="9" t="s">
        <v>157</v>
      </c>
      <c r="I18" s="9" t="s">
        <v>158</v>
      </c>
      <c r="J18" s="9" t="s">
        <v>173</v>
      </c>
    </row>
    <row r="19" spans="1:10" ht="23.25" customHeight="1" x14ac:dyDescent="0.25">
      <c r="A19" s="9" t="s">
        <v>176</v>
      </c>
      <c r="B19" s="9" t="s">
        <v>42</v>
      </c>
      <c r="C19" s="9" t="s">
        <v>63</v>
      </c>
      <c r="D19" s="9" t="s">
        <v>91</v>
      </c>
      <c r="E19" s="11">
        <f>IFERROR(INDEX('01_PARAMETRES'!$C$42:$C$44,MATCH(D19,'01_PARAMETRES'!$A$42:$A$44,0)),"N/A")</f>
        <v>0.05</v>
      </c>
      <c r="F19" s="9" t="s">
        <v>93</v>
      </c>
      <c r="G19" s="9" t="s">
        <v>156</v>
      </c>
      <c r="H19" s="9" t="s">
        <v>157</v>
      </c>
      <c r="I19" s="9" t="s">
        <v>158</v>
      </c>
      <c r="J19" s="9" t="s">
        <v>177</v>
      </c>
    </row>
    <row r="20" spans="1:10" ht="23.25" customHeight="1" x14ac:dyDescent="0.25">
      <c r="A20" s="9" t="s">
        <v>178</v>
      </c>
      <c r="B20" s="9" t="s">
        <v>42</v>
      </c>
      <c r="C20" s="9" t="s">
        <v>63</v>
      </c>
      <c r="D20" s="9" t="s">
        <v>94</v>
      </c>
      <c r="E20" s="11">
        <f>IFERROR(INDEX('01_PARAMETRES'!$C$42:$C$44,MATCH(D20,'01_PARAMETRES'!$A$42:$A$44,0)),"N/A")</f>
        <v>4.4999999999999998E-2</v>
      </c>
      <c r="F20" s="9" t="s">
        <v>93</v>
      </c>
      <c r="G20" s="9" t="s">
        <v>156</v>
      </c>
      <c r="H20" s="9" t="s">
        <v>157</v>
      </c>
      <c r="I20" s="9" t="s">
        <v>158</v>
      </c>
      <c r="J20" s="9" t="s">
        <v>177</v>
      </c>
    </row>
    <row r="21" spans="1:10" ht="23.25" customHeight="1" x14ac:dyDescent="0.25">
      <c r="A21" s="9" t="s">
        <v>179</v>
      </c>
      <c r="B21" s="9" t="s">
        <v>42</v>
      </c>
      <c r="C21" s="9" t="s">
        <v>63</v>
      </c>
      <c r="D21" s="9" t="s">
        <v>96</v>
      </c>
      <c r="E21" s="11">
        <f>IFERROR(INDEX('01_PARAMETRES'!$C$42:$C$44,MATCH(D21,'01_PARAMETRES'!$A$42:$A$44,0)),"N/A")</f>
        <v>0.06</v>
      </c>
      <c r="F21" s="9" t="s">
        <v>93</v>
      </c>
      <c r="G21" s="9" t="s">
        <v>156</v>
      </c>
      <c r="H21" s="9" t="s">
        <v>157</v>
      </c>
      <c r="I21" s="9" t="s">
        <v>158</v>
      </c>
      <c r="J21" s="9" t="s">
        <v>177</v>
      </c>
    </row>
    <row r="22" spans="1:10" ht="23.25" customHeight="1" x14ac:dyDescent="0.25">
      <c r="A22" s="9" t="s">
        <v>180</v>
      </c>
      <c r="B22" s="9" t="s">
        <v>42</v>
      </c>
      <c r="C22" s="9" t="s">
        <v>68</v>
      </c>
      <c r="D22" s="9" t="s">
        <v>91</v>
      </c>
      <c r="E22" s="11">
        <f>IFERROR(INDEX('01_PARAMETRES'!$C$42:$C$44,MATCH(D22,'01_PARAMETRES'!$A$42:$A$44,0)),"N/A")</f>
        <v>0.05</v>
      </c>
      <c r="F22" s="9" t="s">
        <v>93</v>
      </c>
      <c r="G22" s="9" t="s">
        <v>181</v>
      </c>
      <c r="H22" s="9" t="s">
        <v>182</v>
      </c>
      <c r="I22" s="9" t="s">
        <v>158</v>
      </c>
      <c r="J22" s="9" t="s">
        <v>183</v>
      </c>
    </row>
    <row r="23" spans="1:10" ht="23.25" customHeight="1" x14ac:dyDescent="0.25">
      <c r="A23" s="9" t="s">
        <v>184</v>
      </c>
      <c r="B23" s="9" t="s">
        <v>42</v>
      </c>
      <c r="C23" s="9" t="s">
        <v>68</v>
      </c>
      <c r="D23" s="9" t="s">
        <v>94</v>
      </c>
      <c r="E23" s="11">
        <f>IFERROR(INDEX('01_PARAMETRES'!$C$42:$C$44,MATCH(D23,'01_PARAMETRES'!$A$42:$A$44,0)),"N/A")</f>
        <v>4.4999999999999998E-2</v>
      </c>
      <c r="F23" s="9" t="s">
        <v>93</v>
      </c>
      <c r="G23" s="9" t="s">
        <v>181</v>
      </c>
      <c r="H23" s="9" t="s">
        <v>182</v>
      </c>
      <c r="I23" s="9" t="s">
        <v>158</v>
      </c>
      <c r="J23" s="9" t="s">
        <v>183</v>
      </c>
    </row>
    <row r="24" spans="1:10" ht="23.25" customHeight="1" x14ac:dyDescent="0.25">
      <c r="A24" s="9" t="s">
        <v>185</v>
      </c>
      <c r="B24" s="9" t="s">
        <v>42</v>
      </c>
      <c r="C24" s="9" t="s">
        <v>68</v>
      </c>
      <c r="D24" s="9" t="s">
        <v>96</v>
      </c>
      <c r="E24" s="11">
        <f>IFERROR(INDEX('01_PARAMETRES'!$C$42:$C$44,MATCH(D24,'01_PARAMETRES'!$A$42:$A$44,0)),"N/A")</f>
        <v>0.06</v>
      </c>
      <c r="F24" s="9" t="s">
        <v>93</v>
      </c>
      <c r="G24" s="9" t="s">
        <v>181</v>
      </c>
      <c r="H24" s="9" t="s">
        <v>182</v>
      </c>
      <c r="I24" s="9" t="s">
        <v>158</v>
      </c>
      <c r="J24" s="9" t="s">
        <v>183</v>
      </c>
    </row>
    <row r="25" spans="1:10" ht="23.25" customHeight="1" x14ac:dyDescent="0.25">
      <c r="A25" s="9" t="s">
        <v>186</v>
      </c>
      <c r="B25" s="9" t="s">
        <v>42</v>
      </c>
      <c r="C25" s="9" t="s">
        <v>73</v>
      </c>
      <c r="D25" s="9" t="s">
        <v>91</v>
      </c>
      <c r="E25" s="11">
        <f>IFERROR(INDEX('01_PARAMETRES'!$C$42:$C$44,MATCH(D25,'01_PARAMETRES'!$A$42:$A$44,0)),"N/A")</f>
        <v>0.05</v>
      </c>
      <c r="F25" s="9" t="s">
        <v>93</v>
      </c>
      <c r="G25" s="9" t="s">
        <v>181</v>
      </c>
      <c r="H25" s="9" t="s">
        <v>182</v>
      </c>
      <c r="I25" s="9" t="s">
        <v>158</v>
      </c>
      <c r="J25" s="9" t="s">
        <v>187</v>
      </c>
    </row>
    <row r="26" spans="1:10" ht="23.25" customHeight="1" x14ac:dyDescent="0.25">
      <c r="A26" s="9" t="s">
        <v>188</v>
      </c>
      <c r="B26" s="9" t="s">
        <v>42</v>
      </c>
      <c r="C26" s="9" t="s">
        <v>73</v>
      </c>
      <c r="D26" s="9" t="s">
        <v>94</v>
      </c>
      <c r="E26" s="11">
        <f>IFERROR(INDEX('01_PARAMETRES'!$C$42:$C$44,MATCH(D26,'01_PARAMETRES'!$A$42:$A$44,0)),"N/A")</f>
        <v>4.4999999999999998E-2</v>
      </c>
      <c r="F26" s="9" t="s">
        <v>93</v>
      </c>
      <c r="G26" s="9" t="s">
        <v>181</v>
      </c>
      <c r="H26" s="9" t="s">
        <v>182</v>
      </c>
      <c r="I26" s="9" t="s">
        <v>158</v>
      </c>
      <c r="J26" s="9" t="s">
        <v>187</v>
      </c>
    </row>
    <row r="27" spans="1:10" ht="23.25" customHeight="1" x14ac:dyDescent="0.25">
      <c r="A27" s="9" t="s">
        <v>189</v>
      </c>
      <c r="B27" s="9" t="s">
        <v>42</v>
      </c>
      <c r="C27" s="9" t="s">
        <v>73</v>
      </c>
      <c r="D27" s="9" t="s">
        <v>96</v>
      </c>
      <c r="E27" s="11">
        <f>IFERROR(INDEX('01_PARAMETRES'!$C$42:$C$44,MATCH(D27,'01_PARAMETRES'!$A$42:$A$44,0)),"N/A")</f>
        <v>0.06</v>
      </c>
      <c r="F27" s="9" t="s">
        <v>93</v>
      </c>
      <c r="G27" s="9" t="s">
        <v>181</v>
      </c>
      <c r="H27" s="9" t="s">
        <v>182</v>
      </c>
      <c r="I27" s="9" t="s">
        <v>158</v>
      </c>
      <c r="J27" s="9" t="s">
        <v>190</v>
      </c>
    </row>
    <row r="29" spans="1:10" ht="15" customHeight="1" x14ac:dyDescent="0.25">
      <c r="A29" s="4" t="s">
        <v>191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ht="15" customHeight="1" x14ac:dyDescent="0.25">
      <c r="A30" s="21" t="s">
        <v>192</v>
      </c>
      <c r="B30" s="2" t="s">
        <v>193</v>
      </c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1" t="s">
        <v>89</v>
      </c>
      <c r="B31" s="2" t="s">
        <v>194</v>
      </c>
      <c r="C31" s="2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1" t="s">
        <v>195</v>
      </c>
      <c r="B32" s="2" t="s">
        <v>196</v>
      </c>
      <c r="C32" s="2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1" t="s">
        <v>197</v>
      </c>
      <c r="B33" s="2" t="s">
        <v>198</v>
      </c>
      <c r="C33" s="2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1" t="s">
        <v>199</v>
      </c>
      <c r="B34" s="2" t="s">
        <v>200</v>
      </c>
      <c r="C34" s="2"/>
      <c r="D34" s="2"/>
      <c r="E34" s="2"/>
      <c r="F34" s="2"/>
      <c r="G34" s="2"/>
      <c r="H34" s="2"/>
      <c r="I34" s="2"/>
      <c r="J34" s="2"/>
    </row>
    <row r="35" spans="1:10" ht="15" customHeight="1" x14ac:dyDescent="0.25">
      <c r="A35" s="21" t="s">
        <v>201</v>
      </c>
      <c r="B35" s="2" t="s">
        <v>202</v>
      </c>
      <c r="C35" s="2"/>
      <c r="D35" s="2"/>
      <c r="E35" s="2"/>
      <c r="F35" s="2"/>
      <c r="G35" s="2"/>
      <c r="H35" s="2"/>
      <c r="I35" s="2"/>
      <c r="J35" s="2"/>
    </row>
    <row r="36" spans="1:10" ht="15" customHeight="1" x14ac:dyDescent="0.25">
      <c r="A36" s="21" t="s">
        <v>203</v>
      </c>
      <c r="B36" s="2" t="s">
        <v>204</v>
      </c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5">
      <c r="A37" s="21" t="s">
        <v>205</v>
      </c>
      <c r="B37" s="2" t="s">
        <v>206</v>
      </c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5">
      <c r="A38" s="21" t="s">
        <v>207</v>
      </c>
      <c r="B38" s="2" t="s">
        <v>208</v>
      </c>
      <c r="C38" s="2"/>
      <c r="D38" s="2"/>
      <c r="E38" s="2"/>
      <c r="F38" s="2"/>
      <c r="G38" s="2"/>
      <c r="H38" s="2"/>
      <c r="I38" s="2"/>
      <c r="J38" s="2"/>
    </row>
    <row r="40" spans="1:10" ht="15" customHeight="1" x14ac:dyDescent="0.25">
      <c r="A40" s="3" t="s">
        <v>209</v>
      </c>
      <c r="B40" s="3"/>
      <c r="C40" s="3"/>
      <c r="D40" s="3"/>
      <c r="E40" s="3"/>
      <c r="F40" s="3"/>
      <c r="G40" s="3"/>
      <c r="H40" s="3"/>
      <c r="I40" s="3"/>
      <c r="J40" s="3"/>
    </row>
  </sheetData>
  <mergeCells count="15">
    <mergeCell ref="B35:J35"/>
    <mergeCell ref="B36:J36"/>
    <mergeCell ref="B37:J37"/>
    <mergeCell ref="B38:J38"/>
    <mergeCell ref="A40:J40"/>
    <mergeCell ref="B30:J30"/>
    <mergeCell ref="B31:J31"/>
    <mergeCell ref="B32:J32"/>
    <mergeCell ref="B33:J33"/>
    <mergeCell ref="B34:J34"/>
    <mergeCell ref="A1:J1"/>
    <mergeCell ref="A2:J2"/>
    <mergeCell ref="A3:J3"/>
    <mergeCell ref="A5:J5"/>
    <mergeCell ref="A29:J29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4AF37"/>
    <pageSetUpPr fitToPage="1"/>
  </sheetPr>
  <dimension ref="A1:K73"/>
  <sheetViews>
    <sheetView showGridLines="0" zoomScaleNormal="100" workbookViewId="0">
      <pane ySplit="3" topLeftCell="A4" activePane="bottomLeft" state="frozen"/>
      <selection pane="bottomLeft" activeCell="B7" sqref="B7"/>
    </sheetView>
  </sheetViews>
  <sheetFormatPr baseColWidth="10" defaultColWidth="8.7109375" defaultRowHeight="15" x14ac:dyDescent="0.25"/>
  <cols>
    <col min="1" max="1" width="26" customWidth="1"/>
    <col min="2" max="2" width="16" customWidth="1"/>
    <col min="3" max="11" width="14" customWidth="1"/>
  </cols>
  <sheetData>
    <row r="1" spans="1:11" ht="22.5" customHeight="1" x14ac:dyDescent="0.25">
      <c r="A1" s="7" t="s">
        <v>210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6.5" customHeight="1" x14ac:dyDescent="0.25">
      <c r="A2" s="6" t="s">
        <v>211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 ht="15" customHeight="1" x14ac:dyDescent="0.25">
      <c r="A5" s="4" t="s">
        <v>212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" customHeight="1" x14ac:dyDescent="0.25">
      <c r="A6" s="10" t="s">
        <v>86</v>
      </c>
      <c r="B6" s="10" t="s">
        <v>213</v>
      </c>
      <c r="C6" s="10" t="s">
        <v>214</v>
      </c>
      <c r="D6" s="10" t="s">
        <v>215</v>
      </c>
      <c r="E6" s="10" t="s">
        <v>216</v>
      </c>
      <c r="F6" s="10" t="s">
        <v>217</v>
      </c>
      <c r="G6" s="10" t="s">
        <v>218</v>
      </c>
      <c r="H6" s="10" t="s">
        <v>219</v>
      </c>
      <c r="I6" s="10" t="s">
        <v>220</v>
      </c>
      <c r="J6" s="10" t="s">
        <v>221</v>
      </c>
      <c r="K6" s="10" t="s">
        <v>222</v>
      </c>
    </row>
    <row r="7" spans="1:11" ht="15" customHeight="1" x14ac:dyDescent="0.25">
      <c r="A7" s="9" t="s">
        <v>91</v>
      </c>
      <c r="B7" s="11">
        <f>_xlfn.XLOOKUP(A7,Marques_Noms,Marques_Taux,0)</f>
        <v>0.05</v>
      </c>
      <c r="C7" s="13">
        <f>'01_PARAMETRES'!B56</f>
        <v>45000</v>
      </c>
      <c r="D7" s="13">
        <f>C7*'01_PARAMETRES'!$B$48</f>
        <v>9900</v>
      </c>
      <c r="E7" s="13">
        <f>C7*'01_PARAMETRES'!$B$49</f>
        <v>10350</v>
      </c>
      <c r="F7" s="13">
        <f>C7*'01_PARAMETRES'!$B$50</f>
        <v>11250</v>
      </c>
      <c r="G7" s="13">
        <f>C7*'01_PARAMETRES'!$B$51</f>
        <v>13500</v>
      </c>
      <c r="H7" s="13">
        <f>D7*B7</f>
        <v>495</v>
      </c>
      <c r="I7" s="13">
        <f>E7*B7</f>
        <v>517.5</v>
      </c>
      <c r="J7" s="13">
        <f>F7*B7</f>
        <v>562.5</v>
      </c>
      <c r="K7" s="13">
        <f>G7*B7</f>
        <v>675</v>
      </c>
    </row>
    <row r="8" spans="1:11" ht="15" customHeight="1" x14ac:dyDescent="0.25">
      <c r="A8" s="9" t="s">
        <v>94</v>
      </c>
      <c r="B8" s="11">
        <f>_xlfn.XLOOKUP(A8,Marques_Noms,Marques_Taux,0)</f>
        <v>4.4999999999999998E-2</v>
      </c>
      <c r="C8" s="13">
        <f>'01_PARAMETRES'!C56</f>
        <v>32000</v>
      </c>
      <c r="D8" s="13">
        <f>C8*'01_PARAMETRES'!$B$48</f>
        <v>7040</v>
      </c>
      <c r="E8" s="13">
        <f>C8*'01_PARAMETRES'!$B$49</f>
        <v>7360</v>
      </c>
      <c r="F8" s="13">
        <f>C8*'01_PARAMETRES'!$B$50</f>
        <v>8000</v>
      </c>
      <c r="G8" s="13">
        <f>C8*'01_PARAMETRES'!$B$51</f>
        <v>9600</v>
      </c>
      <c r="H8" s="13">
        <f>D8*B8</f>
        <v>316.8</v>
      </c>
      <c r="I8" s="13">
        <f>E8*B8</f>
        <v>331.2</v>
      </c>
      <c r="J8" s="13">
        <f>F8*B8</f>
        <v>360</v>
      </c>
      <c r="K8" s="13">
        <f>G8*B8</f>
        <v>432</v>
      </c>
    </row>
    <row r="9" spans="1:11" ht="15" customHeight="1" x14ac:dyDescent="0.25">
      <c r="A9" s="9" t="s">
        <v>96</v>
      </c>
      <c r="B9" s="11">
        <f>_xlfn.XLOOKUP(A9,Marques_Noms,Marques_Taux,0)</f>
        <v>0.06</v>
      </c>
      <c r="C9" s="13">
        <f>'01_PARAMETRES'!D56</f>
        <v>18000</v>
      </c>
      <c r="D9" s="13">
        <f>C9*'01_PARAMETRES'!$B$48</f>
        <v>3960</v>
      </c>
      <c r="E9" s="13">
        <f>C9*'01_PARAMETRES'!$B$49</f>
        <v>4140</v>
      </c>
      <c r="F9" s="13">
        <f>C9*'01_PARAMETRES'!$B$50</f>
        <v>4500</v>
      </c>
      <c r="G9" s="13">
        <f>C9*'01_PARAMETRES'!$B$51</f>
        <v>5400</v>
      </c>
      <c r="H9" s="13">
        <f>D9*B9</f>
        <v>237.6</v>
      </c>
      <c r="I9" s="13">
        <f>E9*B9</f>
        <v>248.39999999999998</v>
      </c>
      <c r="J9" s="13">
        <f>F9*B9</f>
        <v>270</v>
      </c>
      <c r="K9" s="13">
        <f>G9*B9</f>
        <v>324</v>
      </c>
    </row>
    <row r="10" spans="1:11" ht="15" customHeight="1" x14ac:dyDescent="0.25">
      <c r="A10" s="16" t="s">
        <v>110</v>
      </c>
      <c r="B10" s="16" t="s">
        <v>223</v>
      </c>
      <c r="C10" s="22">
        <f t="shared" ref="C10:K10" si="0">SUM(C7:C9)</f>
        <v>95000</v>
      </c>
      <c r="D10" s="22">
        <f t="shared" si="0"/>
        <v>20900</v>
      </c>
      <c r="E10" s="22">
        <f t="shared" si="0"/>
        <v>21850</v>
      </c>
      <c r="F10" s="22">
        <f t="shared" si="0"/>
        <v>23750</v>
      </c>
      <c r="G10" s="22">
        <f t="shared" si="0"/>
        <v>28500</v>
      </c>
      <c r="H10" s="22">
        <f t="shared" si="0"/>
        <v>1049.3999999999999</v>
      </c>
      <c r="I10" s="22">
        <f t="shared" si="0"/>
        <v>1097.0999999999999</v>
      </c>
      <c r="J10" s="22">
        <f t="shared" si="0"/>
        <v>1192.5</v>
      </c>
      <c r="K10" s="22">
        <f t="shared" si="0"/>
        <v>1431</v>
      </c>
    </row>
    <row r="11" spans="1:11" ht="41.25" customHeight="1" x14ac:dyDescent="0.25">
      <c r="A11" s="23"/>
      <c r="B11" s="23"/>
      <c r="C11" s="23"/>
      <c r="D11" s="23"/>
      <c r="E11" s="23"/>
      <c r="F11" s="23"/>
      <c r="G11" s="24" t="s">
        <v>224</v>
      </c>
      <c r="H11" s="23"/>
      <c r="I11" s="23"/>
      <c r="J11" s="23"/>
      <c r="K11" s="25">
        <f>SUM(H10:K10)</f>
        <v>4770</v>
      </c>
    </row>
    <row r="13" spans="1:11" ht="15" customHeight="1" x14ac:dyDescent="0.25">
      <c r="A13" s="4" t="s">
        <v>225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" customHeight="1" x14ac:dyDescent="0.25">
      <c r="A14" s="10" t="s">
        <v>86</v>
      </c>
      <c r="B14" s="10" t="s">
        <v>213</v>
      </c>
      <c r="C14" s="10" t="s">
        <v>214</v>
      </c>
      <c r="D14" s="10" t="s">
        <v>215</v>
      </c>
      <c r="E14" s="10" t="s">
        <v>216</v>
      </c>
      <c r="F14" s="10" t="s">
        <v>217</v>
      </c>
      <c r="G14" s="10" t="s">
        <v>218</v>
      </c>
      <c r="H14" s="10" t="s">
        <v>219</v>
      </c>
      <c r="I14" s="10" t="s">
        <v>220</v>
      </c>
      <c r="J14" s="10" t="s">
        <v>221</v>
      </c>
      <c r="K14" s="10" t="s">
        <v>222</v>
      </c>
    </row>
    <row r="15" spans="1:11" ht="15" customHeight="1" x14ac:dyDescent="0.25">
      <c r="A15" s="9" t="s">
        <v>91</v>
      </c>
      <c r="B15" s="11">
        <f>_xlfn.XLOOKUP(A15,Marques_Noms,Marques_Taux,0)</f>
        <v>0.05</v>
      </c>
      <c r="C15" s="13">
        <f>'01_PARAMETRES'!B57</f>
        <v>28000</v>
      </c>
      <c r="D15" s="13">
        <f>C15*'01_PARAMETRES'!$B$48</f>
        <v>6160</v>
      </c>
      <c r="E15" s="13">
        <f>C15*'01_PARAMETRES'!$B$49</f>
        <v>6440</v>
      </c>
      <c r="F15" s="13">
        <f>C15*'01_PARAMETRES'!$B$50</f>
        <v>7000</v>
      </c>
      <c r="G15" s="13">
        <f>C15*'01_PARAMETRES'!$B$51</f>
        <v>8400</v>
      </c>
      <c r="H15" s="13">
        <f>D15*B15</f>
        <v>308</v>
      </c>
      <c r="I15" s="13">
        <f>E15*B15</f>
        <v>322</v>
      </c>
      <c r="J15" s="13">
        <f>F15*B15</f>
        <v>350</v>
      </c>
      <c r="K15" s="13">
        <f>G15*B15</f>
        <v>420</v>
      </c>
    </row>
    <row r="16" spans="1:11" ht="15" customHeight="1" x14ac:dyDescent="0.25">
      <c r="A16" s="9" t="s">
        <v>94</v>
      </c>
      <c r="B16" s="11">
        <f>IFERROR(INDEX('01_PARAMETRES'!$C$42:$C$44,MATCH(A16,'01_PARAMETRES'!$A$42:$A$44,0)),0)</f>
        <v>4.4999999999999998E-2</v>
      </c>
      <c r="C16" s="13">
        <f>'01_PARAMETRES'!C57</f>
        <v>22000</v>
      </c>
      <c r="D16" s="13">
        <f>C16*'01_PARAMETRES'!$B$48</f>
        <v>4840</v>
      </c>
      <c r="E16" s="13">
        <f>C16*'01_PARAMETRES'!$B$49</f>
        <v>5060</v>
      </c>
      <c r="F16" s="13">
        <f>C16*'01_PARAMETRES'!$B$50</f>
        <v>5500</v>
      </c>
      <c r="G16" s="13">
        <f>C16*'01_PARAMETRES'!$B$51</f>
        <v>6600</v>
      </c>
      <c r="H16" s="13">
        <f>D16*B16</f>
        <v>217.79999999999998</v>
      </c>
      <c r="I16" s="13">
        <f>E16*B16</f>
        <v>227.7</v>
      </c>
      <c r="J16" s="13">
        <f>F16*B16</f>
        <v>247.5</v>
      </c>
      <c r="K16" s="13">
        <f>G16*B16</f>
        <v>297</v>
      </c>
    </row>
    <row r="17" spans="1:11" ht="15" customHeight="1" x14ac:dyDescent="0.25">
      <c r="A17" s="9" t="s">
        <v>96</v>
      </c>
      <c r="B17" s="11">
        <f>IFERROR(INDEX('01_PARAMETRES'!$C$42:$C$44,MATCH(A17,'01_PARAMETRES'!$A$42:$A$44,0)),0)</f>
        <v>0.06</v>
      </c>
      <c r="C17" s="13">
        <f>'01_PARAMETRES'!D57</f>
        <v>12000</v>
      </c>
      <c r="D17" s="13">
        <f>C17*'01_PARAMETRES'!$B$48</f>
        <v>2640</v>
      </c>
      <c r="E17" s="13">
        <f>C17*'01_PARAMETRES'!$B$49</f>
        <v>2760</v>
      </c>
      <c r="F17" s="13">
        <f>C17*'01_PARAMETRES'!$B$50</f>
        <v>3000</v>
      </c>
      <c r="G17" s="13">
        <f>C17*'01_PARAMETRES'!$B$51</f>
        <v>3600</v>
      </c>
      <c r="H17" s="13">
        <f>D17*B17</f>
        <v>158.4</v>
      </c>
      <c r="I17" s="13">
        <f>E17*B17</f>
        <v>165.6</v>
      </c>
      <c r="J17" s="13">
        <f>F17*B17</f>
        <v>180</v>
      </c>
      <c r="K17" s="13">
        <f>G17*B17</f>
        <v>216</v>
      </c>
    </row>
    <row r="18" spans="1:11" ht="15" customHeight="1" x14ac:dyDescent="0.25">
      <c r="A18" s="16" t="s">
        <v>110</v>
      </c>
      <c r="B18" s="16" t="s">
        <v>223</v>
      </c>
      <c r="C18" s="22">
        <f t="shared" ref="C18:K18" si="1">SUM(C15:C17)</f>
        <v>62000</v>
      </c>
      <c r="D18" s="22">
        <f t="shared" si="1"/>
        <v>13640</v>
      </c>
      <c r="E18" s="22">
        <f t="shared" si="1"/>
        <v>14260</v>
      </c>
      <c r="F18" s="22">
        <f t="shared" si="1"/>
        <v>15500</v>
      </c>
      <c r="G18" s="22">
        <f t="shared" si="1"/>
        <v>18600</v>
      </c>
      <c r="H18" s="22">
        <f t="shared" si="1"/>
        <v>684.19999999999993</v>
      </c>
      <c r="I18" s="22">
        <f t="shared" si="1"/>
        <v>715.30000000000007</v>
      </c>
      <c r="J18" s="22">
        <f t="shared" si="1"/>
        <v>777.5</v>
      </c>
      <c r="K18" s="22">
        <f t="shared" si="1"/>
        <v>933</v>
      </c>
    </row>
    <row r="19" spans="1:11" ht="41.25" customHeight="1" x14ac:dyDescent="0.25">
      <c r="A19" s="23"/>
      <c r="B19" s="23"/>
      <c r="C19" s="23"/>
      <c r="D19" s="23"/>
      <c r="E19" s="23"/>
      <c r="F19" s="23"/>
      <c r="G19" s="24" t="s">
        <v>224</v>
      </c>
      <c r="H19" s="23"/>
      <c r="I19" s="23"/>
      <c r="J19" s="23"/>
      <c r="K19" s="25">
        <f>SUM(H18:K18)</f>
        <v>3110</v>
      </c>
    </row>
    <row r="21" spans="1:11" ht="15" customHeight="1" x14ac:dyDescent="0.25">
      <c r="A21" s="4" t="s">
        <v>226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5" customHeight="1" x14ac:dyDescent="0.25">
      <c r="A22" s="10" t="s">
        <v>86</v>
      </c>
      <c r="B22" s="10" t="s">
        <v>213</v>
      </c>
      <c r="C22" s="10" t="s">
        <v>214</v>
      </c>
      <c r="D22" s="10" t="s">
        <v>215</v>
      </c>
      <c r="E22" s="10" t="s">
        <v>216</v>
      </c>
      <c r="F22" s="10" t="s">
        <v>217</v>
      </c>
      <c r="G22" s="10" t="s">
        <v>218</v>
      </c>
      <c r="H22" s="10" t="s">
        <v>219</v>
      </c>
      <c r="I22" s="10" t="s">
        <v>220</v>
      </c>
      <c r="J22" s="10" t="s">
        <v>221</v>
      </c>
      <c r="K22" s="10" t="s">
        <v>222</v>
      </c>
    </row>
    <row r="23" spans="1:11" ht="15" customHeight="1" x14ac:dyDescent="0.25">
      <c r="A23" s="9" t="s">
        <v>91</v>
      </c>
      <c r="B23" s="11">
        <f>IFERROR(INDEX('01_PARAMETRES'!$C$42:$C$44,MATCH(A23,'01_PARAMETRES'!$A$42:$A$44,0)),0)</f>
        <v>0.05</v>
      </c>
      <c r="C23" s="13">
        <f>'01_PARAMETRES'!B58</f>
        <v>35000</v>
      </c>
      <c r="D23" s="13">
        <f>C23*'01_PARAMETRES'!$B$48</f>
        <v>7700</v>
      </c>
      <c r="E23" s="13">
        <f>C23*'01_PARAMETRES'!$B$49</f>
        <v>8050</v>
      </c>
      <c r="F23" s="13">
        <f>C23*'01_PARAMETRES'!$B$50</f>
        <v>8750</v>
      </c>
      <c r="G23" s="13">
        <f>C23*'01_PARAMETRES'!$B$51</f>
        <v>10500</v>
      </c>
      <c r="H23" s="13">
        <f>D23*B23</f>
        <v>385</v>
      </c>
      <c r="I23" s="13">
        <f>E23*B23</f>
        <v>402.5</v>
      </c>
      <c r="J23" s="13">
        <f>F23*B23</f>
        <v>437.5</v>
      </c>
      <c r="K23" s="13">
        <f>G23*B23</f>
        <v>525</v>
      </c>
    </row>
    <row r="24" spans="1:11" ht="15" customHeight="1" x14ac:dyDescent="0.25">
      <c r="A24" s="9" t="s">
        <v>94</v>
      </c>
      <c r="B24" s="11">
        <f>IFERROR(INDEX('01_PARAMETRES'!$C$42:$C$44,MATCH(A24,'01_PARAMETRES'!$A$42:$A$44,0)),0)</f>
        <v>4.4999999999999998E-2</v>
      </c>
      <c r="C24" s="13">
        <f>'01_PARAMETRES'!C58</f>
        <v>28000</v>
      </c>
      <c r="D24" s="13">
        <f>C24*'01_PARAMETRES'!$B$48</f>
        <v>6160</v>
      </c>
      <c r="E24" s="13">
        <f>C24*'01_PARAMETRES'!$B$49</f>
        <v>6440</v>
      </c>
      <c r="F24" s="13">
        <f>C24*'01_PARAMETRES'!$B$50</f>
        <v>7000</v>
      </c>
      <c r="G24" s="13">
        <f>C24*'01_PARAMETRES'!$B$51</f>
        <v>8400</v>
      </c>
      <c r="H24" s="13">
        <f>D24*B24</f>
        <v>277.2</v>
      </c>
      <c r="I24" s="13">
        <f>E24*B24</f>
        <v>289.8</v>
      </c>
      <c r="J24" s="13">
        <f>F24*B24</f>
        <v>315</v>
      </c>
      <c r="K24" s="13">
        <f>G24*B24</f>
        <v>378</v>
      </c>
    </row>
    <row r="25" spans="1:11" ht="15" customHeight="1" x14ac:dyDescent="0.25">
      <c r="A25" s="9" t="s">
        <v>96</v>
      </c>
      <c r="B25" s="11">
        <f>IFERROR(INDEX('01_PARAMETRES'!$C$42:$C$44,MATCH(A25,'01_PARAMETRES'!$A$42:$A$44,0)),0)</f>
        <v>0.06</v>
      </c>
      <c r="C25" s="13">
        <f>'01_PARAMETRES'!D58</f>
        <v>20000</v>
      </c>
      <c r="D25" s="13">
        <f>C25*'01_PARAMETRES'!$B$48</f>
        <v>4400</v>
      </c>
      <c r="E25" s="13">
        <f>C25*'01_PARAMETRES'!$B$49</f>
        <v>4600</v>
      </c>
      <c r="F25" s="13">
        <f>C25*'01_PARAMETRES'!$B$50</f>
        <v>5000</v>
      </c>
      <c r="G25" s="13">
        <f>C25*'01_PARAMETRES'!$B$51</f>
        <v>6000</v>
      </c>
      <c r="H25" s="13">
        <f>D25*B25</f>
        <v>264</v>
      </c>
      <c r="I25" s="13">
        <f>E25*B25</f>
        <v>276</v>
      </c>
      <c r="J25" s="13">
        <f>F25*B25</f>
        <v>300</v>
      </c>
      <c r="K25" s="13">
        <f>G25*B25</f>
        <v>360</v>
      </c>
    </row>
    <row r="26" spans="1:11" ht="15" customHeight="1" x14ac:dyDescent="0.25">
      <c r="A26" s="16" t="s">
        <v>110</v>
      </c>
      <c r="B26" s="16" t="s">
        <v>223</v>
      </c>
      <c r="C26" s="22">
        <f t="shared" ref="C26:K26" si="2">SUM(C23:C25)</f>
        <v>83000</v>
      </c>
      <c r="D26" s="22">
        <f t="shared" si="2"/>
        <v>18260</v>
      </c>
      <c r="E26" s="22">
        <f t="shared" si="2"/>
        <v>19090</v>
      </c>
      <c r="F26" s="22">
        <f t="shared" si="2"/>
        <v>20750</v>
      </c>
      <c r="G26" s="22">
        <f t="shared" si="2"/>
        <v>24900</v>
      </c>
      <c r="H26" s="22">
        <f t="shared" si="2"/>
        <v>926.2</v>
      </c>
      <c r="I26" s="22">
        <f t="shared" si="2"/>
        <v>968.3</v>
      </c>
      <c r="J26" s="22">
        <f t="shared" si="2"/>
        <v>1052.5</v>
      </c>
      <c r="K26" s="22">
        <f t="shared" si="2"/>
        <v>1263</v>
      </c>
    </row>
    <row r="27" spans="1:11" ht="41.25" customHeight="1" x14ac:dyDescent="0.25">
      <c r="A27" s="23"/>
      <c r="B27" s="23"/>
      <c r="C27" s="23"/>
      <c r="D27" s="23"/>
      <c r="E27" s="23"/>
      <c r="F27" s="23"/>
      <c r="G27" s="24" t="s">
        <v>224</v>
      </c>
      <c r="H27" s="23"/>
      <c r="I27" s="23"/>
      <c r="J27" s="23"/>
      <c r="K27" s="25">
        <f>SUM(H26:K26)</f>
        <v>4210</v>
      </c>
    </row>
    <row r="29" spans="1:11" ht="15" customHeight="1" x14ac:dyDescent="0.25">
      <c r="A29" s="4" t="s">
        <v>227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5" customHeight="1" x14ac:dyDescent="0.25">
      <c r="A30" s="10" t="s">
        <v>86</v>
      </c>
      <c r="B30" s="10" t="s">
        <v>213</v>
      </c>
      <c r="C30" s="10" t="s">
        <v>214</v>
      </c>
      <c r="D30" s="10" t="s">
        <v>215</v>
      </c>
      <c r="E30" s="10" t="s">
        <v>216</v>
      </c>
      <c r="F30" s="10" t="s">
        <v>217</v>
      </c>
      <c r="G30" s="10" t="s">
        <v>218</v>
      </c>
      <c r="H30" s="10" t="s">
        <v>219</v>
      </c>
      <c r="I30" s="10" t="s">
        <v>220</v>
      </c>
      <c r="J30" s="10" t="s">
        <v>221</v>
      </c>
      <c r="K30" s="10" t="s">
        <v>222</v>
      </c>
    </row>
    <row r="31" spans="1:11" ht="15" customHeight="1" x14ac:dyDescent="0.25">
      <c r="A31" s="9" t="s">
        <v>91</v>
      </c>
      <c r="B31" s="11">
        <f>IFERROR(INDEX('01_PARAMETRES'!$C$42:$C$44,MATCH(A31,'01_PARAMETRES'!$A$42:$A$44,0)),0)</f>
        <v>0.05</v>
      </c>
      <c r="C31" s="13">
        <f>'01_PARAMETRES'!B59</f>
        <v>52000</v>
      </c>
      <c r="D31" s="13">
        <f>C31*'01_PARAMETRES'!$B$48</f>
        <v>11440</v>
      </c>
      <c r="E31" s="13">
        <f>C31*'01_PARAMETRES'!$B$49</f>
        <v>11960</v>
      </c>
      <c r="F31" s="13">
        <f>C31*'01_PARAMETRES'!$B$50</f>
        <v>13000</v>
      </c>
      <c r="G31" s="13">
        <f>C31*'01_PARAMETRES'!$B$51</f>
        <v>15600</v>
      </c>
      <c r="H31" s="13">
        <f>D31*B31</f>
        <v>572</v>
      </c>
      <c r="I31" s="13">
        <f>E31*B31</f>
        <v>598</v>
      </c>
      <c r="J31" s="13">
        <f>F31*B31</f>
        <v>650</v>
      </c>
      <c r="K31" s="13">
        <f>G31*B31</f>
        <v>780</v>
      </c>
    </row>
    <row r="32" spans="1:11" ht="15" customHeight="1" x14ac:dyDescent="0.25">
      <c r="A32" s="9" t="s">
        <v>94</v>
      </c>
      <c r="B32" s="11">
        <f>IFERROR(INDEX('01_PARAMETRES'!$C$42:$C$44,MATCH(A32,'01_PARAMETRES'!$A$42:$A$44,0)),0)</f>
        <v>4.4999999999999998E-2</v>
      </c>
      <c r="C32" s="13">
        <f>'01_PARAMETRES'!C59</f>
        <v>38000</v>
      </c>
      <c r="D32" s="13">
        <f>C32*'01_PARAMETRES'!$B$48</f>
        <v>8360</v>
      </c>
      <c r="E32" s="13">
        <f>C32*'01_PARAMETRES'!$B$49</f>
        <v>8740</v>
      </c>
      <c r="F32" s="13">
        <f>C32*'01_PARAMETRES'!$B$50</f>
        <v>9500</v>
      </c>
      <c r="G32" s="13">
        <f>C32*'01_PARAMETRES'!$B$51</f>
        <v>11400</v>
      </c>
      <c r="H32" s="13">
        <f>D32*B32</f>
        <v>376.2</v>
      </c>
      <c r="I32" s="13">
        <f>E32*B32</f>
        <v>393.3</v>
      </c>
      <c r="J32" s="13">
        <f>F32*B32</f>
        <v>427.5</v>
      </c>
      <c r="K32" s="13">
        <f>G32*B32</f>
        <v>513</v>
      </c>
    </row>
    <row r="33" spans="1:11" ht="15" customHeight="1" x14ac:dyDescent="0.25">
      <c r="A33" s="9" t="s">
        <v>96</v>
      </c>
      <c r="B33" s="11">
        <f>IFERROR(INDEX('01_PARAMETRES'!$C$42:$C$44,MATCH(A33,'01_PARAMETRES'!$A$42:$A$44,0)),0)</f>
        <v>0.06</v>
      </c>
      <c r="C33" s="13">
        <f>'01_PARAMETRES'!D59</f>
        <v>25000</v>
      </c>
      <c r="D33" s="13">
        <f>C33*'01_PARAMETRES'!$B$48</f>
        <v>5500</v>
      </c>
      <c r="E33" s="13">
        <f>C33*'01_PARAMETRES'!$B$49</f>
        <v>5750</v>
      </c>
      <c r="F33" s="13">
        <f>C33*'01_PARAMETRES'!$B$50</f>
        <v>6250</v>
      </c>
      <c r="G33" s="13">
        <f>C33*'01_PARAMETRES'!$B$51</f>
        <v>7500</v>
      </c>
      <c r="H33" s="13">
        <f>D33*B33</f>
        <v>330</v>
      </c>
      <c r="I33" s="13">
        <f>E33*B33</f>
        <v>345</v>
      </c>
      <c r="J33" s="13">
        <f>F33*B33</f>
        <v>375</v>
      </c>
      <c r="K33" s="13">
        <f>G33*B33</f>
        <v>450</v>
      </c>
    </row>
    <row r="34" spans="1:11" ht="15" customHeight="1" x14ac:dyDescent="0.25">
      <c r="A34" s="16" t="s">
        <v>110</v>
      </c>
      <c r="B34" s="16" t="s">
        <v>223</v>
      </c>
      <c r="C34" s="22">
        <f t="shared" ref="C34:K34" si="3">SUM(C31:C33)</f>
        <v>115000</v>
      </c>
      <c r="D34" s="22">
        <f t="shared" si="3"/>
        <v>25300</v>
      </c>
      <c r="E34" s="22">
        <f t="shared" si="3"/>
        <v>26450</v>
      </c>
      <c r="F34" s="22">
        <f t="shared" si="3"/>
        <v>28750</v>
      </c>
      <c r="G34" s="22">
        <f t="shared" si="3"/>
        <v>34500</v>
      </c>
      <c r="H34" s="22">
        <f t="shared" si="3"/>
        <v>1278.2</v>
      </c>
      <c r="I34" s="22">
        <f t="shared" si="3"/>
        <v>1336.3</v>
      </c>
      <c r="J34" s="22">
        <f t="shared" si="3"/>
        <v>1452.5</v>
      </c>
      <c r="K34" s="22">
        <f t="shared" si="3"/>
        <v>1743</v>
      </c>
    </row>
    <row r="35" spans="1:11" ht="41.25" customHeight="1" x14ac:dyDescent="0.25">
      <c r="A35" s="23"/>
      <c r="B35" s="23"/>
      <c r="C35" s="23"/>
      <c r="D35" s="23"/>
      <c r="E35" s="23"/>
      <c r="F35" s="23"/>
      <c r="G35" s="24" t="s">
        <v>224</v>
      </c>
      <c r="H35" s="23"/>
      <c r="I35" s="23"/>
      <c r="J35" s="23"/>
      <c r="K35" s="25">
        <f>SUM(H34:K34)</f>
        <v>5810</v>
      </c>
    </row>
    <row r="37" spans="1:11" ht="15" customHeight="1" x14ac:dyDescent="0.25">
      <c r="A37" s="4" t="s">
        <v>228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5" customHeight="1" x14ac:dyDescent="0.25">
      <c r="A38" s="10" t="s">
        <v>86</v>
      </c>
      <c r="B38" s="10" t="s">
        <v>213</v>
      </c>
      <c r="C38" s="10" t="s">
        <v>214</v>
      </c>
      <c r="D38" s="10" t="s">
        <v>215</v>
      </c>
      <c r="E38" s="10" t="s">
        <v>216</v>
      </c>
      <c r="F38" s="10" t="s">
        <v>217</v>
      </c>
      <c r="G38" s="10" t="s">
        <v>218</v>
      </c>
      <c r="H38" s="10" t="s">
        <v>219</v>
      </c>
      <c r="I38" s="10" t="s">
        <v>220</v>
      </c>
      <c r="J38" s="10" t="s">
        <v>221</v>
      </c>
      <c r="K38" s="10" t="s">
        <v>222</v>
      </c>
    </row>
    <row r="39" spans="1:11" ht="15" customHeight="1" x14ac:dyDescent="0.25">
      <c r="A39" s="9" t="s">
        <v>91</v>
      </c>
      <c r="B39" s="11">
        <f>IFERROR(INDEX('01_PARAMETRES'!$C$42:$C$44,MATCH(A39,'01_PARAMETRES'!$A$42:$A$44,0)),0)</f>
        <v>0.05</v>
      </c>
      <c r="C39" s="13">
        <f>'01_PARAMETRES'!B60</f>
        <v>22000</v>
      </c>
      <c r="D39" s="13">
        <f>C39*'01_PARAMETRES'!$B$48</f>
        <v>4840</v>
      </c>
      <c r="E39" s="13">
        <f>C39*'01_PARAMETRES'!$B$49</f>
        <v>5060</v>
      </c>
      <c r="F39" s="13">
        <f>C39*'01_PARAMETRES'!$B$50</f>
        <v>5500</v>
      </c>
      <c r="G39" s="13">
        <f>C39*'01_PARAMETRES'!$B$51</f>
        <v>6600</v>
      </c>
      <c r="H39" s="13">
        <f>D39*B39</f>
        <v>242</v>
      </c>
      <c r="I39" s="13">
        <f>E39*B39</f>
        <v>253</v>
      </c>
      <c r="J39" s="13">
        <f>F39*B39</f>
        <v>275</v>
      </c>
      <c r="K39" s="13">
        <f>G39*B39</f>
        <v>330</v>
      </c>
    </row>
    <row r="40" spans="1:11" ht="15" customHeight="1" x14ac:dyDescent="0.25">
      <c r="A40" s="9" t="s">
        <v>94</v>
      </c>
      <c r="B40" s="11">
        <f>IFERROR(INDEX('01_PARAMETRES'!$C$42:$C$44,MATCH(A40,'01_PARAMETRES'!$A$42:$A$44,0)),0)</f>
        <v>4.4999999999999998E-2</v>
      </c>
      <c r="C40" s="13">
        <f>'01_PARAMETRES'!C60</f>
        <v>18000</v>
      </c>
      <c r="D40" s="13">
        <f>C40*'01_PARAMETRES'!$B$48</f>
        <v>3960</v>
      </c>
      <c r="E40" s="13">
        <f>C40*'01_PARAMETRES'!$B$49</f>
        <v>4140</v>
      </c>
      <c r="F40" s="13">
        <f>C40*'01_PARAMETRES'!$B$50</f>
        <v>4500</v>
      </c>
      <c r="G40" s="13">
        <f>C40*'01_PARAMETRES'!$B$51</f>
        <v>5400</v>
      </c>
      <c r="H40" s="13">
        <f>D40*B40</f>
        <v>178.2</v>
      </c>
      <c r="I40" s="13">
        <f>E40*B40</f>
        <v>186.29999999999998</v>
      </c>
      <c r="J40" s="13">
        <f>F40*B40</f>
        <v>202.5</v>
      </c>
      <c r="K40" s="13">
        <f>G40*B40</f>
        <v>243</v>
      </c>
    </row>
    <row r="41" spans="1:11" ht="15" customHeight="1" x14ac:dyDescent="0.25">
      <c r="A41" s="9" t="s">
        <v>96</v>
      </c>
      <c r="B41" s="11">
        <f>IFERROR(INDEX('01_PARAMETRES'!$C$42:$C$44,MATCH(A41,'01_PARAMETRES'!$A$42:$A$44,0)),0)</f>
        <v>0.06</v>
      </c>
      <c r="C41" s="13">
        <f>'01_PARAMETRES'!D60</f>
        <v>10000</v>
      </c>
      <c r="D41" s="13">
        <f>C41*'01_PARAMETRES'!$B$48</f>
        <v>2200</v>
      </c>
      <c r="E41" s="13">
        <f>C41*'01_PARAMETRES'!$B$49</f>
        <v>2300</v>
      </c>
      <c r="F41" s="13">
        <f>C41*'01_PARAMETRES'!$B$50</f>
        <v>2500</v>
      </c>
      <c r="G41" s="13">
        <f>C41*'01_PARAMETRES'!$B$51</f>
        <v>3000</v>
      </c>
      <c r="H41" s="13">
        <f>D41*B41</f>
        <v>132</v>
      </c>
      <c r="I41" s="13">
        <f>E41*B41</f>
        <v>138</v>
      </c>
      <c r="J41" s="13">
        <f>F41*B41</f>
        <v>150</v>
      </c>
      <c r="K41" s="13">
        <f>G41*B41</f>
        <v>180</v>
      </c>
    </row>
    <row r="42" spans="1:11" ht="15" customHeight="1" x14ac:dyDescent="0.25">
      <c r="A42" s="16" t="s">
        <v>110</v>
      </c>
      <c r="B42" s="16" t="s">
        <v>223</v>
      </c>
      <c r="C42" s="22">
        <f t="shared" ref="C42:K42" si="4">SUM(C39:C41)</f>
        <v>50000</v>
      </c>
      <c r="D42" s="22">
        <f t="shared" si="4"/>
        <v>11000</v>
      </c>
      <c r="E42" s="22">
        <f t="shared" si="4"/>
        <v>11500</v>
      </c>
      <c r="F42" s="22">
        <f t="shared" si="4"/>
        <v>12500</v>
      </c>
      <c r="G42" s="22">
        <f t="shared" si="4"/>
        <v>15000</v>
      </c>
      <c r="H42" s="22">
        <f t="shared" si="4"/>
        <v>552.20000000000005</v>
      </c>
      <c r="I42" s="22">
        <f t="shared" si="4"/>
        <v>577.29999999999995</v>
      </c>
      <c r="J42" s="22">
        <f t="shared" si="4"/>
        <v>627.5</v>
      </c>
      <c r="K42" s="22">
        <f t="shared" si="4"/>
        <v>753</v>
      </c>
    </row>
    <row r="43" spans="1:11" ht="41.25" customHeight="1" x14ac:dyDescent="0.25">
      <c r="A43" s="23"/>
      <c r="B43" s="23"/>
      <c r="C43" s="23"/>
      <c r="D43" s="23"/>
      <c r="E43" s="23"/>
      <c r="F43" s="23"/>
      <c r="G43" s="24" t="s">
        <v>224</v>
      </c>
      <c r="H43" s="23"/>
      <c r="I43" s="23"/>
      <c r="J43" s="23"/>
      <c r="K43" s="25">
        <f>SUM(H42:K42)</f>
        <v>2510</v>
      </c>
    </row>
    <row r="45" spans="1:11" ht="15" customHeight="1" x14ac:dyDescent="0.25">
      <c r="A45" s="4" t="s">
        <v>229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5" customHeight="1" x14ac:dyDescent="0.25">
      <c r="A46" s="10" t="s">
        <v>86</v>
      </c>
      <c r="B46" s="10" t="s">
        <v>213</v>
      </c>
      <c r="C46" s="10" t="s">
        <v>214</v>
      </c>
      <c r="D46" s="10" t="s">
        <v>215</v>
      </c>
      <c r="E46" s="10" t="s">
        <v>216</v>
      </c>
      <c r="F46" s="10" t="s">
        <v>217</v>
      </c>
      <c r="G46" s="10" t="s">
        <v>218</v>
      </c>
      <c r="H46" s="10" t="s">
        <v>219</v>
      </c>
      <c r="I46" s="10" t="s">
        <v>220</v>
      </c>
      <c r="J46" s="10" t="s">
        <v>221</v>
      </c>
      <c r="K46" s="10" t="s">
        <v>222</v>
      </c>
    </row>
    <row r="47" spans="1:11" ht="15" customHeight="1" x14ac:dyDescent="0.25">
      <c r="A47" s="9" t="s">
        <v>91</v>
      </c>
      <c r="B47" s="11">
        <f>IFERROR(INDEX('01_PARAMETRES'!$C$42:$C$44,MATCH(A47,'01_PARAMETRES'!$A$42:$A$44,0)),0)</f>
        <v>0.05</v>
      </c>
      <c r="C47" s="13">
        <f>'01_PARAMETRES'!B61</f>
        <v>48000</v>
      </c>
      <c r="D47" s="13">
        <f>C47*'01_PARAMETRES'!$B$48</f>
        <v>10560</v>
      </c>
      <c r="E47" s="13">
        <f>C47*'01_PARAMETRES'!$B$49</f>
        <v>11040</v>
      </c>
      <c r="F47" s="13">
        <f>C47*'01_PARAMETRES'!$B$50</f>
        <v>12000</v>
      </c>
      <c r="G47" s="13">
        <f>C47*'01_PARAMETRES'!$B$51</f>
        <v>14400</v>
      </c>
      <c r="H47" s="13">
        <f>D47*B47</f>
        <v>528</v>
      </c>
      <c r="I47" s="13">
        <f>E47*B47</f>
        <v>552</v>
      </c>
      <c r="J47" s="13">
        <f>F47*B47</f>
        <v>600</v>
      </c>
      <c r="K47" s="13">
        <f>G47*B47</f>
        <v>720</v>
      </c>
    </row>
    <row r="48" spans="1:11" ht="15" customHeight="1" x14ac:dyDescent="0.25">
      <c r="A48" s="9" t="s">
        <v>94</v>
      </c>
      <c r="B48" s="11">
        <f>IFERROR(INDEX('01_PARAMETRES'!$C$42:$C$44,MATCH(A48,'01_PARAMETRES'!$A$42:$A$44,0)),0)</f>
        <v>4.4999999999999998E-2</v>
      </c>
      <c r="C48" s="13">
        <f>'01_PARAMETRES'!C61</f>
        <v>35000</v>
      </c>
      <c r="D48" s="13">
        <f>C48*'01_PARAMETRES'!$B$48</f>
        <v>7700</v>
      </c>
      <c r="E48" s="13">
        <f>C48*'01_PARAMETRES'!$B$49</f>
        <v>8050</v>
      </c>
      <c r="F48" s="13">
        <f>C48*'01_PARAMETRES'!$B$50</f>
        <v>8750</v>
      </c>
      <c r="G48" s="13">
        <f>C48*'01_PARAMETRES'!$B$51</f>
        <v>10500</v>
      </c>
      <c r="H48" s="13">
        <f>D48*B48</f>
        <v>346.5</v>
      </c>
      <c r="I48" s="13">
        <f>E48*B48</f>
        <v>362.25</v>
      </c>
      <c r="J48" s="13">
        <f>F48*B48</f>
        <v>393.75</v>
      </c>
      <c r="K48" s="13">
        <f>G48*B48</f>
        <v>472.5</v>
      </c>
    </row>
    <row r="49" spans="1:11" ht="15" customHeight="1" x14ac:dyDescent="0.25">
      <c r="A49" s="9" t="s">
        <v>96</v>
      </c>
      <c r="B49" s="11">
        <f>IFERROR(INDEX('01_PARAMETRES'!$C$42:$C$44,MATCH(A49,'01_PARAMETRES'!$A$42:$A$44,0)),0)</f>
        <v>0.06</v>
      </c>
      <c r="C49" s="13">
        <f>'01_PARAMETRES'!D61</f>
        <v>22000</v>
      </c>
      <c r="D49" s="13">
        <f>C49*'01_PARAMETRES'!$B$48</f>
        <v>4840</v>
      </c>
      <c r="E49" s="13">
        <f>C49*'01_PARAMETRES'!$B$49</f>
        <v>5060</v>
      </c>
      <c r="F49" s="13">
        <f>C49*'01_PARAMETRES'!$B$50</f>
        <v>5500</v>
      </c>
      <c r="G49" s="13">
        <f>C49*'01_PARAMETRES'!$B$51</f>
        <v>6600</v>
      </c>
      <c r="H49" s="13">
        <f>D49*B49</f>
        <v>290.39999999999998</v>
      </c>
      <c r="I49" s="13">
        <f>E49*B49</f>
        <v>303.59999999999997</v>
      </c>
      <c r="J49" s="13">
        <f>F49*B49</f>
        <v>330</v>
      </c>
      <c r="K49" s="13">
        <f>G49*B49</f>
        <v>396</v>
      </c>
    </row>
    <row r="50" spans="1:11" ht="15" customHeight="1" x14ac:dyDescent="0.25">
      <c r="A50" s="16" t="s">
        <v>110</v>
      </c>
      <c r="B50" s="16" t="s">
        <v>223</v>
      </c>
      <c r="C50" s="22">
        <f t="shared" ref="C50:K50" si="5">SUM(C47:C49)</f>
        <v>105000</v>
      </c>
      <c r="D50" s="22">
        <f t="shared" si="5"/>
        <v>23100</v>
      </c>
      <c r="E50" s="22">
        <f t="shared" si="5"/>
        <v>24150</v>
      </c>
      <c r="F50" s="22">
        <f t="shared" si="5"/>
        <v>26250</v>
      </c>
      <c r="G50" s="22">
        <f t="shared" si="5"/>
        <v>31500</v>
      </c>
      <c r="H50" s="22">
        <f t="shared" si="5"/>
        <v>1164.9000000000001</v>
      </c>
      <c r="I50" s="22">
        <f t="shared" si="5"/>
        <v>1217.8499999999999</v>
      </c>
      <c r="J50" s="22">
        <f t="shared" si="5"/>
        <v>1323.75</v>
      </c>
      <c r="K50" s="22">
        <f t="shared" si="5"/>
        <v>1588.5</v>
      </c>
    </row>
    <row r="51" spans="1:11" ht="41.25" customHeight="1" x14ac:dyDescent="0.25">
      <c r="A51" s="23"/>
      <c r="B51" s="23"/>
      <c r="C51" s="23"/>
      <c r="D51" s="23"/>
      <c r="E51" s="23"/>
      <c r="F51" s="23"/>
      <c r="G51" s="24" t="s">
        <v>224</v>
      </c>
      <c r="H51" s="23"/>
      <c r="I51" s="23"/>
      <c r="J51" s="23"/>
      <c r="K51" s="25">
        <f>SUM(H50:K50)</f>
        <v>5295</v>
      </c>
    </row>
    <row r="53" spans="1:11" ht="15" customHeight="1" x14ac:dyDescent="0.25">
      <c r="A53" s="4" t="s">
        <v>230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5" customHeight="1" x14ac:dyDescent="0.25">
      <c r="A54" s="10" t="s">
        <v>86</v>
      </c>
      <c r="B54" s="10" t="s">
        <v>213</v>
      </c>
      <c r="C54" s="10" t="s">
        <v>214</v>
      </c>
      <c r="D54" s="10" t="s">
        <v>215</v>
      </c>
      <c r="E54" s="10" t="s">
        <v>216</v>
      </c>
      <c r="F54" s="10" t="s">
        <v>217</v>
      </c>
      <c r="G54" s="10" t="s">
        <v>218</v>
      </c>
      <c r="H54" s="10" t="s">
        <v>219</v>
      </c>
      <c r="I54" s="10" t="s">
        <v>220</v>
      </c>
      <c r="J54" s="10" t="s">
        <v>221</v>
      </c>
      <c r="K54" s="10" t="s">
        <v>222</v>
      </c>
    </row>
    <row r="55" spans="1:11" ht="15" customHeight="1" x14ac:dyDescent="0.25">
      <c r="A55" s="9" t="s">
        <v>91</v>
      </c>
      <c r="B55" s="11">
        <f>IFERROR(INDEX('01_PARAMETRES'!$C$42:$C$44,MATCH(A55,'01_PARAMETRES'!$A$42:$A$44,0)),0)</f>
        <v>0.05</v>
      </c>
      <c r="C55" s="13">
        <f>'01_PARAMETRES'!B62</f>
        <v>15000</v>
      </c>
      <c r="D55" s="13">
        <f>C55*'01_PARAMETRES'!$B$48</f>
        <v>3300</v>
      </c>
      <c r="E55" s="13">
        <f>C55*'01_PARAMETRES'!$B$49</f>
        <v>3450</v>
      </c>
      <c r="F55" s="13">
        <f>C55*'01_PARAMETRES'!$B$50</f>
        <v>3750</v>
      </c>
      <c r="G55" s="13">
        <f>C55*'01_PARAMETRES'!$B$51</f>
        <v>4500</v>
      </c>
      <c r="H55" s="13">
        <f>D55*B55</f>
        <v>165</v>
      </c>
      <c r="I55" s="13">
        <f>E55*B55</f>
        <v>172.5</v>
      </c>
      <c r="J55" s="13">
        <f>F55*B55</f>
        <v>187.5</v>
      </c>
      <c r="K55" s="13">
        <f>G55*B55</f>
        <v>225</v>
      </c>
    </row>
    <row r="56" spans="1:11" ht="15" customHeight="1" x14ac:dyDescent="0.25">
      <c r="A56" s="9" t="s">
        <v>94</v>
      </c>
      <c r="B56" s="11">
        <f>IFERROR(INDEX('01_PARAMETRES'!$C$42:$C$44,MATCH(A56,'01_PARAMETRES'!$A$42:$A$44,0)),0)</f>
        <v>4.4999999999999998E-2</v>
      </c>
      <c r="C56" s="13">
        <f>'01_PARAMETRES'!C62</f>
        <v>12000</v>
      </c>
      <c r="D56" s="13">
        <f>C56*'01_PARAMETRES'!$B$48</f>
        <v>2640</v>
      </c>
      <c r="E56" s="13">
        <f>C56*'01_PARAMETRES'!$B$49</f>
        <v>2760</v>
      </c>
      <c r="F56" s="13">
        <f>C56*'01_PARAMETRES'!$B$50</f>
        <v>3000</v>
      </c>
      <c r="G56" s="13">
        <f>C56*'01_PARAMETRES'!$B$51</f>
        <v>3600</v>
      </c>
      <c r="H56" s="13">
        <f>D56*B56</f>
        <v>118.8</v>
      </c>
      <c r="I56" s="13">
        <f>E56*B56</f>
        <v>124.19999999999999</v>
      </c>
      <c r="J56" s="13">
        <f>F56*B56</f>
        <v>135</v>
      </c>
      <c r="K56" s="13">
        <f>G56*B56</f>
        <v>162</v>
      </c>
    </row>
    <row r="57" spans="1:11" ht="15" customHeight="1" x14ac:dyDescent="0.25">
      <c r="A57" s="9" t="s">
        <v>96</v>
      </c>
      <c r="B57" s="11">
        <f>IFERROR(INDEX('01_PARAMETRES'!$C$42:$C$44,MATCH(A57,'01_PARAMETRES'!$A$42:$A$44,0)),0)</f>
        <v>0.06</v>
      </c>
      <c r="C57" s="13">
        <f>'01_PARAMETRES'!D62</f>
        <v>8000</v>
      </c>
      <c r="D57" s="13">
        <f>C57*'01_PARAMETRES'!$B$48</f>
        <v>1760</v>
      </c>
      <c r="E57" s="13">
        <f>C57*'01_PARAMETRES'!$B$49</f>
        <v>1840</v>
      </c>
      <c r="F57" s="13">
        <f>C57*'01_PARAMETRES'!$B$50</f>
        <v>2000</v>
      </c>
      <c r="G57" s="13">
        <f>C57*'01_PARAMETRES'!$B$51</f>
        <v>2400</v>
      </c>
      <c r="H57" s="13">
        <f>D57*B57</f>
        <v>105.6</v>
      </c>
      <c r="I57" s="13">
        <f>E57*B57</f>
        <v>110.39999999999999</v>
      </c>
      <c r="J57" s="13">
        <f>F57*B57</f>
        <v>120</v>
      </c>
      <c r="K57" s="13">
        <f>G57*B57</f>
        <v>144</v>
      </c>
    </row>
    <row r="58" spans="1:11" ht="15" customHeight="1" x14ac:dyDescent="0.25">
      <c r="A58" s="16" t="s">
        <v>110</v>
      </c>
      <c r="B58" s="16" t="s">
        <v>223</v>
      </c>
      <c r="C58" s="22">
        <f t="shared" ref="C58:K58" si="6">SUM(C55:C57)</f>
        <v>35000</v>
      </c>
      <c r="D58" s="22">
        <f t="shared" si="6"/>
        <v>7700</v>
      </c>
      <c r="E58" s="22">
        <f t="shared" si="6"/>
        <v>8050</v>
      </c>
      <c r="F58" s="22">
        <f t="shared" si="6"/>
        <v>8750</v>
      </c>
      <c r="G58" s="22">
        <f t="shared" si="6"/>
        <v>10500</v>
      </c>
      <c r="H58" s="22">
        <f t="shared" si="6"/>
        <v>389.4</v>
      </c>
      <c r="I58" s="22">
        <f t="shared" si="6"/>
        <v>407.09999999999997</v>
      </c>
      <c r="J58" s="22">
        <f t="shared" si="6"/>
        <v>442.5</v>
      </c>
      <c r="K58" s="22">
        <f t="shared" si="6"/>
        <v>531</v>
      </c>
    </row>
    <row r="59" spans="1:11" ht="41.25" customHeight="1" x14ac:dyDescent="0.25">
      <c r="A59" s="23"/>
      <c r="B59" s="23"/>
      <c r="C59" s="23"/>
      <c r="D59" s="23"/>
      <c r="E59" s="23"/>
      <c r="F59" s="23"/>
      <c r="G59" s="24" t="s">
        <v>224</v>
      </c>
      <c r="H59" s="23"/>
      <c r="I59" s="23"/>
      <c r="J59" s="23"/>
      <c r="K59" s="25">
        <f>SUM(H58:K58)</f>
        <v>1770</v>
      </c>
    </row>
    <row r="61" spans="1:11" ht="15" customHeight="1" x14ac:dyDescent="0.25">
      <c r="A61" s="4" t="s">
        <v>231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23.25" customHeight="1" x14ac:dyDescent="0.25">
      <c r="A62" s="10" t="s">
        <v>232</v>
      </c>
      <c r="B62" s="10" t="s">
        <v>233</v>
      </c>
      <c r="C62" s="10" t="s">
        <v>234</v>
      </c>
      <c r="D62" s="10" t="s">
        <v>235</v>
      </c>
      <c r="E62" s="10" t="s">
        <v>236</v>
      </c>
      <c r="F62" s="10" t="s">
        <v>237</v>
      </c>
      <c r="G62" s="10" t="s">
        <v>238</v>
      </c>
      <c r="H62" s="10" t="s">
        <v>239</v>
      </c>
      <c r="I62" s="10" t="s">
        <v>240</v>
      </c>
      <c r="J62" s="10" t="s">
        <v>241</v>
      </c>
      <c r="K62" s="10" t="s">
        <v>242</v>
      </c>
    </row>
    <row r="63" spans="1:11" ht="15" customHeight="1" x14ac:dyDescent="0.25">
      <c r="A63" s="9" t="s">
        <v>47</v>
      </c>
      <c r="B63" s="13">
        <f>'01_PARAMETRES'!E56</f>
        <v>95000</v>
      </c>
      <c r="C63" s="13">
        <f>INDEX(CA_AURELE,1)*TauxRoyalty_AURELE</f>
        <v>2250</v>
      </c>
      <c r="D63" s="13">
        <f>INDEX(CA_IMPERIAL,1)*TauxRoyalty_IMPERIAL</f>
        <v>1440</v>
      </c>
      <c r="E63" s="13">
        <f>INDEX(CA_STELLAIRE,1)*TauxRoyalty_STELLAIRE</f>
        <v>1080</v>
      </c>
      <c r="F63" s="18">
        <f t="shared" ref="F63:F69" si="7">SUM(C63:E63)</f>
        <v>4770</v>
      </c>
      <c r="G63" s="11">
        <f t="shared" ref="G63:G70" si="8">IF(B63&gt;0,F63/B63,0)</f>
        <v>5.0210526315789476E-2</v>
      </c>
      <c r="H63" s="9" t="str">
        <f>'01_PARAMETRES'!C23</f>
        <v>EUR</v>
      </c>
      <c r="I63" s="14">
        <f>IFERROR(_xlfn.XLOOKUP(H63,FX_Devises,FX_Moyen,1),1)</f>
        <v>1</v>
      </c>
      <c r="J63" s="26">
        <f t="shared" ref="J63:J69" si="9">IF(I63&lt;&gt;1,ROUND(F63/I63,0),F63)</f>
        <v>4770</v>
      </c>
      <c r="K63" s="13">
        <f>IF(H63&lt;&gt;"EUR",_xlfn.LET(_xlpm.fx_clo,_xlfn.XLOOKUP(H63,FX_Devises,FX_Cloture,1),_xlpm.fx_moy,_xlfn.XLOOKUP(H63,FX_Devises,FX_Moyen,1),ROUND(F63*(_xlpm.fx_clo/_xlpm.fx_moy-1),0)),0)</f>
        <v>0</v>
      </c>
    </row>
    <row r="64" spans="1:11" ht="15" customHeight="1" x14ac:dyDescent="0.25">
      <c r="A64" s="9" t="s">
        <v>49</v>
      </c>
      <c r="B64" s="13">
        <f>'01_PARAMETRES'!E57</f>
        <v>62000</v>
      </c>
      <c r="C64" s="13">
        <f>INDEX(CA_AURELE,2)*TauxRoyalty_AURELE</f>
        <v>1400</v>
      </c>
      <c r="D64" s="13">
        <f>INDEX(CA_IMPERIAL,2)*TauxRoyalty_IMPERIAL</f>
        <v>990</v>
      </c>
      <c r="E64" s="13">
        <f>INDEX(CA_STELLAIRE,2)*TauxRoyalty_STELLAIRE</f>
        <v>720</v>
      </c>
      <c r="F64" s="18">
        <f t="shared" si="7"/>
        <v>3110</v>
      </c>
      <c r="G64" s="11">
        <f t="shared" si="8"/>
        <v>5.0161290322580647E-2</v>
      </c>
      <c r="H64" s="9" t="str">
        <f>'01_PARAMETRES'!C24</f>
        <v>EUR</v>
      </c>
      <c r="I64" s="14">
        <f>IFERROR(_xlfn.XLOOKUP(H64,FX_Devises,FX_Moyen,1),1)</f>
        <v>1</v>
      </c>
      <c r="J64" s="26">
        <f t="shared" si="9"/>
        <v>3110</v>
      </c>
      <c r="K64" s="13">
        <f>IF(H64&lt;&gt;"EUR",_xlfn.LET(_xlpm.fx_clo,_xlfn.XLOOKUP(H64,FX_Devises,FX_Cloture,1),_xlpm.fx_moy,_xlfn.XLOOKUP(H64,FX_Devises,FX_Moyen,1),ROUND(F64*(_xlpm.fx_clo/_xlpm.fx_moy-1),0)),0)</f>
        <v>0</v>
      </c>
    </row>
    <row r="65" spans="1:11" ht="15" customHeight="1" x14ac:dyDescent="0.25">
      <c r="A65" s="9" t="s">
        <v>53</v>
      </c>
      <c r="B65" s="13">
        <f>'01_PARAMETRES'!E58</f>
        <v>83000</v>
      </c>
      <c r="C65" s="13">
        <f>INDEX(CA_AURELE,3)*TauxRoyalty_AURELE</f>
        <v>1750</v>
      </c>
      <c r="D65" s="13">
        <f>INDEX(CA_IMPERIAL,3)*TauxRoyalty_IMPERIAL</f>
        <v>1260</v>
      </c>
      <c r="E65" s="13">
        <f>INDEX(CA_STELLAIRE,3)*TauxRoyalty_STELLAIRE</f>
        <v>1200</v>
      </c>
      <c r="F65" s="18">
        <f t="shared" si="7"/>
        <v>4210</v>
      </c>
      <c r="G65" s="11">
        <f t="shared" si="8"/>
        <v>5.0722891566265062E-2</v>
      </c>
      <c r="H65" s="9" t="str">
        <f>'01_PARAMETRES'!C25</f>
        <v>JPY</v>
      </c>
      <c r="I65" s="14">
        <f>IFERROR(_xlfn.XLOOKUP(H65,FX_Devises,FX_Moyen,1),1)</f>
        <v>6.2500000000000003E-3</v>
      </c>
      <c r="J65" s="26">
        <f t="shared" si="9"/>
        <v>673600</v>
      </c>
      <c r="K65" s="13">
        <f>IF(H65&lt;&gt;"EUR",_xlfn.LET(_xlpm.fx_clo,_xlfn.XLOOKUP(H65,FX_Devises,FX_Cloture,1),_xlpm.fx_moy,_xlfn.XLOOKUP(H65,FX_Devises,FX_Moyen,1),ROUND(F65*(_xlpm.fx_clo/_xlpm.fx_moy-1),0)),0)</f>
        <v>-54</v>
      </c>
    </row>
    <row r="66" spans="1:11" ht="15" customHeight="1" x14ac:dyDescent="0.25">
      <c r="A66" s="9" t="s">
        <v>58</v>
      </c>
      <c r="B66" s="13">
        <f>'01_PARAMETRES'!E59</f>
        <v>115000</v>
      </c>
      <c r="C66" s="13">
        <f>INDEX(CA_AURELE,4)*TauxRoyalty_AURELE</f>
        <v>2600</v>
      </c>
      <c r="D66" s="13">
        <f>INDEX(CA_IMPERIAL,4)*TauxRoyalty_IMPERIAL</f>
        <v>1710</v>
      </c>
      <c r="E66" s="13">
        <f>INDEX(CA_STELLAIRE,4)*TauxRoyalty_STELLAIRE</f>
        <v>1500</v>
      </c>
      <c r="F66" s="18">
        <f t="shared" si="7"/>
        <v>5810</v>
      </c>
      <c r="G66" s="11">
        <f t="shared" si="8"/>
        <v>5.0521739130434784E-2</v>
      </c>
      <c r="H66" s="9" t="str">
        <f>'01_PARAMETRES'!C26</f>
        <v>USD</v>
      </c>
      <c r="I66" s="14">
        <f>IFERROR(_xlfn.XLOOKUP(H66,FX_Devises,FX_Moyen,1),1)</f>
        <v>0.92589999999999995</v>
      </c>
      <c r="J66" s="26">
        <f t="shared" si="9"/>
        <v>6275</v>
      </c>
      <c r="K66" s="13">
        <f>IF(H66&lt;&gt;"EUR",_xlfn.LET(_xlpm.fx_clo,_xlfn.XLOOKUP(H66,FX_Devises,FX_Cloture,1),_xlpm.fx_moy,_xlfn.XLOOKUP(H66,FX_Devises,FX_Moyen,1),ROUND(F66*(_xlpm.fx_clo/_xlpm.fx_moy-1),0)),0)</f>
        <v>-53</v>
      </c>
    </row>
    <row r="67" spans="1:11" ht="15" customHeight="1" x14ac:dyDescent="0.25">
      <c r="A67" s="9" t="s">
        <v>63</v>
      </c>
      <c r="B67" s="13">
        <f>'01_PARAMETRES'!E60</f>
        <v>50000</v>
      </c>
      <c r="C67" s="13">
        <f>INDEX(CA_AURELE,5)*TauxRoyalty_AURELE</f>
        <v>1100</v>
      </c>
      <c r="D67" s="13">
        <f>INDEX(CA_IMPERIAL,5)*TauxRoyalty_IMPERIAL</f>
        <v>810</v>
      </c>
      <c r="E67" s="13">
        <f>INDEX(CA_STELLAIRE,5)*TauxRoyalty_STELLAIRE</f>
        <v>600</v>
      </c>
      <c r="F67" s="18">
        <f t="shared" si="7"/>
        <v>2510</v>
      </c>
      <c r="G67" s="11">
        <f t="shared" si="8"/>
        <v>5.0200000000000002E-2</v>
      </c>
      <c r="H67" s="9" t="str">
        <f>'01_PARAMETRES'!C27</f>
        <v>GBP</v>
      </c>
      <c r="I67" s="14">
        <f>IFERROR(_xlfn.XLOOKUP(H67,FX_Devises,FX_Moyen,1),1)</f>
        <v>1.1494</v>
      </c>
      <c r="J67" s="26">
        <f t="shared" si="9"/>
        <v>2184</v>
      </c>
      <c r="K67" s="13">
        <f>IF(H67&lt;&gt;"EUR",_xlfn.LET(_xlpm.fx_clo,_xlfn.XLOOKUP(H67,FX_Devises,FX_Cloture,1),_xlpm.fx_moy,_xlfn.XLOOKUP(H67,FX_Devises,FX_Moyen,1),ROUND(F67*(_xlpm.fx_clo/_xlpm.fx_moy-1),0)),0)</f>
        <v>29</v>
      </c>
    </row>
    <row r="68" spans="1:11" ht="15" customHeight="1" x14ac:dyDescent="0.25">
      <c r="A68" s="9" t="s">
        <v>68</v>
      </c>
      <c r="B68" s="13">
        <f>'01_PARAMETRES'!E61</f>
        <v>105000</v>
      </c>
      <c r="C68" s="13">
        <f>INDEX(CA_AURELE,6)*TauxRoyalty_AURELE</f>
        <v>2400</v>
      </c>
      <c r="D68" s="13">
        <f>INDEX(CA_IMPERIAL,6)*TauxRoyalty_IMPERIAL</f>
        <v>1575</v>
      </c>
      <c r="E68" s="13">
        <f>INDEX(CA_STELLAIRE,6)*TauxRoyalty_STELLAIRE</f>
        <v>1320</v>
      </c>
      <c r="F68" s="18">
        <f t="shared" si="7"/>
        <v>5295</v>
      </c>
      <c r="G68" s="11">
        <f t="shared" si="8"/>
        <v>5.0428571428571427E-2</v>
      </c>
      <c r="H68" s="9" t="str">
        <f>'01_PARAMETRES'!C28</f>
        <v>HKD</v>
      </c>
      <c r="I68" s="14">
        <f>IFERROR(_xlfn.XLOOKUP(H68,FX_Devises,FX_Moyen,1),1)</f>
        <v>0.11899999999999999</v>
      </c>
      <c r="J68" s="26">
        <f t="shared" si="9"/>
        <v>44496</v>
      </c>
      <c r="K68" s="13">
        <f>IF(H68&lt;&gt;"EUR",_xlfn.LET(_xlpm.fx_clo,_xlfn.XLOOKUP(H68,FX_Devises,FX_Cloture,1),_xlpm.fx_moy,_xlfn.XLOOKUP(H68,FX_Devises,FX_Moyen,1),ROUND(F68*(_xlpm.fx_clo/_xlpm.fx_moy-1),0)),0)</f>
        <v>-62</v>
      </c>
    </row>
    <row r="69" spans="1:11" ht="15" customHeight="1" x14ac:dyDescent="0.25">
      <c r="A69" s="9" t="s">
        <v>73</v>
      </c>
      <c r="B69" s="13">
        <f>'01_PARAMETRES'!E62</f>
        <v>35000</v>
      </c>
      <c r="C69" s="13">
        <f>INDEX(CA_AURELE,7)*TauxRoyalty_AURELE</f>
        <v>750</v>
      </c>
      <c r="D69" s="13">
        <f>INDEX(CA_IMPERIAL,7)*TauxRoyalty_IMPERIAL</f>
        <v>540</v>
      </c>
      <c r="E69" s="13">
        <f>INDEX(CA_STELLAIRE,7)*TauxRoyalty_STELLAIRE</f>
        <v>480</v>
      </c>
      <c r="F69" s="18">
        <f t="shared" si="7"/>
        <v>1770</v>
      </c>
      <c r="G69" s="11">
        <f t="shared" si="8"/>
        <v>5.0571428571428573E-2</v>
      </c>
      <c r="H69" s="9" t="str">
        <f>'01_PARAMETRES'!C29</f>
        <v>AED</v>
      </c>
      <c r="I69" s="14">
        <f>IFERROR(_xlfn.XLOOKUP(H69,FX_Devises,FX_Moyen,1),1)</f>
        <v>0.2525</v>
      </c>
      <c r="J69" s="26">
        <f t="shared" si="9"/>
        <v>7010</v>
      </c>
      <c r="K69" s="13">
        <f>IF(H69&lt;&gt;"EUR",_xlfn.LET(_xlpm.fx_clo,_xlfn.XLOOKUP(H69,FX_Devises,FX_Cloture,1),_xlpm.fx_moy,_xlfn.XLOOKUP(H69,FX_Devises,FX_Moyen,1),ROUND(F69*(_xlpm.fx_clo/_xlpm.fx_moy-1),0)),0)</f>
        <v>-19</v>
      </c>
    </row>
    <row r="70" spans="1:11" ht="15" customHeight="1" x14ac:dyDescent="0.25">
      <c r="A70" s="16" t="s">
        <v>120</v>
      </c>
      <c r="B70" s="19">
        <f>SUM(B63:B69)</f>
        <v>545000</v>
      </c>
      <c r="C70" s="19">
        <f>SUM(C63:C69)</f>
        <v>12250</v>
      </c>
      <c r="D70" s="19">
        <f>SUM(D63:D69)</f>
        <v>8325</v>
      </c>
      <c r="E70" s="19">
        <f>SUM(E63:E69)</f>
        <v>6900</v>
      </c>
      <c r="F70" s="19">
        <f>SUM(F63:F69)</f>
        <v>27475</v>
      </c>
      <c r="G70" s="27">
        <f t="shared" si="8"/>
        <v>5.0412844036697248E-2</v>
      </c>
      <c r="H70" s="16" t="s">
        <v>223</v>
      </c>
      <c r="I70" s="16" t="s">
        <v>223</v>
      </c>
      <c r="J70" s="16"/>
      <c r="K70" s="19">
        <f>SUM(K63:K69)</f>
        <v>-159</v>
      </c>
    </row>
    <row r="72" spans="1:11" ht="15" customHeight="1" x14ac:dyDescent="0.25">
      <c r="A72" s="3" t="s">
        <v>243</v>
      </c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" customHeight="1" x14ac:dyDescent="0.25">
      <c r="A73" s="3" t="s">
        <v>244</v>
      </c>
      <c r="B73" s="3"/>
      <c r="C73" s="3"/>
      <c r="D73" s="3"/>
      <c r="E73" s="3"/>
      <c r="F73" s="3"/>
      <c r="G73" s="3"/>
      <c r="H73" s="3"/>
      <c r="I73" s="3"/>
      <c r="J73" s="3"/>
      <c r="K73" s="3"/>
    </row>
  </sheetData>
  <mergeCells count="13">
    <mergeCell ref="A61:K61"/>
    <mergeCell ref="A72:K72"/>
    <mergeCell ref="A73:K73"/>
    <mergeCell ref="A21:K21"/>
    <mergeCell ref="A29:K29"/>
    <mergeCell ref="A37:K37"/>
    <mergeCell ref="A45:K45"/>
    <mergeCell ref="A53:K53"/>
    <mergeCell ref="A1:K1"/>
    <mergeCell ref="A2:K2"/>
    <mergeCell ref="A3:K3"/>
    <mergeCell ref="A5:K5"/>
    <mergeCell ref="A13:K13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98DB"/>
    <pageSetUpPr fitToPage="1"/>
  </sheetPr>
  <dimension ref="A1:J44"/>
  <sheetViews>
    <sheetView showGridLines="0" zoomScaleNormal="100" workbookViewId="0">
      <pane ySplit="3" topLeftCell="A42" activePane="bottomLeft" state="frozen"/>
      <selection pane="bottomLeft" activeCell="J8" sqref="J8"/>
    </sheetView>
  </sheetViews>
  <sheetFormatPr baseColWidth="10" defaultColWidth="8.7109375" defaultRowHeight="15" x14ac:dyDescent="0.25"/>
  <cols>
    <col min="1" max="1" width="30" customWidth="1"/>
    <col min="2" max="2" width="16" customWidth="1"/>
    <col min="3" max="3" width="19" customWidth="1"/>
    <col min="4" max="7" width="14" customWidth="1"/>
    <col min="8" max="8" width="16" customWidth="1"/>
    <col min="9" max="9" width="18" customWidth="1"/>
    <col min="10" max="10" width="14" customWidth="1"/>
  </cols>
  <sheetData>
    <row r="1" spans="1:10" ht="22.5" customHeight="1" x14ac:dyDescent="0.25">
      <c r="A1" s="7" t="s">
        <v>245</v>
      </c>
      <c r="B1" s="7"/>
      <c r="C1" s="7"/>
      <c r="D1" s="7"/>
      <c r="E1" s="7"/>
      <c r="F1" s="7"/>
      <c r="G1" s="7"/>
      <c r="H1" s="7"/>
      <c r="I1" s="7"/>
      <c r="J1" s="7"/>
    </row>
    <row r="2" spans="1:10" ht="16.5" customHeight="1" x14ac:dyDescent="0.25">
      <c r="A2" s="6" t="s">
        <v>246</v>
      </c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25">
      <c r="A5" s="4" t="s">
        <v>247</v>
      </c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 x14ac:dyDescent="0.25">
      <c r="A6" s="10" t="s">
        <v>248</v>
      </c>
      <c r="B6" s="10" t="s">
        <v>249</v>
      </c>
      <c r="C6" s="10" t="s">
        <v>32</v>
      </c>
      <c r="D6" s="10" t="s">
        <v>250</v>
      </c>
      <c r="E6" s="10" t="s">
        <v>251</v>
      </c>
      <c r="F6" s="10" t="s">
        <v>150</v>
      </c>
      <c r="G6" s="10" t="s">
        <v>252</v>
      </c>
      <c r="H6" s="10" t="s">
        <v>83</v>
      </c>
      <c r="I6" s="10" t="s">
        <v>253</v>
      </c>
      <c r="J6" s="10" t="s">
        <v>254</v>
      </c>
    </row>
    <row r="7" spans="1:10" ht="23.25" customHeight="1" x14ac:dyDescent="0.25">
      <c r="A7" s="9" t="s">
        <v>255</v>
      </c>
      <c r="B7" s="9" t="s">
        <v>256</v>
      </c>
      <c r="C7" s="9" t="s">
        <v>43</v>
      </c>
      <c r="D7" s="9" t="s">
        <v>86</v>
      </c>
      <c r="E7" s="11">
        <v>4.4999999999999998E-2</v>
      </c>
      <c r="F7" s="9" t="s">
        <v>257</v>
      </c>
      <c r="G7" s="9" t="s">
        <v>258</v>
      </c>
      <c r="H7" s="9" t="s">
        <v>259</v>
      </c>
      <c r="I7" s="9" t="s">
        <v>260</v>
      </c>
      <c r="J7" s="9" t="s">
        <v>261</v>
      </c>
    </row>
    <row r="8" spans="1:10" ht="32.25" customHeight="1" x14ac:dyDescent="0.25">
      <c r="A8" s="9" t="s">
        <v>262</v>
      </c>
      <c r="B8" s="9" t="s">
        <v>263</v>
      </c>
      <c r="C8" s="9" t="s">
        <v>50</v>
      </c>
      <c r="D8" s="9" t="s">
        <v>86</v>
      </c>
      <c r="E8" s="11">
        <v>5.5E-2</v>
      </c>
      <c r="F8" s="9" t="s">
        <v>257</v>
      </c>
      <c r="G8" s="9" t="s">
        <v>258</v>
      </c>
      <c r="H8" s="9" t="s">
        <v>259</v>
      </c>
      <c r="I8" s="9" t="s">
        <v>260</v>
      </c>
      <c r="J8" s="9" t="s">
        <v>261</v>
      </c>
    </row>
    <row r="9" spans="1:10" ht="44.25" customHeight="1" x14ac:dyDescent="0.25">
      <c r="A9" s="9" t="s">
        <v>264</v>
      </c>
      <c r="B9" s="9" t="s">
        <v>265</v>
      </c>
      <c r="C9" s="9" t="s">
        <v>266</v>
      </c>
      <c r="D9" s="9" t="s">
        <v>267</v>
      </c>
      <c r="E9" s="11">
        <v>6.5000000000000002E-2</v>
      </c>
      <c r="F9" s="9" t="s">
        <v>257</v>
      </c>
      <c r="G9" s="9" t="s">
        <v>268</v>
      </c>
      <c r="H9" s="9" t="s">
        <v>269</v>
      </c>
      <c r="I9" s="9" t="s">
        <v>270</v>
      </c>
      <c r="J9" s="9" t="s">
        <v>271</v>
      </c>
    </row>
    <row r="10" spans="1:10" ht="15" customHeight="1" x14ac:dyDescent="0.25">
      <c r="A10" s="9" t="s">
        <v>272</v>
      </c>
      <c r="B10" s="9" t="s">
        <v>273</v>
      </c>
      <c r="C10" s="9" t="s">
        <v>43</v>
      </c>
      <c r="D10" s="9" t="s">
        <v>86</v>
      </c>
      <c r="E10" s="11">
        <v>0.04</v>
      </c>
      <c r="F10" s="9" t="s">
        <v>257</v>
      </c>
      <c r="G10" s="9" t="s">
        <v>258</v>
      </c>
      <c r="H10" s="9" t="s">
        <v>259</v>
      </c>
      <c r="I10" s="9" t="s">
        <v>260</v>
      </c>
      <c r="J10" s="9" t="s">
        <v>261</v>
      </c>
    </row>
    <row r="11" spans="1:10" ht="15" customHeight="1" x14ac:dyDescent="0.25">
      <c r="A11" s="9" t="s">
        <v>274</v>
      </c>
      <c r="B11" s="9" t="s">
        <v>275</v>
      </c>
      <c r="C11" s="9" t="s">
        <v>43</v>
      </c>
      <c r="D11" s="9" t="s">
        <v>86</v>
      </c>
      <c r="E11" s="11">
        <v>5.8000000000000003E-2</v>
      </c>
      <c r="F11" s="9" t="s">
        <v>257</v>
      </c>
      <c r="G11" s="9" t="s">
        <v>258</v>
      </c>
      <c r="H11" s="9" t="s">
        <v>276</v>
      </c>
      <c r="I11" s="9" t="s">
        <v>260</v>
      </c>
      <c r="J11" s="9" t="s">
        <v>271</v>
      </c>
    </row>
    <row r="12" spans="1:10" ht="15" customHeight="1" x14ac:dyDescent="0.25">
      <c r="A12" s="9" t="s">
        <v>277</v>
      </c>
      <c r="B12" s="9" t="s">
        <v>278</v>
      </c>
      <c r="C12" s="9" t="s">
        <v>266</v>
      </c>
      <c r="D12" s="9" t="s">
        <v>279</v>
      </c>
      <c r="E12" s="11">
        <v>7.0000000000000007E-2</v>
      </c>
      <c r="F12" s="9" t="s">
        <v>257</v>
      </c>
      <c r="G12" s="9" t="s">
        <v>280</v>
      </c>
      <c r="H12" s="9" t="s">
        <v>269</v>
      </c>
      <c r="I12" s="9" t="s">
        <v>270</v>
      </c>
      <c r="J12" s="9" t="s">
        <v>271</v>
      </c>
    </row>
    <row r="13" spans="1:10" ht="15" customHeight="1" x14ac:dyDescent="0.25">
      <c r="A13" s="9" t="s">
        <v>281</v>
      </c>
      <c r="B13" s="9" t="s">
        <v>282</v>
      </c>
      <c r="C13" s="9" t="s">
        <v>283</v>
      </c>
      <c r="D13" s="9" t="s">
        <v>86</v>
      </c>
      <c r="E13" s="11">
        <v>3.7999999999999999E-2</v>
      </c>
      <c r="F13" s="9" t="s">
        <v>257</v>
      </c>
      <c r="G13" s="9" t="s">
        <v>258</v>
      </c>
      <c r="H13" s="9" t="s">
        <v>259</v>
      </c>
      <c r="I13" s="9" t="s">
        <v>260</v>
      </c>
      <c r="J13" s="9" t="s">
        <v>261</v>
      </c>
    </row>
    <row r="14" spans="1:10" ht="15" customHeight="1" x14ac:dyDescent="0.25">
      <c r="A14" s="9" t="s">
        <v>284</v>
      </c>
      <c r="B14" s="9" t="s">
        <v>285</v>
      </c>
      <c r="C14" s="9" t="s">
        <v>43</v>
      </c>
      <c r="D14" s="9" t="s">
        <v>86</v>
      </c>
      <c r="E14" s="11">
        <v>4.8000000000000001E-2</v>
      </c>
      <c r="F14" s="9" t="s">
        <v>257</v>
      </c>
      <c r="G14" s="9" t="s">
        <v>258</v>
      </c>
      <c r="H14" s="9" t="s">
        <v>259</v>
      </c>
      <c r="I14" s="9" t="s">
        <v>260</v>
      </c>
      <c r="J14" s="9" t="s">
        <v>271</v>
      </c>
    </row>
    <row r="15" spans="1:10" ht="38.25" customHeight="1" x14ac:dyDescent="0.25">
      <c r="A15" s="9" t="s">
        <v>286</v>
      </c>
      <c r="B15" s="9" t="s">
        <v>287</v>
      </c>
      <c r="C15" s="9" t="s">
        <v>288</v>
      </c>
      <c r="D15" s="9" t="s">
        <v>86</v>
      </c>
      <c r="E15" s="11">
        <v>4.2000000000000003E-2</v>
      </c>
      <c r="F15" s="9" t="s">
        <v>257</v>
      </c>
      <c r="G15" s="9" t="s">
        <v>258</v>
      </c>
      <c r="H15" s="9" t="s">
        <v>289</v>
      </c>
      <c r="I15" s="9" t="s">
        <v>260</v>
      </c>
      <c r="J15" s="9" t="s">
        <v>261</v>
      </c>
    </row>
    <row r="16" spans="1:10" ht="32.25" customHeight="1" x14ac:dyDescent="0.25">
      <c r="A16" s="9" t="s">
        <v>290</v>
      </c>
      <c r="B16" s="9" t="s">
        <v>291</v>
      </c>
      <c r="C16" s="9" t="s">
        <v>50</v>
      </c>
      <c r="D16" s="9" t="s">
        <v>292</v>
      </c>
      <c r="E16" s="11">
        <v>6.2E-2</v>
      </c>
      <c r="F16" s="9" t="s">
        <v>257</v>
      </c>
      <c r="G16" s="9" t="s">
        <v>268</v>
      </c>
      <c r="H16" s="9" t="s">
        <v>269</v>
      </c>
      <c r="I16" s="9" t="s">
        <v>260</v>
      </c>
      <c r="J16" s="9" t="s">
        <v>271</v>
      </c>
    </row>
    <row r="18" spans="1:10" ht="15" customHeight="1" x14ac:dyDescent="0.25">
      <c r="A18" s="4" t="s">
        <v>293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15" customHeight="1" x14ac:dyDescent="0.25">
      <c r="A19" s="10" t="s">
        <v>294</v>
      </c>
      <c r="B19" s="10" t="s">
        <v>295</v>
      </c>
      <c r="C19" s="10" t="s">
        <v>296</v>
      </c>
    </row>
    <row r="20" spans="1:10" ht="15" customHeight="1" x14ac:dyDescent="0.25">
      <c r="A20" s="28" t="s">
        <v>297</v>
      </c>
      <c r="B20" s="29">
        <f>MIN($E$7:$E$16)</f>
        <v>3.7999999999999999E-2</v>
      </c>
      <c r="C20" s="30" t="s">
        <v>298</v>
      </c>
    </row>
    <row r="21" spans="1:10" ht="15" customHeight="1" x14ac:dyDescent="0.25">
      <c r="A21" s="31" t="s">
        <v>299</v>
      </c>
      <c r="B21" s="32">
        <f>PERCENTILE($E$7:$E$16,0.25)</f>
        <v>4.2750000000000003E-2</v>
      </c>
      <c r="C21" s="30" t="s">
        <v>300</v>
      </c>
    </row>
    <row r="22" spans="1:10" ht="15" customHeight="1" x14ac:dyDescent="0.25">
      <c r="A22" s="28" t="s">
        <v>301</v>
      </c>
      <c r="B22" s="29">
        <f>PERCENTILE($E$7:$E$16,0.5)</f>
        <v>5.1500000000000004E-2</v>
      </c>
      <c r="C22" s="30" t="s">
        <v>302</v>
      </c>
    </row>
    <row r="23" spans="1:10" ht="15" customHeight="1" x14ac:dyDescent="0.25">
      <c r="A23" s="31" t="s">
        <v>303</v>
      </c>
      <c r="B23" s="32">
        <f>PERCENTILE($E$7:$E$16,0.75)</f>
        <v>6.0999999999999999E-2</v>
      </c>
      <c r="C23" s="30" t="s">
        <v>304</v>
      </c>
    </row>
    <row r="24" spans="1:10" ht="15" customHeight="1" x14ac:dyDescent="0.25">
      <c r="A24" s="28" t="s">
        <v>305</v>
      </c>
      <c r="B24" s="29">
        <f>MAX($E$7:$E$16)</f>
        <v>7.0000000000000007E-2</v>
      </c>
      <c r="C24" s="30" t="s">
        <v>306</v>
      </c>
    </row>
    <row r="25" spans="1:10" ht="15" customHeight="1" x14ac:dyDescent="0.25">
      <c r="A25" s="31" t="s">
        <v>307</v>
      </c>
      <c r="B25" s="32">
        <f>AVERAGE($E$7:$E$16)</f>
        <v>5.2299999999999992E-2</v>
      </c>
      <c r="C25" s="30" t="s">
        <v>308</v>
      </c>
    </row>
    <row r="26" spans="1:10" ht="15" customHeight="1" x14ac:dyDescent="0.25">
      <c r="A26" s="28" t="s">
        <v>309</v>
      </c>
      <c r="B26" s="33">
        <f>COUNT('04_BENCHMARK_ALP'!$E$7:$E$16)</f>
        <v>10</v>
      </c>
      <c r="C26" s="30" t="s">
        <v>310</v>
      </c>
    </row>
    <row r="28" spans="1:10" ht="15" customHeight="1" x14ac:dyDescent="0.25">
      <c r="A28" s="4" t="s">
        <v>311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15" customHeight="1" x14ac:dyDescent="0.25">
      <c r="A29" s="10" t="s">
        <v>86</v>
      </c>
      <c r="B29" s="10" t="s">
        <v>312</v>
      </c>
      <c r="C29" s="10" t="s">
        <v>313</v>
      </c>
      <c r="D29" s="10" t="s">
        <v>314</v>
      </c>
      <c r="E29" s="10" t="s">
        <v>315</v>
      </c>
      <c r="F29" s="10" t="s">
        <v>316</v>
      </c>
      <c r="G29" s="10" t="s">
        <v>317</v>
      </c>
      <c r="H29" s="10" t="s">
        <v>318</v>
      </c>
    </row>
    <row r="30" spans="1:10" ht="15" customHeight="1" x14ac:dyDescent="0.25">
      <c r="A30" s="9" t="s">
        <v>91</v>
      </c>
      <c r="B30" s="11">
        <f>IFERROR(INDEX('01_PARAMETRES'!$C$42:$C$44,MATCH(A30,'01_PARAMETRES'!$A$42:$A$44,0)),0)</f>
        <v>0.05</v>
      </c>
      <c r="C30" s="11">
        <f>$B$21</f>
        <v>4.2750000000000003E-2</v>
      </c>
      <c r="D30" s="11">
        <f>$B$22</f>
        <v>5.1500000000000004E-2</v>
      </c>
      <c r="E30" s="11">
        <f>$B$23</f>
        <v>6.0999999999999999E-2</v>
      </c>
      <c r="F30" s="34" t="str">
        <f>IF(AND(B30&gt;=C30,B30&lt;=E30),"OUI","NON")</f>
        <v>OUI</v>
      </c>
      <c r="G30" s="9" t="str">
        <f>IF(F30="OUI","✅ CONFORME","⚠️ HORS IQR")</f>
        <v>✅ CONFORME</v>
      </c>
      <c r="H30" s="9" t="str">
        <f>IF(F30="OUI","Aucune","Ajustement vers médiane recommandé")</f>
        <v>Aucune</v>
      </c>
    </row>
    <row r="31" spans="1:10" ht="15" customHeight="1" x14ac:dyDescent="0.25">
      <c r="A31" s="9" t="s">
        <v>94</v>
      </c>
      <c r="B31" s="11">
        <f>IFERROR(INDEX('01_PARAMETRES'!$C$42:$C$44,MATCH(A31,'01_PARAMETRES'!$A$42:$A$44,0)),0)</f>
        <v>4.4999999999999998E-2</v>
      </c>
      <c r="C31" s="11">
        <f>$B$21</f>
        <v>4.2750000000000003E-2</v>
      </c>
      <c r="D31" s="11">
        <f>$B$22</f>
        <v>5.1500000000000004E-2</v>
      </c>
      <c r="E31" s="11">
        <f>$B$23</f>
        <v>6.0999999999999999E-2</v>
      </c>
      <c r="F31" s="34" t="str">
        <f>IF(AND(B31&gt;=C31,B31&lt;=E31),"OUI","NON")</f>
        <v>OUI</v>
      </c>
      <c r="G31" s="9" t="str">
        <f>IF(F31="OUI","✅ CONFORME","⚠️ HORS IQR")</f>
        <v>✅ CONFORME</v>
      </c>
      <c r="H31" s="9" t="str">
        <f>IF(F31="OUI","Aucune","Ajustement vers médiane recommandé")</f>
        <v>Aucune</v>
      </c>
    </row>
    <row r="32" spans="1:10" ht="15" customHeight="1" x14ac:dyDescent="0.25">
      <c r="A32" s="9" t="s">
        <v>96</v>
      </c>
      <c r="B32" s="11">
        <f>IFERROR(INDEX('01_PARAMETRES'!$C$42:$C$44,MATCH(A32,'01_PARAMETRES'!$A$42:$A$44,0)),0)</f>
        <v>0.06</v>
      </c>
      <c r="C32" s="11">
        <f>$B$21</f>
        <v>4.2750000000000003E-2</v>
      </c>
      <c r="D32" s="11">
        <f>$B$22</f>
        <v>5.1500000000000004E-2</v>
      </c>
      <c r="E32" s="11">
        <f>$B$23</f>
        <v>6.0999999999999999E-2</v>
      </c>
      <c r="F32" s="34" t="str">
        <f>IF(AND(B32&gt;=C32,B32&lt;=E32),"OUI","NON")</f>
        <v>OUI</v>
      </c>
      <c r="G32" s="9" t="str">
        <f>IF(F32="OUI","✅ CONFORME","⚠️ HORS IQR")</f>
        <v>✅ CONFORME</v>
      </c>
      <c r="H32" s="9" t="str">
        <f>IF(F32="OUI","Aucune","Ajustement vers médiane recommandé")</f>
        <v>Aucune</v>
      </c>
    </row>
    <row r="34" spans="1:10" ht="15" customHeight="1" x14ac:dyDescent="0.25">
      <c r="A34" s="4" t="s">
        <v>319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23.25" customHeight="1" x14ac:dyDescent="0.25">
      <c r="A35" s="10" t="s">
        <v>320</v>
      </c>
      <c r="B35" s="10" t="s">
        <v>321</v>
      </c>
      <c r="C35" s="10" t="s">
        <v>322</v>
      </c>
      <c r="D35" s="10" t="s">
        <v>323</v>
      </c>
      <c r="E35" s="10" t="s">
        <v>324</v>
      </c>
      <c r="F35" s="10" t="s">
        <v>325</v>
      </c>
      <c r="G35" s="10" t="s">
        <v>326</v>
      </c>
      <c r="H35" s="10" t="s">
        <v>327</v>
      </c>
    </row>
    <row r="36" spans="1:10" ht="15" customHeight="1" x14ac:dyDescent="0.25">
      <c r="A36" s="35" t="s">
        <v>328</v>
      </c>
      <c r="B36" s="36">
        <f>'01_PARAMETRES'!$C$42</f>
        <v>0.05</v>
      </c>
      <c r="C36" s="36">
        <f>'01_PARAMETRES'!$C$43</f>
        <v>4.4999999999999998E-2</v>
      </c>
      <c r="D36" s="36">
        <f>'01_PARAMETRES'!$C$44</f>
        <v>0.06</v>
      </c>
      <c r="E36" s="37">
        <f>SUM('01_PARAMETRES'!$B$56:$B$62)*B36+SUM('01_PARAMETRES'!$C$56:$C$62)*C36+SUM('01_PARAMETRES'!$D$56:$D$62)*D36</f>
        <v>27475</v>
      </c>
      <c r="F36" s="37">
        <v>0</v>
      </c>
      <c r="G36" s="37">
        <f>ROUND(F36*'01_PARAMETRES'!$D$22,0)</f>
        <v>0</v>
      </c>
      <c r="H36" s="37">
        <f t="shared" ref="H36:H41" si="0">F36-G36</f>
        <v>0</v>
      </c>
    </row>
    <row r="37" spans="1:10" ht="15" customHeight="1" x14ac:dyDescent="0.25">
      <c r="A37" s="9" t="s">
        <v>329</v>
      </c>
      <c r="B37" s="29">
        <f>$B$21</f>
        <v>4.2750000000000003E-2</v>
      </c>
      <c r="C37" s="29">
        <f>$B$21</f>
        <v>4.2750000000000003E-2</v>
      </c>
      <c r="D37" s="29">
        <f>$B$21</f>
        <v>4.2750000000000003E-2</v>
      </c>
      <c r="E37" s="38">
        <f>SUM('01_PARAMETRES'!$B$56:$B$62)*B37+SUM('01_PARAMETRES'!$C$56:$C$62)*C37+SUM('01_PARAMETRES'!$D$56:$D$62)*D37</f>
        <v>23298.75</v>
      </c>
      <c r="F37" s="38">
        <f>E37-E36</f>
        <v>-4176.25</v>
      </c>
      <c r="G37" s="38">
        <f>ROUND(F37*'01_PARAMETRES'!$D$22,0)</f>
        <v>-1075</v>
      </c>
      <c r="H37" s="38">
        <f t="shared" si="0"/>
        <v>-3101.25</v>
      </c>
    </row>
    <row r="38" spans="1:10" ht="15" customHeight="1" x14ac:dyDescent="0.25">
      <c r="A38" s="9" t="s">
        <v>314</v>
      </c>
      <c r="B38" s="29">
        <f>$B$22</f>
        <v>5.1500000000000004E-2</v>
      </c>
      <c r="C38" s="29">
        <f>$B$22</f>
        <v>5.1500000000000004E-2</v>
      </c>
      <c r="D38" s="29">
        <f>$B$22</f>
        <v>5.1500000000000004E-2</v>
      </c>
      <c r="E38" s="38">
        <f>SUM('01_PARAMETRES'!$B$56:$B$62)*B38+SUM('01_PARAMETRES'!$C$56:$C$62)*C38+SUM('01_PARAMETRES'!$D$56:$D$62)*D38</f>
        <v>28067.5</v>
      </c>
      <c r="F38" s="38">
        <f>E38-E36</f>
        <v>592.5</v>
      </c>
      <c r="G38" s="38">
        <f>ROUND(F38*'01_PARAMETRES'!$D$22,0)</f>
        <v>152</v>
      </c>
      <c r="H38" s="38">
        <f t="shared" si="0"/>
        <v>440.5</v>
      </c>
    </row>
    <row r="39" spans="1:10" ht="15" customHeight="1" x14ac:dyDescent="0.25">
      <c r="A39" s="9" t="s">
        <v>330</v>
      </c>
      <c r="B39" s="29">
        <f>$B$23</f>
        <v>6.0999999999999999E-2</v>
      </c>
      <c r="C39" s="29">
        <f>$B$23</f>
        <v>6.0999999999999999E-2</v>
      </c>
      <c r="D39" s="29">
        <f>$B$23</f>
        <v>6.0999999999999999E-2</v>
      </c>
      <c r="E39" s="38">
        <f>SUM('01_PARAMETRES'!$B$56:$B$62)*B39+SUM('01_PARAMETRES'!$C$56:$C$62)*C39+SUM('01_PARAMETRES'!$D$56:$D$62)*D39</f>
        <v>33245</v>
      </c>
      <c r="F39" s="38">
        <f>E39-E36</f>
        <v>5770</v>
      </c>
      <c r="G39" s="38">
        <f>ROUND(F39*'01_PARAMETRES'!$D$22,0)</f>
        <v>1485</v>
      </c>
      <c r="H39" s="38">
        <f t="shared" si="0"/>
        <v>4285</v>
      </c>
    </row>
    <row r="40" spans="1:10" ht="15" customHeight="1" x14ac:dyDescent="0.25">
      <c r="A40" s="9" t="s">
        <v>305</v>
      </c>
      <c r="B40" s="29">
        <f>MAX($E$7:$E$16)</f>
        <v>7.0000000000000007E-2</v>
      </c>
      <c r="C40" s="29">
        <f>MAX($E$7:$E$16)</f>
        <v>7.0000000000000007E-2</v>
      </c>
      <c r="D40" s="29">
        <f>MAX($E$7:$E$16)</f>
        <v>7.0000000000000007E-2</v>
      </c>
      <c r="E40" s="38">
        <f>SUM('01_PARAMETRES'!$B$56:$B$62)*B40+SUM('01_PARAMETRES'!$C$56:$C$62)*C40+SUM('01_PARAMETRES'!$D$56:$D$62)*D40</f>
        <v>38150</v>
      </c>
      <c r="F40" s="38">
        <f>E40-E36</f>
        <v>10675</v>
      </c>
      <c r="G40" s="38">
        <f>ROUND(F40*'01_PARAMETRES'!$D$22,0)</f>
        <v>2747</v>
      </c>
      <c r="H40" s="38">
        <f t="shared" si="0"/>
        <v>7928</v>
      </c>
    </row>
    <row r="41" spans="1:10" ht="15" customHeight="1" x14ac:dyDescent="0.25">
      <c r="A41" s="9" t="s">
        <v>297</v>
      </c>
      <c r="B41" s="29">
        <f>MIN($E$7:$E$16)</f>
        <v>3.7999999999999999E-2</v>
      </c>
      <c r="C41" s="29">
        <f>MIN($E$7:$E$16)</f>
        <v>3.7999999999999999E-2</v>
      </c>
      <c r="D41" s="29">
        <f>MIN($E$7:$E$16)</f>
        <v>3.7999999999999999E-2</v>
      </c>
      <c r="E41" s="38">
        <f>SUM('01_PARAMETRES'!$B$56:$B$62)*B41+SUM('01_PARAMETRES'!$C$56:$C$62)*C41+SUM('01_PARAMETRES'!$D$56:$D$62)*D41</f>
        <v>20710</v>
      </c>
      <c r="F41" s="38">
        <f>E41-E36</f>
        <v>-6765</v>
      </c>
      <c r="G41" s="38">
        <f>ROUND(F41*'01_PARAMETRES'!$D$22,0)</f>
        <v>-1741</v>
      </c>
      <c r="H41" s="38">
        <f t="shared" si="0"/>
        <v>-5024</v>
      </c>
    </row>
    <row r="43" spans="1:10" ht="15" customHeight="1" x14ac:dyDescent="0.25">
      <c r="A43" s="3" t="s">
        <v>331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ht="15" customHeight="1" x14ac:dyDescent="0.25">
      <c r="A44" s="3" t="s">
        <v>332</v>
      </c>
      <c r="B44" s="3"/>
      <c r="C44" s="3"/>
      <c r="D44" s="3"/>
      <c r="E44" s="3"/>
      <c r="F44" s="3"/>
      <c r="G44" s="3"/>
      <c r="H44" s="3"/>
      <c r="I44" s="3"/>
      <c r="J44" s="3"/>
    </row>
  </sheetData>
  <mergeCells count="9">
    <mergeCell ref="A28:J28"/>
    <mergeCell ref="A34:J34"/>
    <mergeCell ref="A43:J43"/>
    <mergeCell ref="A44:J44"/>
    <mergeCell ref="A1:J1"/>
    <mergeCell ref="A2:J2"/>
    <mergeCell ref="A3:J3"/>
    <mergeCell ref="A5:J5"/>
    <mergeCell ref="A18:J18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  <pageSetUpPr fitToPage="1"/>
  </sheetPr>
  <dimension ref="A1:H33"/>
  <sheetViews>
    <sheetView showGridLines="0" zoomScaleNormal="100" workbookViewId="0">
      <pane ySplit="3" topLeftCell="A17" activePane="bottomLeft" state="frozen"/>
      <selection pane="bottomLeft" activeCell="A7" sqref="A7"/>
    </sheetView>
  </sheetViews>
  <sheetFormatPr baseColWidth="10" defaultColWidth="8.7109375" defaultRowHeight="15" x14ac:dyDescent="0.25"/>
  <cols>
    <col min="1" max="1" width="18.42578125" customWidth="1"/>
    <col min="2" max="2" width="14" customWidth="1"/>
    <col min="3" max="3" width="28" customWidth="1"/>
    <col min="4" max="4" width="30" customWidth="1"/>
    <col min="5" max="6" width="16" customWidth="1"/>
    <col min="7" max="7" width="18" customWidth="1"/>
    <col min="8" max="8" width="22" customWidth="1"/>
  </cols>
  <sheetData>
    <row r="1" spans="1:8" ht="22.5" customHeight="1" x14ac:dyDescent="0.25">
      <c r="A1" s="7" t="s">
        <v>333</v>
      </c>
      <c r="B1" s="7"/>
      <c r="C1" s="7"/>
      <c r="D1" s="7"/>
      <c r="E1" s="7"/>
      <c r="F1" s="7"/>
      <c r="G1" s="7"/>
      <c r="H1" s="7"/>
    </row>
    <row r="2" spans="1:8" ht="16.5" customHeight="1" x14ac:dyDescent="0.25">
      <c r="A2" s="6" t="s">
        <v>334</v>
      </c>
      <c r="B2" s="6"/>
      <c r="C2" s="6"/>
      <c r="D2" s="6"/>
      <c r="E2" s="6"/>
      <c r="F2" s="6"/>
      <c r="G2" s="6"/>
      <c r="H2" s="6"/>
    </row>
    <row r="3" spans="1:8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</row>
    <row r="5" spans="1:8" ht="15" customHeight="1" x14ac:dyDescent="0.25">
      <c r="A5" s="4" t="s">
        <v>335</v>
      </c>
      <c r="B5" s="4"/>
      <c r="C5" s="4"/>
      <c r="D5" s="4"/>
      <c r="E5" s="4"/>
      <c r="F5" s="4"/>
      <c r="G5" s="4"/>
      <c r="H5" s="4"/>
    </row>
    <row r="6" spans="1:8" ht="15" customHeight="1" x14ac:dyDescent="0.25">
      <c r="A6" s="10" t="s">
        <v>336</v>
      </c>
      <c r="B6" s="10" t="s">
        <v>337</v>
      </c>
      <c r="C6" s="10" t="s">
        <v>338</v>
      </c>
      <c r="D6" s="10" t="s">
        <v>339</v>
      </c>
      <c r="E6" s="10" t="s">
        <v>340</v>
      </c>
      <c r="F6" s="10" t="s">
        <v>341</v>
      </c>
      <c r="G6" s="10" t="s">
        <v>342</v>
      </c>
      <c r="H6" s="10" t="s">
        <v>101</v>
      </c>
    </row>
    <row r="7" spans="1:8" ht="15" customHeight="1" x14ac:dyDescent="0.25">
      <c r="A7" s="39" t="s">
        <v>343</v>
      </c>
      <c r="B7" s="39" t="s">
        <v>344</v>
      </c>
      <c r="C7" s="9" t="s">
        <v>345</v>
      </c>
      <c r="D7" s="9" t="s">
        <v>346</v>
      </c>
      <c r="E7" s="38">
        <f>ROUND('03_CALCUL_ROYALTIES'!F63*'01_PARAMETRES'!$B$48,0)</f>
        <v>1049</v>
      </c>
      <c r="F7" s="39"/>
      <c r="G7" s="39" t="s">
        <v>347</v>
      </c>
      <c r="H7" s="39" t="s">
        <v>348</v>
      </c>
    </row>
    <row r="8" spans="1:8" ht="15" customHeight="1" x14ac:dyDescent="0.25">
      <c r="A8" s="39" t="s">
        <v>343</v>
      </c>
      <c r="B8" s="39" t="s">
        <v>344</v>
      </c>
      <c r="C8" s="9" t="s">
        <v>349</v>
      </c>
      <c r="D8" s="9" t="s">
        <v>350</v>
      </c>
      <c r="E8" s="38">
        <f>ROUND('03_CALCUL_ROYALTIES'!F64*'01_PARAMETRES'!$B$48,0)</f>
        <v>684</v>
      </c>
      <c r="F8" s="39"/>
      <c r="G8" s="39" t="s">
        <v>347</v>
      </c>
      <c r="H8" s="39"/>
    </row>
    <row r="9" spans="1:8" ht="15" customHeight="1" x14ac:dyDescent="0.25">
      <c r="A9" s="39" t="s">
        <v>343</v>
      </c>
      <c r="B9" s="39" t="s">
        <v>344</v>
      </c>
      <c r="C9" s="9" t="s">
        <v>351</v>
      </c>
      <c r="D9" s="9" t="s">
        <v>352</v>
      </c>
      <c r="E9" s="38">
        <f>ROUND('03_CALCUL_ROYALTIES'!F65*'01_PARAMETRES'!$B$48,0)</f>
        <v>926</v>
      </c>
      <c r="F9" s="39"/>
      <c r="G9" s="39" t="s">
        <v>347</v>
      </c>
      <c r="H9" s="39"/>
    </row>
    <row r="10" spans="1:8" ht="15" customHeight="1" x14ac:dyDescent="0.25">
      <c r="A10" s="39" t="s">
        <v>343</v>
      </c>
      <c r="B10" s="39" t="s">
        <v>344</v>
      </c>
      <c r="C10" s="9" t="s">
        <v>353</v>
      </c>
      <c r="D10" s="9" t="s">
        <v>354</v>
      </c>
      <c r="E10" s="38">
        <f>ROUND('03_CALCUL_ROYALTIES'!F66*'01_PARAMETRES'!$B$48,0)</f>
        <v>1278</v>
      </c>
      <c r="F10" s="39"/>
      <c r="G10" s="39" t="s">
        <v>347</v>
      </c>
      <c r="H10" s="39"/>
    </row>
    <row r="11" spans="1:8" ht="15" customHeight="1" x14ac:dyDescent="0.25">
      <c r="A11" s="39" t="s">
        <v>343</v>
      </c>
      <c r="B11" s="39" t="s">
        <v>344</v>
      </c>
      <c r="C11" s="9" t="s">
        <v>355</v>
      </c>
      <c r="D11" s="9" t="s">
        <v>356</v>
      </c>
      <c r="E11" s="38">
        <f>ROUND('03_CALCUL_ROYALTIES'!F67*'01_PARAMETRES'!$B$48,0)</f>
        <v>552</v>
      </c>
      <c r="F11" s="39"/>
      <c r="G11" s="39" t="s">
        <v>347</v>
      </c>
      <c r="H11" s="39"/>
    </row>
    <row r="12" spans="1:8" ht="15" customHeight="1" x14ac:dyDescent="0.25">
      <c r="A12" s="39" t="s">
        <v>343</v>
      </c>
      <c r="B12" s="39" t="s">
        <v>344</v>
      </c>
      <c r="C12" s="9" t="s">
        <v>357</v>
      </c>
      <c r="D12" s="9" t="s">
        <v>358</v>
      </c>
      <c r="E12" s="38">
        <f>ROUND('03_CALCUL_ROYALTIES'!F68*'01_PARAMETRES'!$B$48,0)</f>
        <v>1165</v>
      </c>
      <c r="F12" s="39"/>
      <c r="G12" s="39" t="s">
        <v>347</v>
      </c>
      <c r="H12" s="39"/>
    </row>
    <row r="13" spans="1:8" ht="15" customHeight="1" x14ac:dyDescent="0.25">
      <c r="A13" s="39" t="s">
        <v>343</v>
      </c>
      <c r="B13" s="39" t="s">
        <v>344</v>
      </c>
      <c r="C13" s="9" t="s">
        <v>359</v>
      </c>
      <c r="D13" s="9" t="s">
        <v>360</v>
      </c>
      <c r="E13" s="38">
        <f>ROUND('03_CALCUL_ROYALTIES'!F69*'01_PARAMETRES'!$B$48,0)</f>
        <v>389</v>
      </c>
      <c r="F13" s="39"/>
      <c r="G13" s="39" t="s">
        <v>347</v>
      </c>
      <c r="H13" s="39"/>
    </row>
    <row r="14" spans="1:8" ht="23.25" customHeight="1" x14ac:dyDescent="0.25">
      <c r="A14" s="39" t="s">
        <v>343</v>
      </c>
      <c r="B14" s="39" t="s">
        <v>344</v>
      </c>
      <c r="C14" s="9" t="s">
        <v>361</v>
      </c>
      <c r="D14" s="9" t="s">
        <v>362</v>
      </c>
      <c r="E14" s="39"/>
      <c r="F14" s="38">
        <f>ROUND('03_CALCUL_ROYALTIES'!$F$70*'01_PARAMETRES'!$B$48,0)</f>
        <v>6045</v>
      </c>
      <c r="G14" s="39" t="s">
        <v>347</v>
      </c>
      <c r="H14" s="39" t="s">
        <v>363</v>
      </c>
    </row>
    <row r="16" spans="1:8" ht="15" customHeight="1" x14ac:dyDescent="0.25">
      <c r="A16" s="39" t="s">
        <v>364</v>
      </c>
      <c r="B16" s="39" t="s">
        <v>365</v>
      </c>
      <c r="C16" s="9" t="s">
        <v>366</v>
      </c>
      <c r="D16" s="9" t="s">
        <v>367</v>
      </c>
      <c r="E16" s="38">
        <f>ROUND('03_CALCUL_ROYALTIES'!$F$70*'01_PARAMETRES'!$B$49,0)</f>
        <v>6319</v>
      </c>
      <c r="F16" s="39"/>
      <c r="G16" s="39" t="s">
        <v>347</v>
      </c>
      <c r="H16" s="39"/>
    </row>
    <row r="17" spans="1:8" ht="23.25" customHeight="1" x14ac:dyDescent="0.25">
      <c r="A17" s="39" t="s">
        <v>364</v>
      </c>
      <c r="B17" s="39" t="s">
        <v>365</v>
      </c>
      <c r="C17" s="9" t="s">
        <v>361</v>
      </c>
      <c r="D17" s="9" t="s">
        <v>368</v>
      </c>
      <c r="E17" s="39"/>
      <c r="F17" s="38">
        <f>ROUND('03_CALCUL_ROYALTIES'!$F$70*'01_PARAMETRES'!$B$49,0)</f>
        <v>6319</v>
      </c>
      <c r="G17" s="39" t="s">
        <v>347</v>
      </c>
      <c r="H17" s="39"/>
    </row>
    <row r="19" spans="1:8" ht="15" customHeight="1" x14ac:dyDescent="0.25">
      <c r="A19" s="39" t="s">
        <v>369</v>
      </c>
      <c r="B19" s="39" t="s">
        <v>370</v>
      </c>
      <c r="C19" s="9" t="s">
        <v>366</v>
      </c>
      <c r="D19" s="9" t="s">
        <v>371</v>
      </c>
      <c r="E19" s="38">
        <f>ROUND('03_CALCUL_ROYALTIES'!$F$70*'01_PARAMETRES'!$B$50,0)</f>
        <v>6869</v>
      </c>
      <c r="F19" s="39"/>
      <c r="G19" s="39" t="s">
        <v>347</v>
      </c>
      <c r="H19" s="39"/>
    </row>
    <row r="20" spans="1:8" ht="23.25" customHeight="1" x14ac:dyDescent="0.25">
      <c r="A20" s="39" t="s">
        <v>369</v>
      </c>
      <c r="B20" s="39" t="s">
        <v>370</v>
      </c>
      <c r="C20" s="9" t="s">
        <v>361</v>
      </c>
      <c r="D20" s="9" t="s">
        <v>372</v>
      </c>
      <c r="E20" s="39"/>
      <c r="F20" s="38">
        <f>ROUND('03_CALCUL_ROYALTIES'!$F$70*'01_PARAMETRES'!$B$50,0)</f>
        <v>6869</v>
      </c>
      <c r="G20" s="39" t="s">
        <v>347</v>
      </c>
      <c r="H20" s="39"/>
    </row>
    <row r="22" spans="1:8" ht="15" customHeight="1" x14ac:dyDescent="0.25">
      <c r="A22" s="39" t="s">
        <v>13</v>
      </c>
      <c r="B22" s="39" t="s">
        <v>373</v>
      </c>
      <c r="C22" s="9" t="s">
        <v>366</v>
      </c>
      <c r="D22" s="9" t="s">
        <v>374</v>
      </c>
      <c r="E22" s="38">
        <f>ROUND('03_CALCUL_ROYALTIES'!$F$70*'01_PARAMETRES'!$B$51,0)</f>
        <v>8243</v>
      </c>
      <c r="F22" s="39"/>
      <c r="G22" s="39" t="s">
        <v>347</v>
      </c>
      <c r="H22" s="39"/>
    </row>
    <row r="23" spans="1:8" ht="23.25" customHeight="1" x14ac:dyDescent="0.25">
      <c r="A23" s="39" t="s">
        <v>13</v>
      </c>
      <c r="B23" s="39" t="s">
        <v>373</v>
      </c>
      <c r="C23" s="9" t="s">
        <v>361</v>
      </c>
      <c r="D23" s="9" t="s">
        <v>375</v>
      </c>
      <c r="E23" s="39"/>
      <c r="F23" s="38">
        <f>ROUND('03_CALCUL_ROYALTIES'!$F$70*'01_PARAMETRES'!$B$51,0)</f>
        <v>8243</v>
      </c>
      <c r="G23" s="39" t="s">
        <v>347</v>
      </c>
      <c r="H23" s="39"/>
    </row>
    <row r="26" spans="1:8" ht="27.75" customHeight="1" x14ac:dyDescent="0.25">
      <c r="A26" s="40"/>
      <c r="B26" s="40"/>
      <c r="C26" s="40"/>
      <c r="D26" s="40" t="s">
        <v>376</v>
      </c>
      <c r="E26" s="40"/>
      <c r="F26" s="22">
        <f>'03_CALCUL_ROYALTIES'!$F$70</f>
        <v>27475</v>
      </c>
      <c r="G26" s="40"/>
      <c r="H26" s="40"/>
    </row>
    <row r="28" spans="1:8" ht="15" customHeight="1" x14ac:dyDescent="0.25">
      <c r="A28" s="4" t="s">
        <v>377</v>
      </c>
      <c r="B28" s="4"/>
      <c r="C28" s="4"/>
      <c r="D28" s="4"/>
      <c r="E28" s="4"/>
      <c r="F28" s="4"/>
      <c r="G28" s="4"/>
      <c r="H28" s="4"/>
    </row>
    <row r="29" spans="1:8" ht="30.75" customHeight="1" x14ac:dyDescent="0.25">
      <c r="A29" s="41" t="s">
        <v>347</v>
      </c>
      <c r="B29" s="42" t="s">
        <v>378</v>
      </c>
      <c r="C29" s="1" t="s">
        <v>379</v>
      </c>
      <c r="D29" s="1"/>
      <c r="E29" s="1"/>
      <c r="F29" s="1"/>
      <c r="G29" s="1"/>
      <c r="H29" s="1"/>
    </row>
    <row r="30" spans="1:8" ht="15" customHeight="1" x14ac:dyDescent="0.25">
      <c r="A30" s="41" t="s">
        <v>380</v>
      </c>
      <c r="B30" s="42" t="s">
        <v>381</v>
      </c>
      <c r="C30" s="1" t="s">
        <v>382</v>
      </c>
      <c r="D30" s="1"/>
      <c r="E30" s="1"/>
      <c r="F30" s="1"/>
      <c r="G30" s="1"/>
      <c r="H30" s="1"/>
    </row>
    <row r="31" spans="1:8" ht="15" customHeight="1" x14ac:dyDescent="0.25">
      <c r="A31" s="41" t="s">
        <v>383</v>
      </c>
      <c r="B31" s="42" t="s">
        <v>384</v>
      </c>
      <c r="C31" s="1" t="s">
        <v>385</v>
      </c>
      <c r="D31" s="1"/>
      <c r="E31" s="1"/>
      <c r="F31" s="1"/>
      <c r="G31" s="1"/>
      <c r="H31" s="1"/>
    </row>
    <row r="32" spans="1:8" ht="15" customHeight="1" x14ac:dyDescent="0.25">
      <c r="A32" s="41" t="s">
        <v>386</v>
      </c>
      <c r="B32" s="42" t="s">
        <v>387</v>
      </c>
      <c r="C32" s="1" t="s">
        <v>388</v>
      </c>
      <c r="D32" s="1"/>
      <c r="E32" s="1"/>
      <c r="F32" s="1"/>
      <c r="G32" s="1"/>
      <c r="H32" s="1"/>
    </row>
    <row r="33" spans="1:8" ht="15" customHeight="1" x14ac:dyDescent="0.25">
      <c r="A33" s="41" t="s">
        <v>389</v>
      </c>
      <c r="B33" s="42" t="s">
        <v>390</v>
      </c>
      <c r="C33" s="1" t="s">
        <v>391</v>
      </c>
      <c r="D33" s="1"/>
      <c r="E33" s="1"/>
      <c r="F33" s="1"/>
      <c r="G33" s="1"/>
      <c r="H33" s="1"/>
    </row>
  </sheetData>
  <mergeCells count="10">
    <mergeCell ref="C29:H29"/>
    <mergeCell ref="C30:H30"/>
    <mergeCell ref="C31:H31"/>
    <mergeCell ref="C32:H32"/>
    <mergeCell ref="C33:H33"/>
    <mergeCell ref="A1:H1"/>
    <mergeCell ref="A2:H2"/>
    <mergeCell ref="A3:H3"/>
    <mergeCell ref="A5:H5"/>
    <mergeCell ref="A28:H28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  <pageSetUpPr fitToPage="1"/>
  </sheetPr>
  <dimension ref="A1:J22"/>
  <sheetViews>
    <sheetView showGridLines="0" zoomScaleNormal="100" workbookViewId="0">
      <pane ySplit="3" topLeftCell="A4" activePane="bottomLeft" state="frozen"/>
      <selection pane="bottomLeft" activeCell="F7" sqref="F7"/>
    </sheetView>
  </sheetViews>
  <sheetFormatPr baseColWidth="10" defaultColWidth="8.7109375" defaultRowHeight="15" x14ac:dyDescent="0.25"/>
  <cols>
    <col min="1" max="1" width="26" customWidth="1"/>
    <col min="2" max="3" width="16" customWidth="1"/>
    <col min="4" max="4" width="18" customWidth="1"/>
    <col min="5" max="5" width="21.140625" customWidth="1"/>
    <col min="6" max="6" width="22.85546875" customWidth="1"/>
    <col min="7" max="8" width="16" customWidth="1"/>
    <col min="9" max="9" width="18" customWidth="1"/>
    <col min="10" max="10" width="14" customWidth="1"/>
  </cols>
  <sheetData>
    <row r="1" spans="1:10" ht="22.5" customHeight="1" x14ac:dyDescent="0.25">
      <c r="A1" s="7" t="s">
        <v>392</v>
      </c>
      <c r="B1" s="7"/>
      <c r="C1" s="7"/>
      <c r="D1" s="7"/>
      <c r="E1" s="7"/>
      <c r="F1" s="7"/>
      <c r="G1" s="7"/>
      <c r="H1" s="7"/>
      <c r="I1" s="7"/>
      <c r="J1" s="7"/>
    </row>
    <row r="2" spans="1:10" ht="16.5" customHeight="1" x14ac:dyDescent="0.25">
      <c r="A2" s="6" t="s">
        <v>393</v>
      </c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25">
      <c r="A5" s="4" t="s">
        <v>394</v>
      </c>
      <c r="B5" s="4"/>
      <c r="C5" s="4"/>
      <c r="D5" s="4"/>
      <c r="E5" s="4"/>
      <c r="F5" s="4"/>
      <c r="G5" s="4"/>
      <c r="H5" s="4"/>
      <c r="I5" s="4"/>
      <c r="J5" s="4"/>
    </row>
    <row r="6" spans="1:10" ht="23.25" customHeight="1" x14ac:dyDescent="0.25">
      <c r="A6" s="10" t="s">
        <v>122</v>
      </c>
      <c r="B6" s="10" t="s">
        <v>123</v>
      </c>
      <c r="C6" s="10" t="s">
        <v>124</v>
      </c>
      <c r="D6" s="10" t="s">
        <v>395</v>
      </c>
      <c r="E6" s="10" t="s">
        <v>126</v>
      </c>
      <c r="F6" s="10" t="s">
        <v>127</v>
      </c>
      <c r="G6" s="10" t="s">
        <v>396</v>
      </c>
      <c r="H6" s="10" t="s">
        <v>397</v>
      </c>
      <c r="I6" s="10" t="s">
        <v>398</v>
      </c>
      <c r="J6" s="10" t="s">
        <v>399</v>
      </c>
    </row>
    <row r="7" spans="1:10" ht="15" customHeight="1" x14ac:dyDescent="0.25">
      <c r="A7" s="9" t="s">
        <v>400</v>
      </c>
      <c r="B7" s="29">
        <f>'01_PARAMETRES'!B67</f>
        <v>0.25729999999999997</v>
      </c>
      <c r="C7" s="9" t="s">
        <v>128</v>
      </c>
      <c r="D7" s="29">
        <f>'01_PARAMETRES'!D67</f>
        <v>0</v>
      </c>
      <c r="E7" s="34" t="s">
        <v>129</v>
      </c>
      <c r="F7" s="29">
        <f>'01_PARAMETRES'!F67</f>
        <v>0</v>
      </c>
      <c r="G7" s="38">
        <f>'03_CALCUL_ROYALTIES'!F63</f>
        <v>4770</v>
      </c>
      <c r="H7" s="38">
        <f t="shared" ref="H7:H13" si="0">ROUND(G7*F7,0)</f>
        <v>0</v>
      </c>
      <c r="I7" s="38">
        <f t="shared" ref="I7:I13" si="1">G7-H7</f>
        <v>4770</v>
      </c>
      <c r="J7" s="38">
        <f>MIN(H7,ROUND(G7*TauxIS_FR,0))</f>
        <v>0</v>
      </c>
    </row>
    <row r="8" spans="1:10" ht="23.25" customHeight="1" x14ac:dyDescent="0.25">
      <c r="A8" s="9" t="s">
        <v>401</v>
      </c>
      <c r="B8" s="29">
        <f>'01_PARAMETRES'!B68</f>
        <v>0.3</v>
      </c>
      <c r="C8" s="9" t="s">
        <v>130</v>
      </c>
      <c r="D8" s="29">
        <f>'01_PARAMETRES'!D68</f>
        <v>0</v>
      </c>
      <c r="E8" s="34" t="s">
        <v>131</v>
      </c>
      <c r="F8" s="29">
        <f>'01_PARAMETRES'!F68</f>
        <v>0</v>
      </c>
      <c r="G8" s="38">
        <f>'03_CALCUL_ROYALTIES'!F64</f>
        <v>3110</v>
      </c>
      <c r="H8" s="38">
        <f t="shared" si="0"/>
        <v>0</v>
      </c>
      <c r="I8" s="38">
        <f t="shared" si="1"/>
        <v>3110</v>
      </c>
      <c r="J8" s="38">
        <f>MIN(H8,ROUND(G8*TauxIS_FR,0))</f>
        <v>0</v>
      </c>
    </row>
    <row r="9" spans="1:10" ht="15" customHeight="1" x14ac:dyDescent="0.25">
      <c r="A9" s="9" t="s">
        <v>402</v>
      </c>
      <c r="B9" s="29">
        <f>'01_PARAMETRES'!B69</f>
        <v>0.20419999999999999</v>
      </c>
      <c r="C9" s="9" t="s">
        <v>132</v>
      </c>
      <c r="D9" s="29">
        <f>'01_PARAMETRES'!D69</f>
        <v>0.1</v>
      </c>
      <c r="E9" s="34" t="s">
        <v>129</v>
      </c>
      <c r="F9" s="29">
        <f>'01_PARAMETRES'!F69</f>
        <v>0.1</v>
      </c>
      <c r="G9" s="38">
        <f>'03_CALCUL_ROYALTIES'!F65</f>
        <v>4210</v>
      </c>
      <c r="H9" s="38">
        <f t="shared" si="0"/>
        <v>421</v>
      </c>
      <c r="I9" s="38">
        <f t="shared" si="1"/>
        <v>3789</v>
      </c>
      <c r="J9" s="38">
        <f>MIN(H9,ROUND(G9*TauxIS_FR,0))</f>
        <v>421</v>
      </c>
    </row>
    <row r="10" spans="1:10" ht="15" customHeight="1" x14ac:dyDescent="0.25">
      <c r="A10" s="9" t="s">
        <v>403</v>
      </c>
      <c r="B10" s="29">
        <f>'01_PARAMETRES'!B70</f>
        <v>0.3</v>
      </c>
      <c r="C10" s="9" t="s">
        <v>133</v>
      </c>
      <c r="D10" s="29">
        <f>'01_PARAMETRES'!D70</f>
        <v>0</v>
      </c>
      <c r="E10" s="34" t="s">
        <v>129</v>
      </c>
      <c r="F10" s="29">
        <f>'01_PARAMETRES'!F70</f>
        <v>0</v>
      </c>
      <c r="G10" s="38">
        <f>'03_CALCUL_ROYALTIES'!F66</f>
        <v>5810</v>
      </c>
      <c r="H10" s="38">
        <f t="shared" si="0"/>
        <v>0</v>
      </c>
      <c r="I10" s="38">
        <f t="shared" si="1"/>
        <v>5810</v>
      </c>
      <c r="J10" s="38">
        <f>MIN(H10,ROUND(G10*TauxIS_FR,0))</f>
        <v>0</v>
      </c>
    </row>
    <row r="11" spans="1:10" ht="15" customHeight="1" x14ac:dyDescent="0.25">
      <c r="A11" s="9" t="s">
        <v>404</v>
      </c>
      <c r="B11" s="29">
        <f>'01_PARAMETRES'!B71</f>
        <v>0.2</v>
      </c>
      <c r="C11" s="9" t="s">
        <v>134</v>
      </c>
      <c r="D11" s="29">
        <f>'01_PARAMETRES'!D71</f>
        <v>0</v>
      </c>
      <c r="E11" s="34" t="s">
        <v>129</v>
      </c>
      <c r="F11" s="29">
        <f>'01_PARAMETRES'!F71</f>
        <v>0</v>
      </c>
      <c r="G11" s="38">
        <f>'03_CALCUL_ROYALTIES'!F67</f>
        <v>2510</v>
      </c>
      <c r="H11" s="38">
        <f t="shared" si="0"/>
        <v>0</v>
      </c>
      <c r="I11" s="38">
        <f t="shared" si="1"/>
        <v>2510</v>
      </c>
      <c r="J11" s="38">
        <f>MIN(H11,ROUND(G11*TauxIS_FR,0))</f>
        <v>0</v>
      </c>
    </row>
    <row r="12" spans="1:10" ht="15" customHeight="1" x14ac:dyDescent="0.25">
      <c r="A12" s="9" t="s">
        <v>405</v>
      </c>
      <c r="B12" s="29">
        <f>'01_PARAMETRES'!B72</f>
        <v>8.2500000000000004E-2</v>
      </c>
      <c r="C12" s="9" t="s">
        <v>136</v>
      </c>
      <c r="D12" s="29">
        <f>'01_PARAMETRES'!D72</f>
        <v>0.06</v>
      </c>
      <c r="E12" s="34" t="s">
        <v>129</v>
      </c>
      <c r="F12" s="29">
        <f>'01_PARAMETRES'!F72</f>
        <v>0.06</v>
      </c>
      <c r="G12" s="38">
        <f>'03_CALCUL_ROYALTIES'!F68</f>
        <v>5295</v>
      </c>
      <c r="H12" s="38">
        <f t="shared" si="0"/>
        <v>318</v>
      </c>
      <c r="I12" s="38">
        <f t="shared" si="1"/>
        <v>4977</v>
      </c>
      <c r="J12" s="38">
        <f>MIN(H12,ROUND(G12*TauxIS_FR,0))</f>
        <v>318</v>
      </c>
    </row>
    <row r="13" spans="1:10" ht="27.75" customHeight="1" x14ac:dyDescent="0.25">
      <c r="A13" s="9" t="s">
        <v>406</v>
      </c>
      <c r="B13" s="29">
        <f>'01_PARAMETRES'!B73</f>
        <v>0</v>
      </c>
      <c r="C13" s="9" t="s">
        <v>138</v>
      </c>
      <c r="D13" s="29">
        <f>'01_PARAMETRES'!D73</f>
        <v>0</v>
      </c>
      <c r="E13" s="34" t="s">
        <v>129</v>
      </c>
      <c r="F13" s="29">
        <f>'01_PARAMETRES'!F73</f>
        <v>0</v>
      </c>
      <c r="G13" s="38">
        <f>'03_CALCUL_ROYALTIES'!F69</f>
        <v>1770</v>
      </c>
      <c r="H13" s="38">
        <f t="shared" si="0"/>
        <v>0</v>
      </c>
      <c r="I13" s="38">
        <f t="shared" si="1"/>
        <v>1770</v>
      </c>
      <c r="J13" s="38">
        <f>MIN(H13,ROUND(G13*TauxIS_FR,0))</f>
        <v>0</v>
      </c>
    </row>
    <row r="14" spans="1:10" ht="15" customHeight="1" x14ac:dyDescent="0.25">
      <c r="A14" s="16" t="s">
        <v>110</v>
      </c>
      <c r="B14" s="23"/>
      <c r="C14" s="23"/>
      <c r="D14" s="23"/>
      <c r="E14" s="23"/>
      <c r="F14" s="23"/>
      <c r="G14" s="19">
        <f>SUM(G7:G13)</f>
        <v>27475</v>
      </c>
      <c r="H14" s="19">
        <f>SUM(H7:H13)</f>
        <v>739</v>
      </c>
      <c r="I14" s="19">
        <f>SUM(I7:I13)</f>
        <v>26736</v>
      </c>
      <c r="J14" s="19">
        <f>SUM(J7:J13)</f>
        <v>739</v>
      </c>
    </row>
    <row r="16" spans="1:10" ht="15" customHeight="1" x14ac:dyDescent="0.25">
      <c r="A16" s="4" t="s">
        <v>407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23.25" customHeight="1" x14ac:dyDescent="0.25">
      <c r="A17" s="10" t="s">
        <v>32</v>
      </c>
      <c r="B17" s="10" t="s">
        <v>397</v>
      </c>
      <c r="C17" s="10" t="s">
        <v>408</v>
      </c>
      <c r="D17" s="10" t="s">
        <v>409</v>
      </c>
      <c r="E17" s="10" t="s">
        <v>410</v>
      </c>
      <c r="F17" s="10" t="s">
        <v>101</v>
      </c>
    </row>
    <row r="18" spans="1:10" ht="39" customHeight="1" x14ac:dyDescent="0.25">
      <c r="A18" s="9" t="s">
        <v>54</v>
      </c>
      <c r="B18" s="38">
        <f>H9</f>
        <v>421</v>
      </c>
      <c r="C18" s="39">
        <v>9</v>
      </c>
      <c r="D18" s="29">
        <v>2.5000000000000001E-2</v>
      </c>
      <c r="E18" s="38">
        <f>ROUND(B18*D18*C18/12,0)</f>
        <v>8</v>
      </c>
      <c r="F18" s="30" t="s">
        <v>411</v>
      </c>
    </row>
    <row r="19" spans="1:10" ht="32.25" customHeight="1" x14ac:dyDescent="0.25">
      <c r="A19" s="9" t="s">
        <v>135</v>
      </c>
      <c r="B19" s="38">
        <f>H12</f>
        <v>318</v>
      </c>
      <c r="C19" s="39">
        <v>6</v>
      </c>
      <c r="D19" s="29">
        <v>2.5000000000000001E-2</v>
      </c>
      <c r="E19" s="38">
        <f>ROUND(B19*D19*C19/12,0)</f>
        <v>4</v>
      </c>
      <c r="F19" s="30" t="s">
        <v>411</v>
      </c>
    </row>
    <row r="21" spans="1:10" ht="15" customHeight="1" x14ac:dyDescent="0.25">
      <c r="A21" s="3" t="s">
        <v>412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15" customHeight="1" x14ac:dyDescent="0.25">
      <c r="A22" s="3" t="s">
        <v>413</v>
      </c>
      <c r="B22" s="3"/>
      <c r="C22" s="3"/>
      <c r="D22" s="3"/>
      <c r="E22" s="3"/>
      <c r="F22" s="3"/>
      <c r="G22" s="3"/>
      <c r="H22" s="3"/>
      <c r="I22" s="3"/>
      <c r="J22" s="3"/>
    </row>
  </sheetData>
  <mergeCells count="7">
    <mergeCell ref="A21:J21"/>
    <mergeCell ref="A22:J22"/>
    <mergeCell ref="A1:J1"/>
    <mergeCell ref="A2:J2"/>
    <mergeCell ref="A3:J3"/>
    <mergeCell ref="A5:J5"/>
    <mergeCell ref="A16:J16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44AD"/>
    <pageSetUpPr fitToPage="1"/>
  </sheetPr>
  <dimension ref="A1:H17"/>
  <sheetViews>
    <sheetView showGridLines="0" zoomScaleNormal="100" workbookViewId="0">
      <pane ySplit="3" topLeftCell="A4" activePane="bottomLeft" state="frozen"/>
      <selection pane="bottomLeft" activeCell="F15" sqref="F15"/>
    </sheetView>
  </sheetViews>
  <sheetFormatPr baseColWidth="10" defaultColWidth="8.7109375" defaultRowHeight="15" x14ac:dyDescent="0.25"/>
  <cols>
    <col min="1" max="1" width="28" customWidth="1"/>
    <col min="2" max="7" width="16" customWidth="1"/>
    <col min="8" max="8" width="22" customWidth="1"/>
  </cols>
  <sheetData>
    <row r="1" spans="1:8" ht="22.5" customHeight="1" x14ac:dyDescent="0.25">
      <c r="A1" s="7" t="s">
        <v>414</v>
      </c>
      <c r="B1" s="7"/>
      <c r="C1" s="7"/>
      <c r="D1" s="7"/>
      <c r="E1" s="7"/>
      <c r="F1" s="7"/>
      <c r="G1" s="7"/>
      <c r="H1" s="7"/>
    </row>
    <row r="2" spans="1:8" ht="16.5" customHeight="1" x14ac:dyDescent="0.25">
      <c r="A2" s="6" t="s">
        <v>415</v>
      </c>
      <c r="B2" s="6"/>
      <c r="C2" s="6"/>
      <c r="D2" s="6"/>
      <c r="E2" s="6"/>
      <c r="F2" s="6"/>
      <c r="G2" s="6"/>
      <c r="H2" s="6"/>
    </row>
    <row r="3" spans="1:8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</row>
    <row r="5" spans="1:8" ht="15" customHeight="1" x14ac:dyDescent="0.25">
      <c r="A5" s="4" t="s">
        <v>416</v>
      </c>
      <c r="B5" s="4"/>
      <c r="C5" s="4"/>
      <c r="D5" s="4"/>
      <c r="E5" s="4"/>
      <c r="F5" s="4"/>
      <c r="G5" s="4"/>
      <c r="H5" s="4"/>
    </row>
    <row r="6" spans="1:8" ht="15" customHeight="1" x14ac:dyDescent="0.25">
      <c r="A6" s="10" t="s">
        <v>31</v>
      </c>
      <c r="B6" s="10" t="s">
        <v>417</v>
      </c>
      <c r="C6" s="10" t="s">
        <v>418</v>
      </c>
      <c r="D6" s="10" t="s">
        <v>419</v>
      </c>
      <c r="E6" s="10" t="s">
        <v>420</v>
      </c>
      <c r="F6" s="10" t="s">
        <v>421</v>
      </c>
      <c r="G6" s="10" t="s">
        <v>422</v>
      </c>
      <c r="H6" s="10" t="s">
        <v>423</v>
      </c>
    </row>
    <row r="7" spans="1:8" ht="15" customHeight="1" x14ac:dyDescent="0.25">
      <c r="A7" s="9" t="s">
        <v>47</v>
      </c>
      <c r="B7" s="9" t="s">
        <v>424</v>
      </c>
      <c r="C7" s="38">
        <v>0</v>
      </c>
      <c r="D7" s="38">
        <f>'03_CALCUL_ROYALTIES'!F63</f>
        <v>4770</v>
      </c>
      <c r="E7" s="38">
        <f t="shared" ref="E7:E13" si="0">-D7</f>
        <v>-4770</v>
      </c>
      <c r="F7" s="43">
        <f>'01_PARAMETRES'!G23</f>
        <v>1</v>
      </c>
      <c r="G7" s="38">
        <f t="shared" ref="G7:G13" si="1">E7*F7</f>
        <v>-4770</v>
      </c>
      <c r="H7" s="38">
        <f t="shared" ref="H7:H13" si="2">E7*(1-F7)</f>
        <v>0</v>
      </c>
    </row>
    <row r="8" spans="1:8" ht="15" customHeight="1" x14ac:dyDescent="0.25">
      <c r="A8" s="9" t="s">
        <v>49</v>
      </c>
      <c r="B8" s="9" t="s">
        <v>424</v>
      </c>
      <c r="C8" s="38">
        <v>0</v>
      </c>
      <c r="D8" s="38">
        <f>'03_CALCUL_ROYALTIES'!F64</f>
        <v>3110</v>
      </c>
      <c r="E8" s="38">
        <f t="shared" si="0"/>
        <v>-3110</v>
      </c>
      <c r="F8" s="43">
        <f>'01_PARAMETRES'!G24</f>
        <v>1</v>
      </c>
      <c r="G8" s="38">
        <f t="shared" si="1"/>
        <v>-3110</v>
      </c>
      <c r="H8" s="38">
        <f t="shared" si="2"/>
        <v>0</v>
      </c>
    </row>
    <row r="9" spans="1:8" ht="15" customHeight="1" x14ac:dyDescent="0.25">
      <c r="A9" s="9" t="s">
        <v>53</v>
      </c>
      <c r="B9" s="9" t="s">
        <v>424</v>
      </c>
      <c r="C9" s="38">
        <v>0</v>
      </c>
      <c r="D9" s="38">
        <f>'03_CALCUL_ROYALTIES'!F65</f>
        <v>4210</v>
      </c>
      <c r="E9" s="38">
        <f t="shared" si="0"/>
        <v>-4210</v>
      </c>
      <c r="F9" s="43">
        <f>'01_PARAMETRES'!G25</f>
        <v>1</v>
      </c>
      <c r="G9" s="38">
        <f t="shared" si="1"/>
        <v>-4210</v>
      </c>
      <c r="H9" s="38">
        <f t="shared" si="2"/>
        <v>0</v>
      </c>
    </row>
    <row r="10" spans="1:8" ht="15" customHeight="1" x14ac:dyDescent="0.25">
      <c r="A10" s="9" t="s">
        <v>58</v>
      </c>
      <c r="B10" s="9" t="s">
        <v>424</v>
      </c>
      <c r="C10" s="38">
        <v>0</v>
      </c>
      <c r="D10" s="38">
        <f>'03_CALCUL_ROYALTIES'!F66</f>
        <v>5810</v>
      </c>
      <c r="E10" s="38">
        <f t="shared" si="0"/>
        <v>-5810</v>
      </c>
      <c r="F10" s="43">
        <f>'01_PARAMETRES'!G26</f>
        <v>1</v>
      </c>
      <c r="G10" s="38">
        <f t="shared" si="1"/>
        <v>-5810</v>
      </c>
      <c r="H10" s="38">
        <f t="shared" si="2"/>
        <v>0</v>
      </c>
    </row>
    <row r="11" spans="1:8" ht="15" customHeight="1" x14ac:dyDescent="0.25">
      <c r="A11" s="9" t="s">
        <v>63</v>
      </c>
      <c r="B11" s="9" t="s">
        <v>424</v>
      </c>
      <c r="C11" s="38">
        <v>0</v>
      </c>
      <c r="D11" s="38">
        <f>'03_CALCUL_ROYALTIES'!F67</f>
        <v>2510</v>
      </c>
      <c r="E11" s="38">
        <f t="shared" si="0"/>
        <v>-2510</v>
      </c>
      <c r="F11" s="43">
        <f>'01_PARAMETRES'!G27</f>
        <v>1</v>
      </c>
      <c r="G11" s="38">
        <f t="shared" si="1"/>
        <v>-2510</v>
      </c>
      <c r="H11" s="38">
        <f t="shared" si="2"/>
        <v>0</v>
      </c>
    </row>
    <row r="12" spans="1:8" ht="15" customHeight="1" x14ac:dyDescent="0.25">
      <c r="A12" s="9" t="s">
        <v>68</v>
      </c>
      <c r="B12" s="9" t="s">
        <v>424</v>
      </c>
      <c r="C12" s="38">
        <v>0</v>
      </c>
      <c r="D12" s="38">
        <f>'03_CALCUL_ROYALTIES'!F68</f>
        <v>5295</v>
      </c>
      <c r="E12" s="38">
        <f t="shared" si="0"/>
        <v>-5295</v>
      </c>
      <c r="F12" s="43">
        <f>'01_PARAMETRES'!G28</f>
        <v>0.8</v>
      </c>
      <c r="G12" s="38">
        <f t="shared" si="1"/>
        <v>-4236</v>
      </c>
      <c r="H12" s="38">
        <f t="shared" si="2"/>
        <v>-1058.9999999999998</v>
      </c>
    </row>
    <row r="13" spans="1:8" ht="15" customHeight="1" x14ac:dyDescent="0.25">
      <c r="A13" s="9" t="s">
        <v>73</v>
      </c>
      <c r="B13" s="9" t="s">
        <v>424</v>
      </c>
      <c r="C13" s="38">
        <v>0</v>
      </c>
      <c r="D13" s="38">
        <f>'03_CALCUL_ROYALTIES'!F69</f>
        <v>1770</v>
      </c>
      <c r="E13" s="38">
        <f t="shared" si="0"/>
        <v>-1770</v>
      </c>
      <c r="F13" s="43">
        <f>'01_PARAMETRES'!G29</f>
        <v>1</v>
      </c>
      <c r="G13" s="38">
        <f t="shared" si="1"/>
        <v>-1770</v>
      </c>
      <c r="H13" s="38">
        <f t="shared" si="2"/>
        <v>0</v>
      </c>
    </row>
    <row r="14" spans="1:8" ht="15" customHeight="1" x14ac:dyDescent="0.25">
      <c r="A14" s="44" t="s">
        <v>42</v>
      </c>
      <c r="B14" s="44" t="s">
        <v>425</v>
      </c>
      <c r="C14" s="37">
        <f>'03_CALCUL_ROYALTIES'!$F$70</f>
        <v>27475</v>
      </c>
      <c r="D14" s="37">
        <v>0</v>
      </c>
      <c r="E14" s="37">
        <f>-C14</f>
        <v>-27475</v>
      </c>
      <c r="F14" s="23"/>
      <c r="G14" s="23"/>
      <c r="H14" s="23"/>
    </row>
    <row r="16" spans="1:8" ht="15" customHeight="1" x14ac:dyDescent="0.25">
      <c r="A16" s="3" t="s">
        <v>426</v>
      </c>
      <c r="B16" s="3"/>
      <c r="C16" s="3"/>
      <c r="D16" s="3"/>
      <c r="E16" s="3"/>
      <c r="F16" s="3"/>
      <c r="G16" s="3"/>
      <c r="H16" s="3"/>
    </row>
    <row r="17" spans="1:8" ht="15" customHeight="1" x14ac:dyDescent="0.25">
      <c r="A17" s="3" t="s">
        <v>427</v>
      </c>
      <c r="B17" s="3"/>
      <c r="C17" s="3"/>
      <c r="D17" s="3"/>
      <c r="E17" s="3"/>
      <c r="F17" s="3"/>
      <c r="G17" s="3"/>
      <c r="H17" s="3"/>
    </row>
  </sheetData>
  <mergeCells count="6">
    <mergeCell ref="A17:H17"/>
    <mergeCell ref="A1:H1"/>
    <mergeCell ref="A2:H2"/>
    <mergeCell ref="A3:H3"/>
    <mergeCell ref="A5:H5"/>
    <mergeCell ref="A16:H16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39C12"/>
    <pageSetUpPr fitToPage="1"/>
  </sheetPr>
  <dimension ref="A1:J21"/>
  <sheetViews>
    <sheetView showGridLines="0" zoomScaleNormal="100" workbookViewId="0">
      <pane ySplit="3" topLeftCell="A4" activePane="bottomLeft" state="frozen"/>
      <selection pane="bottomLeft" activeCell="N10" sqref="N10"/>
    </sheetView>
  </sheetViews>
  <sheetFormatPr baseColWidth="10" defaultColWidth="8.7109375" defaultRowHeight="15" x14ac:dyDescent="0.25"/>
  <cols>
    <col min="1" max="1" width="26" customWidth="1"/>
    <col min="2" max="9" width="16" customWidth="1"/>
    <col min="10" max="10" width="20" customWidth="1"/>
  </cols>
  <sheetData>
    <row r="1" spans="1:10" ht="22.5" customHeight="1" x14ac:dyDescent="0.25">
      <c r="A1" s="7" t="s">
        <v>428</v>
      </c>
      <c r="B1" s="7"/>
      <c r="C1" s="7"/>
      <c r="D1" s="7"/>
      <c r="E1" s="7"/>
      <c r="F1" s="7"/>
      <c r="G1" s="7"/>
      <c r="H1" s="7"/>
      <c r="I1" s="7"/>
      <c r="J1" s="7"/>
    </row>
    <row r="2" spans="1:10" ht="16.5" customHeight="1" x14ac:dyDescent="0.25">
      <c r="A2" s="6" t="s">
        <v>429</v>
      </c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5" spans="1:10" ht="15" customHeight="1" x14ac:dyDescent="0.25">
      <c r="A5" s="4" t="s">
        <v>430</v>
      </c>
      <c r="B5" s="4"/>
      <c r="C5" s="4"/>
      <c r="D5" s="4"/>
      <c r="E5" s="4"/>
      <c r="F5" s="4"/>
      <c r="G5" s="4"/>
      <c r="H5" s="4"/>
      <c r="I5" s="4"/>
      <c r="J5" s="4"/>
    </row>
    <row r="6" spans="1:10" ht="35.25" customHeight="1" x14ac:dyDescent="0.25">
      <c r="A6" s="10" t="s">
        <v>431</v>
      </c>
      <c r="B6" s="10" t="s">
        <v>432</v>
      </c>
      <c r="C6" s="10" t="s">
        <v>433</v>
      </c>
      <c r="D6" s="10" t="s">
        <v>434</v>
      </c>
      <c r="E6" s="10" t="s">
        <v>435</v>
      </c>
      <c r="F6" s="10" t="s">
        <v>436</v>
      </c>
      <c r="G6" s="10" t="s">
        <v>437</v>
      </c>
      <c r="H6" s="10" t="s">
        <v>438</v>
      </c>
      <c r="I6" s="10" t="s">
        <v>439</v>
      </c>
      <c r="J6" s="10" t="s">
        <v>101</v>
      </c>
    </row>
    <row r="7" spans="1:10" ht="34.5" customHeight="1" x14ac:dyDescent="0.25">
      <c r="A7" s="9" t="s">
        <v>440</v>
      </c>
      <c r="B7" s="13">
        <v>85000</v>
      </c>
      <c r="C7" s="13">
        <f>GrandTotal_Royalty</f>
        <v>27475</v>
      </c>
      <c r="D7" s="13">
        <v>112475</v>
      </c>
      <c r="E7" s="13">
        <f>ROUND(D7*TauxIS_FR,0)</f>
        <v>28940</v>
      </c>
      <c r="F7" s="11">
        <f>IFERROR(E7/D7,0)</f>
        <v>0.25730162258279615</v>
      </c>
      <c r="G7" s="13">
        <f>ROUND(5%*(INDEX(Entites_MasseSal,1)+INDEX(Entites_MasseSal,2))+5%*(INDEX(Entites_ActifsCorp,1)+INDEX(Entites_ActifsCorp,2)),0)</f>
        <v>5375</v>
      </c>
      <c r="H7" s="13">
        <f>D7-G7</f>
        <v>107100</v>
      </c>
      <c r="I7" s="13">
        <f>MAX(0,ROUND((15%-F7)*H7,0))</f>
        <v>0</v>
      </c>
      <c r="J7" s="9" t="str">
        <f>IF(F7&lt;15%,"⚠️ Top-up "&amp;TEXT((15%-F7)*H7,"#,##0")&amp;" k€","✅ QDMTT FR — conforme "&amp;TEXT(F7,"0.0%"))</f>
        <v>✅ QDMTT FR — conforme 2.6%</v>
      </c>
    </row>
    <row r="8" spans="1:10" ht="15" customHeight="1" x14ac:dyDescent="0.25">
      <c r="A8" s="9" t="s">
        <v>50</v>
      </c>
      <c r="B8" s="13">
        <v>18000</v>
      </c>
      <c r="C8" s="13">
        <f>IFERROR(-_xlfn.XLOOKUP("Maison Aurèle Italia",Recap_Entites,Recap_RoyaltyTotal),0)</f>
        <v>-3110</v>
      </c>
      <c r="D8" s="13">
        <v>14890</v>
      </c>
      <c r="E8" s="13">
        <f>ROUND(D8*_xlfn.XLOOKUP("Maison Aurèle Italia",Entites_Noms,Entites_TauxIS),0)</f>
        <v>4116</v>
      </c>
      <c r="F8" s="11">
        <f>IFERROR(E8/D8,0)</f>
        <v>0.27642713230355942</v>
      </c>
      <c r="G8" s="13">
        <f>ROUND(5%*_xlfn.XLOOKUP("Maison Aurèle Italia",Entites_Noms,Entites_MasseSal)+5%*_xlfn.XLOOKUP("Maison Aurèle Italia",Entites_Noms,Entites_ActifsCorp),0)</f>
        <v>1175</v>
      </c>
      <c r="H8" s="13">
        <f>D8-G8</f>
        <v>13715</v>
      </c>
      <c r="I8" s="13">
        <f>MAX(0,ROUND((15%-F8)*H8,0))</f>
        <v>0</v>
      </c>
      <c r="J8" s="9" t="str">
        <f>IF(F8&lt;15%,"⚠️ Top-up "&amp;TEXT((15%-F8)*H8,"#,##0")&amp;" k€","✅ Conforme "&amp;TEXT(F8,"0.0%"))</f>
        <v>✅ Conforme 2.8%</v>
      </c>
    </row>
    <row r="9" spans="1:10" ht="23.25" customHeight="1" x14ac:dyDescent="0.25">
      <c r="A9" s="9" t="s">
        <v>54</v>
      </c>
      <c r="B9" s="13">
        <v>22000</v>
      </c>
      <c r="C9" s="13">
        <f>IFERROR(-_xlfn.XLOOKUP("Maison Aurèle Japan",Recap_Entites,Recap_RoyaltyTotal),0)</f>
        <v>-4210</v>
      </c>
      <c r="D9" s="13">
        <v>17790</v>
      </c>
      <c r="E9" s="13">
        <f>ROUND(D9*_xlfn.XLOOKUP("Maison Aurèle Japan",Entites_Noms,Entites_TauxIS),0)</f>
        <v>5607</v>
      </c>
      <c r="F9" s="11">
        <f>IFERROR(E9/D9,0)</f>
        <v>0.31517706576728499</v>
      </c>
      <c r="G9" s="13">
        <f>ROUND(5%*_xlfn.XLOOKUP("Maison Aurèle Japan",Entites_Noms,Entites_MasseSal)+5%*_xlfn.XLOOKUP("Maison Aurèle Japan",Entites_Noms,Entites_ActifsCorp),0)</f>
        <v>1800</v>
      </c>
      <c r="H9" s="13">
        <f>D9-G9</f>
        <v>15990</v>
      </c>
      <c r="I9" s="13">
        <f>MAX(0,ROUND((15%-F9)*H9,0))</f>
        <v>0</v>
      </c>
      <c r="J9" s="9" t="str">
        <f>IF(F9&lt;15%,"⚠️ Top-up "&amp;TEXT((15%-F9)*H9,"#,##0")&amp;" k€","✅ Conforme "&amp;TEXT(F9,"0.0%"))</f>
        <v>✅ Conforme 3.2%</v>
      </c>
    </row>
    <row r="10" spans="1:10" ht="15" customHeight="1" x14ac:dyDescent="0.25">
      <c r="A10" s="9" t="s">
        <v>59</v>
      </c>
      <c r="B10" s="13">
        <v>30000</v>
      </c>
      <c r="C10" s="13">
        <f>IFERROR(-_xlfn.XLOOKUP("Maison Aurèle USA",Recap_Entites,Recap_RoyaltyTotal),0)</f>
        <v>-5810</v>
      </c>
      <c r="D10" s="13">
        <v>24190</v>
      </c>
      <c r="E10" s="13">
        <f>ROUND(D10*_xlfn.XLOOKUP("Maison Aurèle USA",Entites_Noms,Entites_TauxIS),0)</f>
        <v>5080</v>
      </c>
      <c r="F10" s="11">
        <f>IFERROR(E10/D10,0)</f>
        <v>0.21000413393964448</v>
      </c>
      <c r="G10" s="13">
        <f>ROUND(5%*_xlfn.XLOOKUP("Maison Aurèle USA",Entites_Noms,Entites_MasseSal)+5%*_xlfn.XLOOKUP("Maison Aurèle USA",Entites_Noms,Entites_ActifsCorp),0)</f>
        <v>2400</v>
      </c>
      <c r="H10" s="13">
        <f>D10-G10</f>
        <v>21790</v>
      </c>
      <c r="I10" s="13">
        <f>MAX(0,ROUND((15%-F10)*H10,0))</f>
        <v>0</v>
      </c>
      <c r="J10" s="9" t="str">
        <f>IF(F10&lt;15%,"⚠️ Top-up "&amp;TEXT((15%-F10)*H10,"#,##0")&amp;" k€","✅ Conforme "&amp;TEXT(F10,"0.0%"))</f>
        <v>✅ Conforme 2.1%</v>
      </c>
    </row>
    <row r="11" spans="1:10" ht="15" customHeight="1" x14ac:dyDescent="0.25">
      <c r="A11" s="9" t="s">
        <v>64</v>
      </c>
      <c r="B11" s="13">
        <v>12000</v>
      </c>
      <c r="C11" s="13">
        <f>IFERROR(-_xlfn.XLOOKUP("Maison Aurèle UK",Recap_Entites,Recap_RoyaltyTotal),0)</f>
        <v>-2510</v>
      </c>
      <c r="D11" s="13">
        <v>9490</v>
      </c>
      <c r="E11" s="13">
        <f>ROUND(D11*_xlfn.XLOOKUP("Maison Aurèle UK",Entites_Noms,Entites_TauxIS),0)</f>
        <v>2373</v>
      </c>
      <c r="F11" s="11">
        <f>IFERROR(E11/D11,0)</f>
        <v>0.25005268703898842</v>
      </c>
      <c r="G11" s="13">
        <f>ROUND(5%*_xlfn.XLOOKUP("Maison Aurèle UK",Entites_Noms,Entites_MasseSal)+5%*_xlfn.XLOOKUP("Maison Aurèle UK",Entites_Noms,Entites_ActifsCorp),0)</f>
        <v>975</v>
      </c>
      <c r="H11" s="13">
        <f>D11-G11</f>
        <v>8515</v>
      </c>
      <c r="I11" s="13">
        <f>MAX(0,ROUND((15%-F11)*H11,0))</f>
        <v>0</v>
      </c>
      <c r="J11" s="9" t="str">
        <f>IF(F11&lt;15%,"⚠️ Top-up "&amp;TEXT((15%-F11)*H11,"#,##0")&amp;" k€","✅ Conforme "&amp;TEXT(F11,"0.0%"))</f>
        <v>✅ Conforme 2.5%</v>
      </c>
    </row>
    <row r="12" spans="1:10" ht="19.5" customHeight="1" x14ac:dyDescent="0.25">
      <c r="A12" s="9" t="s">
        <v>135</v>
      </c>
      <c r="B12" s="13">
        <v>28000</v>
      </c>
      <c r="C12" s="13">
        <f>IFERROR(-_xlfn.XLOOKUP("Maison Aurèle China",Recap_Entites,Recap_RoyaltyTotal),0)</f>
        <v>-5295</v>
      </c>
      <c r="D12" s="13">
        <v>22705</v>
      </c>
      <c r="E12" s="13">
        <f>ROUND(D12*_xlfn.XLOOKUP("Maison Aurèle China",Entites_Noms,Entites_TauxIS),0)</f>
        <v>3746</v>
      </c>
      <c r="F12" s="11">
        <f>IFERROR(E12/D12,0)</f>
        <v>0.1649856859722528</v>
      </c>
      <c r="G12" s="13">
        <f>ROUND(5%*_xlfn.XLOOKUP("Maison Aurèle China",Entites_Noms,Entites_MasseSal)+5%*_xlfn.XLOOKUP("Maison Aurèle China",Entites_Noms,Entites_ActifsCorp),0)</f>
        <v>2150</v>
      </c>
      <c r="H12" s="13">
        <f>D12-G12</f>
        <v>20555</v>
      </c>
      <c r="I12" s="13">
        <f>MAX(0,ROUND((15%-F12)*H12,0))</f>
        <v>0</v>
      </c>
      <c r="J12" s="9" t="str">
        <f>IF(F12&lt;15%,"⚠️ Top-up "&amp;TEXT((15%-F12)*H12,"#,##0")&amp;" k€","✅ Conforme "&amp;TEXT(F12,"0.0%"))</f>
        <v>✅ Conforme 1.6%</v>
      </c>
    </row>
    <row r="13" spans="1:10" ht="21.75" customHeight="1" x14ac:dyDescent="0.25">
      <c r="A13" s="9" t="s">
        <v>74</v>
      </c>
      <c r="B13" s="13">
        <v>8000</v>
      </c>
      <c r="C13" s="13">
        <f>IFERROR(-_xlfn.XLOOKUP("Maison Aurèle ME",Recap_Entites,Recap_RoyaltyTotal),0)</f>
        <v>-1770</v>
      </c>
      <c r="D13" s="13">
        <v>6230</v>
      </c>
      <c r="E13" s="13">
        <f>ROUND(D13*_xlfn.XLOOKUP("Maison Aurèle ME",Entites_Noms,Entites_TauxIS),0)</f>
        <v>561</v>
      </c>
      <c r="F13" s="15">
        <f>IFERROR(E13/D13,0)</f>
        <v>9.004815409309791E-2</v>
      </c>
      <c r="G13" s="13">
        <f>ROUND(5%*_xlfn.XLOOKUP("Maison Aurèle ME",Entites_Noms,Entites_MasseSal)+5%*_xlfn.XLOOKUP("Maison Aurèle ME",Entites_Noms,Entites_ActifsCorp),0)</f>
        <v>675</v>
      </c>
      <c r="H13" s="13">
        <f>D13-G13</f>
        <v>5555</v>
      </c>
      <c r="I13" s="45">
        <f>MAX(0,ROUND((15%-F13)*H13,0))</f>
        <v>333</v>
      </c>
      <c r="J13" s="9" t="str">
        <f>IF(F13&lt;15%,"⚠️ Top-up "&amp;TEXT((15%-F13)*H13,"#,##0")&amp;" k€","✅ Conforme "&amp;TEXT(F13,"0.0%"))</f>
        <v>⚠️ Top-up 333,033 k€</v>
      </c>
    </row>
    <row r="14" spans="1:10" ht="33.75" customHeight="1" x14ac:dyDescent="0.25">
      <c r="A14" s="59" t="s">
        <v>110</v>
      </c>
      <c r="B14" s="65">
        <f>SUM(B7:B13)</f>
        <v>203000</v>
      </c>
      <c r="C14" s="65">
        <f>SUM(C7:C13)</f>
        <v>4770</v>
      </c>
      <c r="D14" s="65">
        <f>SUM(D7:D13)</f>
        <v>207770</v>
      </c>
      <c r="E14" s="65">
        <f>SUM(E7:E13)</f>
        <v>50423</v>
      </c>
      <c r="F14" s="64">
        <f>IFERROR(E14/D14,0)</f>
        <v>0.24268662463300766</v>
      </c>
      <c r="G14" s="63">
        <f>SUM(G7:G13)</f>
        <v>14550</v>
      </c>
      <c r="H14" s="65">
        <f>SUM(H7:H13)</f>
        <v>193220</v>
      </c>
      <c r="I14" s="66">
        <f>SUM(I7:I13)</f>
        <v>333</v>
      </c>
      <c r="J14" s="59" t="str">
        <f>IF(I14&gt;0,"⚠️ Top-up total à acquitter : "&amp;TEXT(I14,"#,##0")&amp;" k€","✅ Aucun top-up requis")</f>
        <v>⚠️ Top-up total à acquitter : 333,0 k€</v>
      </c>
    </row>
    <row r="15" spans="1:10" ht="15" customHeight="1" x14ac:dyDescent="0.25">
      <c r="A15" s="4" t="s">
        <v>441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ht="15" customHeight="1" x14ac:dyDescent="0.25">
      <c r="A16" s="21" t="s">
        <v>442</v>
      </c>
      <c r="B16" s="1" t="s">
        <v>443</v>
      </c>
      <c r="C16" s="1"/>
      <c r="D16" s="1"/>
      <c r="E16" s="1"/>
      <c r="F16" s="1"/>
      <c r="G16" s="1"/>
      <c r="H16" s="1"/>
      <c r="I16" s="1"/>
      <c r="J16" s="1"/>
    </row>
    <row r="17" spans="1:10" ht="15" customHeight="1" x14ac:dyDescent="0.25">
      <c r="A17" s="21" t="s">
        <v>444</v>
      </c>
      <c r="B17" s="1" t="s">
        <v>445</v>
      </c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25">
      <c r="A18" s="21" t="s">
        <v>446</v>
      </c>
      <c r="B18" s="1" t="s">
        <v>447</v>
      </c>
      <c r="C18" s="1"/>
      <c r="D18" s="1"/>
      <c r="E18" s="1"/>
      <c r="F18" s="1"/>
      <c r="G18" s="1"/>
      <c r="H18" s="1"/>
      <c r="I18" s="1"/>
      <c r="J18" s="1"/>
    </row>
    <row r="19" spans="1:10" ht="15" customHeight="1" x14ac:dyDescent="0.25">
      <c r="A19" s="21" t="s">
        <v>448</v>
      </c>
      <c r="B19" s="1" t="s">
        <v>449</v>
      </c>
      <c r="C19" s="1"/>
      <c r="D19" s="1"/>
      <c r="E19" s="1"/>
      <c r="F19" s="1"/>
      <c r="G19" s="1"/>
      <c r="H19" s="1"/>
      <c r="I19" s="1"/>
      <c r="J19" s="1"/>
    </row>
    <row r="20" spans="1:10" ht="15" customHeight="1" x14ac:dyDescent="0.25">
      <c r="A20" s="21" t="s">
        <v>450</v>
      </c>
      <c r="B20" s="1" t="s">
        <v>451</v>
      </c>
      <c r="C20" s="1"/>
      <c r="D20" s="1"/>
      <c r="E20" s="1"/>
      <c r="F20" s="1"/>
      <c r="G20" s="1"/>
      <c r="H20" s="1"/>
      <c r="I20" s="1"/>
      <c r="J20" s="1"/>
    </row>
    <row r="21" spans="1:10" ht="15" customHeight="1" x14ac:dyDescent="0.25">
      <c r="A21" s="21" t="s">
        <v>452</v>
      </c>
      <c r="B21" s="1" t="s">
        <v>453</v>
      </c>
      <c r="C21" s="1"/>
      <c r="D21" s="1"/>
      <c r="E21" s="1"/>
      <c r="F21" s="1"/>
      <c r="G21" s="1"/>
      <c r="H21" s="1"/>
      <c r="I21" s="1"/>
      <c r="J21" s="1"/>
    </row>
  </sheetData>
  <mergeCells count="11">
    <mergeCell ref="B21:J21"/>
    <mergeCell ref="B16:J16"/>
    <mergeCell ref="B17:J17"/>
    <mergeCell ref="B18:J18"/>
    <mergeCell ref="B19:J19"/>
    <mergeCell ref="B20:J20"/>
    <mergeCell ref="A1:J1"/>
    <mergeCell ref="A2:J2"/>
    <mergeCell ref="A3:J3"/>
    <mergeCell ref="A5:J5"/>
    <mergeCell ref="A15:J15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4A5A"/>
    <pageSetUpPr fitToPage="1"/>
  </sheetPr>
  <dimension ref="A1:F24"/>
  <sheetViews>
    <sheetView showGridLines="0" zoomScaleNormal="100" workbookViewId="0">
      <pane ySplit="3" topLeftCell="A4" activePane="bottomLeft" state="frozen"/>
      <selection pane="bottomLeft" activeCell="D7" sqref="D7"/>
    </sheetView>
  </sheetViews>
  <sheetFormatPr baseColWidth="10" defaultColWidth="8.7109375" defaultRowHeight="15" x14ac:dyDescent="0.25"/>
  <cols>
    <col min="1" max="1" width="8" customWidth="1"/>
    <col min="2" max="2" width="30" customWidth="1"/>
    <col min="3" max="3" width="40" customWidth="1"/>
    <col min="4" max="4" width="16" customWidth="1"/>
    <col min="5" max="5" width="20" customWidth="1"/>
    <col min="6" max="6" width="14" customWidth="1"/>
  </cols>
  <sheetData>
    <row r="1" spans="1:6" ht="22.5" customHeight="1" x14ac:dyDescent="0.25">
      <c r="A1" s="7" t="s">
        <v>454</v>
      </c>
      <c r="B1" s="7"/>
      <c r="C1" s="7"/>
      <c r="D1" s="7"/>
      <c r="E1" s="7"/>
      <c r="F1" s="7"/>
    </row>
    <row r="2" spans="1:6" ht="16.5" customHeight="1" x14ac:dyDescent="0.25">
      <c r="A2" s="6" t="s">
        <v>455</v>
      </c>
      <c r="B2" s="6"/>
      <c r="C2" s="6"/>
      <c r="D2" s="6"/>
      <c r="E2" s="6"/>
      <c r="F2" s="6"/>
    </row>
    <row r="3" spans="1:6" ht="15" customHeight="1" x14ac:dyDescent="0.25">
      <c r="A3" s="5" t="s">
        <v>2</v>
      </c>
      <c r="B3" s="5"/>
      <c r="C3" s="5"/>
      <c r="D3" s="5"/>
      <c r="E3" s="5"/>
      <c r="F3" s="5"/>
    </row>
    <row r="5" spans="1:6" ht="15" customHeight="1" x14ac:dyDescent="0.25">
      <c r="A5" s="4" t="s">
        <v>456</v>
      </c>
      <c r="B5" s="4"/>
      <c r="C5" s="4"/>
      <c r="D5" s="4"/>
      <c r="E5" s="4"/>
      <c r="F5" s="4"/>
    </row>
    <row r="6" spans="1:6" ht="15" customHeight="1" x14ac:dyDescent="0.25">
      <c r="A6" s="10" t="s">
        <v>457</v>
      </c>
      <c r="B6" s="10" t="s">
        <v>458</v>
      </c>
      <c r="C6" s="10" t="s">
        <v>459</v>
      </c>
      <c r="D6" s="10" t="s">
        <v>460</v>
      </c>
      <c r="E6" s="10" t="s">
        <v>461</v>
      </c>
      <c r="F6" s="10" t="s">
        <v>462</v>
      </c>
    </row>
    <row r="7" spans="1:6" ht="15" customHeight="1" x14ac:dyDescent="0.25">
      <c r="A7" s="9" t="s">
        <v>463</v>
      </c>
      <c r="B7" s="9" t="s">
        <v>464</v>
      </c>
      <c r="C7" s="9" t="s">
        <v>465</v>
      </c>
      <c r="D7" s="46" t="s">
        <v>466</v>
      </c>
      <c r="E7" s="9" t="s">
        <v>467</v>
      </c>
      <c r="F7" s="9" t="s">
        <v>468</v>
      </c>
    </row>
    <row r="8" spans="1:6" ht="15" customHeight="1" x14ac:dyDescent="0.25">
      <c r="A8" s="9" t="s">
        <v>469</v>
      </c>
      <c r="B8" s="9" t="s">
        <v>470</v>
      </c>
      <c r="C8" s="9" t="s">
        <v>471</v>
      </c>
      <c r="D8" s="46" t="s">
        <v>466</v>
      </c>
      <c r="E8" s="9" t="s">
        <v>472</v>
      </c>
      <c r="F8" s="9" t="s">
        <v>473</v>
      </c>
    </row>
    <row r="9" spans="1:6" ht="15" customHeight="1" x14ac:dyDescent="0.25">
      <c r="A9" s="9" t="s">
        <v>474</v>
      </c>
      <c r="B9" s="9" t="s">
        <v>475</v>
      </c>
      <c r="C9" s="9" t="s">
        <v>476</v>
      </c>
      <c r="D9" s="46" t="s">
        <v>466</v>
      </c>
      <c r="E9" s="9" t="s">
        <v>477</v>
      </c>
      <c r="F9" s="9" t="s">
        <v>478</v>
      </c>
    </row>
    <row r="10" spans="1:6" ht="15" customHeight="1" x14ac:dyDescent="0.25">
      <c r="A10" s="9" t="s">
        <v>479</v>
      </c>
      <c r="B10" s="9" t="s">
        <v>480</v>
      </c>
      <c r="C10" s="9" t="s">
        <v>481</v>
      </c>
      <c r="D10" s="46" t="s">
        <v>466</v>
      </c>
      <c r="E10" s="9" t="s">
        <v>482</v>
      </c>
      <c r="F10" s="9" t="s">
        <v>483</v>
      </c>
    </row>
    <row r="11" spans="1:6" ht="15" customHeight="1" x14ac:dyDescent="0.25">
      <c r="A11" s="9" t="s">
        <v>484</v>
      </c>
      <c r="B11" s="9" t="s">
        <v>485</v>
      </c>
      <c r="C11" s="9" t="s">
        <v>486</v>
      </c>
      <c r="D11" s="46" t="s">
        <v>466</v>
      </c>
      <c r="E11" s="9" t="s">
        <v>487</v>
      </c>
      <c r="F11" s="9" t="s">
        <v>488</v>
      </c>
    </row>
    <row r="12" spans="1:6" ht="15" customHeight="1" x14ac:dyDescent="0.25">
      <c r="A12" s="9" t="s">
        <v>489</v>
      </c>
      <c r="B12" s="9" t="s">
        <v>490</v>
      </c>
      <c r="C12" s="9" t="s">
        <v>491</v>
      </c>
      <c r="D12" s="46" t="s">
        <v>466</v>
      </c>
      <c r="E12" s="9" t="s">
        <v>492</v>
      </c>
      <c r="F12" s="9" t="s">
        <v>493</v>
      </c>
    </row>
    <row r="13" spans="1:6" ht="15" customHeight="1" x14ac:dyDescent="0.25">
      <c r="A13" s="9" t="s">
        <v>494</v>
      </c>
      <c r="B13" s="9" t="s">
        <v>495</v>
      </c>
      <c r="C13" s="9" t="s">
        <v>496</v>
      </c>
      <c r="D13" s="46" t="s">
        <v>466</v>
      </c>
      <c r="E13" s="9" t="s">
        <v>492</v>
      </c>
      <c r="F13" s="9" t="s">
        <v>497</v>
      </c>
    </row>
    <row r="14" spans="1:6" ht="15" customHeight="1" x14ac:dyDescent="0.25">
      <c r="A14" s="9" t="s">
        <v>498</v>
      </c>
      <c r="B14" s="9" t="s">
        <v>499</v>
      </c>
      <c r="C14" s="9" t="s">
        <v>500</v>
      </c>
      <c r="D14" s="47" t="s">
        <v>501</v>
      </c>
      <c r="E14" s="9" t="s">
        <v>492</v>
      </c>
      <c r="F14" s="9" t="s">
        <v>502</v>
      </c>
    </row>
    <row r="16" spans="1:6" ht="15" customHeight="1" x14ac:dyDescent="0.25">
      <c r="A16" s="4" t="s">
        <v>503</v>
      </c>
      <c r="B16" s="4"/>
      <c r="C16" s="4"/>
      <c r="D16" s="4"/>
      <c r="E16" s="4"/>
      <c r="F16" s="4"/>
    </row>
    <row r="17" spans="1:6" ht="23.25" customHeight="1" x14ac:dyDescent="0.25">
      <c r="A17" s="10" t="s">
        <v>431</v>
      </c>
      <c r="B17" s="10" t="s">
        <v>233</v>
      </c>
      <c r="C17" s="10" t="s">
        <v>504</v>
      </c>
      <c r="D17" s="10" t="s">
        <v>505</v>
      </c>
      <c r="E17" s="10" t="s">
        <v>435</v>
      </c>
      <c r="F17" s="10" t="s">
        <v>506</v>
      </c>
    </row>
    <row r="18" spans="1:6" ht="15" customHeight="1" x14ac:dyDescent="0.25">
      <c r="A18" s="9" t="s">
        <v>43</v>
      </c>
      <c r="B18" s="13">
        <v>180000</v>
      </c>
      <c r="C18" s="48">
        <f>'03_CALCUL_ROYALTIES'!$F$70</f>
        <v>27475</v>
      </c>
      <c r="D18" s="13">
        <v>120000</v>
      </c>
      <c r="E18" s="13">
        <v>30876</v>
      </c>
      <c r="F18" s="26">
        <v>850</v>
      </c>
    </row>
    <row r="19" spans="1:6" ht="15" customHeight="1" x14ac:dyDescent="0.25">
      <c r="A19" s="9" t="s">
        <v>50</v>
      </c>
      <c r="B19" s="13">
        <v>62000</v>
      </c>
      <c r="C19" s="13">
        <v>3110</v>
      </c>
      <c r="D19" s="13">
        <v>15000</v>
      </c>
      <c r="E19" s="13">
        <v>4146</v>
      </c>
      <c r="F19" s="26">
        <v>220</v>
      </c>
    </row>
    <row r="20" spans="1:6" ht="15" customHeight="1" x14ac:dyDescent="0.25">
      <c r="A20" s="9" t="s">
        <v>54</v>
      </c>
      <c r="B20" s="13">
        <v>83000</v>
      </c>
      <c r="C20" s="13">
        <v>4210</v>
      </c>
      <c r="D20" s="13">
        <v>18000</v>
      </c>
      <c r="E20" s="13">
        <v>5512</v>
      </c>
      <c r="F20" s="26">
        <v>180</v>
      </c>
    </row>
    <row r="21" spans="1:6" ht="36.75" customHeight="1" x14ac:dyDescent="0.25">
      <c r="A21" s="9" t="s">
        <v>59</v>
      </c>
      <c r="B21" s="13">
        <v>115000</v>
      </c>
      <c r="C21" s="13">
        <v>5810</v>
      </c>
      <c r="D21" s="13">
        <v>25000</v>
      </c>
      <c r="E21" s="13">
        <v>5250</v>
      </c>
      <c r="F21" s="26">
        <v>310</v>
      </c>
    </row>
    <row r="22" spans="1:6" ht="43.5" customHeight="1" x14ac:dyDescent="0.25">
      <c r="A22" s="9" t="s">
        <v>64</v>
      </c>
      <c r="B22" s="13">
        <v>50000</v>
      </c>
      <c r="C22" s="13">
        <v>2510</v>
      </c>
      <c r="D22" s="13">
        <v>10000</v>
      </c>
      <c r="E22" s="13">
        <v>2500</v>
      </c>
      <c r="F22" s="26">
        <v>140</v>
      </c>
    </row>
    <row r="23" spans="1:6" ht="36" customHeight="1" x14ac:dyDescent="0.25">
      <c r="A23" s="9" t="s">
        <v>135</v>
      </c>
      <c r="B23" s="13">
        <v>105000</v>
      </c>
      <c r="C23" s="13">
        <v>5295</v>
      </c>
      <c r="D23" s="13">
        <v>22000</v>
      </c>
      <c r="E23" s="13">
        <v>3630</v>
      </c>
      <c r="F23" s="26">
        <v>280</v>
      </c>
    </row>
    <row r="24" spans="1:6" ht="15" customHeight="1" x14ac:dyDescent="0.25">
      <c r="A24" s="9" t="s">
        <v>137</v>
      </c>
      <c r="B24" s="13">
        <v>35000</v>
      </c>
      <c r="C24" s="13">
        <v>1770</v>
      </c>
      <c r="D24" s="13">
        <v>6500</v>
      </c>
      <c r="E24" s="13">
        <v>585</v>
      </c>
      <c r="F24" s="26">
        <v>90</v>
      </c>
    </row>
  </sheetData>
  <mergeCells count="5">
    <mergeCell ref="A1:F1"/>
    <mergeCell ref="A2:F2"/>
    <mergeCell ref="A3:F3"/>
    <mergeCell ref="A5:F5"/>
    <mergeCell ref="A16:F16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4AF37"/>
    <pageSetUpPr fitToPage="1"/>
  </sheetPr>
  <dimension ref="A1:H46"/>
  <sheetViews>
    <sheetView showGridLines="0" zoomScaleNormal="100" workbookViewId="0">
      <pane ySplit="3" topLeftCell="A4" activePane="bottomLeft" state="frozen"/>
      <selection pane="bottomLeft" activeCell="D8" sqref="D8"/>
    </sheetView>
  </sheetViews>
  <sheetFormatPr baseColWidth="10" defaultColWidth="8.7109375" defaultRowHeight="15" x14ac:dyDescent="0.25"/>
  <cols>
    <col min="1" max="1" width="22" customWidth="1"/>
    <col min="2" max="4" width="18" customWidth="1"/>
    <col min="5" max="5" width="23.140625" customWidth="1"/>
    <col min="6" max="6" width="18" customWidth="1"/>
    <col min="7" max="7" width="21.42578125" customWidth="1"/>
    <col min="8" max="8" width="18" customWidth="1"/>
  </cols>
  <sheetData>
    <row r="1" spans="1:8" ht="22.5" customHeight="1" x14ac:dyDescent="0.25">
      <c r="A1" s="7" t="s">
        <v>507</v>
      </c>
      <c r="B1" s="7"/>
      <c r="C1" s="7"/>
      <c r="D1" s="7"/>
      <c r="E1" s="7"/>
      <c r="F1" s="7"/>
      <c r="G1" s="7"/>
      <c r="H1" s="7"/>
    </row>
    <row r="2" spans="1:8" ht="16.5" customHeight="1" x14ac:dyDescent="0.25">
      <c r="A2" s="6" t="s">
        <v>508</v>
      </c>
      <c r="B2" s="6"/>
      <c r="C2" s="6"/>
      <c r="D2" s="6"/>
      <c r="E2" s="6"/>
      <c r="F2" s="6"/>
      <c r="G2" s="6"/>
      <c r="H2" s="6"/>
    </row>
    <row r="3" spans="1:8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</row>
    <row r="5" spans="1:8" ht="15" customHeight="1" x14ac:dyDescent="0.25">
      <c r="A5" s="4" t="s">
        <v>509</v>
      </c>
      <c r="B5" s="4"/>
      <c r="C5" s="4"/>
      <c r="D5" s="4"/>
      <c r="E5" s="4"/>
      <c r="F5" s="4"/>
      <c r="G5" s="4"/>
      <c r="H5" s="4"/>
    </row>
    <row r="6" spans="1:8" ht="15" customHeight="1" x14ac:dyDescent="0.25">
      <c r="A6" s="10" t="s">
        <v>510</v>
      </c>
      <c r="B6" s="10" t="s">
        <v>295</v>
      </c>
      <c r="C6" s="10" t="s">
        <v>511</v>
      </c>
      <c r="D6" s="10" t="s">
        <v>512</v>
      </c>
      <c r="E6" s="10" t="s">
        <v>460</v>
      </c>
      <c r="F6" s="10" t="s">
        <v>513</v>
      </c>
      <c r="G6" s="10" t="s">
        <v>101</v>
      </c>
      <c r="H6" s="10"/>
    </row>
    <row r="7" spans="1:8" ht="15" customHeight="1" x14ac:dyDescent="0.25">
      <c r="A7" s="28" t="s">
        <v>514</v>
      </c>
      <c r="B7" s="67">
        <f>'03_CALCUL_ROYALTIES'!$F$70</f>
        <v>27475</v>
      </c>
      <c r="C7" s="34" t="s">
        <v>515</v>
      </c>
      <c r="D7" s="34" t="s">
        <v>223</v>
      </c>
      <c r="E7" s="34" t="s">
        <v>516</v>
      </c>
      <c r="F7" s="34" t="s">
        <v>517</v>
      </c>
      <c r="G7" s="34" t="s">
        <v>518</v>
      </c>
    </row>
    <row r="8" spans="1:8" ht="15" customHeight="1" x14ac:dyDescent="0.25">
      <c r="A8" s="28" t="s">
        <v>519</v>
      </c>
      <c r="B8" s="34">
        <f>IF('03_CALCUL_ROYALTIES'!$B$70&gt;0,'03_CALCUL_ROYALTIES'!$F$70/'03_CALCUL_ROYALTIES'!$B$70,0)</f>
        <v>5.0412844036697248E-2</v>
      </c>
      <c r="C8" s="34" t="s">
        <v>520</v>
      </c>
      <c r="D8" s="34" t="s">
        <v>521</v>
      </c>
      <c r="E8" s="70" t="s">
        <v>522</v>
      </c>
      <c r="F8" s="34" t="s">
        <v>523</v>
      </c>
      <c r="G8" s="34" t="s">
        <v>524</v>
      </c>
    </row>
    <row r="9" spans="1:8" ht="15" customHeight="1" x14ac:dyDescent="0.25">
      <c r="A9" s="28" t="s">
        <v>525</v>
      </c>
      <c r="B9" s="68">
        <v>21</v>
      </c>
      <c r="C9" s="34" t="s">
        <v>526</v>
      </c>
      <c r="D9" s="34" t="s">
        <v>223</v>
      </c>
      <c r="E9" s="34" t="s">
        <v>516</v>
      </c>
      <c r="F9" s="34" t="s">
        <v>523</v>
      </c>
      <c r="G9" s="34" t="s">
        <v>527</v>
      </c>
    </row>
    <row r="10" spans="1:8" ht="15" customHeight="1" x14ac:dyDescent="0.25">
      <c r="A10" s="28" t="s">
        <v>528</v>
      </c>
      <c r="B10" s="67">
        <f>WHT_Total</f>
        <v>739</v>
      </c>
      <c r="C10" s="34" t="s">
        <v>515</v>
      </c>
      <c r="D10" s="34" t="s">
        <v>529</v>
      </c>
      <c r="E10" s="70" t="s">
        <v>522</v>
      </c>
      <c r="F10" s="34" t="s">
        <v>530</v>
      </c>
      <c r="G10" s="34" t="s">
        <v>531</v>
      </c>
    </row>
    <row r="11" spans="1:8" ht="15" customHeight="1" x14ac:dyDescent="0.25">
      <c r="A11" s="28" t="s">
        <v>532</v>
      </c>
      <c r="B11" s="68">
        <f>COUNTIF('08_PILIER2_GLOBE'!F7:F13,"&lt;15%")</f>
        <v>1</v>
      </c>
      <c r="C11" s="34" t="s">
        <v>533</v>
      </c>
      <c r="D11" s="34" t="s">
        <v>534</v>
      </c>
      <c r="E11" s="71" t="str">
        <f>IF(B11=0,"✅","⚠️ "&amp;B11&amp;" pays &lt; 15%")</f>
        <v>⚠️ 1 pays &lt; 15%</v>
      </c>
      <c r="F11" s="34" t="s">
        <v>523</v>
      </c>
      <c r="G11" s="34" t="s">
        <v>535</v>
      </c>
    </row>
    <row r="12" spans="1:8" ht="23.25" customHeight="1" x14ac:dyDescent="0.25">
      <c r="A12" s="28" t="s">
        <v>536</v>
      </c>
      <c r="B12" s="34" t="s">
        <v>537</v>
      </c>
      <c r="C12" s="34" t="s">
        <v>223</v>
      </c>
      <c r="D12" s="34" t="s">
        <v>538</v>
      </c>
      <c r="E12" s="70" t="s">
        <v>522</v>
      </c>
      <c r="F12" s="34" t="s">
        <v>523</v>
      </c>
      <c r="G12" s="34" t="s">
        <v>539</v>
      </c>
    </row>
    <row r="13" spans="1:8" ht="15" customHeight="1" x14ac:dyDescent="0.25">
      <c r="A13" s="28" t="s">
        <v>540</v>
      </c>
      <c r="B13" s="34" t="s">
        <v>541</v>
      </c>
      <c r="C13" s="34" t="s">
        <v>223</v>
      </c>
      <c r="D13" s="34" t="s">
        <v>538</v>
      </c>
      <c r="E13" s="72" t="s">
        <v>542</v>
      </c>
      <c r="F13" s="34" t="s">
        <v>543</v>
      </c>
      <c r="G13" s="34" t="s">
        <v>544</v>
      </c>
    </row>
    <row r="14" spans="1:8" ht="15" customHeight="1" x14ac:dyDescent="0.25">
      <c r="A14" s="28" t="s">
        <v>545</v>
      </c>
      <c r="B14" s="69">
        <f>MIN('08_PILIER2_GLOBE'!F7:F13)</f>
        <v>9.004815409309791E-2</v>
      </c>
      <c r="C14" s="34" t="s">
        <v>520</v>
      </c>
      <c r="D14" s="34" t="s">
        <v>546</v>
      </c>
      <c r="E14" s="71" t="str">
        <f>IF(B14&gt;=15%,"✅ Conforme","⚠️ Top-up requis")</f>
        <v>⚠️ Top-up requis</v>
      </c>
      <c r="F14" s="34" t="s">
        <v>223</v>
      </c>
      <c r="G14" s="34" t="s">
        <v>547</v>
      </c>
    </row>
    <row r="15" spans="1:8" s="79" customFormat="1" ht="15" customHeight="1" x14ac:dyDescent="0.25">
      <c r="A15" s="74"/>
      <c r="B15" s="75"/>
      <c r="C15" s="76"/>
      <c r="D15" s="76"/>
      <c r="E15" s="77"/>
      <c r="F15" s="78"/>
      <c r="G15" s="78"/>
    </row>
    <row r="16" spans="1:8" ht="15" customHeight="1" x14ac:dyDescent="0.25">
      <c r="A16" s="28" t="s">
        <v>806</v>
      </c>
      <c r="B16" s="68">
        <f>B7-B10</f>
        <v>26736</v>
      </c>
      <c r="C16" s="68" t="s">
        <v>515</v>
      </c>
      <c r="D16" s="68" t="s">
        <v>223</v>
      </c>
      <c r="E16" s="73" t="str">
        <f>IF(B16&gt;=B7*0.9,"✅","⚠️ WHT élevée")</f>
        <v>✅</v>
      </c>
      <c r="F16" s="34" t="s">
        <v>523</v>
      </c>
      <c r="G16" s="34" t="s">
        <v>807</v>
      </c>
    </row>
    <row r="17" spans="1:8" ht="15" customHeight="1" x14ac:dyDescent="0.25">
      <c r="A17" s="28" t="s">
        <v>808</v>
      </c>
      <c r="B17" s="68">
        <f>SUM('08_PILIER2_GLOBE'!I7:I13)</f>
        <v>333</v>
      </c>
      <c r="C17" s="68" t="s">
        <v>515</v>
      </c>
      <c r="D17" s="68">
        <v>0</v>
      </c>
      <c r="E17" s="73" t="str">
        <f>IF(B17=0,"✅","⚠️ "&amp;TEXT(B17,"#,##0")&amp;" k€")</f>
        <v>⚠️ 333,0 k€</v>
      </c>
      <c r="F17" s="34" t="s">
        <v>223</v>
      </c>
      <c r="G17" s="34" t="s">
        <v>809</v>
      </c>
    </row>
    <row r="18" spans="1:8" ht="15" customHeight="1" x14ac:dyDescent="0.25">
      <c r="A18" s="28" t="s">
        <v>810</v>
      </c>
      <c r="B18" s="68">
        <f>SUM('03_CALCUL_ROYALTIES'!K63:K69)</f>
        <v>-159</v>
      </c>
      <c r="C18" s="68" t="s">
        <v>515</v>
      </c>
      <c r="D18" s="68" t="s">
        <v>223</v>
      </c>
      <c r="E18" s="73" t="str">
        <f>IF(ABS(B18)&lt;500,"✅","⚠️ "&amp;TEXT(B18,"#,##0")&amp;" k€")</f>
        <v>✅</v>
      </c>
      <c r="F18" s="34" t="s">
        <v>811</v>
      </c>
      <c r="G18" s="34" t="s">
        <v>812</v>
      </c>
    </row>
    <row r="19" spans="1:8" ht="15" customHeight="1" x14ac:dyDescent="0.25">
      <c r="A19" s="28" t="s">
        <v>813</v>
      </c>
      <c r="B19" s="68">
        <f>IFERROR(B10/B7,0)</f>
        <v>2.6897179253867153E-2</v>
      </c>
      <c r="C19" s="68" t="s">
        <v>520</v>
      </c>
      <c r="D19" s="68" t="s">
        <v>814</v>
      </c>
      <c r="E19" s="73" t="str">
        <f>IF(B19&lt;3%,"✅","⚠️ WHT élevée")</f>
        <v>✅</v>
      </c>
      <c r="F19" s="34" t="s">
        <v>523</v>
      </c>
      <c r="G19" s="34" t="s">
        <v>815</v>
      </c>
    </row>
    <row r="20" spans="1:8" ht="31.5" customHeight="1" x14ac:dyDescent="0.25">
      <c r="A20" s="28" t="s">
        <v>816</v>
      </c>
      <c r="B20" s="68">
        <f>IFERROR(GrandTotal_Royalty/GrandTotal_CA,0)</f>
        <v>5.0412844036697248E-2</v>
      </c>
      <c r="C20" s="68" t="s">
        <v>520</v>
      </c>
      <c r="D20" s="68" t="s">
        <v>521</v>
      </c>
      <c r="E20" s="73" t="str">
        <f>IF(AND(B20&gt;=4%,B20&lt;=6%),"✅","⚠️ Hors cible")</f>
        <v>✅</v>
      </c>
      <c r="F20" s="34" t="s">
        <v>523</v>
      </c>
      <c r="G20" s="34" t="s">
        <v>817</v>
      </c>
    </row>
    <row r="21" spans="1:8" ht="15" customHeight="1" x14ac:dyDescent="0.25">
      <c r="A21" s="28" t="s">
        <v>818</v>
      </c>
      <c r="B21" s="68">
        <f>IFERROR(SUM('08_PILIER2_GLOBE'!E7:E13)/SUM('08_PILIER2_GLOBE'!D7:D13),0)</f>
        <v>0.24268662463300766</v>
      </c>
      <c r="C21" s="68" t="s">
        <v>520</v>
      </c>
      <c r="D21" s="68" t="s">
        <v>546</v>
      </c>
      <c r="E21" s="73" t="str">
        <f>IF(B21&gt;=15%,"✅ Conforme","⚠️ Attention")</f>
        <v>✅ Conforme</v>
      </c>
      <c r="F21" s="34" t="s">
        <v>223</v>
      </c>
      <c r="G21" s="34" t="s">
        <v>809</v>
      </c>
    </row>
    <row r="23" spans="1:8" ht="15" customHeight="1" x14ac:dyDescent="0.25">
      <c r="A23" s="4" t="s">
        <v>548</v>
      </c>
      <c r="B23" s="4"/>
      <c r="C23" s="4"/>
      <c r="D23" s="4"/>
      <c r="E23" s="4"/>
      <c r="F23" s="4"/>
      <c r="G23" s="4"/>
      <c r="H23" s="4"/>
    </row>
    <row r="24" spans="1:8" ht="15" customHeight="1" x14ac:dyDescent="0.25">
      <c r="A24" s="10" t="s">
        <v>31</v>
      </c>
      <c r="B24" s="10" t="s">
        <v>549</v>
      </c>
    </row>
    <row r="25" spans="1:8" ht="15" customHeight="1" x14ac:dyDescent="0.25">
      <c r="A25" s="39" t="s">
        <v>550</v>
      </c>
      <c r="B25" s="38">
        <f>'03_CALCUL_ROYALTIES'!F63</f>
        <v>4770</v>
      </c>
    </row>
    <row r="26" spans="1:8" ht="15" customHeight="1" x14ac:dyDescent="0.25">
      <c r="A26" s="39" t="s">
        <v>551</v>
      </c>
      <c r="B26" s="38">
        <f>'03_CALCUL_ROYALTIES'!F64</f>
        <v>3110</v>
      </c>
    </row>
    <row r="27" spans="1:8" ht="15" customHeight="1" x14ac:dyDescent="0.25">
      <c r="A27" s="39" t="s">
        <v>552</v>
      </c>
      <c r="B27" s="38">
        <f>'03_CALCUL_ROYALTIES'!F65</f>
        <v>4210</v>
      </c>
    </row>
    <row r="28" spans="1:8" ht="15" customHeight="1" x14ac:dyDescent="0.25">
      <c r="A28" s="39" t="s">
        <v>288</v>
      </c>
      <c r="B28" s="38">
        <f>'03_CALCUL_ROYALTIES'!F66</f>
        <v>5810</v>
      </c>
    </row>
    <row r="29" spans="1:8" ht="15" customHeight="1" x14ac:dyDescent="0.25">
      <c r="A29" s="39" t="s">
        <v>283</v>
      </c>
      <c r="B29" s="38">
        <f>'03_CALCUL_ROYALTIES'!F67</f>
        <v>2510</v>
      </c>
    </row>
    <row r="30" spans="1:8" ht="15" customHeight="1" x14ac:dyDescent="0.25">
      <c r="A30" s="39" t="s">
        <v>553</v>
      </c>
      <c r="B30" s="38">
        <f>'03_CALCUL_ROYALTIES'!F68</f>
        <v>5295</v>
      </c>
    </row>
    <row r="31" spans="1:8" ht="15" customHeight="1" x14ac:dyDescent="0.25">
      <c r="A31" s="39" t="s">
        <v>554</v>
      </c>
      <c r="B31" s="38">
        <f>'03_CALCUL_ROYALTIES'!F69</f>
        <v>1770</v>
      </c>
    </row>
    <row r="33" spans="1:8" ht="15" customHeight="1" x14ac:dyDescent="0.25">
      <c r="A33" s="4" t="s">
        <v>555</v>
      </c>
      <c r="B33" s="4"/>
      <c r="C33" s="4"/>
      <c r="D33" s="4"/>
      <c r="E33" s="4"/>
      <c r="F33" s="4"/>
      <c r="G33" s="4"/>
      <c r="H33" s="4"/>
    </row>
    <row r="34" spans="1:8" ht="15" customHeight="1" x14ac:dyDescent="0.25">
      <c r="A34" s="10" t="s">
        <v>86</v>
      </c>
      <c r="B34" s="10" t="s">
        <v>324</v>
      </c>
    </row>
    <row r="35" spans="1:8" ht="15" customHeight="1" x14ac:dyDescent="0.25">
      <c r="A35" s="39" t="s">
        <v>91</v>
      </c>
      <c r="B35" s="38">
        <f>SUMPRODUCT(CA_AURELE)*TauxRoyalty_AURELE</f>
        <v>12250</v>
      </c>
    </row>
    <row r="36" spans="1:8" ht="15" customHeight="1" x14ac:dyDescent="0.25">
      <c r="A36" s="39" t="s">
        <v>94</v>
      </c>
      <c r="B36" s="38">
        <f>SUMPRODUCT(CA_IMPERIAL)*TauxRoyalty_IMPERIAL</f>
        <v>8325</v>
      </c>
    </row>
    <row r="37" spans="1:8" ht="15" customHeight="1" x14ac:dyDescent="0.25">
      <c r="A37" s="39" t="s">
        <v>96</v>
      </c>
      <c r="B37" s="38">
        <f>SUMPRODUCT(CA_STELLAIRE)*TauxRoyalty_STELLAIRE</f>
        <v>6900</v>
      </c>
    </row>
    <row r="39" spans="1:8" ht="15" customHeight="1" x14ac:dyDescent="0.25">
      <c r="A39" s="4" t="s">
        <v>556</v>
      </c>
      <c r="B39" s="4"/>
      <c r="C39" s="4"/>
      <c r="D39" s="4"/>
      <c r="E39" s="4"/>
      <c r="F39" s="4"/>
      <c r="G39" s="4"/>
      <c r="H39" s="4"/>
    </row>
    <row r="40" spans="1:8" ht="15" customHeight="1" x14ac:dyDescent="0.25">
      <c r="A40" s="10" t="s">
        <v>557</v>
      </c>
      <c r="B40" s="10" t="s">
        <v>558</v>
      </c>
      <c r="C40" s="10" t="s">
        <v>559</v>
      </c>
      <c r="D40" s="10" t="s">
        <v>318</v>
      </c>
      <c r="E40" s="10" t="s">
        <v>461</v>
      </c>
      <c r="F40" s="10" t="s">
        <v>560</v>
      </c>
      <c r="G40" s="10" t="s">
        <v>460</v>
      </c>
      <c r="H40" s="10"/>
    </row>
    <row r="41" spans="1:8" ht="34.5" customHeight="1" x14ac:dyDescent="0.25">
      <c r="A41" s="52" t="s">
        <v>561</v>
      </c>
      <c r="B41" s="9" t="s">
        <v>562</v>
      </c>
      <c r="C41" s="9" t="s">
        <v>563</v>
      </c>
      <c r="D41" s="9" t="s">
        <v>564</v>
      </c>
      <c r="E41" s="9" t="s">
        <v>487</v>
      </c>
      <c r="F41" s="9" t="s">
        <v>565</v>
      </c>
      <c r="G41" s="9" t="s">
        <v>566</v>
      </c>
    </row>
    <row r="42" spans="1:8" ht="34.5" customHeight="1" x14ac:dyDescent="0.25">
      <c r="A42" s="52" t="s">
        <v>561</v>
      </c>
      <c r="B42" s="9" t="s">
        <v>567</v>
      </c>
      <c r="C42" s="9" t="s">
        <v>568</v>
      </c>
      <c r="D42" s="9" t="s">
        <v>569</v>
      </c>
      <c r="E42" s="9" t="s">
        <v>482</v>
      </c>
      <c r="F42" s="9" t="s">
        <v>570</v>
      </c>
      <c r="G42" s="9" t="s">
        <v>571</v>
      </c>
    </row>
    <row r="43" spans="1:8" ht="23.25" customHeight="1" x14ac:dyDescent="0.25">
      <c r="A43" s="50" t="s">
        <v>572</v>
      </c>
      <c r="B43" s="9" t="s">
        <v>573</v>
      </c>
      <c r="C43" s="9" t="s">
        <v>574</v>
      </c>
      <c r="D43" s="9" t="s">
        <v>575</v>
      </c>
      <c r="E43" s="9" t="s">
        <v>492</v>
      </c>
      <c r="F43" s="9" t="s">
        <v>576</v>
      </c>
      <c r="G43" s="9" t="s">
        <v>566</v>
      </c>
    </row>
    <row r="44" spans="1:8" ht="23.25" customHeight="1" x14ac:dyDescent="0.25">
      <c r="A44" s="50" t="s">
        <v>572</v>
      </c>
      <c r="B44" s="9" t="s">
        <v>577</v>
      </c>
      <c r="C44" s="9" t="s">
        <v>578</v>
      </c>
      <c r="D44" s="9" t="s">
        <v>579</v>
      </c>
      <c r="E44" s="9" t="s">
        <v>487</v>
      </c>
      <c r="F44" s="9" t="s">
        <v>580</v>
      </c>
      <c r="G44" s="9" t="s">
        <v>581</v>
      </c>
    </row>
    <row r="45" spans="1:8" ht="23.25" customHeight="1" x14ac:dyDescent="0.25">
      <c r="A45" s="49" t="s">
        <v>582</v>
      </c>
      <c r="B45" s="9" t="s">
        <v>583</v>
      </c>
      <c r="C45" s="9" t="s">
        <v>584</v>
      </c>
      <c r="D45" s="9" t="s">
        <v>585</v>
      </c>
      <c r="E45" s="9" t="s">
        <v>467</v>
      </c>
      <c r="F45" s="9" t="s">
        <v>586</v>
      </c>
      <c r="G45" s="9" t="s">
        <v>587</v>
      </c>
    </row>
    <row r="46" spans="1:8" ht="23.25" customHeight="1" x14ac:dyDescent="0.25">
      <c r="A46" s="49" t="s">
        <v>582</v>
      </c>
      <c r="B46" s="9" t="s">
        <v>389</v>
      </c>
      <c r="C46" s="9" t="s">
        <v>588</v>
      </c>
      <c r="D46" s="9" t="s">
        <v>589</v>
      </c>
      <c r="E46" s="9" t="s">
        <v>590</v>
      </c>
      <c r="F46" s="9" t="s">
        <v>591</v>
      </c>
      <c r="G46" s="9" t="s">
        <v>587</v>
      </c>
    </row>
  </sheetData>
  <mergeCells count="7">
    <mergeCell ref="A33:H33"/>
    <mergeCell ref="A39:H39"/>
    <mergeCell ref="A1:H1"/>
    <mergeCell ref="A2:H2"/>
    <mergeCell ref="A3:H3"/>
    <mergeCell ref="A5:H5"/>
    <mergeCell ref="A23:H23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7AE60"/>
    <pageSetUpPr fitToPage="1"/>
  </sheetPr>
  <dimension ref="A1:G16"/>
  <sheetViews>
    <sheetView showGridLines="0" tabSelected="1" zoomScaleNormal="100" workbookViewId="0">
      <pane ySplit="3" topLeftCell="A4" activePane="bottomLeft" state="frozen"/>
      <selection pane="bottomLeft" activeCell="B8" sqref="B8"/>
    </sheetView>
  </sheetViews>
  <sheetFormatPr baseColWidth="10" defaultColWidth="8.7109375" defaultRowHeight="15" x14ac:dyDescent="0.25"/>
  <cols>
    <col min="1" max="1" width="8" customWidth="1"/>
    <col min="2" max="2" width="34" customWidth="1"/>
    <col min="3" max="5" width="22" customWidth="1"/>
    <col min="6" max="6" width="14" customWidth="1"/>
    <col min="7" max="7" width="24" customWidth="1"/>
  </cols>
  <sheetData>
    <row r="1" spans="1:7" ht="22.5" customHeight="1" x14ac:dyDescent="0.25">
      <c r="A1" s="7" t="s">
        <v>592</v>
      </c>
      <c r="B1" s="7"/>
      <c r="C1" s="7"/>
      <c r="D1" s="7"/>
      <c r="E1" s="7"/>
      <c r="F1" s="7"/>
      <c r="G1" s="7"/>
    </row>
    <row r="2" spans="1:7" ht="16.5" customHeight="1" x14ac:dyDescent="0.25">
      <c r="A2" s="6" t="s">
        <v>593</v>
      </c>
      <c r="B2" s="6"/>
      <c r="C2" s="6"/>
      <c r="D2" s="6"/>
      <c r="E2" s="6"/>
      <c r="F2" s="6"/>
      <c r="G2" s="6"/>
    </row>
    <row r="3" spans="1:7" ht="15" customHeight="1" x14ac:dyDescent="0.25">
      <c r="A3" s="5" t="s">
        <v>2</v>
      </c>
      <c r="B3" s="5"/>
      <c r="C3" s="5"/>
      <c r="D3" s="5"/>
      <c r="E3" s="5"/>
      <c r="F3" s="5"/>
      <c r="G3" s="5"/>
    </row>
    <row r="5" spans="1:7" ht="15" customHeight="1" x14ac:dyDescent="0.25">
      <c r="A5" s="4" t="s">
        <v>594</v>
      </c>
      <c r="B5" s="4"/>
      <c r="C5" s="4"/>
      <c r="D5" s="4"/>
      <c r="E5" s="4"/>
      <c r="F5" s="4"/>
      <c r="G5" s="4"/>
    </row>
    <row r="6" spans="1:7" ht="15" customHeight="1" x14ac:dyDescent="0.25">
      <c r="A6" s="10" t="s">
        <v>146</v>
      </c>
      <c r="B6" s="10" t="s">
        <v>595</v>
      </c>
      <c r="C6" s="10" t="s">
        <v>596</v>
      </c>
      <c r="D6" s="10" t="s">
        <v>597</v>
      </c>
      <c r="E6" s="10" t="s">
        <v>598</v>
      </c>
      <c r="F6" s="10" t="s">
        <v>460</v>
      </c>
      <c r="G6" s="10" t="s">
        <v>599</v>
      </c>
    </row>
    <row r="7" spans="1:7" ht="15" customHeight="1" x14ac:dyDescent="0.25">
      <c r="A7" s="8" t="s">
        <v>600</v>
      </c>
      <c r="B7" s="9" t="s">
        <v>601</v>
      </c>
      <c r="C7" s="48">
        <f>'03_CALCUL_ROYALTIES'!$F$70</f>
        <v>27475</v>
      </c>
      <c r="D7" s="48">
        <f>'03_CALCUL_ROYALTIES'!$F$70</f>
        <v>27475</v>
      </c>
      <c r="E7" s="67">
        <f>C7-D7</f>
        <v>0</v>
      </c>
      <c r="F7" s="34" t="s">
        <v>602</v>
      </c>
    </row>
    <row r="8" spans="1:7" ht="15" customHeight="1" x14ac:dyDescent="0.25">
      <c r="A8" s="8" t="s">
        <v>603</v>
      </c>
      <c r="B8" s="9" t="s">
        <v>604</v>
      </c>
      <c r="C8" s="48">
        <f>'03_CALCUL_ROYALTIES'!$F$70</f>
        <v>27475</v>
      </c>
      <c r="D8" s="9">
        <f>SUM('07_ELIMINATIONS_CONSO'!D7:D13)</f>
        <v>27475</v>
      </c>
      <c r="E8" s="80">
        <f>C8-D8</f>
        <v>0</v>
      </c>
      <c r="F8" s="34" t="s">
        <v>605</v>
      </c>
    </row>
    <row r="9" spans="1:7" ht="15" customHeight="1" x14ac:dyDescent="0.25">
      <c r="A9" s="8" t="s">
        <v>606</v>
      </c>
      <c r="B9" s="9" t="s">
        <v>607</v>
      </c>
      <c r="C9" s="48">
        <f>'03_CALCUL_ROYALTIES'!$F$70</f>
        <v>27475</v>
      </c>
      <c r="D9" s="9">
        <f>-SUM('07_ELIMINATIONS_CONSO'!E7:E13)</f>
        <v>27475</v>
      </c>
      <c r="E9" s="80">
        <f>C9-D9</f>
        <v>0</v>
      </c>
      <c r="F9" s="34" t="s">
        <v>608</v>
      </c>
    </row>
    <row r="10" spans="1:7" ht="15" customHeight="1" x14ac:dyDescent="0.25">
      <c r="A10" s="8" t="s">
        <v>609</v>
      </c>
      <c r="B10" s="9" t="s">
        <v>610</v>
      </c>
      <c r="C10" s="48">
        <f>'06_RETENUES_SOURCE'!$H$13</f>
        <v>0</v>
      </c>
      <c r="D10" s="48">
        <f>'06_RETENUES_SOURCE'!$H$13</f>
        <v>0</v>
      </c>
      <c r="E10" s="80">
        <f>C10-D10</f>
        <v>0</v>
      </c>
      <c r="F10" s="34" t="s">
        <v>611</v>
      </c>
    </row>
    <row r="11" spans="1:7" ht="15" customHeight="1" x14ac:dyDescent="0.25">
      <c r="A11" s="8" t="s">
        <v>612</v>
      </c>
      <c r="B11" s="9" t="s">
        <v>613</v>
      </c>
      <c r="C11" s="9" t="s">
        <v>614</v>
      </c>
      <c r="D11" s="9" t="s">
        <v>615</v>
      </c>
      <c r="E11" s="34" t="s">
        <v>223</v>
      </c>
      <c r="F11" s="34" t="s">
        <v>616</v>
      </c>
    </row>
    <row r="12" spans="1:7" ht="15" customHeight="1" x14ac:dyDescent="0.25">
      <c r="A12" s="8" t="s">
        <v>617</v>
      </c>
      <c r="B12" s="9" t="s">
        <v>618</v>
      </c>
      <c r="C12" s="9" t="s">
        <v>546</v>
      </c>
      <c r="D12" s="51">
        <f>MIN('08_PILIER2_GLOBE'!F7:F13)</f>
        <v>9.004815409309791E-2</v>
      </c>
      <c r="E12" s="68" t="str">
        <f>IF(D12&gt;=15%,"✅","⚠️ "&amp;TEXT(D12,"0.0%"))</f>
        <v>⚠️ 0.9%</v>
      </c>
      <c r="F12" s="34" t="s">
        <v>619</v>
      </c>
    </row>
    <row r="13" spans="1:7" ht="15" customHeight="1" x14ac:dyDescent="0.25">
      <c r="A13" s="8" t="s">
        <v>620</v>
      </c>
      <c r="B13" s="9" t="s">
        <v>621</v>
      </c>
      <c r="C13" s="9" t="s">
        <v>538</v>
      </c>
      <c r="D13" s="9" t="s">
        <v>541</v>
      </c>
      <c r="E13" s="34" t="s">
        <v>622</v>
      </c>
      <c r="F13" s="34" t="s">
        <v>623</v>
      </c>
    </row>
    <row r="16" spans="1:7" ht="15" customHeight="1" x14ac:dyDescent="0.25">
      <c r="A16" s="3" t="s">
        <v>624</v>
      </c>
      <c r="B16" s="3"/>
      <c r="C16" s="3"/>
      <c r="D16" s="3"/>
      <c r="E16" s="3"/>
      <c r="F16" s="3"/>
      <c r="G16" s="3"/>
    </row>
  </sheetData>
  <mergeCells count="5">
    <mergeCell ref="A1:G1"/>
    <mergeCell ref="A2:G2"/>
    <mergeCell ref="A3:G3"/>
    <mergeCell ref="A5:G5"/>
    <mergeCell ref="A16:G16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498DB"/>
    <pageSetUpPr fitToPage="1"/>
  </sheetPr>
  <dimension ref="A1:C48"/>
  <sheetViews>
    <sheetView showGridLines="0" zoomScaleNormal="100" workbookViewId="0">
      <pane ySplit="3" topLeftCell="A22" activePane="bottomLeft" state="frozen"/>
      <selection pane="bottomLeft" sqref="A1:C1"/>
    </sheetView>
  </sheetViews>
  <sheetFormatPr baseColWidth="10" defaultColWidth="8.7109375" defaultRowHeight="15" x14ac:dyDescent="0.25"/>
  <cols>
    <col min="1" max="1" width="18" customWidth="1"/>
    <col min="2" max="2" width="50" customWidth="1"/>
    <col min="3" max="3" width="22.140625" customWidth="1"/>
  </cols>
  <sheetData>
    <row r="1" spans="1:3" ht="22.5" customHeight="1" x14ac:dyDescent="0.25">
      <c r="A1" s="7" t="s">
        <v>625</v>
      </c>
      <c r="B1" s="7"/>
      <c r="C1" s="7"/>
    </row>
    <row r="2" spans="1:3" ht="16.5" customHeight="1" x14ac:dyDescent="0.25">
      <c r="A2" s="6" t="s">
        <v>626</v>
      </c>
      <c r="B2" s="6"/>
      <c r="C2" s="6"/>
    </row>
    <row r="3" spans="1:3" ht="15" customHeight="1" x14ac:dyDescent="0.25">
      <c r="A3" s="5" t="s">
        <v>2</v>
      </c>
      <c r="B3" s="5"/>
      <c r="C3" s="5"/>
    </row>
    <row r="5" spans="1:3" ht="15" customHeight="1" x14ac:dyDescent="0.25">
      <c r="A5" s="4" t="s">
        <v>627</v>
      </c>
      <c r="B5" s="4"/>
      <c r="C5" s="4"/>
    </row>
    <row r="6" spans="1:3" ht="15" customHeight="1" x14ac:dyDescent="0.25">
      <c r="A6" s="31" t="s">
        <v>380</v>
      </c>
      <c r="B6" s="1" t="s">
        <v>628</v>
      </c>
      <c r="C6" s="1"/>
    </row>
    <row r="7" spans="1:3" ht="15" customHeight="1" x14ac:dyDescent="0.25">
      <c r="A7" s="31" t="s">
        <v>629</v>
      </c>
      <c r="B7" s="1" t="s">
        <v>630</v>
      </c>
      <c r="C7" s="1"/>
    </row>
    <row r="8" spans="1:3" ht="15" customHeight="1" x14ac:dyDescent="0.25">
      <c r="A8" s="31" t="s">
        <v>631</v>
      </c>
      <c r="B8" s="1" t="s">
        <v>632</v>
      </c>
      <c r="C8" s="1"/>
    </row>
    <row r="9" spans="1:3" ht="15" customHeight="1" x14ac:dyDescent="0.25">
      <c r="A9" s="31" t="s">
        <v>633</v>
      </c>
      <c r="B9" s="1" t="s">
        <v>634</v>
      </c>
      <c r="C9" s="1"/>
    </row>
    <row r="11" spans="1:3" ht="15" customHeight="1" x14ac:dyDescent="0.25">
      <c r="A11" s="4" t="s">
        <v>635</v>
      </c>
      <c r="B11" s="4"/>
      <c r="C11" s="4"/>
    </row>
    <row r="12" spans="1:3" ht="15" customHeight="1" x14ac:dyDescent="0.25">
      <c r="A12" s="31" t="s">
        <v>347</v>
      </c>
      <c r="B12" s="1" t="s">
        <v>636</v>
      </c>
      <c r="C12" s="1"/>
    </row>
    <row r="13" spans="1:3" ht="15" customHeight="1" x14ac:dyDescent="0.25">
      <c r="A13" s="31" t="s">
        <v>637</v>
      </c>
      <c r="B13" s="1" t="s">
        <v>638</v>
      </c>
      <c r="C13" s="1"/>
    </row>
    <row r="14" spans="1:3" ht="15" customHeight="1" x14ac:dyDescent="0.25">
      <c r="A14" s="31" t="s">
        <v>639</v>
      </c>
      <c r="B14" s="1" t="s">
        <v>640</v>
      </c>
      <c r="C14" s="1"/>
    </row>
    <row r="15" spans="1:3" ht="15" customHeight="1" x14ac:dyDescent="0.25">
      <c r="A15" s="31" t="s">
        <v>641</v>
      </c>
      <c r="B15" s="1" t="s">
        <v>642</v>
      </c>
      <c r="C15" s="1"/>
    </row>
    <row r="17" spans="1:3" ht="15" customHeight="1" x14ac:dyDescent="0.25">
      <c r="A17" s="4" t="s">
        <v>643</v>
      </c>
      <c r="B17" s="4"/>
      <c r="C17" s="4"/>
    </row>
    <row r="18" spans="1:3" ht="15" customHeight="1" x14ac:dyDescent="0.25">
      <c r="A18" s="31" t="s">
        <v>383</v>
      </c>
      <c r="B18" s="1" t="s">
        <v>644</v>
      </c>
      <c r="C18" s="1"/>
    </row>
    <row r="19" spans="1:3" ht="15" customHeight="1" x14ac:dyDescent="0.25">
      <c r="A19" s="31" t="s">
        <v>645</v>
      </c>
      <c r="B19" s="1" t="s">
        <v>646</v>
      </c>
      <c r="C19" s="1"/>
    </row>
    <row r="20" spans="1:3" ht="15" customHeight="1" x14ac:dyDescent="0.25">
      <c r="A20" s="31" t="s">
        <v>647</v>
      </c>
      <c r="B20" s="1" t="s">
        <v>648</v>
      </c>
      <c r="C20" s="1"/>
    </row>
    <row r="22" spans="1:3" ht="15" customHeight="1" x14ac:dyDescent="0.25">
      <c r="A22" s="4" t="s">
        <v>649</v>
      </c>
      <c r="B22" s="4"/>
      <c r="C22" s="4"/>
    </row>
    <row r="23" spans="1:3" ht="15" customHeight="1" x14ac:dyDescent="0.25">
      <c r="A23" s="31" t="s">
        <v>386</v>
      </c>
      <c r="B23" s="1" t="s">
        <v>650</v>
      </c>
      <c r="C23" s="1"/>
    </row>
    <row r="24" spans="1:3" ht="15" customHeight="1" x14ac:dyDescent="0.25">
      <c r="A24" s="31" t="s">
        <v>452</v>
      </c>
      <c r="B24" s="1" t="s">
        <v>651</v>
      </c>
      <c r="C24" s="1"/>
    </row>
    <row r="25" spans="1:3" ht="15" customHeight="1" x14ac:dyDescent="0.25">
      <c r="A25" s="31" t="s">
        <v>652</v>
      </c>
      <c r="B25" s="1" t="s">
        <v>653</v>
      </c>
      <c r="C25" s="1"/>
    </row>
    <row r="27" spans="1:3" ht="15" customHeight="1" x14ac:dyDescent="0.25">
      <c r="A27" s="4" t="s">
        <v>654</v>
      </c>
      <c r="B27" s="4"/>
      <c r="C27" s="4"/>
    </row>
    <row r="28" spans="1:3" ht="15" customHeight="1" x14ac:dyDescent="0.25">
      <c r="A28" s="53" t="s">
        <v>655</v>
      </c>
      <c r="B28" s="1" t="s">
        <v>656</v>
      </c>
      <c r="C28" s="1"/>
    </row>
    <row r="29" spans="1:3" ht="15" customHeight="1" x14ac:dyDescent="0.25">
      <c r="A29" s="31" t="s">
        <v>389</v>
      </c>
      <c r="B29" s="1" t="s">
        <v>657</v>
      </c>
      <c r="C29" s="1"/>
    </row>
    <row r="30" spans="1:3" ht="15" customHeight="1" x14ac:dyDescent="0.25">
      <c r="A30" s="53" t="s">
        <v>583</v>
      </c>
      <c r="B30" s="1" t="s">
        <v>658</v>
      </c>
      <c r="C30" s="1"/>
    </row>
    <row r="31" spans="1:3" ht="15" customHeight="1" x14ac:dyDescent="0.25">
      <c r="A31" s="53" t="s">
        <v>659</v>
      </c>
      <c r="B31" s="1" t="s">
        <v>660</v>
      </c>
      <c r="C31" s="1"/>
    </row>
    <row r="32" spans="1:3" ht="15" customHeight="1" x14ac:dyDescent="0.25">
      <c r="A32" s="53" t="s">
        <v>661</v>
      </c>
      <c r="B32" s="1" t="s">
        <v>662</v>
      </c>
      <c r="C32" s="1"/>
    </row>
    <row r="33" spans="1:3" ht="23.25" customHeight="1" x14ac:dyDescent="0.25">
      <c r="A33" s="53" t="s">
        <v>663</v>
      </c>
      <c r="B33" s="1" t="s">
        <v>664</v>
      </c>
      <c r="C33" s="1"/>
    </row>
    <row r="34" spans="1:3" ht="15" customHeight="1" x14ac:dyDescent="0.25">
      <c r="A34" s="53" t="s">
        <v>665</v>
      </c>
      <c r="B34" s="1" t="s">
        <v>666</v>
      </c>
      <c r="C34" s="1"/>
    </row>
    <row r="36" spans="1:3" ht="15" customHeight="1" x14ac:dyDescent="0.25">
      <c r="A36" s="4" t="s">
        <v>667</v>
      </c>
      <c r="B36" s="4"/>
      <c r="C36" s="4"/>
    </row>
    <row r="37" spans="1:3" ht="15" customHeight="1" x14ac:dyDescent="0.25">
      <c r="A37" s="8" t="s">
        <v>668</v>
      </c>
      <c r="B37" s="1" t="s">
        <v>669</v>
      </c>
      <c r="C37" s="1"/>
    </row>
    <row r="38" spans="1:3" ht="15" customHeight="1" x14ac:dyDescent="0.25">
      <c r="A38" s="8" t="s">
        <v>670</v>
      </c>
      <c r="B38" s="1" t="s">
        <v>671</v>
      </c>
      <c r="C38" s="1"/>
    </row>
    <row r="39" spans="1:3" ht="15" customHeight="1" x14ac:dyDescent="0.25">
      <c r="A39" s="8" t="s">
        <v>672</v>
      </c>
      <c r="B39" s="1" t="s">
        <v>673</v>
      </c>
      <c r="C39" s="1"/>
    </row>
    <row r="40" spans="1:3" ht="15" customHeight="1" x14ac:dyDescent="0.25">
      <c r="A40" s="8" t="s">
        <v>387</v>
      </c>
      <c r="B40" s="1" t="s">
        <v>674</v>
      </c>
      <c r="C40" s="1"/>
    </row>
    <row r="41" spans="1:3" ht="15" customHeight="1" x14ac:dyDescent="0.25">
      <c r="A41" s="8" t="s">
        <v>675</v>
      </c>
      <c r="B41" s="1" t="s">
        <v>676</v>
      </c>
      <c r="C41" s="1"/>
    </row>
    <row r="42" spans="1:3" ht="15" customHeight="1" x14ac:dyDescent="0.25">
      <c r="A42" s="8" t="s">
        <v>677</v>
      </c>
      <c r="B42" s="1" t="s">
        <v>678</v>
      </c>
      <c r="C42" s="1"/>
    </row>
    <row r="43" spans="1:3" ht="15" customHeight="1" x14ac:dyDescent="0.25">
      <c r="A43" s="8" t="s">
        <v>679</v>
      </c>
      <c r="B43" s="1" t="s">
        <v>680</v>
      </c>
      <c r="C43" s="1"/>
    </row>
    <row r="44" spans="1:3" ht="15" customHeight="1" x14ac:dyDescent="0.25">
      <c r="A44" s="8" t="s">
        <v>436</v>
      </c>
      <c r="B44" s="1" t="s">
        <v>681</v>
      </c>
      <c r="C44" s="1"/>
    </row>
    <row r="45" spans="1:3" ht="15" customHeight="1" x14ac:dyDescent="0.25">
      <c r="A45" s="8" t="s">
        <v>682</v>
      </c>
      <c r="B45" s="1" t="s">
        <v>683</v>
      </c>
      <c r="C45" s="1"/>
    </row>
    <row r="46" spans="1:3" ht="15" customHeight="1" x14ac:dyDescent="0.25">
      <c r="A46" s="8" t="s">
        <v>684</v>
      </c>
      <c r="B46" s="1" t="s">
        <v>685</v>
      </c>
      <c r="C46" s="1"/>
    </row>
    <row r="47" spans="1:3" ht="15" customHeight="1" x14ac:dyDescent="0.25">
      <c r="A47" s="8" t="s">
        <v>686</v>
      </c>
      <c r="B47" s="1" t="s">
        <v>687</v>
      </c>
      <c r="C47" s="1"/>
    </row>
    <row r="48" spans="1:3" ht="15" customHeight="1" x14ac:dyDescent="0.25">
      <c r="A48" s="8" t="s">
        <v>688</v>
      </c>
      <c r="B48" s="1" t="s">
        <v>689</v>
      </c>
      <c r="C48" s="1"/>
    </row>
  </sheetData>
  <mergeCells count="42">
    <mergeCell ref="B47:C47"/>
    <mergeCell ref="B48:C48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1:C31"/>
    <mergeCell ref="B32:C32"/>
    <mergeCell ref="B33:C33"/>
    <mergeCell ref="B34:C34"/>
    <mergeCell ref="A36:C36"/>
    <mergeCell ref="B25:C25"/>
    <mergeCell ref="A27:C27"/>
    <mergeCell ref="B28:C28"/>
    <mergeCell ref="B29:C29"/>
    <mergeCell ref="B30:C30"/>
    <mergeCell ref="B19:C19"/>
    <mergeCell ref="B20:C20"/>
    <mergeCell ref="A22:C22"/>
    <mergeCell ref="B23:C23"/>
    <mergeCell ref="B24:C24"/>
    <mergeCell ref="B13:C13"/>
    <mergeCell ref="B14:C14"/>
    <mergeCell ref="B15:C15"/>
    <mergeCell ref="A17:C17"/>
    <mergeCell ref="B18:C18"/>
    <mergeCell ref="B7:C7"/>
    <mergeCell ref="B8:C8"/>
    <mergeCell ref="B9:C9"/>
    <mergeCell ref="A11:C11"/>
    <mergeCell ref="B12:C12"/>
    <mergeCell ref="A1:C1"/>
    <mergeCell ref="A2:C2"/>
    <mergeCell ref="A3:C3"/>
    <mergeCell ref="A5:C5"/>
    <mergeCell ref="B6:C6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74C3C"/>
    <pageSetUpPr fitToPage="1"/>
  </sheetPr>
  <dimension ref="A1:H26"/>
  <sheetViews>
    <sheetView showGridLines="0" zoomScaleNormal="100" workbookViewId="0">
      <pane ySplit="3" topLeftCell="A4" activePane="bottomLeft" state="frozen"/>
      <selection pane="bottomLeft" activeCell="C7" sqref="C7"/>
    </sheetView>
  </sheetViews>
  <sheetFormatPr baseColWidth="10" defaultColWidth="8.7109375" defaultRowHeight="15" x14ac:dyDescent="0.25"/>
  <cols>
    <col min="1" max="1" width="26" customWidth="1"/>
    <col min="2" max="6" width="18" customWidth="1"/>
    <col min="7" max="7" width="16" customWidth="1"/>
    <col min="8" max="8" width="20" customWidth="1"/>
  </cols>
  <sheetData>
    <row r="1" spans="1:8" ht="22.5" customHeight="1" x14ac:dyDescent="0.25">
      <c r="A1" s="7" t="s">
        <v>690</v>
      </c>
      <c r="B1" s="7"/>
      <c r="C1" s="7"/>
      <c r="D1" s="7"/>
      <c r="E1" s="7"/>
      <c r="F1" s="7"/>
      <c r="G1" s="7"/>
      <c r="H1" s="7"/>
    </row>
    <row r="2" spans="1:8" ht="16.5" customHeight="1" x14ac:dyDescent="0.25">
      <c r="A2" s="6" t="s">
        <v>691</v>
      </c>
      <c r="B2" s="6"/>
      <c r="C2" s="6"/>
      <c r="D2" s="6"/>
      <c r="E2" s="6"/>
      <c r="F2" s="6"/>
      <c r="G2" s="6"/>
      <c r="H2" s="6"/>
    </row>
    <row r="3" spans="1:8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</row>
    <row r="5" spans="1:8" ht="15" customHeight="1" x14ac:dyDescent="0.25">
      <c r="A5" s="4" t="s">
        <v>692</v>
      </c>
      <c r="B5" s="4"/>
      <c r="C5" s="4"/>
      <c r="D5" s="4"/>
      <c r="E5" s="4"/>
      <c r="F5" s="4"/>
      <c r="G5" s="4"/>
      <c r="H5" s="4"/>
    </row>
    <row r="6" spans="1:8" ht="15" customHeight="1" x14ac:dyDescent="0.25">
      <c r="A6" s="10" t="s">
        <v>693</v>
      </c>
      <c r="B6" s="10" t="s">
        <v>694</v>
      </c>
      <c r="C6" s="10" t="s">
        <v>695</v>
      </c>
      <c r="D6" s="10" t="s">
        <v>460</v>
      </c>
      <c r="E6" s="10" t="s">
        <v>83</v>
      </c>
      <c r="F6" s="10" t="s">
        <v>696</v>
      </c>
      <c r="G6" s="10" t="s">
        <v>101</v>
      </c>
      <c r="H6" s="10"/>
    </row>
    <row r="7" spans="1:8" ht="45.75" customHeight="1" x14ac:dyDescent="0.25">
      <c r="A7" s="28" t="s">
        <v>697</v>
      </c>
      <c r="B7" s="9" t="s">
        <v>698</v>
      </c>
      <c r="C7" s="9" t="s">
        <v>699</v>
      </c>
      <c r="D7" s="81" t="s">
        <v>522</v>
      </c>
      <c r="E7" s="9" t="s">
        <v>700</v>
      </c>
      <c r="F7" s="9" t="s">
        <v>701</v>
      </c>
      <c r="G7" s="9" t="s">
        <v>702</v>
      </c>
    </row>
    <row r="8" spans="1:8" ht="33.75" customHeight="1" x14ac:dyDescent="0.25">
      <c r="A8" s="28" t="s">
        <v>703</v>
      </c>
      <c r="B8" s="9" t="s">
        <v>704</v>
      </c>
      <c r="C8" s="9" t="s">
        <v>705</v>
      </c>
      <c r="D8" s="81" t="s">
        <v>522</v>
      </c>
      <c r="E8" s="9" t="s">
        <v>706</v>
      </c>
      <c r="F8" s="9" t="s">
        <v>701</v>
      </c>
      <c r="G8" s="9" t="s">
        <v>707</v>
      </c>
    </row>
    <row r="9" spans="1:8" ht="37.5" customHeight="1" x14ac:dyDescent="0.25">
      <c r="A9" s="28" t="s">
        <v>708</v>
      </c>
      <c r="B9" s="9" t="s">
        <v>538</v>
      </c>
      <c r="C9" s="9" t="s">
        <v>709</v>
      </c>
      <c r="D9" s="81" t="s">
        <v>522</v>
      </c>
      <c r="E9" s="9" t="s">
        <v>710</v>
      </c>
      <c r="F9" s="9" t="s">
        <v>701</v>
      </c>
      <c r="G9" s="9" t="s">
        <v>711</v>
      </c>
    </row>
    <row r="10" spans="1:8" ht="34.5" customHeight="1" x14ac:dyDescent="0.25">
      <c r="A10" s="28" t="s">
        <v>712</v>
      </c>
      <c r="B10" s="9" t="s">
        <v>538</v>
      </c>
      <c r="C10" s="9" t="s">
        <v>709</v>
      </c>
      <c r="D10" s="81" t="s">
        <v>522</v>
      </c>
      <c r="E10" s="9" t="s">
        <v>713</v>
      </c>
      <c r="F10" s="9" t="s">
        <v>701</v>
      </c>
      <c r="G10" s="9" t="s">
        <v>714</v>
      </c>
    </row>
    <row r="11" spans="1:8" ht="26.25" customHeight="1" x14ac:dyDescent="0.25">
      <c r="A11" s="28" t="s">
        <v>715</v>
      </c>
      <c r="B11" s="9" t="s">
        <v>716</v>
      </c>
      <c r="C11" s="9" t="s">
        <v>717</v>
      </c>
      <c r="D11" s="81" t="s">
        <v>522</v>
      </c>
      <c r="E11" s="9" t="s">
        <v>718</v>
      </c>
      <c r="F11" s="9" t="s">
        <v>719</v>
      </c>
      <c r="G11" s="9" t="s">
        <v>720</v>
      </c>
    </row>
    <row r="12" spans="1:8" ht="23.25" customHeight="1" x14ac:dyDescent="0.25">
      <c r="A12" s="28" t="s">
        <v>38</v>
      </c>
      <c r="B12" s="48">
        <f>'01_PARAMETRES'!H22</f>
        <v>18500</v>
      </c>
      <c r="C12" s="9" t="s">
        <v>223</v>
      </c>
      <c r="D12" s="72" t="s">
        <v>516</v>
      </c>
      <c r="E12" s="9" t="s">
        <v>721</v>
      </c>
      <c r="F12" s="9" t="s">
        <v>722</v>
      </c>
      <c r="G12" s="9" t="s">
        <v>723</v>
      </c>
    </row>
    <row r="13" spans="1:8" ht="23.25" customHeight="1" x14ac:dyDescent="0.25">
      <c r="A13" s="28" t="s">
        <v>39</v>
      </c>
      <c r="B13" s="48">
        <f>'01_PARAMETRES'!I22</f>
        <v>12000</v>
      </c>
      <c r="C13" s="9" t="s">
        <v>223</v>
      </c>
      <c r="D13" s="72" t="s">
        <v>516</v>
      </c>
      <c r="E13" s="9" t="s">
        <v>721</v>
      </c>
      <c r="F13" s="9" t="s">
        <v>722</v>
      </c>
      <c r="G13" s="9" t="s">
        <v>723</v>
      </c>
    </row>
    <row r="15" spans="1:8" ht="15" customHeight="1" x14ac:dyDescent="0.25">
      <c r="A15" s="4" t="s">
        <v>724</v>
      </c>
      <c r="B15" s="4"/>
      <c r="C15" s="4"/>
      <c r="D15" s="4"/>
      <c r="E15" s="4"/>
      <c r="F15" s="4"/>
      <c r="G15" s="4"/>
      <c r="H15" s="4"/>
    </row>
    <row r="16" spans="1:8" ht="23.25" customHeight="1" x14ac:dyDescent="0.25">
      <c r="A16" s="10" t="s">
        <v>31</v>
      </c>
      <c r="B16" s="10" t="s">
        <v>38</v>
      </c>
      <c r="C16" s="10" t="s">
        <v>39</v>
      </c>
      <c r="D16" s="10" t="s">
        <v>725</v>
      </c>
      <c r="E16" s="10" t="s">
        <v>726</v>
      </c>
      <c r="F16" s="10" t="s">
        <v>727</v>
      </c>
      <c r="G16" s="10" t="s">
        <v>37</v>
      </c>
      <c r="H16" s="10" t="s">
        <v>696</v>
      </c>
    </row>
    <row r="17" spans="1:8" ht="15" customHeight="1" x14ac:dyDescent="0.25">
      <c r="A17" s="9" t="s">
        <v>47</v>
      </c>
      <c r="B17" s="38">
        <f>'01_PARAMETRES'!H23</f>
        <v>42000</v>
      </c>
      <c r="C17" s="38">
        <f>'01_PARAMETRES'!I23</f>
        <v>35000</v>
      </c>
      <c r="D17" s="38">
        <f t="shared" ref="D17:E23" si="0">B17*5%</f>
        <v>2100</v>
      </c>
      <c r="E17" s="38">
        <f t="shared" si="0"/>
        <v>1750</v>
      </c>
      <c r="F17" s="54">
        <f t="shared" ref="F17:F23" si="1">D17+E17</f>
        <v>3850</v>
      </c>
      <c r="G17" s="43">
        <f>'01_PARAMETRES'!G23</f>
        <v>1</v>
      </c>
      <c r="H17" s="55" t="s">
        <v>728</v>
      </c>
    </row>
    <row r="18" spans="1:8" ht="15" customHeight="1" x14ac:dyDescent="0.25">
      <c r="A18" s="9" t="s">
        <v>49</v>
      </c>
      <c r="B18" s="38">
        <f>'01_PARAMETRES'!H24</f>
        <v>15000</v>
      </c>
      <c r="C18" s="38">
        <f>'01_PARAMETRES'!I24</f>
        <v>8500</v>
      </c>
      <c r="D18" s="38">
        <f t="shared" si="0"/>
        <v>750</v>
      </c>
      <c r="E18" s="38">
        <f t="shared" si="0"/>
        <v>425</v>
      </c>
      <c r="F18" s="54">
        <f t="shared" si="1"/>
        <v>1175</v>
      </c>
      <c r="G18" s="43">
        <f>'01_PARAMETRES'!G24</f>
        <v>1</v>
      </c>
      <c r="H18" s="55" t="s">
        <v>728</v>
      </c>
    </row>
    <row r="19" spans="1:8" ht="15" customHeight="1" x14ac:dyDescent="0.25">
      <c r="A19" s="9" t="s">
        <v>53</v>
      </c>
      <c r="B19" s="38">
        <f>'01_PARAMETRES'!H25</f>
        <v>22000</v>
      </c>
      <c r="C19" s="38">
        <f>'01_PARAMETRES'!I25</f>
        <v>14000</v>
      </c>
      <c r="D19" s="38">
        <f t="shared" si="0"/>
        <v>1100</v>
      </c>
      <c r="E19" s="38">
        <f t="shared" si="0"/>
        <v>700</v>
      </c>
      <c r="F19" s="54">
        <f t="shared" si="1"/>
        <v>1800</v>
      </c>
      <c r="G19" s="43">
        <f>'01_PARAMETRES'!G25</f>
        <v>1</v>
      </c>
      <c r="H19" s="55" t="s">
        <v>728</v>
      </c>
    </row>
    <row r="20" spans="1:8" ht="15" customHeight="1" x14ac:dyDescent="0.25">
      <c r="A20" s="9" t="s">
        <v>58</v>
      </c>
      <c r="B20" s="38">
        <f>'01_PARAMETRES'!H26</f>
        <v>28000</v>
      </c>
      <c r="C20" s="38">
        <f>'01_PARAMETRES'!I26</f>
        <v>20000</v>
      </c>
      <c r="D20" s="38">
        <f t="shared" si="0"/>
        <v>1400</v>
      </c>
      <c r="E20" s="38">
        <f t="shared" si="0"/>
        <v>1000</v>
      </c>
      <c r="F20" s="54">
        <f t="shared" si="1"/>
        <v>2400</v>
      </c>
      <c r="G20" s="43">
        <f>'01_PARAMETRES'!G26</f>
        <v>1</v>
      </c>
      <c r="H20" s="55" t="s">
        <v>728</v>
      </c>
    </row>
    <row r="21" spans="1:8" ht="15" customHeight="1" x14ac:dyDescent="0.25">
      <c r="A21" s="9" t="s">
        <v>63</v>
      </c>
      <c r="B21" s="38">
        <f>'01_PARAMETRES'!H27</f>
        <v>12000</v>
      </c>
      <c r="C21" s="38">
        <f>'01_PARAMETRES'!I27</f>
        <v>7500</v>
      </c>
      <c r="D21" s="38">
        <f t="shared" si="0"/>
        <v>600</v>
      </c>
      <c r="E21" s="38">
        <f t="shared" si="0"/>
        <v>375</v>
      </c>
      <c r="F21" s="54">
        <f t="shared" si="1"/>
        <v>975</v>
      </c>
      <c r="G21" s="43">
        <f>'01_PARAMETRES'!G27</f>
        <v>1</v>
      </c>
      <c r="H21" s="55" t="s">
        <v>728</v>
      </c>
    </row>
    <row r="22" spans="1:8" ht="15" customHeight="1" x14ac:dyDescent="0.25">
      <c r="A22" s="9" t="s">
        <v>68</v>
      </c>
      <c r="B22" s="38">
        <f>'01_PARAMETRES'!H28</f>
        <v>25000</v>
      </c>
      <c r="C22" s="38">
        <f>'01_PARAMETRES'!I28</f>
        <v>18000</v>
      </c>
      <c r="D22" s="38">
        <f t="shared" si="0"/>
        <v>1250</v>
      </c>
      <c r="E22" s="38">
        <f t="shared" si="0"/>
        <v>900</v>
      </c>
      <c r="F22" s="54">
        <f t="shared" si="1"/>
        <v>2150</v>
      </c>
      <c r="G22" s="43">
        <f>'01_PARAMETRES'!G28</f>
        <v>0.8</v>
      </c>
      <c r="H22" s="55" t="s">
        <v>728</v>
      </c>
    </row>
    <row r="23" spans="1:8" ht="15" customHeight="1" x14ac:dyDescent="0.25">
      <c r="A23" s="9" t="s">
        <v>73</v>
      </c>
      <c r="B23" s="38">
        <f>'01_PARAMETRES'!H29</f>
        <v>8000</v>
      </c>
      <c r="C23" s="38">
        <f>'01_PARAMETRES'!I29</f>
        <v>5500</v>
      </c>
      <c r="D23" s="38">
        <f t="shared" si="0"/>
        <v>400</v>
      </c>
      <c r="E23" s="38">
        <f t="shared" si="0"/>
        <v>275</v>
      </c>
      <c r="F23" s="54">
        <f t="shared" si="1"/>
        <v>675</v>
      </c>
      <c r="G23" s="43">
        <f>'01_PARAMETRES'!G29</f>
        <v>1</v>
      </c>
      <c r="H23" s="55" t="s">
        <v>728</v>
      </c>
    </row>
    <row r="25" spans="1:8" ht="15" customHeight="1" x14ac:dyDescent="0.25">
      <c r="A25" s="3" t="s">
        <v>729</v>
      </c>
      <c r="B25" s="3"/>
      <c r="C25" s="3"/>
      <c r="D25" s="3"/>
      <c r="E25" s="3"/>
      <c r="F25" s="3"/>
      <c r="G25" s="3"/>
      <c r="H25" s="3"/>
    </row>
    <row r="26" spans="1:8" ht="15" customHeight="1" x14ac:dyDescent="0.25">
      <c r="A26" s="3" t="s">
        <v>730</v>
      </c>
      <c r="B26" s="3"/>
      <c r="C26" s="3"/>
      <c r="D26" s="3"/>
      <c r="E26" s="3"/>
      <c r="F26" s="3"/>
      <c r="G26" s="3"/>
      <c r="H26" s="3"/>
    </row>
  </sheetData>
  <mergeCells count="7">
    <mergeCell ref="A25:H25"/>
    <mergeCell ref="A26:H26"/>
    <mergeCell ref="A1:H1"/>
    <mergeCell ref="A2:H2"/>
    <mergeCell ref="A3:H3"/>
    <mergeCell ref="A5:H5"/>
    <mergeCell ref="A15:H15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74C3C"/>
    <pageSetUpPr fitToPage="1"/>
  </sheetPr>
  <dimension ref="A1:H33"/>
  <sheetViews>
    <sheetView showGridLines="0" zoomScaleNormal="100" workbookViewId="0">
      <pane ySplit="3" topLeftCell="A4" activePane="bottomLeft" state="frozen"/>
      <selection pane="bottomLeft" sqref="A1:H1"/>
    </sheetView>
  </sheetViews>
  <sheetFormatPr baseColWidth="10" defaultColWidth="8.7109375" defaultRowHeight="15" x14ac:dyDescent="0.25"/>
  <cols>
    <col min="1" max="1" width="28" customWidth="1"/>
    <col min="2" max="8" width="16" customWidth="1"/>
  </cols>
  <sheetData>
    <row r="1" spans="1:8" ht="22.5" customHeight="1" x14ac:dyDescent="0.25">
      <c r="A1" s="7" t="s">
        <v>731</v>
      </c>
      <c r="B1" s="7"/>
      <c r="C1" s="7"/>
      <c r="D1" s="7"/>
      <c r="E1" s="7"/>
      <c r="F1" s="7"/>
      <c r="G1" s="7"/>
      <c r="H1" s="7"/>
    </row>
    <row r="2" spans="1:8" ht="16.5" customHeight="1" x14ac:dyDescent="0.25">
      <c r="A2" s="6" t="s">
        <v>732</v>
      </c>
      <c r="B2" s="6"/>
      <c r="C2" s="6"/>
      <c r="D2" s="6"/>
      <c r="E2" s="6"/>
      <c r="F2" s="6"/>
      <c r="G2" s="6"/>
      <c r="H2" s="6"/>
    </row>
    <row r="3" spans="1:8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</row>
    <row r="5" spans="1:8" ht="15" customHeight="1" x14ac:dyDescent="0.25">
      <c r="A5" s="4" t="s">
        <v>733</v>
      </c>
      <c r="B5" s="4"/>
      <c r="C5" s="4"/>
      <c r="D5" s="4"/>
      <c r="E5" s="4"/>
      <c r="F5" s="4"/>
      <c r="G5" s="4"/>
      <c r="H5" s="4"/>
    </row>
    <row r="6" spans="1:8" ht="15" customHeight="1" x14ac:dyDescent="0.25">
      <c r="A6" s="10" t="s">
        <v>31</v>
      </c>
      <c r="B6" s="10" t="s">
        <v>734</v>
      </c>
      <c r="C6" s="10" t="s">
        <v>33</v>
      </c>
      <c r="D6" s="10" t="s">
        <v>735</v>
      </c>
      <c r="E6" s="10" t="s">
        <v>736</v>
      </c>
      <c r="F6" s="10" t="s">
        <v>737</v>
      </c>
      <c r="G6" s="10" t="s">
        <v>738</v>
      </c>
      <c r="H6" s="10" t="s">
        <v>739</v>
      </c>
    </row>
    <row r="7" spans="1:8" ht="15" customHeight="1" x14ac:dyDescent="0.25">
      <c r="A7" s="9" t="s">
        <v>47</v>
      </c>
      <c r="B7" s="38">
        <f>'03_CALCUL_ROYALTIES'!F63</f>
        <v>4770</v>
      </c>
      <c r="C7" s="39" t="s">
        <v>44</v>
      </c>
      <c r="D7" s="56">
        <f>IFERROR(_xlfn.XLOOKUP(C7,FX_Devises,FX_Moyen,1),1)</f>
        <v>1</v>
      </c>
      <c r="E7" s="56">
        <v>1</v>
      </c>
      <c r="F7" s="38">
        <f>B7</f>
        <v>4770</v>
      </c>
      <c r="G7" s="38">
        <f t="shared" ref="G7:G13" si="0">F7-B7</f>
        <v>0</v>
      </c>
      <c r="H7" s="29">
        <f t="shared" ref="H7:H13" si="1">IF(B7&gt;0,G7/B7,0)</f>
        <v>0</v>
      </c>
    </row>
    <row r="8" spans="1:8" ht="15" customHeight="1" x14ac:dyDescent="0.25">
      <c r="A8" s="9" t="s">
        <v>49</v>
      </c>
      <c r="B8" s="38">
        <f>'03_CALCUL_ROYALTIES'!F64</f>
        <v>3110</v>
      </c>
      <c r="C8" s="39" t="s">
        <v>44</v>
      </c>
      <c r="D8" s="56">
        <f>IFERROR(_xlfn.XLOOKUP(C8,FX_Devises,FX_Moyen,1),1)</f>
        <v>1</v>
      </c>
      <c r="E8" s="56">
        <v>1</v>
      </c>
      <c r="F8" s="38">
        <f>B8</f>
        <v>3110</v>
      </c>
      <c r="G8" s="38">
        <f t="shared" si="0"/>
        <v>0</v>
      </c>
      <c r="H8" s="29">
        <f t="shared" si="1"/>
        <v>0</v>
      </c>
    </row>
    <row r="9" spans="1:8" ht="15" customHeight="1" x14ac:dyDescent="0.25">
      <c r="A9" s="9" t="s">
        <v>53</v>
      </c>
      <c r="B9" s="38">
        <f>'03_CALCUL_ROYALTIES'!F65</f>
        <v>4210</v>
      </c>
      <c r="C9" s="39" t="s">
        <v>55</v>
      </c>
      <c r="D9" s="56">
        <f>IFERROR(_xlfn.XLOOKUP(C9,FX_Devises,FX_Moyen,1),1)</f>
        <v>6.2500000000000003E-3</v>
      </c>
      <c r="E9" s="56">
        <v>5.0000000000000001E-3</v>
      </c>
      <c r="F9" s="38">
        <f>ROUND(B9*E9/D9,0)</f>
        <v>3368</v>
      </c>
      <c r="G9" s="38">
        <f t="shared" si="0"/>
        <v>-842</v>
      </c>
      <c r="H9" s="29">
        <f t="shared" si="1"/>
        <v>-0.2</v>
      </c>
    </row>
    <row r="10" spans="1:8" ht="15" customHeight="1" x14ac:dyDescent="0.25">
      <c r="A10" s="9" t="s">
        <v>58</v>
      </c>
      <c r="B10" s="38">
        <f>'03_CALCUL_ROYALTIES'!F66</f>
        <v>5810</v>
      </c>
      <c r="C10" s="39" t="s">
        <v>60</v>
      </c>
      <c r="D10" s="56">
        <f>IFERROR(_xlfn.XLOOKUP(C10,FX_Devises,FX_Moyen,1),1)</f>
        <v>0.92589999999999995</v>
      </c>
      <c r="E10" s="56">
        <v>0.83330000000000004</v>
      </c>
      <c r="F10" s="38">
        <f>ROUND(B10*E10/D10,0)</f>
        <v>5229</v>
      </c>
      <c r="G10" s="38">
        <f t="shared" si="0"/>
        <v>-581</v>
      </c>
      <c r="H10" s="29">
        <f t="shared" si="1"/>
        <v>-0.1</v>
      </c>
    </row>
    <row r="11" spans="1:8" ht="15" customHeight="1" x14ac:dyDescent="0.25">
      <c r="A11" s="9" t="s">
        <v>63</v>
      </c>
      <c r="B11" s="38">
        <f>'03_CALCUL_ROYALTIES'!F67</f>
        <v>2510</v>
      </c>
      <c r="C11" s="39" t="s">
        <v>65</v>
      </c>
      <c r="D11" s="56">
        <f>IFERROR(_xlfn.XLOOKUP(C11,FX_Devises,FX_Moyen,1),1)</f>
        <v>1.1494</v>
      </c>
      <c r="E11" s="56">
        <v>1.1494</v>
      </c>
      <c r="F11" s="38">
        <f>ROUND(B11*E11/D11,0)</f>
        <v>2510</v>
      </c>
      <c r="G11" s="38">
        <f t="shared" si="0"/>
        <v>0</v>
      </c>
      <c r="H11" s="29">
        <f t="shared" si="1"/>
        <v>0</v>
      </c>
    </row>
    <row r="12" spans="1:8" ht="15" customHeight="1" x14ac:dyDescent="0.25">
      <c r="A12" s="9" t="s">
        <v>68</v>
      </c>
      <c r="B12" s="38">
        <f>'03_CALCUL_ROYALTIES'!F68</f>
        <v>5295</v>
      </c>
      <c r="C12" s="39" t="s">
        <v>70</v>
      </c>
      <c r="D12" s="56">
        <f>IFERROR(_xlfn.XLOOKUP(C12,FX_Devises,FX_Moyen,1),1)</f>
        <v>0.11899999999999999</v>
      </c>
      <c r="E12" s="56">
        <v>0.107</v>
      </c>
      <c r="F12" s="38">
        <f>ROUND(B12*E12/D12,0)</f>
        <v>4761</v>
      </c>
      <c r="G12" s="38">
        <f t="shared" si="0"/>
        <v>-534</v>
      </c>
      <c r="H12" s="29">
        <f t="shared" si="1"/>
        <v>-0.10084985835694051</v>
      </c>
    </row>
    <row r="13" spans="1:8" ht="15" customHeight="1" x14ac:dyDescent="0.25">
      <c r="A13" s="9" t="s">
        <v>73</v>
      </c>
      <c r="B13" s="38">
        <f>'03_CALCUL_ROYALTIES'!F69</f>
        <v>1770</v>
      </c>
      <c r="C13" s="39" t="s">
        <v>75</v>
      </c>
      <c r="D13" s="56">
        <f>IFERROR(_xlfn.XLOOKUP(C13,FX_Devises,FX_Moyen,1),1)</f>
        <v>0.2525</v>
      </c>
      <c r="E13" s="56">
        <v>0.22720000000000001</v>
      </c>
      <c r="F13" s="38">
        <f>ROUND(B13*E13/D13,0)</f>
        <v>1593</v>
      </c>
      <c r="G13" s="38">
        <f t="shared" si="0"/>
        <v>-177</v>
      </c>
      <c r="H13" s="29">
        <f t="shared" si="1"/>
        <v>-0.1</v>
      </c>
    </row>
    <row r="14" spans="1:8" ht="15" customHeight="1" x14ac:dyDescent="0.25">
      <c r="A14" s="16" t="s">
        <v>740</v>
      </c>
      <c r="B14" s="19">
        <f>SUM(B7:B13)</f>
        <v>27475</v>
      </c>
      <c r="C14" s="23"/>
      <c r="D14" s="23"/>
      <c r="E14" s="23"/>
      <c r="F14" s="19">
        <f>SUM(F7:F13)</f>
        <v>25341</v>
      </c>
      <c r="G14" s="19">
        <f>SUM(G7:G13)</f>
        <v>-2134</v>
      </c>
      <c r="H14" s="23"/>
    </row>
    <row r="16" spans="1:8" ht="15" customHeight="1" x14ac:dyDescent="0.25">
      <c r="A16" s="4" t="s">
        <v>741</v>
      </c>
      <c r="B16" s="4"/>
      <c r="C16" s="4"/>
      <c r="D16" s="4"/>
      <c r="E16" s="4"/>
      <c r="F16" s="4"/>
      <c r="G16" s="4"/>
      <c r="H16" s="4"/>
    </row>
    <row r="17" spans="1:8" ht="15" customHeight="1" x14ac:dyDescent="0.25">
      <c r="A17" s="10" t="s">
        <v>742</v>
      </c>
      <c r="B17" s="10" t="s">
        <v>743</v>
      </c>
      <c r="C17" s="10" t="s">
        <v>744</v>
      </c>
      <c r="D17" s="10" t="s">
        <v>745</v>
      </c>
      <c r="E17" s="10" t="s">
        <v>746</v>
      </c>
      <c r="F17" s="10" t="s">
        <v>327</v>
      </c>
      <c r="G17" s="10"/>
      <c r="H17" s="10"/>
    </row>
    <row r="18" spans="1:8" ht="56.25" customHeight="1" x14ac:dyDescent="0.25">
      <c r="A18" s="9" t="s">
        <v>747</v>
      </c>
      <c r="B18" s="9" t="s">
        <v>748</v>
      </c>
      <c r="C18" s="9" t="s">
        <v>749</v>
      </c>
      <c r="D18" s="9">
        <f>0</f>
        <v>0</v>
      </c>
      <c r="E18" s="9" t="s">
        <v>750</v>
      </c>
      <c r="F18" s="9" t="s">
        <v>751</v>
      </c>
    </row>
    <row r="19" spans="1:8" ht="52.5" customHeight="1" x14ac:dyDescent="0.25">
      <c r="A19" s="9" t="s">
        <v>752</v>
      </c>
      <c r="B19" s="9" t="s">
        <v>753</v>
      </c>
      <c r="C19" s="51">
        <f>15%</f>
        <v>0.15</v>
      </c>
      <c r="D19" s="9" t="s">
        <v>223</v>
      </c>
      <c r="E19" s="9" t="s">
        <v>754</v>
      </c>
      <c r="F19" s="9" t="s">
        <v>755</v>
      </c>
    </row>
    <row r="22" spans="1:8" ht="15" customHeight="1" x14ac:dyDescent="0.25">
      <c r="A22" s="4" t="s">
        <v>756</v>
      </c>
      <c r="B22" s="4"/>
      <c r="C22" s="4"/>
      <c r="D22" s="4"/>
      <c r="E22" s="4"/>
      <c r="F22" s="4"/>
      <c r="G22" s="4"/>
      <c r="H22" s="4"/>
    </row>
    <row r="23" spans="1:8" ht="15" customHeight="1" x14ac:dyDescent="0.25">
      <c r="A23" s="10" t="s">
        <v>31</v>
      </c>
      <c r="B23" s="10" t="s">
        <v>757</v>
      </c>
      <c r="C23" s="10" t="s">
        <v>758</v>
      </c>
      <c r="D23" s="10" t="s">
        <v>734</v>
      </c>
      <c r="E23" s="10" t="s">
        <v>737</v>
      </c>
      <c r="F23" s="10" t="s">
        <v>738</v>
      </c>
      <c r="G23" s="10" t="s">
        <v>759</v>
      </c>
      <c r="H23" s="10" t="s">
        <v>558</v>
      </c>
    </row>
    <row r="24" spans="1:8" ht="15" customHeight="1" x14ac:dyDescent="0.25">
      <c r="A24" s="9" t="s">
        <v>47</v>
      </c>
      <c r="B24" s="38">
        <f>'01_PARAMETRES'!E56</f>
        <v>95000</v>
      </c>
      <c r="C24" s="38">
        <f t="shared" ref="C24:C30" si="2">B24*0.9</f>
        <v>85500</v>
      </c>
      <c r="D24" s="38">
        <f>'03_CALCUL_ROYALTIES'!F63</f>
        <v>4770</v>
      </c>
      <c r="E24" s="38">
        <f t="shared" ref="E24:E30" si="3">D24*0.9</f>
        <v>4293</v>
      </c>
      <c r="F24" s="38">
        <f t="shared" ref="F24:F30" si="4">E24-D24</f>
        <v>-477</v>
      </c>
      <c r="G24" s="39" t="s">
        <v>760</v>
      </c>
      <c r="H24" s="39" t="str">
        <f>IF(ABS(E24)&lt;1500,"⚠️ Minimum garanti","OK")</f>
        <v>OK</v>
      </c>
    </row>
    <row r="25" spans="1:8" ht="15" customHeight="1" x14ac:dyDescent="0.25">
      <c r="A25" s="9" t="s">
        <v>49</v>
      </c>
      <c r="B25" s="38">
        <f>'01_PARAMETRES'!E57</f>
        <v>62000</v>
      </c>
      <c r="C25" s="38">
        <f t="shared" si="2"/>
        <v>55800</v>
      </c>
      <c r="D25" s="38">
        <f>'03_CALCUL_ROYALTIES'!F64</f>
        <v>3110</v>
      </c>
      <c r="E25" s="38">
        <f t="shared" si="3"/>
        <v>2799</v>
      </c>
      <c r="F25" s="38">
        <f t="shared" si="4"/>
        <v>-311</v>
      </c>
      <c r="G25" s="39" t="s">
        <v>129</v>
      </c>
      <c r="H25" s="39"/>
    </row>
    <row r="26" spans="1:8" ht="15" customHeight="1" x14ac:dyDescent="0.25">
      <c r="A26" s="9" t="s">
        <v>53</v>
      </c>
      <c r="B26" s="38">
        <f>'01_PARAMETRES'!E58</f>
        <v>83000</v>
      </c>
      <c r="C26" s="38">
        <f t="shared" si="2"/>
        <v>74700</v>
      </c>
      <c r="D26" s="38">
        <f>'03_CALCUL_ROYALTIES'!F65</f>
        <v>4210</v>
      </c>
      <c r="E26" s="38">
        <f t="shared" si="3"/>
        <v>3789</v>
      </c>
      <c r="F26" s="38">
        <f t="shared" si="4"/>
        <v>-421</v>
      </c>
      <c r="G26" s="39" t="s">
        <v>129</v>
      </c>
      <c r="H26" s="39"/>
    </row>
    <row r="27" spans="1:8" ht="15" customHeight="1" x14ac:dyDescent="0.25">
      <c r="A27" s="9" t="s">
        <v>58</v>
      </c>
      <c r="B27" s="38">
        <f>'01_PARAMETRES'!E59</f>
        <v>115000</v>
      </c>
      <c r="C27" s="38">
        <f t="shared" si="2"/>
        <v>103500</v>
      </c>
      <c r="D27" s="38">
        <f>'03_CALCUL_ROYALTIES'!F66</f>
        <v>5810</v>
      </c>
      <c r="E27" s="38">
        <f t="shared" si="3"/>
        <v>5229</v>
      </c>
      <c r="F27" s="38">
        <f t="shared" si="4"/>
        <v>-581</v>
      </c>
      <c r="G27" s="39" t="s">
        <v>129</v>
      </c>
      <c r="H27" s="39"/>
    </row>
    <row r="28" spans="1:8" ht="15" customHeight="1" x14ac:dyDescent="0.25">
      <c r="A28" s="9" t="s">
        <v>63</v>
      </c>
      <c r="B28" s="38">
        <f>'01_PARAMETRES'!E60</f>
        <v>50000</v>
      </c>
      <c r="C28" s="38">
        <f t="shared" si="2"/>
        <v>45000</v>
      </c>
      <c r="D28" s="38">
        <f>'03_CALCUL_ROYALTIES'!F67</f>
        <v>2510</v>
      </c>
      <c r="E28" s="38">
        <f t="shared" si="3"/>
        <v>2259</v>
      </c>
      <c r="F28" s="38">
        <f t="shared" si="4"/>
        <v>-251</v>
      </c>
      <c r="G28" s="39" t="s">
        <v>129</v>
      </c>
      <c r="H28" s="39"/>
    </row>
    <row r="29" spans="1:8" ht="15" customHeight="1" x14ac:dyDescent="0.25">
      <c r="A29" s="9" t="s">
        <v>68</v>
      </c>
      <c r="B29" s="38">
        <f>'01_PARAMETRES'!E61</f>
        <v>105000</v>
      </c>
      <c r="C29" s="38">
        <f t="shared" si="2"/>
        <v>94500</v>
      </c>
      <c r="D29" s="38">
        <f>'03_CALCUL_ROYALTIES'!F68</f>
        <v>5295</v>
      </c>
      <c r="E29" s="38">
        <f t="shared" si="3"/>
        <v>4765.5</v>
      </c>
      <c r="F29" s="38">
        <f t="shared" si="4"/>
        <v>-529.5</v>
      </c>
      <c r="G29" s="39" t="s">
        <v>129</v>
      </c>
      <c r="H29" s="39"/>
    </row>
    <row r="30" spans="1:8" ht="15" customHeight="1" x14ac:dyDescent="0.25">
      <c r="A30" s="9" t="s">
        <v>73</v>
      </c>
      <c r="B30" s="38">
        <f>'01_PARAMETRES'!E62</f>
        <v>35000</v>
      </c>
      <c r="C30" s="38">
        <f t="shared" si="2"/>
        <v>31500</v>
      </c>
      <c r="D30" s="38">
        <f>'03_CALCUL_ROYALTIES'!F69</f>
        <v>1770</v>
      </c>
      <c r="E30" s="38">
        <f t="shared" si="3"/>
        <v>1593</v>
      </c>
      <c r="F30" s="38">
        <f t="shared" si="4"/>
        <v>-177</v>
      </c>
      <c r="G30" s="39" t="s">
        <v>129</v>
      </c>
      <c r="H30" s="39"/>
    </row>
    <row r="32" spans="1:8" ht="15" customHeight="1" x14ac:dyDescent="0.25">
      <c r="A32" s="3" t="s">
        <v>761</v>
      </c>
      <c r="B32" s="3"/>
      <c r="C32" s="3"/>
      <c r="D32" s="3"/>
      <c r="E32" s="3"/>
      <c r="F32" s="3"/>
      <c r="G32" s="3"/>
      <c r="H32" s="3"/>
    </row>
    <row r="33" spans="1:8" ht="15" customHeight="1" x14ac:dyDescent="0.25">
      <c r="A33" s="3" t="s">
        <v>762</v>
      </c>
      <c r="B33" s="3"/>
      <c r="C33" s="3"/>
      <c r="D33" s="3"/>
      <c r="E33" s="3"/>
      <c r="F33" s="3"/>
      <c r="G33" s="3"/>
      <c r="H33" s="3"/>
    </row>
  </sheetData>
  <mergeCells count="8">
    <mergeCell ref="A22:H22"/>
    <mergeCell ref="A32:H32"/>
    <mergeCell ref="A33:H33"/>
    <mergeCell ref="A1:H1"/>
    <mergeCell ref="A2:H2"/>
    <mergeCell ref="A3:H3"/>
    <mergeCell ref="A5:H5"/>
    <mergeCell ref="A16:H16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4AF37"/>
    <pageSetUpPr fitToPage="1"/>
  </sheetPr>
  <dimension ref="A1:H37"/>
  <sheetViews>
    <sheetView showGridLines="0" zoomScaleNormal="100" workbookViewId="0">
      <pane ySplit="3" topLeftCell="A15" activePane="bottomLeft" state="frozen"/>
      <selection pane="bottomLeft" activeCell="D19" sqref="D19"/>
    </sheetView>
  </sheetViews>
  <sheetFormatPr baseColWidth="10" defaultColWidth="8.7109375" defaultRowHeight="15" x14ac:dyDescent="0.25"/>
  <cols>
    <col min="1" max="1" width="30.42578125" customWidth="1"/>
    <col min="2" max="8" width="16" customWidth="1"/>
  </cols>
  <sheetData>
    <row r="1" spans="1:8" ht="22.5" customHeight="1" x14ac:dyDescent="0.25">
      <c r="A1" s="7" t="s">
        <v>763</v>
      </c>
      <c r="B1" s="7"/>
      <c r="C1" s="7"/>
      <c r="D1" s="7"/>
      <c r="E1" s="7"/>
      <c r="F1" s="7"/>
      <c r="G1" s="7"/>
      <c r="H1" s="7"/>
    </row>
    <row r="2" spans="1:8" ht="16.5" customHeight="1" x14ac:dyDescent="0.25">
      <c r="A2" s="6" t="s">
        <v>764</v>
      </c>
      <c r="B2" s="6"/>
      <c r="C2" s="6"/>
      <c r="D2" s="6"/>
      <c r="E2" s="6"/>
      <c r="F2" s="6"/>
      <c r="G2" s="6"/>
      <c r="H2" s="6"/>
    </row>
    <row r="3" spans="1:8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</row>
    <row r="5" spans="1:8" ht="15" customHeight="1" x14ac:dyDescent="0.25">
      <c r="A5" s="4" t="s">
        <v>765</v>
      </c>
      <c r="B5" s="4"/>
      <c r="C5" s="4"/>
      <c r="D5" s="4"/>
      <c r="E5" s="4"/>
      <c r="F5" s="4"/>
      <c r="G5" s="4"/>
      <c r="H5" s="4"/>
    </row>
    <row r="6" spans="1:8" ht="15" customHeight="1" x14ac:dyDescent="0.25">
      <c r="A6" s="10" t="s">
        <v>742</v>
      </c>
      <c r="B6" s="10" t="s">
        <v>91</v>
      </c>
      <c r="C6" s="10" t="s">
        <v>94</v>
      </c>
      <c r="D6" s="10" t="s">
        <v>96</v>
      </c>
      <c r="E6" s="10" t="s">
        <v>83</v>
      </c>
      <c r="F6" s="10" t="s">
        <v>696</v>
      </c>
      <c r="G6" s="10"/>
      <c r="H6" s="10"/>
    </row>
    <row r="7" spans="1:8" ht="15" customHeight="1" x14ac:dyDescent="0.25">
      <c r="A7" s="28" t="s">
        <v>766</v>
      </c>
      <c r="B7" s="48">
        <f>SUM('01_PARAMETRES'!$B$56:$B$62)</f>
        <v>245000</v>
      </c>
      <c r="C7" s="48">
        <f>SUM('01_PARAMETRES'!$C$56:$C$62)</f>
        <v>185000</v>
      </c>
      <c r="D7" s="48">
        <f>SUM('01_PARAMETRES'!$D$56:$D$62)</f>
        <v>115000</v>
      </c>
      <c r="E7" s="9" t="s">
        <v>721</v>
      </c>
      <c r="F7" s="9" t="s">
        <v>223</v>
      </c>
    </row>
    <row r="8" spans="1:8" ht="15" customHeight="1" x14ac:dyDescent="0.25">
      <c r="A8" s="28" t="s">
        <v>88</v>
      </c>
      <c r="B8" s="51">
        <f>'01_PARAMETRES'!$C$42</f>
        <v>0.05</v>
      </c>
      <c r="C8" s="51">
        <f>'01_PARAMETRES'!$C$43</f>
        <v>4.4999999999999998E-2</v>
      </c>
      <c r="D8" s="51">
        <f>'01_PARAMETRES'!$C$44</f>
        <v>0.06</v>
      </c>
      <c r="E8" s="9" t="s">
        <v>721</v>
      </c>
      <c r="F8" s="9" t="s">
        <v>767</v>
      </c>
    </row>
    <row r="9" spans="1:8" ht="37.5" customHeight="1" x14ac:dyDescent="0.25">
      <c r="A9" s="28" t="s">
        <v>768</v>
      </c>
      <c r="B9" s="60">
        <v>0.05</v>
      </c>
      <c r="C9" s="60">
        <v>0.04</v>
      </c>
      <c r="D9" s="60">
        <v>0.06</v>
      </c>
      <c r="E9" s="9" t="s">
        <v>769</v>
      </c>
      <c r="F9" s="9" t="s">
        <v>223</v>
      </c>
    </row>
    <row r="10" spans="1:8" ht="15" customHeight="1" x14ac:dyDescent="0.25">
      <c r="A10" s="28" t="s">
        <v>770</v>
      </c>
      <c r="B10" s="51">
        <f>'01_PARAMETRES'!$D$22</f>
        <v>0.25729999999999997</v>
      </c>
      <c r="C10" s="51">
        <f>'01_PARAMETRES'!$D$22</f>
        <v>0.25729999999999997</v>
      </c>
      <c r="D10" s="51">
        <f>'01_PARAMETRES'!$D$22</f>
        <v>0.25729999999999997</v>
      </c>
      <c r="E10" s="9" t="s">
        <v>721</v>
      </c>
      <c r="F10" s="9" t="s">
        <v>223</v>
      </c>
    </row>
    <row r="11" spans="1:8" ht="15" customHeight="1" x14ac:dyDescent="0.25">
      <c r="A11" s="28" t="s">
        <v>771</v>
      </c>
      <c r="B11" s="60">
        <v>0.09</v>
      </c>
      <c r="C11" s="60">
        <v>0.09</v>
      </c>
      <c r="D11" s="60">
        <v>0.09</v>
      </c>
      <c r="E11" s="9" t="s">
        <v>772</v>
      </c>
      <c r="F11" s="9" t="s">
        <v>773</v>
      </c>
    </row>
    <row r="12" spans="1:8" ht="28.5" customHeight="1" x14ac:dyDescent="0.25">
      <c r="A12" s="28" t="s">
        <v>774</v>
      </c>
      <c r="B12" s="26">
        <v>10</v>
      </c>
      <c r="C12" s="26">
        <v>10</v>
      </c>
      <c r="D12" s="26">
        <v>10</v>
      </c>
      <c r="E12" s="9" t="s">
        <v>775</v>
      </c>
      <c r="F12" s="9" t="s">
        <v>223</v>
      </c>
    </row>
    <row r="13" spans="1:8" ht="34.5" customHeight="1" x14ac:dyDescent="0.25">
      <c r="A13" s="28" t="s">
        <v>776</v>
      </c>
      <c r="B13" s="60">
        <v>0.02</v>
      </c>
      <c r="C13" s="60">
        <v>0.02</v>
      </c>
      <c r="D13" s="60">
        <v>0.02</v>
      </c>
      <c r="E13" s="9" t="s">
        <v>777</v>
      </c>
      <c r="F13" s="9" t="s">
        <v>223</v>
      </c>
    </row>
    <row r="15" spans="1:8" ht="25.5" customHeight="1" x14ac:dyDescent="0.25">
      <c r="A15" s="4" t="s">
        <v>778</v>
      </c>
      <c r="B15" s="4"/>
      <c r="C15" s="4"/>
      <c r="D15" s="4"/>
      <c r="E15" s="4"/>
      <c r="F15" s="4"/>
      <c r="G15" s="4"/>
      <c r="H15" s="4"/>
    </row>
    <row r="16" spans="1:8" ht="23.25" customHeight="1" x14ac:dyDescent="0.25">
      <c r="A16" s="10" t="s">
        <v>253</v>
      </c>
      <c r="B16" s="10" t="s">
        <v>779</v>
      </c>
      <c r="C16" s="10" t="s">
        <v>780</v>
      </c>
      <c r="D16" s="10" t="s">
        <v>781</v>
      </c>
      <c r="E16" s="10" t="s">
        <v>782</v>
      </c>
      <c r="F16" s="10" t="s">
        <v>783</v>
      </c>
      <c r="G16" s="10" t="s">
        <v>784</v>
      </c>
      <c r="H16" s="10" t="s">
        <v>785</v>
      </c>
    </row>
    <row r="17" spans="1:8" ht="15" customHeight="1" x14ac:dyDescent="0.25">
      <c r="A17" s="39" t="s">
        <v>786</v>
      </c>
      <c r="B17" s="38">
        <f>B7*(1+B9)</f>
        <v>257250</v>
      </c>
      <c r="C17" s="38">
        <f>B17*B8*(1-B10)</f>
        <v>9552.9787500000002</v>
      </c>
      <c r="D17" s="38">
        <f>C7*(1+C9)</f>
        <v>192400</v>
      </c>
      <c r="E17" s="38">
        <f>D17*C8*(1-C10)</f>
        <v>6430.2966000000006</v>
      </c>
      <c r="F17" s="38">
        <f>D7*(1+D9)</f>
        <v>121900</v>
      </c>
      <c r="G17" s="38">
        <f>F17*D8*(1-D10)</f>
        <v>5432.1077999999998</v>
      </c>
      <c r="H17" s="56">
        <f>1/(1+B11)^1</f>
        <v>0.9174311926605504</v>
      </c>
    </row>
    <row r="18" spans="1:8" ht="15" customHeight="1" x14ac:dyDescent="0.25">
      <c r="A18" s="39" t="s">
        <v>787</v>
      </c>
      <c r="B18" s="38">
        <f>B17*(1+B9)</f>
        <v>270112.5</v>
      </c>
      <c r="C18" s="38">
        <f>B18*B8*(1-B10)</f>
        <v>10030.6276875</v>
      </c>
      <c r="D18" s="38">
        <f>D17*(1+C9)</f>
        <v>200096</v>
      </c>
      <c r="E18" s="38">
        <f>D18*C8*(1-C10)</f>
        <v>6687.5084640000005</v>
      </c>
      <c r="F18" s="38">
        <f>F17*(1+D9)</f>
        <v>129214</v>
      </c>
      <c r="G18" s="38">
        <f>F18*D8*(1-D10)</f>
        <v>5758.0342680000003</v>
      </c>
      <c r="H18" s="56">
        <f>1/(1+B11)^2</f>
        <v>0.84167999326655996</v>
      </c>
    </row>
    <row r="19" spans="1:8" ht="15" customHeight="1" x14ac:dyDescent="0.25">
      <c r="A19" s="39" t="s">
        <v>788</v>
      </c>
      <c r="B19" s="38">
        <f>B18*(1+B9)</f>
        <v>283618.125</v>
      </c>
      <c r="C19" s="38">
        <f>B19*B8*(1-B10)</f>
        <v>10532.159071875001</v>
      </c>
      <c r="D19" s="38">
        <f>D18*(1+C9)</f>
        <v>208099.84</v>
      </c>
      <c r="E19" s="38">
        <f>D19*C8*(1-C10)</f>
        <v>6955.0088025599998</v>
      </c>
      <c r="F19" s="38">
        <f>F18*(1+D9)</f>
        <v>136966.84</v>
      </c>
      <c r="G19" s="38">
        <f>F19*D8*(1-D10)</f>
        <v>6103.5163240799993</v>
      </c>
      <c r="H19" s="56">
        <f>1/(1+B11)^3</f>
        <v>0.77218348006106419</v>
      </c>
    </row>
    <row r="20" spans="1:8" ht="15" customHeight="1" x14ac:dyDescent="0.25">
      <c r="A20" s="39" t="s">
        <v>789</v>
      </c>
      <c r="B20" s="38">
        <f>B19*(1+B9)</f>
        <v>297799.03125</v>
      </c>
      <c r="C20" s="38">
        <f>B20*B8*(1-B10)</f>
        <v>11058.767025468751</v>
      </c>
      <c r="D20" s="38">
        <f>D19*(1+C9)</f>
        <v>216423.83360000001</v>
      </c>
      <c r="E20" s="38">
        <f>D20*C8*(1-C10)</f>
        <v>7233.2091546624006</v>
      </c>
      <c r="F20" s="38">
        <f>F19*(1+D9)</f>
        <v>145184.8504</v>
      </c>
      <c r="G20" s="38">
        <f>F20*D8*(1-D10)</f>
        <v>6469.7273035247999</v>
      </c>
      <c r="H20" s="56">
        <f>1/(1+B11)^4</f>
        <v>0.7084252110651964</v>
      </c>
    </row>
    <row r="21" spans="1:8" ht="15" customHeight="1" x14ac:dyDescent="0.25">
      <c r="A21" s="39" t="s">
        <v>790</v>
      </c>
      <c r="B21" s="38">
        <f>B20*(1+B9)</f>
        <v>312688.98281250003</v>
      </c>
      <c r="C21" s="38">
        <f>B21*B8*(1-B10)</f>
        <v>11611.705376742189</v>
      </c>
      <c r="D21" s="38">
        <f>D20*(1+C9)</f>
        <v>225080.78694400002</v>
      </c>
      <c r="E21" s="38">
        <f>D21*C8*(1-C10)</f>
        <v>7522.5375208488958</v>
      </c>
      <c r="F21" s="38">
        <f>F20*(1+D9)</f>
        <v>153895.94142399999</v>
      </c>
      <c r="G21" s="38">
        <f>F21*D8*(1-D10)</f>
        <v>6857.910941736287</v>
      </c>
      <c r="H21" s="56">
        <f>1/(1+B11)^5</f>
        <v>0.64993138629834524</v>
      </c>
    </row>
    <row r="22" spans="1:8" ht="15" customHeight="1" x14ac:dyDescent="0.25">
      <c r="A22" s="39" t="s">
        <v>791</v>
      </c>
      <c r="B22" s="38">
        <f>B21*(1+B9)</f>
        <v>328323.43195312505</v>
      </c>
      <c r="C22" s="38">
        <f>B22*B8*(1-B10)</f>
        <v>12192.290645579298</v>
      </c>
      <c r="D22" s="38">
        <f>D21*(1+C9)</f>
        <v>234084.01842176003</v>
      </c>
      <c r="E22" s="38">
        <f>D22*C8*(1-C10)</f>
        <v>7823.4390216828533</v>
      </c>
      <c r="F22" s="38">
        <f>F21*(1+D9)</f>
        <v>163129.69790944</v>
      </c>
      <c r="G22" s="38">
        <f>F22*D8*(1-D10)</f>
        <v>7269.3855982404648</v>
      </c>
      <c r="H22" s="56">
        <f>1/(1+B11)^6</f>
        <v>0.5962673268792158</v>
      </c>
    </row>
    <row r="23" spans="1:8" ht="15" customHeight="1" x14ac:dyDescent="0.25">
      <c r="A23" s="39" t="s">
        <v>792</v>
      </c>
      <c r="B23" s="38">
        <f>B22*(1+B9)</f>
        <v>344739.60355078132</v>
      </c>
      <c r="C23" s="38">
        <f>B23*B8*(1-B10)</f>
        <v>12801.905177858265</v>
      </c>
      <c r="D23" s="38">
        <f>D22*(1+C9)</f>
        <v>243447.37915863044</v>
      </c>
      <c r="E23" s="38">
        <f>D23*C8*(1-C10)</f>
        <v>8136.3765825501669</v>
      </c>
      <c r="F23" s="38">
        <f>F22*(1+D9)</f>
        <v>172917.4797840064</v>
      </c>
      <c r="G23" s="38">
        <f>F23*D8*(1-D10)</f>
        <v>7705.5487341348926</v>
      </c>
      <c r="H23" s="56">
        <f>1/(1+B11)^7</f>
        <v>0.54703424484331731</v>
      </c>
    </row>
    <row r="24" spans="1:8" ht="15" customHeight="1" x14ac:dyDescent="0.25">
      <c r="A24" s="39" t="s">
        <v>793</v>
      </c>
      <c r="B24" s="38">
        <f>B23*(1+B9)</f>
        <v>361976.58372832043</v>
      </c>
      <c r="C24" s="38">
        <f>B24*B8*(1-B10)</f>
        <v>13442.000436751181</v>
      </c>
      <c r="D24" s="38">
        <f>D23*(1+C9)</f>
        <v>253185.27432497567</v>
      </c>
      <c r="E24" s="38">
        <f>D24*C8*(1-C10)</f>
        <v>8461.8316458521749</v>
      </c>
      <c r="F24" s="38">
        <f>F23*(1+D9)</f>
        <v>183292.5285710468</v>
      </c>
      <c r="G24" s="38">
        <f>F24*D8*(1-D10)</f>
        <v>8167.8816581829869</v>
      </c>
      <c r="H24" s="56">
        <f>1/(1+B11)^8</f>
        <v>0.50186627967276809</v>
      </c>
    </row>
    <row r="25" spans="1:8" ht="15" customHeight="1" x14ac:dyDescent="0.25">
      <c r="A25" s="39" t="s">
        <v>794</v>
      </c>
      <c r="B25" s="38">
        <f>B24*(1+B9)</f>
        <v>380075.41291473649</v>
      </c>
      <c r="C25" s="38">
        <f>B25*B8*(1-B10)</f>
        <v>14114.10045858874</v>
      </c>
      <c r="D25" s="38">
        <f>D24*(1+C9)</f>
        <v>263312.68529797473</v>
      </c>
      <c r="E25" s="38">
        <f>D25*C8*(1-C10)</f>
        <v>8800.3049116862621</v>
      </c>
      <c r="F25" s="38">
        <f>F24*(1+D9)</f>
        <v>194290.08028530961</v>
      </c>
      <c r="G25" s="38">
        <f>F25*D8*(1-D10)</f>
        <v>8657.9545576739674</v>
      </c>
      <c r="H25" s="56">
        <f>1/(1+B11)^9</f>
        <v>0.46042777951630098</v>
      </c>
    </row>
    <row r="26" spans="1:8" ht="15" customHeight="1" x14ac:dyDescent="0.25">
      <c r="A26" s="39" t="s">
        <v>795</v>
      </c>
      <c r="B26" s="38">
        <f>B25*(1+B9)</f>
        <v>399079.18356047332</v>
      </c>
      <c r="C26" s="38">
        <f>B26*B8*(1-B10)</f>
        <v>14819.805481518177</v>
      </c>
      <c r="D26" s="38">
        <f>D25*(1+C9)</f>
        <v>273845.19270989374</v>
      </c>
      <c r="E26" s="38">
        <f>D26*C8*(1-C10)</f>
        <v>9152.3171081537148</v>
      </c>
      <c r="F26" s="38">
        <f>F25*(1+D9)</f>
        <v>205947.48510242821</v>
      </c>
      <c r="G26" s="38">
        <f>F26*D8*(1-D10)</f>
        <v>9177.431831134405</v>
      </c>
      <c r="H26" s="56">
        <f>1/(1+B11)^10</f>
        <v>0.42241080689568894</v>
      </c>
    </row>
    <row r="28" spans="1:8" ht="15" customHeight="1" x14ac:dyDescent="0.25">
      <c r="A28" s="4" t="s">
        <v>796</v>
      </c>
      <c r="B28" s="4"/>
      <c r="C28" s="4"/>
      <c r="D28" s="4"/>
      <c r="E28" s="4"/>
      <c r="F28" s="4"/>
      <c r="G28" s="4"/>
      <c r="H28" s="4"/>
    </row>
    <row r="29" spans="1:8" ht="23.25" customHeight="1" x14ac:dyDescent="0.25">
      <c r="A29" s="10" t="s">
        <v>86</v>
      </c>
      <c r="B29" s="10" t="s">
        <v>797</v>
      </c>
      <c r="C29" s="10" t="s">
        <v>798</v>
      </c>
      <c r="D29" s="10" t="s">
        <v>799</v>
      </c>
      <c r="E29" s="10" t="s">
        <v>800</v>
      </c>
      <c r="F29" s="10" t="s">
        <v>801</v>
      </c>
      <c r="G29" s="10"/>
      <c r="H29" s="10"/>
    </row>
    <row r="30" spans="1:8" ht="15" customHeight="1" x14ac:dyDescent="0.25">
      <c r="A30" s="44" t="s">
        <v>91</v>
      </c>
      <c r="B30" s="37">
        <f>SUMPRODUCT(C17:C26,H17:H26)</f>
        <v>74498.261473512219</v>
      </c>
      <c r="C30" s="37">
        <f>C26*(1+B13)/(B11-B13)</f>
        <v>215945.73701640774</v>
      </c>
      <c r="D30" s="37">
        <f>C30*H26</f>
        <v>91217.813018785033</v>
      </c>
      <c r="E30" s="25">
        <f>B30+D30</f>
        <v>165716.07449229725</v>
      </c>
      <c r="F30" s="57">
        <f>IF(B7&gt;0,E30/B7,0)</f>
        <v>0.67639214078488674</v>
      </c>
      <c r="G30" s="23"/>
      <c r="H30" s="23"/>
    </row>
    <row r="31" spans="1:8" ht="15" customHeight="1" x14ac:dyDescent="0.25">
      <c r="A31" s="44" t="s">
        <v>94</v>
      </c>
      <c r="B31" s="37">
        <f>SUMPRODUCT(E17:E26,H17:H26)</f>
        <v>48192.34878389506</v>
      </c>
      <c r="C31" s="37">
        <f>E26*(1+C13)/(B11-C13)</f>
        <v>133362.33500452558</v>
      </c>
      <c r="D31" s="37">
        <f>C31*H26</f>
        <v>56333.691538754829</v>
      </c>
      <c r="E31" s="25">
        <f>B31+D31</f>
        <v>104526.04032264989</v>
      </c>
      <c r="F31" s="57">
        <f>IF(C7&gt;0,E31/C7,0)</f>
        <v>0.56500562336567506</v>
      </c>
      <c r="G31" s="23"/>
      <c r="H31" s="23"/>
    </row>
    <row r="32" spans="1:8" ht="15" customHeight="1" x14ac:dyDescent="0.25">
      <c r="A32" s="44" t="s">
        <v>96</v>
      </c>
      <c r="B32" s="37">
        <f>SUMPRODUCT(G17:G26,H17:H26)</f>
        <v>44095.421062638459</v>
      </c>
      <c r="C32" s="37">
        <f>G26*(1+D13)/(B11-D13)</f>
        <v>133728.29239652993</v>
      </c>
      <c r="D32" s="37">
        <f>C32*H26</f>
        <v>56488.275896000829</v>
      </c>
      <c r="E32" s="25">
        <f>B32+D32</f>
        <v>100583.69695863928</v>
      </c>
      <c r="F32" s="57">
        <f>IF(D7&gt;0,E32/D7,0)</f>
        <v>0.87464084311860246</v>
      </c>
      <c r="G32" s="23"/>
      <c r="H32" s="23"/>
    </row>
    <row r="33" spans="1:8" ht="15" customHeight="1" x14ac:dyDescent="0.25">
      <c r="A33" s="58" t="s">
        <v>802</v>
      </c>
      <c r="B33" s="25">
        <f>SUM(B30:B32)</f>
        <v>166786.03132004573</v>
      </c>
      <c r="C33" s="25">
        <f>SUM(C30:C32)</f>
        <v>483036.36441746325</v>
      </c>
      <c r="D33" s="25">
        <f>SUM(D30:D32)</f>
        <v>204039.78045354068</v>
      </c>
      <c r="E33" s="25">
        <f>SUM(E30:E32)</f>
        <v>370825.81177358644</v>
      </c>
      <c r="F33" s="23"/>
      <c r="G33" s="23"/>
      <c r="H33" s="23"/>
    </row>
    <row r="35" spans="1:8" ht="15" customHeight="1" x14ac:dyDescent="0.25">
      <c r="A35" s="3" t="s">
        <v>803</v>
      </c>
      <c r="B35" s="3"/>
      <c r="C35" s="3"/>
      <c r="D35" s="3"/>
      <c r="E35" s="3"/>
      <c r="F35" s="3"/>
      <c r="G35" s="3"/>
      <c r="H35" s="3"/>
    </row>
    <row r="36" spans="1:8" ht="15" customHeight="1" x14ac:dyDescent="0.25">
      <c r="A36" s="3" t="s">
        <v>804</v>
      </c>
      <c r="B36" s="3"/>
      <c r="C36" s="3"/>
      <c r="D36" s="3"/>
      <c r="E36" s="3"/>
      <c r="F36" s="3"/>
      <c r="G36" s="3"/>
      <c r="H36" s="3"/>
    </row>
    <row r="37" spans="1:8" ht="15" customHeight="1" x14ac:dyDescent="0.25">
      <c r="A37" s="3" t="s">
        <v>805</v>
      </c>
      <c r="B37" s="3"/>
      <c r="C37" s="3"/>
      <c r="D37" s="3"/>
      <c r="E37" s="3"/>
      <c r="F37" s="3"/>
      <c r="G37" s="3"/>
      <c r="H37" s="3"/>
    </row>
  </sheetData>
  <mergeCells count="9">
    <mergeCell ref="A28:H28"/>
    <mergeCell ref="A35:H35"/>
    <mergeCell ref="A36:H36"/>
    <mergeCell ref="A37:H37"/>
    <mergeCell ref="A1:H1"/>
    <mergeCell ref="A2:H2"/>
    <mergeCell ref="A3:H3"/>
    <mergeCell ref="A5:H5"/>
    <mergeCell ref="A15:H15"/>
  </mergeCells>
  <pageMargins left="0.75" right="0.75" top="1" bottom="1" header="0.5" footer="0.5"/>
  <pageSetup fitToHeight="0" orientation="landscape" horizontalDpi="300" verticalDpi="300"/>
  <headerFooter>
    <oddHeader>&amp;C&amp;"Calibri,Bold"&amp;9 NEURAL — Agent RoyaltyAccounting — CONFIDENTIEL</oddHeader>
    <oddFooter>&amp;LNEURAL Luxe Group — FY2025&amp;RPage &amp;P /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38</vt:i4>
      </vt:variant>
    </vt:vector>
  </HeadingPairs>
  <TitlesOfParts>
    <vt:vector size="54" baseType="lpstr">
      <vt:lpstr>Claude Log</vt:lpstr>
      <vt:lpstr>01_PARAMETRES</vt:lpstr>
      <vt:lpstr>02_CONTRATS_LICENCES</vt:lpstr>
      <vt:lpstr>03_CALCUL_ROYALTIES</vt:lpstr>
      <vt:lpstr>04_BENCHMARK_ALP</vt:lpstr>
      <vt:lpstr>05_ECRITURES_COMPTA</vt:lpstr>
      <vt:lpstr>06_RETENUES_SOURCE</vt:lpstr>
      <vt:lpstr>07_ELIMINATIONS_CONSO</vt:lpstr>
      <vt:lpstr>08_PILIER2_GLOBE</vt:lpstr>
      <vt:lpstr>09_DOC_PRIX_TRANSFERT</vt:lpstr>
      <vt:lpstr>10_DASHBOARD</vt:lpstr>
      <vt:lpstr>11_CONTROLES</vt:lpstr>
      <vt:lpstr>12_NOTES_IFRS</vt:lpstr>
      <vt:lpstr>13_SUBSTANCE_ATADIII</vt:lpstr>
      <vt:lpstr>14_STRESS_TEST</vt:lpstr>
      <vt:lpstr>15_VALORISATION_MARQUES</vt:lpstr>
      <vt:lpstr>CA_AURELE</vt:lpstr>
      <vt:lpstr>CA_Entites</vt:lpstr>
      <vt:lpstr>CA_IMPERIAL</vt:lpstr>
      <vt:lpstr>CA_STELLAIRE</vt:lpstr>
      <vt:lpstr>CA_TOTAL</vt:lpstr>
      <vt:lpstr>Comp_Taux</vt:lpstr>
      <vt:lpstr>Entites_ActifsCorp</vt:lpstr>
      <vt:lpstr>Entites_Detention</vt:lpstr>
      <vt:lpstr>Entites_Devise</vt:lpstr>
      <vt:lpstr>Entites_MasseSal</vt:lpstr>
      <vt:lpstr>Entites_Noms</vt:lpstr>
      <vt:lpstr>Entites_Pays</vt:lpstr>
      <vt:lpstr>Entites_TauxIS</vt:lpstr>
      <vt:lpstr>FX_Cloture</vt:lpstr>
      <vt:lpstr>FX_Devises</vt:lpstr>
      <vt:lpstr>FX_Mars2026</vt:lpstr>
      <vt:lpstr>FX_Moyen</vt:lpstr>
      <vt:lpstr>GrandTotal_CA</vt:lpstr>
      <vt:lpstr>GrandTotal_Royalty</vt:lpstr>
      <vt:lpstr>IQR_Mediane</vt:lpstr>
      <vt:lpstr>IQR_Q1</vt:lpstr>
      <vt:lpstr>IQR_Q3</vt:lpstr>
      <vt:lpstr>Marques_Noms</vt:lpstr>
      <vt:lpstr>Marques_Taux</vt:lpstr>
      <vt:lpstr>Recap_CA_Total</vt:lpstr>
      <vt:lpstr>Recap_Entites</vt:lpstr>
      <vt:lpstr>Recap_RoyaltyTotal</vt:lpstr>
      <vt:lpstr>Saisonnalite_Q1</vt:lpstr>
      <vt:lpstr>Saisonnalite_Q2</vt:lpstr>
      <vt:lpstr>Saisonnalite_Q3</vt:lpstr>
      <vt:lpstr>Saisonnalite_Q4</vt:lpstr>
      <vt:lpstr>TauxIS_FR</vt:lpstr>
      <vt:lpstr>TauxRoyalty_AURELE</vt:lpstr>
      <vt:lpstr>TauxRoyalty_IMPERIAL</vt:lpstr>
      <vt:lpstr>TauxRoyalty_STELLAIRE</vt:lpstr>
      <vt:lpstr>WHT_Pays</vt:lpstr>
      <vt:lpstr>WHT_TauxEffectif</vt:lpstr>
      <vt:lpstr>WHT_Total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Ludovic Labeaut</cp:lastModifiedBy>
  <cp:revision>5</cp:revision>
  <dcterms:created xsi:type="dcterms:W3CDTF">2026-03-30T13:29:38Z</dcterms:created>
  <dcterms:modified xsi:type="dcterms:W3CDTF">2026-04-01T19:33:52Z</dcterms:modified>
  <dc:language>en-US</dc:language>
</cp:coreProperties>
</file>